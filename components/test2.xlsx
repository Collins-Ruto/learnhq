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Admin\Desktop\"/>
    </mc:Choice>
  </mc:AlternateContent>
  <bookViews>
    <workbookView xWindow="0" yWindow="0" windowWidth="16392" windowHeight="4824" firstSheet="1" activeTab="1"/>
  </bookViews>
  <sheets>
    <sheet name="PSQuerySave1" sheetId="3" state="hidden" r:id="rId1"/>
    <sheet name="TIMETABLE" sheetId="6" r:id="rId2"/>
    <sheet name="Sheet1" sheetId="12" r:id="rId3"/>
    <sheet name="ROOM ALOCACATION" sheetId="5" r:id="rId4"/>
    <sheet name="CONCATENATED" sheetId="9" r:id="rId5"/>
    <sheet name="MATCHED" sheetId="11" r:id="rId6"/>
    <sheet name="MATERTT" sheetId="10" r:id="rId7"/>
    <sheet name="BaseTitanium" sheetId="7" r:id="rId8"/>
  </sheets>
  <definedNames>
    <definedName name="_xlnm._FilterDatabase" localSheetId="5" hidden="1">MATCHED!$A$1:$BL$101</definedName>
    <definedName name="_xlnm.Print_Area" localSheetId="1">TIMETABLE!$A$1:$AL$163</definedName>
    <definedName name="_xlnm.Print_Area">#REF!</definedName>
    <definedName name="PRINT_AREA_MI">#REF!</definedName>
  </definedNames>
  <calcPr calcId="162913"/>
  <fileRecoveryPr autoRecover="0"/>
</workbook>
</file>

<file path=xl/calcChain.xml><?xml version="1.0" encoding="utf-8"?>
<calcChain xmlns="http://schemas.openxmlformats.org/spreadsheetml/2006/main">
  <c r="AC42" i="9" l="1"/>
  <c r="Z14" i="11" s="1"/>
  <c r="AD66" i="9"/>
  <c r="AA23" i="11" s="1"/>
  <c r="AF88" i="11"/>
  <c r="D88" i="10" s="1"/>
  <c r="AF87" i="11"/>
  <c r="D87" i="10" s="1"/>
  <c r="AF73" i="11"/>
  <c r="D73" i="10" s="1"/>
  <c r="AF59" i="11"/>
  <c r="D59" i="10" s="1"/>
  <c r="AF45" i="11"/>
  <c r="D45" i="10" s="1"/>
  <c r="AF31" i="11"/>
  <c r="D31" i="10"/>
  <c r="AF17" i="11"/>
  <c r="D17" i="10" s="1"/>
  <c r="BK88" i="11"/>
  <c r="AI88" i="10" s="1"/>
  <c r="BJ88" i="11"/>
  <c r="AH88" i="10" s="1"/>
  <c r="BI88" i="11"/>
  <c r="AG88" i="10"/>
  <c r="BH88" i="11"/>
  <c r="AF88" i="10" s="1"/>
  <c r="BG88" i="11"/>
  <c r="AE88" i="10" s="1"/>
  <c r="BF88" i="11"/>
  <c r="AD88" i="10" s="1"/>
  <c r="BE88" i="11"/>
  <c r="AC88" i="10"/>
  <c r="BD88" i="11"/>
  <c r="AB88" i="10" s="1"/>
  <c r="BC88" i="11"/>
  <c r="AA88" i="10" s="1"/>
  <c r="BB88" i="11"/>
  <c r="Z88" i="10" s="1"/>
  <c r="BA88" i="11"/>
  <c r="Y88" i="10"/>
  <c r="AZ88" i="11"/>
  <c r="X88" i="10" s="1"/>
  <c r="AY88" i="11"/>
  <c r="W88" i="10" s="1"/>
  <c r="AX88" i="11"/>
  <c r="V88" i="10" s="1"/>
  <c r="AW88" i="11"/>
  <c r="U88" i="10"/>
  <c r="AV88" i="11"/>
  <c r="T88" i="10" s="1"/>
  <c r="AU88" i="11"/>
  <c r="S88" i="10" s="1"/>
  <c r="AT88" i="11"/>
  <c r="R88" i="10" s="1"/>
  <c r="AS88" i="11"/>
  <c r="Q88" i="10"/>
  <c r="AR88" i="11"/>
  <c r="P88" i="10" s="1"/>
  <c r="AQ88" i="11"/>
  <c r="O88" i="10" s="1"/>
  <c r="AP88" i="11"/>
  <c r="N88" i="10" s="1"/>
  <c r="AO88" i="11"/>
  <c r="M88" i="10"/>
  <c r="AN88" i="11"/>
  <c r="L88" i="10" s="1"/>
  <c r="AM88" i="11"/>
  <c r="K88" i="10" s="1"/>
  <c r="AL88" i="11"/>
  <c r="J88" i="10" s="1"/>
  <c r="AK88" i="11"/>
  <c r="I88" i="10"/>
  <c r="AJ88" i="11"/>
  <c r="H88" i="10" s="1"/>
  <c r="AI88" i="11"/>
  <c r="G88" i="10" s="1"/>
  <c r="AH88" i="11"/>
  <c r="F88" i="10" s="1"/>
  <c r="AG88" i="11"/>
  <c r="E88" i="10"/>
  <c r="AE88" i="11"/>
  <c r="C88" i="10" s="1"/>
  <c r="AD88" i="11"/>
  <c r="B88" i="10" s="1"/>
  <c r="BK87" i="11"/>
  <c r="AI87" i="10" s="1"/>
  <c r="BJ87" i="11"/>
  <c r="AH87" i="10"/>
  <c r="BI87" i="11"/>
  <c r="AG87" i="10" s="1"/>
  <c r="BH87" i="11"/>
  <c r="AF87" i="10" s="1"/>
  <c r="BG87" i="11"/>
  <c r="AE87" i="10" s="1"/>
  <c r="BF87" i="11"/>
  <c r="AD87" i="10"/>
  <c r="BE87" i="11"/>
  <c r="AC87" i="10" s="1"/>
  <c r="BD87" i="11"/>
  <c r="AB87" i="10" s="1"/>
  <c r="BC87" i="11"/>
  <c r="AA87" i="10" s="1"/>
  <c r="BB87" i="11"/>
  <c r="Z87" i="10"/>
  <c r="BA87" i="11"/>
  <c r="Y87" i="10" s="1"/>
  <c r="AZ87" i="11"/>
  <c r="X87" i="10" s="1"/>
  <c r="AY87" i="11"/>
  <c r="W87" i="10" s="1"/>
  <c r="AX87" i="11"/>
  <c r="V87" i="10"/>
  <c r="AW87" i="11"/>
  <c r="U87" i="10" s="1"/>
  <c r="AV87" i="11"/>
  <c r="T87" i="10" s="1"/>
  <c r="AU87" i="11"/>
  <c r="S87" i="10" s="1"/>
  <c r="AT87" i="11"/>
  <c r="R87" i="10"/>
  <c r="AS87" i="11"/>
  <c r="Q87" i="10" s="1"/>
  <c r="AR87" i="11"/>
  <c r="P87" i="10" s="1"/>
  <c r="AQ87" i="11"/>
  <c r="O87" i="10" s="1"/>
  <c r="AP87" i="11"/>
  <c r="N87" i="10"/>
  <c r="AO87" i="11"/>
  <c r="M87" i="10" s="1"/>
  <c r="AN87" i="11"/>
  <c r="L87" i="10" s="1"/>
  <c r="AM87" i="11"/>
  <c r="K87" i="10" s="1"/>
  <c r="AL87" i="11"/>
  <c r="J87" i="10"/>
  <c r="AK87" i="11"/>
  <c r="I87" i="10" s="1"/>
  <c r="AJ87" i="11"/>
  <c r="H87" i="10" s="1"/>
  <c r="AI87" i="11"/>
  <c r="G87" i="10" s="1"/>
  <c r="AH87" i="11"/>
  <c r="F87" i="10"/>
  <c r="AG87" i="11"/>
  <c r="E87" i="10" s="1"/>
  <c r="AE87" i="11"/>
  <c r="C87" i="10" s="1"/>
  <c r="AD87" i="11"/>
  <c r="B87" i="10" s="1"/>
  <c r="BK73" i="11"/>
  <c r="AI73" i="10"/>
  <c r="BJ73" i="11"/>
  <c r="AH73" i="10" s="1"/>
  <c r="BI73" i="11"/>
  <c r="AG73" i="10" s="1"/>
  <c r="BH73" i="11"/>
  <c r="AF73" i="10" s="1"/>
  <c r="BG73" i="11"/>
  <c r="AE73" i="10"/>
  <c r="BF73" i="11"/>
  <c r="AD73" i="10" s="1"/>
  <c r="BE73" i="11"/>
  <c r="AC73" i="10" s="1"/>
  <c r="BD73" i="11"/>
  <c r="AB73" i="10" s="1"/>
  <c r="BC73" i="11"/>
  <c r="AA73" i="10"/>
  <c r="BB73" i="11"/>
  <c r="Z73" i="10" s="1"/>
  <c r="BA73" i="11"/>
  <c r="Y73" i="10" s="1"/>
  <c r="AZ73" i="11"/>
  <c r="X73" i="10" s="1"/>
  <c r="AY73" i="11"/>
  <c r="W73" i="10"/>
  <c r="AX73" i="11"/>
  <c r="V73" i="10" s="1"/>
  <c r="AW73" i="11"/>
  <c r="U73" i="10" s="1"/>
  <c r="AV73" i="11"/>
  <c r="T73" i="10" s="1"/>
  <c r="AU73" i="11"/>
  <c r="S73" i="10"/>
  <c r="AT73" i="11"/>
  <c r="R73" i="10" s="1"/>
  <c r="AS73" i="11"/>
  <c r="Q73" i="10" s="1"/>
  <c r="AR73" i="11"/>
  <c r="P73" i="10" s="1"/>
  <c r="AQ73" i="11"/>
  <c r="O73" i="10"/>
  <c r="AP73" i="11"/>
  <c r="N73" i="10" s="1"/>
  <c r="AO73" i="11"/>
  <c r="M73" i="10" s="1"/>
  <c r="AN73" i="11"/>
  <c r="L73" i="10" s="1"/>
  <c r="AM73" i="11"/>
  <c r="K73" i="10"/>
  <c r="AL73" i="11"/>
  <c r="J73" i="10" s="1"/>
  <c r="AK73" i="11"/>
  <c r="I73" i="10" s="1"/>
  <c r="AJ73" i="11"/>
  <c r="H73" i="10" s="1"/>
  <c r="AI73" i="11"/>
  <c r="G73" i="10"/>
  <c r="AH73" i="11"/>
  <c r="F73" i="10" s="1"/>
  <c r="AG73" i="11"/>
  <c r="E73" i="10" s="1"/>
  <c r="AE73" i="11"/>
  <c r="C73" i="10" s="1"/>
  <c r="AD73" i="11"/>
  <c r="B73" i="10"/>
  <c r="BK59" i="11"/>
  <c r="AI59" i="10" s="1"/>
  <c r="BJ59" i="11"/>
  <c r="AH59" i="10" s="1"/>
  <c r="BI59" i="11"/>
  <c r="AG59" i="10" s="1"/>
  <c r="BH59" i="11"/>
  <c r="AF59" i="10"/>
  <c r="BG59" i="11"/>
  <c r="AE59" i="10" s="1"/>
  <c r="BF59" i="11"/>
  <c r="AD59" i="10" s="1"/>
  <c r="BE59" i="11"/>
  <c r="AC59" i="10" s="1"/>
  <c r="BD59" i="11"/>
  <c r="AB59" i="10"/>
  <c r="BC59" i="11"/>
  <c r="AA59" i="10" s="1"/>
  <c r="BB59" i="11"/>
  <c r="Z59" i="10" s="1"/>
  <c r="BA59" i="11"/>
  <c r="Y59" i="10" s="1"/>
  <c r="AZ59" i="11"/>
  <c r="X59" i="10"/>
  <c r="AY59" i="11"/>
  <c r="W59" i="10" s="1"/>
  <c r="AX59" i="11"/>
  <c r="V59" i="10" s="1"/>
  <c r="AW59" i="11"/>
  <c r="U59" i="10" s="1"/>
  <c r="AV59" i="11"/>
  <c r="T59" i="10"/>
  <c r="AU59" i="11"/>
  <c r="S59" i="10" s="1"/>
  <c r="AT59" i="11"/>
  <c r="R59" i="10" s="1"/>
  <c r="AS59" i="11"/>
  <c r="Q59" i="10" s="1"/>
  <c r="AR59" i="11"/>
  <c r="P59" i="10"/>
  <c r="AQ59" i="11"/>
  <c r="O59" i="10" s="1"/>
  <c r="AP59" i="11"/>
  <c r="N59" i="10" s="1"/>
  <c r="AO59" i="11"/>
  <c r="M59" i="10" s="1"/>
  <c r="AN59" i="11"/>
  <c r="L59" i="10"/>
  <c r="AM59" i="11"/>
  <c r="K59" i="10" s="1"/>
  <c r="AL59" i="11"/>
  <c r="J59" i="10" s="1"/>
  <c r="AK59" i="11"/>
  <c r="I59" i="10" s="1"/>
  <c r="AJ59" i="11"/>
  <c r="H59" i="10"/>
  <c r="AI59" i="11"/>
  <c r="G59" i="10" s="1"/>
  <c r="AH59" i="11"/>
  <c r="F59" i="10" s="1"/>
  <c r="AG59" i="11"/>
  <c r="E59" i="10" s="1"/>
  <c r="AE59" i="11"/>
  <c r="C59" i="10"/>
  <c r="AD59" i="11"/>
  <c r="B59" i="10" s="1"/>
  <c r="BK45" i="11"/>
  <c r="AI45" i="10" s="1"/>
  <c r="BJ45" i="11"/>
  <c r="AH45" i="10" s="1"/>
  <c r="BI45" i="11"/>
  <c r="AG45" i="10"/>
  <c r="BH45" i="11"/>
  <c r="AF45" i="10" s="1"/>
  <c r="BG45" i="11"/>
  <c r="AE45" i="10" s="1"/>
  <c r="BF45" i="11"/>
  <c r="AD45" i="10" s="1"/>
  <c r="BE45" i="11"/>
  <c r="AC45" i="10"/>
  <c r="BD45" i="11"/>
  <c r="AB45" i="10" s="1"/>
  <c r="BC45" i="11"/>
  <c r="AA45" i="10" s="1"/>
  <c r="BB45" i="11"/>
  <c r="Z45" i="10" s="1"/>
  <c r="BA45" i="11"/>
  <c r="Y45" i="10"/>
  <c r="AZ45" i="11"/>
  <c r="X45" i="10" s="1"/>
  <c r="AY45" i="11"/>
  <c r="W45" i="10" s="1"/>
  <c r="AX45" i="11"/>
  <c r="V45" i="10" s="1"/>
  <c r="AW45" i="11"/>
  <c r="U45" i="10"/>
  <c r="AV45" i="11"/>
  <c r="T45" i="10" s="1"/>
  <c r="AU45" i="11"/>
  <c r="S45" i="10" s="1"/>
  <c r="AT45" i="11"/>
  <c r="R45" i="10" s="1"/>
  <c r="AS45" i="11"/>
  <c r="Q45" i="10"/>
  <c r="AR45" i="11"/>
  <c r="P45" i="10" s="1"/>
  <c r="AQ45" i="11"/>
  <c r="O45" i="10" s="1"/>
  <c r="AP45" i="11"/>
  <c r="N45" i="10" s="1"/>
  <c r="AO45" i="11"/>
  <c r="M45" i="10"/>
  <c r="AN45" i="11"/>
  <c r="L45" i="10" s="1"/>
  <c r="AM45" i="11"/>
  <c r="K45" i="10" s="1"/>
  <c r="AL45" i="11"/>
  <c r="J45" i="10" s="1"/>
  <c r="AK45" i="11"/>
  <c r="I45" i="10"/>
  <c r="AJ45" i="11"/>
  <c r="H45" i="10" s="1"/>
  <c r="AI45" i="11"/>
  <c r="G45" i="10" s="1"/>
  <c r="AH45" i="11"/>
  <c r="F45" i="10" s="1"/>
  <c r="AG45" i="11"/>
  <c r="E45" i="10"/>
  <c r="AE45" i="11"/>
  <c r="C45" i="10"/>
  <c r="AD45" i="11"/>
  <c r="B45" i="10"/>
  <c r="BK31" i="11"/>
  <c r="AI31" i="10"/>
  <c r="BJ31" i="11"/>
  <c r="AH31" i="10"/>
  <c r="BI31" i="11"/>
  <c r="AG31" i="10"/>
  <c r="BH31" i="11"/>
  <c r="AF31" i="10"/>
  <c r="BG31" i="11"/>
  <c r="AE31" i="10"/>
  <c r="BF31" i="11"/>
  <c r="AD31" i="10"/>
  <c r="BE31" i="11"/>
  <c r="AC31" i="10"/>
  <c r="BD31" i="11"/>
  <c r="AB31" i="10"/>
  <c r="BC31" i="11"/>
  <c r="AA31" i="10"/>
  <c r="BB31" i="11"/>
  <c r="Z31" i="10"/>
  <c r="BA31" i="11"/>
  <c r="Y31" i="10"/>
  <c r="AZ31" i="11"/>
  <c r="X31" i="10"/>
  <c r="AY31" i="11"/>
  <c r="W31" i="10"/>
  <c r="AX31" i="11"/>
  <c r="V31" i="10"/>
  <c r="AW31" i="11"/>
  <c r="U31" i="10"/>
  <c r="AV31" i="11"/>
  <c r="T31" i="10"/>
  <c r="AU31" i="11"/>
  <c r="S31" i="10"/>
  <c r="AT31" i="11"/>
  <c r="R31" i="10"/>
  <c r="AS31" i="11"/>
  <c r="Q31" i="10"/>
  <c r="AR31" i="11"/>
  <c r="P31" i="10"/>
  <c r="AQ31" i="11"/>
  <c r="O31" i="10"/>
  <c r="AP31" i="11"/>
  <c r="N31" i="10"/>
  <c r="AO31" i="11"/>
  <c r="M31" i="10"/>
  <c r="AN31" i="11"/>
  <c r="L31" i="10"/>
  <c r="AM31" i="11"/>
  <c r="K31" i="10"/>
  <c r="AL31" i="11"/>
  <c r="J31" i="10"/>
  <c r="AK31" i="11"/>
  <c r="I31" i="10"/>
  <c r="AJ31" i="11"/>
  <c r="H31" i="10"/>
  <c r="AI31" i="11"/>
  <c r="G31" i="10"/>
  <c r="AH31" i="11"/>
  <c r="F31" i="10"/>
  <c r="AG31" i="11"/>
  <c r="E31" i="10"/>
  <c r="AE31" i="11"/>
  <c r="C31" i="10"/>
  <c r="AD31" i="11"/>
  <c r="B31" i="10"/>
  <c r="BK17" i="11"/>
  <c r="AI17" i="10"/>
  <c r="BJ17" i="11"/>
  <c r="AH17" i="10"/>
  <c r="BI17" i="11"/>
  <c r="AG17" i="10"/>
  <c r="BH17" i="11"/>
  <c r="AF17" i="10"/>
  <c r="BG17" i="11"/>
  <c r="AE17" i="10"/>
  <c r="BF17" i="11"/>
  <c r="AD17" i="10"/>
  <c r="BE17" i="11"/>
  <c r="AC17" i="10"/>
  <c r="BD17" i="11"/>
  <c r="AB17" i="10"/>
  <c r="BC17" i="11"/>
  <c r="AA17" i="10"/>
  <c r="BB17" i="11"/>
  <c r="Z17" i="10"/>
  <c r="BA17" i="11"/>
  <c r="Y17" i="10"/>
  <c r="AZ17" i="11"/>
  <c r="X17" i="10"/>
  <c r="AY17" i="11"/>
  <c r="W17" i="10"/>
  <c r="AX17" i="11"/>
  <c r="V17" i="10"/>
  <c r="AW17" i="11"/>
  <c r="U17" i="10"/>
  <c r="AV17" i="11"/>
  <c r="T17" i="10"/>
  <c r="AU17" i="11"/>
  <c r="S17" i="10"/>
  <c r="AT17" i="11"/>
  <c r="R17" i="10"/>
  <c r="AS17" i="11"/>
  <c r="Q17" i="10"/>
  <c r="AR17" i="11"/>
  <c r="P17" i="10"/>
  <c r="AQ17" i="11"/>
  <c r="O17" i="10"/>
  <c r="AP17" i="11"/>
  <c r="N17" i="10"/>
  <c r="AO17" i="11"/>
  <c r="M17" i="10"/>
  <c r="AN17" i="11"/>
  <c r="L17" i="10"/>
  <c r="AM17" i="11"/>
  <c r="K17" i="10"/>
  <c r="AL17" i="11"/>
  <c r="J17" i="10"/>
  <c r="AK17" i="11"/>
  <c r="I17" i="10"/>
  <c r="AJ17" i="11"/>
  <c r="H17" i="10"/>
  <c r="AI17" i="11"/>
  <c r="G17" i="10"/>
  <c r="AH17" i="11"/>
  <c r="F17" i="10"/>
  <c r="AG17" i="11"/>
  <c r="E17" i="10"/>
  <c r="AE17" i="11"/>
  <c r="C17" i="10"/>
  <c r="AD17" i="11"/>
  <c r="B17" i="10"/>
  <c r="F264" i="9"/>
  <c r="C95" i="11" s="1"/>
  <c r="G264" i="9"/>
  <c r="D95" i="11" s="1"/>
  <c r="H264" i="9"/>
  <c r="E95" i="11" s="1"/>
  <c r="I264" i="9"/>
  <c r="F95" i="11" s="1"/>
  <c r="J264" i="9"/>
  <c r="G95" i="11" s="1"/>
  <c r="K264" i="9"/>
  <c r="H95" i="11" s="1"/>
  <c r="L264" i="9"/>
  <c r="I95" i="11" s="1"/>
  <c r="M264" i="9"/>
  <c r="J95" i="11" s="1"/>
  <c r="N264" i="9"/>
  <c r="K95" i="11" s="1"/>
  <c r="O264" i="9"/>
  <c r="L95" i="11" s="1"/>
  <c r="P264" i="9"/>
  <c r="M95" i="11" s="1"/>
  <c r="Q264" i="9"/>
  <c r="N95" i="11" s="1"/>
  <c r="R264" i="9"/>
  <c r="O95" i="11" s="1"/>
  <c r="S264" i="9"/>
  <c r="P95" i="11" s="1"/>
  <c r="T264" i="9"/>
  <c r="Q95" i="11" s="1"/>
  <c r="U264" i="9"/>
  <c r="R95" i="11" s="1"/>
  <c r="V264" i="9"/>
  <c r="S95" i="11" s="1"/>
  <c r="W264" i="9"/>
  <c r="T95" i="11" s="1"/>
  <c r="X264" i="9"/>
  <c r="U95" i="11" s="1"/>
  <c r="Y264" i="9"/>
  <c r="V95" i="11" s="1"/>
  <c r="Z264" i="9"/>
  <c r="W95" i="11" s="1"/>
  <c r="AA264" i="9"/>
  <c r="X95" i="11" s="1"/>
  <c r="AB264" i="9"/>
  <c r="Y95" i="11" s="1"/>
  <c r="AC264" i="9"/>
  <c r="Z95" i="11" s="1"/>
  <c r="AD264" i="9"/>
  <c r="AA95" i="11" s="1"/>
  <c r="AE264" i="9"/>
  <c r="AB95" i="11" s="1"/>
  <c r="E264" i="9"/>
  <c r="B95" i="11" s="1"/>
  <c r="F225" i="9"/>
  <c r="C80" i="11" s="1"/>
  <c r="G225" i="9"/>
  <c r="D80" i="11" s="1"/>
  <c r="H225" i="9"/>
  <c r="E80" i="11" s="1"/>
  <c r="I225" i="9"/>
  <c r="F80" i="11" s="1"/>
  <c r="J225" i="9"/>
  <c r="G80" i="11" s="1"/>
  <c r="K225" i="9"/>
  <c r="H80" i="11" s="1"/>
  <c r="L225" i="9"/>
  <c r="I80" i="11" s="1"/>
  <c r="M225" i="9"/>
  <c r="J80" i="11" s="1"/>
  <c r="N225" i="9"/>
  <c r="K80" i="11" s="1"/>
  <c r="O225" i="9"/>
  <c r="L80" i="11" s="1"/>
  <c r="P225" i="9"/>
  <c r="M80" i="11" s="1"/>
  <c r="Q225" i="9"/>
  <c r="N80" i="11" s="1"/>
  <c r="R225" i="9"/>
  <c r="O80" i="11" s="1"/>
  <c r="S225" i="9"/>
  <c r="P80" i="11" s="1"/>
  <c r="T225" i="9"/>
  <c r="Q80" i="11" s="1"/>
  <c r="U225" i="9"/>
  <c r="R80" i="11" s="1"/>
  <c r="V225" i="9"/>
  <c r="S80" i="11" s="1"/>
  <c r="W225" i="9"/>
  <c r="T80" i="11" s="1"/>
  <c r="X225" i="9"/>
  <c r="U80" i="11" s="1"/>
  <c r="Y225" i="9"/>
  <c r="V80" i="11" s="1"/>
  <c r="Z225" i="9"/>
  <c r="W80" i="11" s="1"/>
  <c r="AA225" i="9"/>
  <c r="X80" i="11" s="1"/>
  <c r="AB225" i="9"/>
  <c r="Y80" i="11" s="1"/>
  <c r="AC225" i="9"/>
  <c r="Z80" i="11" s="1"/>
  <c r="AD225" i="9"/>
  <c r="AA80" i="11" s="1"/>
  <c r="AE225" i="9"/>
  <c r="AB80" i="11" s="1"/>
  <c r="E225" i="9"/>
  <c r="B80" i="11" s="1"/>
  <c r="F186" i="9"/>
  <c r="C66" i="11" s="1"/>
  <c r="G186" i="9"/>
  <c r="D66" i="11" s="1"/>
  <c r="H186" i="9"/>
  <c r="E66" i="11" s="1"/>
  <c r="I186" i="9"/>
  <c r="F66" i="11" s="1"/>
  <c r="J186" i="9"/>
  <c r="G66" i="11" s="1"/>
  <c r="K186" i="9"/>
  <c r="H66" i="11" s="1"/>
  <c r="L186" i="9"/>
  <c r="I66" i="11" s="1"/>
  <c r="M186" i="9"/>
  <c r="J66" i="11" s="1"/>
  <c r="N186" i="9"/>
  <c r="K66" i="11" s="1"/>
  <c r="O186" i="9"/>
  <c r="L66" i="11" s="1"/>
  <c r="P186" i="9"/>
  <c r="M66" i="11" s="1"/>
  <c r="Q186" i="9"/>
  <c r="N66" i="11" s="1"/>
  <c r="R186" i="9"/>
  <c r="O66" i="11" s="1"/>
  <c r="S186" i="9"/>
  <c r="P66" i="11" s="1"/>
  <c r="T186" i="9"/>
  <c r="Q66" i="11" s="1"/>
  <c r="U186" i="9"/>
  <c r="R66" i="11" s="1"/>
  <c r="V186" i="9"/>
  <c r="S66" i="11" s="1"/>
  <c r="W186" i="9"/>
  <c r="T66" i="11" s="1"/>
  <c r="X186" i="9"/>
  <c r="U66" i="11" s="1"/>
  <c r="Y186" i="9"/>
  <c r="V66" i="11" s="1"/>
  <c r="Z186" i="9"/>
  <c r="W66" i="11" s="1"/>
  <c r="AA186" i="9"/>
  <c r="X66" i="11" s="1"/>
  <c r="AB186" i="9"/>
  <c r="Y66" i="11" s="1"/>
  <c r="AC186" i="9"/>
  <c r="Z66" i="11" s="1"/>
  <c r="AD186" i="9"/>
  <c r="AA66" i="11" s="1"/>
  <c r="AE186" i="9"/>
  <c r="AB66" i="11" s="1"/>
  <c r="E186" i="9"/>
  <c r="B66" i="11" s="1"/>
  <c r="F147" i="9"/>
  <c r="C52" i="11" s="1"/>
  <c r="G147" i="9"/>
  <c r="D52" i="11" s="1"/>
  <c r="H147" i="9"/>
  <c r="E52" i="11" s="1"/>
  <c r="I147" i="9"/>
  <c r="F52" i="11" s="1"/>
  <c r="J147" i="9"/>
  <c r="G52" i="11" s="1"/>
  <c r="K147" i="9"/>
  <c r="H52" i="11" s="1"/>
  <c r="L147" i="9"/>
  <c r="I52" i="11" s="1"/>
  <c r="M147" i="9"/>
  <c r="J52" i="11" s="1"/>
  <c r="N147" i="9"/>
  <c r="K52" i="11" s="1"/>
  <c r="O147" i="9"/>
  <c r="L52" i="11" s="1"/>
  <c r="P147" i="9"/>
  <c r="M52" i="11" s="1"/>
  <c r="Q147" i="9"/>
  <c r="N52" i="11" s="1"/>
  <c r="R147" i="9"/>
  <c r="O52" i="11" s="1"/>
  <c r="S147" i="9"/>
  <c r="P52" i="11" s="1"/>
  <c r="T147" i="9"/>
  <c r="Q52" i="11" s="1"/>
  <c r="U147" i="9"/>
  <c r="R52" i="11" s="1"/>
  <c r="V147" i="9"/>
  <c r="S52" i="11" s="1"/>
  <c r="W147" i="9"/>
  <c r="T52" i="11" s="1"/>
  <c r="X147" i="9"/>
  <c r="U52" i="11" s="1"/>
  <c r="Y147" i="9"/>
  <c r="V52" i="11" s="1"/>
  <c r="Z147" i="9"/>
  <c r="W52" i="11" s="1"/>
  <c r="AA147" i="9"/>
  <c r="X52" i="11" s="1"/>
  <c r="AB147" i="9"/>
  <c r="Y52" i="11" s="1"/>
  <c r="AC147" i="9"/>
  <c r="Z52" i="11" s="1"/>
  <c r="AD147" i="9"/>
  <c r="AA52" i="11" s="1"/>
  <c r="AE147" i="9"/>
  <c r="AB52" i="11" s="1"/>
  <c r="E147" i="9"/>
  <c r="B52" i="11" s="1"/>
  <c r="F108" i="9"/>
  <c r="C38" i="11" s="1"/>
  <c r="G108" i="9"/>
  <c r="D38" i="11" s="1"/>
  <c r="H108" i="9"/>
  <c r="E38" i="11" s="1"/>
  <c r="I108" i="9"/>
  <c r="F38" i="11" s="1"/>
  <c r="J108" i="9"/>
  <c r="G38" i="11" s="1"/>
  <c r="K108" i="9"/>
  <c r="H38" i="11" s="1"/>
  <c r="L108" i="9"/>
  <c r="I38" i="11" s="1"/>
  <c r="M108" i="9"/>
  <c r="J38" i="11" s="1"/>
  <c r="N108" i="9"/>
  <c r="K38" i="11" s="1"/>
  <c r="O108" i="9"/>
  <c r="L38" i="11" s="1"/>
  <c r="P108" i="9"/>
  <c r="M38" i="11" s="1"/>
  <c r="Q108" i="9"/>
  <c r="N38" i="11" s="1"/>
  <c r="R108" i="9"/>
  <c r="O38" i="11" s="1"/>
  <c r="S108" i="9"/>
  <c r="P38" i="11" s="1"/>
  <c r="T108" i="9"/>
  <c r="Q38" i="11" s="1"/>
  <c r="U108" i="9"/>
  <c r="R38" i="11" s="1"/>
  <c r="V108" i="9"/>
  <c r="S38" i="11" s="1"/>
  <c r="W108" i="9"/>
  <c r="T38" i="11" s="1"/>
  <c r="X108" i="9"/>
  <c r="U38" i="11" s="1"/>
  <c r="Y108" i="9"/>
  <c r="V38" i="11" s="1"/>
  <c r="Z108" i="9"/>
  <c r="W38" i="11" s="1"/>
  <c r="AA108" i="9"/>
  <c r="X38" i="11" s="1"/>
  <c r="AB108" i="9"/>
  <c r="Y38" i="11" s="1"/>
  <c r="AC108" i="9"/>
  <c r="Z38" i="11" s="1"/>
  <c r="AD108" i="9"/>
  <c r="AA38" i="11" s="1"/>
  <c r="AE108" i="9"/>
  <c r="AB38" i="11" s="1"/>
  <c r="E108" i="9"/>
  <c r="B38" i="11" s="1"/>
  <c r="F69" i="9"/>
  <c r="C24" i="11" s="1"/>
  <c r="G69" i="9"/>
  <c r="D24" i="11" s="1"/>
  <c r="H69" i="9"/>
  <c r="E24" i="11" s="1"/>
  <c r="I69" i="9"/>
  <c r="F24" i="11" s="1"/>
  <c r="J69" i="9"/>
  <c r="G24" i="11" s="1"/>
  <c r="K69" i="9"/>
  <c r="H24" i="11" s="1"/>
  <c r="L69" i="9"/>
  <c r="I24" i="11" s="1"/>
  <c r="M69" i="9"/>
  <c r="J24" i="11" s="1"/>
  <c r="N69" i="9"/>
  <c r="K24" i="11" s="1"/>
  <c r="O69" i="9"/>
  <c r="L24" i="11" s="1"/>
  <c r="P69" i="9"/>
  <c r="M24" i="11" s="1"/>
  <c r="Q69" i="9"/>
  <c r="N24" i="11" s="1"/>
  <c r="R69" i="9"/>
  <c r="O24" i="11" s="1"/>
  <c r="S69" i="9"/>
  <c r="P24" i="11" s="1"/>
  <c r="T69" i="9"/>
  <c r="Q24" i="11" s="1"/>
  <c r="U69" i="9"/>
  <c r="R24" i="11" s="1"/>
  <c r="V69" i="9"/>
  <c r="S24" i="11" s="1"/>
  <c r="W69" i="9"/>
  <c r="T24" i="11" s="1"/>
  <c r="X69" i="9"/>
  <c r="U24" i="11" s="1"/>
  <c r="Y69" i="9"/>
  <c r="V24" i="11" s="1"/>
  <c r="Z69" i="9"/>
  <c r="W24" i="11" s="1"/>
  <c r="AA69" i="9"/>
  <c r="X24" i="11" s="1"/>
  <c r="AB69" i="9"/>
  <c r="Y24" i="11" s="1"/>
  <c r="AC69" i="9"/>
  <c r="Z24" i="11" s="1"/>
  <c r="AD69" i="9"/>
  <c r="AA24" i="11" s="1"/>
  <c r="AE69" i="9"/>
  <c r="AB24" i="11" s="1"/>
  <c r="E69" i="9"/>
  <c r="B24" i="11" s="1"/>
  <c r="F30" i="9"/>
  <c r="C10" i="11" s="1"/>
  <c r="G30" i="9"/>
  <c r="D10" i="11" s="1"/>
  <c r="H30" i="9"/>
  <c r="E10" i="11" s="1"/>
  <c r="I30" i="9"/>
  <c r="F10" i="11" s="1"/>
  <c r="J30" i="9"/>
  <c r="G10" i="11" s="1"/>
  <c r="K30" i="9"/>
  <c r="H10" i="11" s="1"/>
  <c r="L30" i="9"/>
  <c r="I10" i="11" s="1"/>
  <c r="M30" i="9"/>
  <c r="J10" i="11" s="1"/>
  <c r="N30" i="9"/>
  <c r="K10" i="11" s="1"/>
  <c r="O30" i="9"/>
  <c r="L10" i="11" s="1"/>
  <c r="P30" i="9"/>
  <c r="M10" i="11" s="1"/>
  <c r="Q30" i="9"/>
  <c r="N10" i="11" s="1"/>
  <c r="R30" i="9"/>
  <c r="O10" i="11" s="1"/>
  <c r="S30" i="9"/>
  <c r="P10" i="11" s="1"/>
  <c r="T30" i="9"/>
  <c r="Q10" i="11" s="1"/>
  <c r="U30" i="9"/>
  <c r="R10" i="11" s="1"/>
  <c r="V30" i="9"/>
  <c r="S10" i="11" s="1"/>
  <c r="W30" i="9"/>
  <c r="T10" i="11" s="1"/>
  <c r="X30" i="9"/>
  <c r="U10" i="11" s="1"/>
  <c r="Y30" i="9"/>
  <c r="V10" i="11" s="1"/>
  <c r="Z30" i="9"/>
  <c r="W10" i="11" s="1"/>
  <c r="AA30" i="9"/>
  <c r="X10" i="11" s="1"/>
  <c r="AB30" i="9"/>
  <c r="Y10" i="11" s="1"/>
  <c r="AC30" i="9"/>
  <c r="Z10" i="11" s="1"/>
  <c r="AD30" i="9"/>
  <c r="AA10" i="11" s="1"/>
  <c r="AE30" i="9"/>
  <c r="AB10" i="11" s="1"/>
  <c r="E30" i="9"/>
  <c r="B10" i="11" s="1"/>
  <c r="C3" i="11"/>
  <c r="D3" i="11"/>
  <c r="E3" i="11"/>
  <c r="F3" i="11"/>
  <c r="G3" i="11"/>
  <c r="H3" i="11"/>
  <c r="I3" i="11"/>
  <c r="J3" i="11"/>
  <c r="K3" i="11"/>
  <c r="L3" i="11"/>
  <c r="M3" i="11"/>
  <c r="N3" i="11"/>
  <c r="O3" i="11"/>
  <c r="P3" i="11"/>
  <c r="Q3" i="11"/>
  <c r="R3" i="11"/>
  <c r="S3" i="11"/>
  <c r="T3" i="11"/>
  <c r="U3" i="11"/>
  <c r="V3" i="11"/>
  <c r="W3" i="11"/>
  <c r="X3" i="11"/>
  <c r="Y3" i="11"/>
  <c r="Z3" i="11"/>
  <c r="AA3" i="11"/>
  <c r="AB3" i="11"/>
  <c r="B3" i="11"/>
  <c r="F12" i="9"/>
  <c r="C4" i="11" s="1"/>
  <c r="G12" i="9"/>
  <c r="D4" i="11" s="1"/>
  <c r="H12" i="9"/>
  <c r="E4" i="11" s="1"/>
  <c r="I12" i="9"/>
  <c r="F4" i="11" s="1"/>
  <c r="J12" i="9"/>
  <c r="G4" i="11" s="1"/>
  <c r="K12" i="9"/>
  <c r="H4" i="11" s="1"/>
  <c r="L12" i="9"/>
  <c r="I4" i="11" s="1"/>
  <c r="M12" i="9"/>
  <c r="J4" i="11" s="1"/>
  <c r="N12" i="9"/>
  <c r="K4" i="11" s="1"/>
  <c r="O12" i="9"/>
  <c r="L4" i="11" s="1"/>
  <c r="P12" i="9"/>
  <c r="M4" i="11" s="1"/>
  <c r="Q12" i="9"/>
  <c r="N4" i="11" s="1"/>
  <c r="R12" i="9"/>
  <c r="O4" i="11" s="1"/>
  <c r="S12" i="9"/>
  <c r="P4" i="11" s="1"/>
  <c r="T12" i="9"/>
  <c r="Q4" i="11" s="1"/>
  <c r="U12" i="9"/>
  <c r="R4" i="11" s="1"/>
  <c r="V12" i="9"/>
  <c r="S4" i="11" s="1"/>
  <c r="W12" i="9"/>
  <c r="T4" i="11" s="1"/>
  <c r="X12" i="9"/>
  <c r="U4" i="11" s="1"/>
  <c r="Y12" i="9"/>
  <c r="V4" i="11" s="1"/>
  <c r="Z12" i="9"/>
  <c r="W4" i="11" s="1"/>
  <c r="AA12" i="9"/>
  <c r="X4" i="11" s="1"/>
  <c r="AB12" i="9"/>
  <c r="Y4" i="11" s="1"/>
  <c r="AC12" i="9"/>
  <c r="Z4" i="11" s="1"/>
  <c r="AD12" i="9"/>
  <c r="AA4" i="11" s="1"/>
  <c r="AE12" i="9"/>
  <c r="AB4" i="11" s="1"/>
  <c r="F15" i="9"/>
  <c r="C5" i="11" s="1"/>
  <c r="G15" i="9"/>
  <c r="D5" i="11" s="1"/>
  <c r="H15" i="9"/>
  <c r="E5" i="11" s="1"/>
  <c r="I15" i="9"/>
  <c r="F5" i="11" s="1"/>
  <c r="J15" i="9"/>
  <c r="G5" i="11" s="1"/>
  <c r="K15" i="9"/>
  <c r="H5" i="11" s="1"/>
  <c r="L15" i="9"/>
  <c r="I5" i="11" s="1"/>
  <c r="M15" i="9"/>
  <c r="J5" i="11" s="1"/>
  <c r="N15" i="9"/>
  <c r="K5" i="11" s="1"/>
  <c r="O15" i="9"/>
  <c r="L5" i="11" s="1"/>
  <c r="P15" i="9"/>
  <c r="M5" i="11" s="1"/>
  <c r="Q15" i="9"/>
  <c r="N5" i="11" s="1"/>
  <c r="R15" i="9"/>
  <c r="O5" i="11" s="1"/>
  <c r="S15" i="9"/>
  <c r="P5" i="11" s="1"/>
  <c r="T15" i="9"/>
  <c r="Q5" i="11" s="1"/>
  <c r="U15" i="9"/>
  <c r="R5" i="11" s="1"/>
  <c r="V15" i="9"/>
  <c r="S5" i="11" s="1"/>
  <c r="W15" i="9"/>
  <c r="T5" i="11" s="1"/>
  <c r="X15" i="9"/>
  <c r="U5" i="11" s="1"/>
  <c r="Y15" i="9"/>
  <c r="V5" i="11" s="1"/>
  <c r="Z15" i="9"/>
  <c r="W5" i="11" s="1"/>
  <c r="AA15" i="9"/>
  <c r="X5" i="11" s="1"/>
  <c r="AB15" i="9"/>
  <c r="Y5" i="11" s="1"/>
  <c r="AC15" i="9"/>
  <c r="Z5" i="11" s="1"/>
  <c r="AD15" i="9"/>
  <c r="AA5" i="11" s="1"/>
  <c r="AE15" i="9"/>
  <c r="AB5" i="11" s="1"/>
  <c r="F18" i="9"/>
  <c r="C6" i="11" s="1"/>
  <c r="G18" i="9"/>
  <c r="D6" i="11" s="1"/>
  <c r="H18" i="9"/>
  <c r="E6" i="11" s="1"/>
  <c r="I18" i="9"/>
  <c r="F6" i="11" s="1"/>
  <c r="J18" i="9"/>
  <c r="G6" i="11" s="1"/>
  <c r="K18" i="9"/>
  <c r="H6" i="11" s="1"/>
  <c r="L18" i="9"/>
  <c r="I6" i="11" s="1"/>
  <c r="M18" i="9"/>
  <c r="J6" i="11" s="1"/>
  <c r="N18" i="9"/>
  <c r="K6" i="11" s="1"/>
  <c r="O18" i="9"/>
  <c r="L6" i="11" s="1"/>
  <c r="P18" i="9"/>
  <c r="M6" i="11" s="1"/>
  <c r="Q18" i="9"/>
  <c r="N6" i="11" s="1"/>
  <c r="R18" i="9"/>
  <c r="O6" i="11" s="1"/>
  <c r="S18" i="9"/>
  <c r="P6" i="11" s="1"/>
  <c r="T18" i="9"/>
  <c r="Q6" i="11" s="1"/>
  <c r="U18" i="9"/>
  <c r="R6" i="11" s="1"/>
  <c r="V18" i="9"/>
  <c r="S6" i="11" s="1"/>
  <c r="W18" i="9"/>
  <c r="T6" i="11" s="1"/>
  <c r="X18" i="9"/>
  <c r="U6" i="11" s="1"/>
  <c r="Y18" i="9"/>
  <c r="V6" i="11" s="1"/>
  <c r="Z18" i="9"/>
  <c r="W6" i="11" s="1"/>
  <c r="AA18" i="9"/>
  <c r="X6" i="11" s="1"/>
  <c r="AB18" i="9"/>
  <c r="Y6" i="11" s="1"/>
  <c r="AC18" i="9"/>
  <c r="Z6" i="11" s="1"/>
  <c r="AD18" i="9"/>
  <c r="AA6" i="11" s="1"/>
  <c r="AE18" i="9"/>
  <c r="AB6" i="11" s="1"/>
  <c r="F21" i="9"/>
  <c r="C7" i="11" s="1"/>
  <c r="G21" i="9"/>
  <c r="D7" i="11" s="1"/>
  <c r="H21" i="9"/>
  <c r="E7" i="11" s="1"/>
  <c r="I21" i="9"/>
  <c r="F7" i="11" s="1"/>
  <c r="J21" i="9"/>
  <c r="G7" i="11" s="1"/>
  <c r="K21" i="9"/>
  <c r="H7" i="11" s="1"/>
  <c r="L21" i="9"/>
  <c r="I7" i="11" s="1"/>
  <c r="M21" i="9"/>
  <c r="J7" i="11" s="1"/>
  <c r="N21" i="9"/>
  <c r="K7" i="11" s="1"/>
  <c r="O21" i="9"/>
  <c r="L7" i="11" s="1"/>
  <c r="P21" i="9"/>
  <c r="M7" i="11" s="1"/>
  <c r="Q21" i="9"/>
  <c r="N7" i="11" s="1"/>
  <c r="R21" i="9"/>
  <c r="O7" i="11" s="1"/>
  <c r="S21" i="9"/>
  <c r="P7" i="11" s="1"/>
  <c r="T21" i="9"/>
  <c r="Q7" i="11" s="1"/>
  <c r="U21" i="9"/>
  <c r="R7" i="11" s="1"/>
  <c r="V21" i="9"/>
  <c r="S7" i="11" s="1"/>
  <c r="W21" i="9"/>
  <c r="T7" i="11" s="1"/>
  <c r="X21" i="9"/>
  <c r="U7" i="11" s="1"/>
  <c r="Y21" i="9"/>
  <c r="V7" i="11" s="1"/>
  <c r="Z21" i="9"/>
  <c r="W7" i="11" s="1"/>
  <c r="AA21" i="9"/>
  <c r="X7" i="11" s="1"/>
  <c r="AB21" i="9"/>
  <c r="Y7" i="11" s="1"/>
  <c r="AC21" i="9"/>
  <c r="Z7" i="11" s="1"/>
  <c r="AD21" i="9"/>
  <c r="AA7" i="11" s="1"/>
  <c r="AE21" i="9"/>
  <c r="AB7" i="11" s="1"/>
  <c r="F24" i="9"/>
  <c r="C8" i="11" s="1"/>
  <c r="G24" i="9"/>
  <c r="D8" i="11" s="1"/>
  <c r="H24" i="9"/>
  <c r="E8" i="11" s="1"/>
  <c r="I24" i="9"/>
  <c r="F8" i="11" s="1"/>
  <c r="J24" i="9"/>
  <c r="G8" i="11" s="1"/>
  <c r="K24" i="9"/>
  <c r="H8" i="11" s="1"/>
  <c r="L24" i="9"/>
  <c r="I8" i="11" s="1"/>
  <c r="M24" i="9"/>
  <c r="J8" i="11" s="1"/>
  <c r="N24" i="9"/>
  <c r="K8" i="11" s="1"/>
  <c r="O24" i="9"/>
  <c r="L8" i="11" s="1"/>
  <c r="P24" i="9"/>
  <c r="M8" i="11" s="1"/>
  <c r="Q24" i="9"/>
  <c r="N8" i="11" s="1"/>
  <c r="R24" i="9"/>
  <c r="O8" i="11" s="1"/>
  <c r="S24" i="9"/>
  <c r="P8" i="11" s="1"/>
  <c r="T24" i="9"/>
  <c r="Q8" i="11" s="1"/>
  <c r="U24" i="9"/>
  <c r="R8" i="11" s="1"/>
  <c r="V24" i="9"/>
  <c r="S8" i="11" s="1"/>
  <c r="W24" i="9"/>
  <c r="T8" i="11" s="1"/>
  <c r="X24" i="9"/>
  <c r="U8" i="11" s="1"/>
  <c r="Y24" i="9"/>
  <c r="V8" i="11" s="1"/>
  <c r="Z24" i="9"/>
  <c r="W8" i="11" s="1"/>
  <c r="AA24" i="9"/>
  <c r="X8" i="11" s="1"/>
  <c r="AB24" i="9"/>
  <c r="Y8" i="11" s="1"/>
  <c r="AC24" i="9"/>
  <c r="Z8" i="11" s="1"/>
  <c r="AD24" i="9"/>
  <c r="AA8" i="11" s="1"/>
  <c r="AE24" i="9"/>
  <c r="AB8" i="11" s="1"/>
  <c r="F27" i="9"/>
  <c r="C9" i="11" s="1"/>
  <c r="G27" i="9"/>
  <c r="D9" i="11" s="1"/>
  <c r="H27" i="9"/>
  <c r="E9" i="11" s="1"/>
  <c r="I27" i="9"/>
  <c r="F9" i="11" s="1"/>
  <c r="J27" i="9"/>
  <c r="G9" i="11" s="1"/>
  <c r="K27" i="9"/>
  <c r="H9" i="11" s="1"/>
  <c r="L27" i="9"/>
  <c r="I9" i="11" s="1"/>
  <c r="M27" i="9"/>
  <c r="J9" i="11" s="1"/>
  <c r="N27" i="9"/>
  <c r="K9" i="11" s="1"/>
  <c r="O27" i="9"/>
  <c r="L9" i="11" s="1"/>
  <c r="P27" i="9"/>
  <c r="M9" i="11" s="1"/>
  <c r="Q27" i="9"/>
  <c r="N9" i="11" s="1"/>
  <c r="R27" i="9"/>
  <c r="O9" i="11" s="1"/>
  <c r="S27" i="9"/>
  <c r="P9" i="11" s="1"/>
  <c r="T27" i="9"/>
  <c r="Q9" i="11" s="1"/>
  <c r="U27" i="9"/>
  <c r="R9" i="11" s="1"/>
  <c r="V27" i="9"/>
  <c r="S9" i="11" s="1"/>
  <c r="W27" i="9"/>
  <c r="T9" i="11" s="1"/>
  <c r="X27" i="9"/>
  <c r="U9" i="11" s="1"/>
  <c r="Y27" i="9"/>
  <c r="V9" i="11" s="1"/>
  <c r="Z27" i="9"/>
  <c r="W9" i="11" s="1"/>
  <c r="AA27" i="9"/>
  <c r="X9" i="11" s="1"/>
  <c r="AB27" i="9"/>
  <c r="Y9" i="11" s="1"/>
  <c r="AC27" i="9"/>
  <c r="Z9" i="11" s="1"/>
  <c r="AD27" i="9"/>
  <c r="AA9" i="11" s="1"/>
  <c r="AE27" i="9"/>
  <c r="AB9" i="11" s="1"/>
  <c r="F33" i="9"/>
  <c r="C11" i="11" s="1"/>
  <c r="G33" i="9"/>
  <c r="D11" i="11" s="1"/>
  <c r="H33" i="9"/>
  <c r="E11" i="11" s="1"/>
  <c r="I33" i="9"/>
  <c r="F11" i="11" s="1"/>
  <c r="J33" i="9"/>
  <c r="G11" i="11" s="1"/>
  <c r="K33" i="9"/>
  <c r="H11" i="11" s="1"/>
  <c r="L33" i="9"/>
  <c r="I11" i="11" s="1"/>
  <c r="M33" i="9"/>
  <c r="J11" i="11" s="1"/>
  <c r="N33" i="9"/>
  <c r="K11" i="11" s="1"/>
  <c r="O33" i="9"/>
  <c r="L11" i="11" s="1"/>
  <c r="P33" i="9"/>
  <c r="M11" i="11" s="1"/>
  <c r="Q33" i="9"/>
  <c r="N11" i="11" s="1"/>
  <c r="R33" i="9"/>
  <c r="O11" i="11" s="1"/>
  <c r="S33" i="9"/>
  <c r="P11" i="11" s="1"/>
  <c r="T33" i="9"/>
  <c r="Q11" i="11" s="1"/>
  <c r="U33" i="9"/>
  <c r="R11" i="11" s="1"/>
  <c r="V33" i="9"/>
  <c r="S11" i="11" s="1"/>
  <c r="W33" i="9"/>
  <c r="T11" i="11" s="1"/>
  <c r="X33" i="9"/>
  <c r="U11" i="11" s="1"/>
  <c r="Y33" i="9"/>
  <c r="V11" i="11" s="1"/>
  <c r="Z33" i="9"/>
  <c r="W11" i="11" s="1"/>
  <c r="AA33" i="9"/>
  <c r="X11" i="11" s="1"/>
  <c r="AB33" i="9"/>
  <c r="Y11" i="11" s="1"/>
  <c r="AC33" i="9"/>
  <c r="Z11" i="11" s="1"/>
  <c r="AD33" i="9"/>
  <c r="AA11" i="11" s="1"/>
  <c r="AE33" i="9"/>
  <c r="AB11" i="11" s="1"/>
  <c r="F36" i="9"/>
  <c r="C12" i="11" s="1"/>
  <c r="G36" i="9"/>
  <c r="D12" i="11" s="1"/>
  <c r="H36" i="9"/>
  <c r="E12" i="11" s="1"/>
  <c r="I36" i="9"/>
  <c r="F12" i="11" s="1"/>
  <c r="J36" i="9"/>
  <c r="G12" i="11" s="1"/>
  <c r="K36" i="9"/>
  <c r="H12" i="11" s="1"/>
  <c r="L36" i="9"/>
  <c r="I12" i="11" s="1"/>
  <c r="M36" i="9"/>
  <c r="J12" i="11" s="1"/>
  <c r="N36" i="9"/>
  <c r="K12" i="11" s="1"/>
  <c r="O36" i="9"/>
  <c r="L12" i="11" s="1"/>
  <c r="P36" i="9"/>
  <c r="M12" i="11" s="1"/>
  <c r="Q36" i="9"/>
  <c r="N12" i="11" s="1"/>
  <c r="R36" i="9"/>
  <c r="O12" i="11" s="1"/>
  <c r="S36" i="9"/>
  <c r="P12" i="11" s="1"/>
  <c r="T36" i="9"/>
  <c r="Q12" i="11" s="1"/>
  <c r="U36" i="9"/>
  <c r="R12" i="11" s="1"/>
  <c r="V36" i="9"/>
  <c r="S12" i="11" s="1"/>
  <c r="W36" i="9"/>
  <c r="T12" i="11" s="1"/>
  <c r="X36" i="9"/>
  <c r="U12" i="11" s="1"/>
  <c r="Y36" i="9"/>
  <c r="V12" i="11" s="1"/>
  <c r="Z36" i="9"/>
  <c r="W12" i="11" s="1"/>
  <c r="AA36" i="9"/>
  <c r="X12" i="11" s="1"/>
  <c r="AB36" i="9"/>
  <c r="Y12" i="11" s="1"/>
  <c r="AC36" i="9"/>
  <c r="Z12" i="11" s="1"/>
  <c r="AD36" i="9"/>
  <c r="AA12" i="11" s="1"/>
  <c r="AE36" i="9"/>
  <c r="AB12" i="11" s="1"/>
  <c r="F39" i="9"/>
  <c r="C13" i="11" s="1"/>
  <c r="G39" i="9"/>
  <c r="D13" i="11" s="1"/>
  <c r="H39" i="9"/>
  <c r="E13" i="11" s="1"/>
  <c r="I39" i="9"/>
  <c r="F13" i="11" s="1"/>
  <c r="J39" i="9"/>
  <c r="G13" i="11" s="1"/>
  <c r="K39" i="9"/>
  <c r="H13" i="11" s="1"/>
  <c r="L39" i="9"/>
  <c r="I13" i="11" s="1"/>
  <c r="M39" i="9"/>
  <c r="J13" i="11" s="1"/>
  <c r="N39" i="9"/>
  <c r="K13" i="11" s="1"/>
  <c r="O39" i="9"/>
  <c r="L13" i="11" s="1"/>
  <c r="P39" i="9"/>
  <c r="M13" i="11" s="1"/>
  <c r="Q39" i="9"/>
  <c r="N13" i="11" s="1"/>
  <c r="R39" i="9"/>
  <c r="O13" i="11" s="1"/>
  <c r="S39" i="9"/>
  <c r="P13" i="11" s="1"/>
  <c r="T39" i="9"/>
  <c r="Q13" i="11" s="1"/>
  <c r="U39" i="9"/>
  <c r="R13" i="11" s="1"/>
  <c r="V39" i="9"/>
  <c r="S13" i="11" s="1"/>
  <c r="W39" i="9"/>
  <c r="T13" i="11" s="1"/>
  <c r="X39" i="9"/>
  <c r="U13" i="11" s="1"/>
  <c r="Y39" i="9"/>
  <c r="V13" i="11" s="1"/>
  <c r="Z39" i="9"/>
  <c r="W13" i="11" s="1"/>
  <c r="AA39" i="9"/>
  <c r="X13" i="11" s="1"/>
  <c r="AB39" i="9"/>
  <c r="Y13" i="11" s="1"/>
  <c r="AC39" i="9"/>
  <c r="Z13" i="11" s="1"/>
  <c r="AD39" i="9"/>
  <c r="AA13" i="11" s="1"/>
  <c r="AE39" i="9"/>
  <c r="AB13" i="11" s="1"/>
  <c r="F42" i="9"/>
  <c r="C14" i="11" s="1"/>
  <c r="G42" i="9"/>
  <c r="D14" i="11" s="1"/>
  <c r="H42" i="9"/>
  <c r="E14" i="11" s="1"/>
  <c r="I42" i="9"/>
  <c r="F14" i="11" s="1"/>
  <c r="J42" i="9"/>
  <c r="G14" i="11" s="1"/>
  <c r="K42" i="9"/>
  <c r="H14" i="11" s="1"/>
  <c r="L42" i="9"/>
  <c r="I14" i="11" s="1"/>
  <c r="M42" i="9"/>
  <c r="J14" i="11" s="1"/>
  <c r="N42" i="9"/>
  <c r="K14" i="11" s="1"/>
  <c r="O42" i="9"/>
  <c r="L14" i="11" s="1"/>
  <c r="P42" i="9"/>
  <c r="M14" i="11" s="1"/>
  <c r="Q42" i="9"/>
  <c r="N14" i="11" s="1"/>
  <c r="R42" i="9"/>
  <c r="O14" i="11" s="1"/>
  <c r="S42" i="9"/>
  <c r="P14" i="11" s="1"/>
  <c r="T42" i="9"/>
  <c r="Q14" i="11" s="1"/>
  <c r="U42" i="9"/>
  <c r="R14" i="11" s="1"/>
  <c r="V42" i="9"/>
  <c r="S14" i="11" s="1"/>
  <c r="W42" i="9"/>
  <c r="T14" i="11" s="1"/>
  <c r="X42" i="9"/>
  <c r="U14" i="11" s="1"/>
  <c r="Y42" i="9"/>
  <c r="V14" i="11" s="1"/>
  <c r="Z42" i="9"/>
  <c r="W14" i="11" s="1"/>
  <c r="AA42" i="9"/>
  <c r="X14" i="11" s="1"/>
  <c r="AB42" i="9"/>
  <c r="Y14" i="11" s="1"/>
  <c r="AD42" i="9"/>
  <c r="AA14" i="11" s="1"/>
  <c r="AE42" i="9"/>
  <c r="AB14" i="11" s="1"/>
  <c r="F45" i="9"/>
  <c r="C15" i="11" s="1"/>
  <c r="G45" i="9"/>
  <c r="D15" i="11" s="1"/>
  <c r="H45" i="9"/>
  <c r="E15" i="11" s="1"/>
  <c r="I45" i="9"/>
  <c r="F15" i="11" s="1"/>
  <c r="J45" i="9"/>
  <c r="G15" i="11" s="1"/>
  <c r="K45" i="9"/>
  <c r="H15" i="11" s="1"/>
  <c r="L45" i="9"/>
  <c r="I15" i="11" s="1"/>
  <c r="M45" i="9"/>
  <c r="J15" i="11" s="1"/>
  <c r="N45" i="9"/>
  <c r="K15" i="11" s="1"/>
  <c r="O45" i="9"/>
  <c r="L15" i="11" s="1"/>
  <c r="P45" i="9"/>
  <c r="M15" i="11" s="1"/>
  <c r="Q45" i="9"/>
  <c r="N15" i="11" s="1"/>
  <c r="R45" i="9"/>
  <c r="O15" i="11" s="1"/>
  <c r="S45" i="9"/>
  <c r="P15" i="11" s="1"/>
  <c r="T45" i="9"/>
  <c r="Q15" i="11" s="1"/>
  <c r="U45" i="9"/>
  <c r="R15" i="11" s="1"/>
  <c r="V45" i="9"/>
  <c r="S15" i="11" s="1"/>
  <c r="W45" i="9"/>
  <c r="T15" i="11" s="1"/>
  <c r="X45" i="9"/>
  <c r="U15" i="11" s="1"/>
  <c r="Y45" i="9"/>
  <c r="V15" i="11" s="1"/>
  <c r="Z45" i="9"/>
  <c r="W15" i="11" s="1"/>
  <c r="AA45" i="9"/>
  <c r="X15" i="11" s="1"/>
  <c r="AB45" i="9"/>
  <c r="Y15" i="11" s="1"/>
  <c r="AC45" i="9"/>
  <c r="Z15" i="11" s="1"/>
  <c r="AD45" i="9"/>
  <c r="AA15" i="11" s="1"/>
  <c r="AE45" i="9"/>
  <c r="AB15" i="11" s="1"/>
  <c r="F48" i="9"/>
  <c r="C16" i="11" s="1"/>
  <c r="G48" i="9"/>
  <c r="D16" i="11" s="1"/>
  <c r="H48" i="9"/>
  <c r="E16" i="11" s="1"/>
  <c r="I48" i="9"/>
  <c r="F16" i="11" s="1"/>
  <c r="J48" i="9"/>
  <c r="G16" i="11" s="1"/>
  <c r="K48" i="9"/>
  <c r="H16" i="11" s="1"/>
  <c r="L48" i="9"/>
  <c r="I16" i="11" s="1"/>
  <c r="M48" i="9"/>
  <c r="J16" i="11" s="1"/>
  <c r="N48" i="9"/>
  <c r="K16" i="11" s="1"/>
  <c r="O48" i="9"/>
  <c r="L16" i="11" s="1"/>
  <c r="P48" i="9"/>
  <c r="M16" i="11" s="1"/>
  <c r="Q48" i="9"/>
  <c r="N16" i="11" s="1"/>
  <c r="R48" i="9"/>
  <c r="O16" i="11" s="1"/>
  <c r="S48" i="9"/>
  <c r="P16" i="11" s="1"/>
  <c r="T48" i="9"/>
  <c r="Q16" i="11" s="1"/>
  <c r="U48" i="9"/>
  <c r="R16" i="11" s="1"/>
  <c r="V48" i="9"/>
  <c r="S16" i="11" s="1"/>
  <c r="W48" i="9"/>
  <c r="T16" i="11" s="1"/>
  <c r="X48" i="9"/>
  <c r="U16" i="11" s="1"/>
  <c r="Y48" i="9"/>
  <c r="V16" i="11" s="1"/>
  <c r="Z48" i="9"/>
  <c r="W16" i="11" s="1"/>
  <c r="AA48" i="9"/>
  <c r="X16" i="11" s="1"/>
  <c r="AB48" i="9"/>
  <c r="Y16" i="11" s="1"/>
  <c r="AC48" i="9"/>
  <c r="Z16" i="11" s="1"/>
  <c r="AD48" i="9"/>
  <c r="AA16" i="11" s="1"/>
  <c r="AE48" i="9"/>
  <c r="AB16" i="11" s="1"/>
  <c r="F51" i="9"/>
  <c r="C18" i="11" s="1"/>
  <c r="G51" i="9"/>
  <c r="D18" i="11" s="1"/>
  <c r="H51" i="9"/>
  <c r="E18" i="11" s="1"/>
  <c r="I51" i="9"/>
  <c r="F18" i="11" s="1"/>
  <c r="J51" i="9"/>
  <c r="G18" i="11" s="1"/>
  <c r="K51" i="9"/>
  <c r="H18" i="11" s="1"/>
  <c r="L51" i="9"/>
  <c r="I18" i="11" s="1"/>
  <c r="M51" i="9"/>
  <c r="J18" i="11" s="1"/>
  <c r="N51" i="9"/>
  <c r="K18" i="11" s="1"/>
  <c r="O51" i="9"/>
  <c r="L18" i="11" s="1"/>
  <c r="P51" i="9"/>
  <c r="M18" i="11" s="1"/>
  <c r="Q51" i="9"/>
  <c r="N18" i="11" s="1"/>
  <c r="R51" i="9"/>
  <c r="O18" i="11" s="1"/>
  <c r="S51" i="9"/>
  <c r="P18" i="11" s="1"/>
  <c r="T51" i="9"/>
  <c r="Q18" i="11" s="1"/>
  <c r="U51" i="9"/>
  <c r="R18" i="11" s="1"/>
  <c r="V51" i="9"/>
  <c r="S18" i="11" s="1"/>
  <c r="W51" i="9"/>
  <c r="T18" i="11" s="1"/>
  <c r="X51" i="9"/>
  <c r="U18" i="11" s="1"/>
  <c r="Y51" i="9"/>
  <c r="V18" i="11" s="1"/>
  <c r="Z51" i="9"/>
  <c r="W18" i="11" s="1"/>
  <c r="AA51" i="9"/>
  <c r="X18" i="11" s="1"/>
  <c r="AB51" i="9"/>
  <c r="Y18" i="11" s="1"/>
  <c r="AC51" i="9"/>
  <c r="Z18" i="11" s="1"/>
  <c r="AD51" i="9"/>
  <c r="AA18" i="11" s="1"/>
  <c r="AE51" i="9"/>
  <c r="AB18" i="11" s="1"/>
  <c r="F54" i="9"/>
  <c r="C19" i="11" s="1"/>
  <c r="G54" i="9"/>
  <c r="D19" i="11" s="1"/>
  <c r="H54" i="9"/>
  <c r="E19" i="11" s="1"/>
  <c r="I54" i="9"/>
  <c r="F19" i="11" s="1"/>
  <c r="J54" i="9"/>
  <c r="G19" i="11" s="1"/>
  <c r="K54" i="9"/>
  <c r="H19" i="11" s="1"/>
  <c r="L54" i="9"/>
  <c r="I19" i="11" s="1"/>
  <c r="M54" i="9"/>
  <c r="J19" i="11" s="1"/>
  <c r="N54" i="9"/>
  <c r="K19" i="11" s="1"/>
  <c r="O54" i="9"/>
  <c r="L19" i="11" s="1"/>
  <c r="P54" i="9"/>
  <c r="M19" i="11" s="1"/>
  <c r="Q54" i="9"/>
  <c r="N19" i="11" s="1"/>
  <c r="R54" i="9"/>
  <c r="O19" i="11" s="1"/>
  <c r="S54" i="9"/>
  <c r="P19" i="11" s="1"/>
  <c r="T54" i="9"/>
  <c r="Q19" i="11" s="1"/>
  <c r="U54" i="9"/>
  <c r="R19" i="11" s="1"/>
  <c r="V54" i="9"/>
  <c r="S19" i="11" s="1"/>
  <c r="W54" i="9"/>
  <c r="T19" i="11" s="1"/>
  <c r="X54" i="9"/>
  <c r="U19" i="11" s="1"/>
  <c r="Y54" i="9"/>
  <c r="V19" i="11" s="1"/>
  <c r="Z54" i="9"/>
  <c r="W19" i="11" s="1"/>
  <c r="AA54" i="9"/>
  <c r="X19" i="11" s="1"/>
  <c r="AB54" i="9"/>
  <c r="Y19" i="11" s="1"/>
  <c r="AC54" i="9"/>
  <c r="Z19" i="11" s="1"/>
  <c r="AD54" i="9"/>
  <c r="AA19" i="11" s="1"/>
  <c r="AE54" i="9"/>
  <c r="AB19" i="11" s="1"/>
  <c r="F57" i="9"/>
  <c r="C20" i="11" s="1"/>
  <c r="G57" i="9"/>
  <c r="D20" i="11" s="1"/>
  <c r="H57" i="9"/>
  <c r="E20" i="11" s="1"/>
  <c r="I57" i="9"/>
  <c r="F20" i="11" s="1"/>
  <c r="J57" i="9"/>
  <c r="G20" i="11" s="1"/>
  <c r="K57" i="9"/>
  <c r="H20" i="11" s="1"/>
  <c r="L57" i="9"/>
  <c r="I20" i="11" s="1"/>
  <c r="M57" i="9"/>
  <c r="J20" i="11" s="1"/>
  <c r="N57" i="9"/>
  <c r="K20" i="11" s="1"/>
  <c r="O57" i="9"/>
  <c r="L20" i="11" s="1"/>
  <c r="P57" i="9"/>
  <c r="M20" i="11" s="1"/>
  <c r="Q57" i="9"/>
  <c r="N20" i="11" s="1"/>
  <c r="R57" i="9"/>
  <c r="O20" i="11" s="1"/>
  <c r="S57" i="9"/>
  <c r="P20" i="11" s="1"/>
  <c r="T57" i="9"/>
  <c r="Q20" i="11" s="1"/>
  <c r="U57" i="9"/>
  <c r="R20" i="11" s="1"/>
  <c r="V57" i="9"/>
  <c r="S20" i="11" s="1"/>
  <c r="W57" i="9"/>
  <c r="T20" i="11" s="1"/>
  <c r="X57" i="9"/>
  <c r="U20" i="11" s="1"/>
  <c r="Y57" i="9"/>
  <c r="V20" i="11" s="1"/>
  <c r="Z57" i="9"/>
  <c r="W20" i="11" s="1"/>
  <c r="AA57" i="9"/>
  <c r="X20" i="11" s="1"/>
  <c r="AB57" i="9"/>
  <c r="Y20" i="11" s="1"/>
  <c r="AC57" i="9"/>
  <c r="Z20" i="11" s="1"/>
  <c r="AD57" i="9"/>
  <c r="AA20" i="11" s="1"/>
  <c r="AE57" i="9"/>
  <c r="AB20" i="11" s="1"/>
  <c r="F60" i="9"/>
  <c r="C21" i="11" s="1"/>
  <c r="G60" i="9"/>
  <c r="D21" i="11" s="1"/>
  <c r="H60" i="9"/>
  <c r="E21" i="11" s="1"/>
  <c r="I60" i="9"/>
  <c r="F21" i="11" s="1"/>
  <c r="J60" i="9"/>
  <c r="G21" i="11" s="1"/>
  <c r="K60" i="9"/>
  <c r="H21" i="11" s="1"/>
  <c r="L60" i="9"/>
  <c r="I21" i="11" s="1"/>
  <c r="M60" i="9"/>
  <c r="J21" i="11" s="1"/>
  <c r="N60" i="9"/>
  <c r="K21" i="11" s="1"/>
  <c r="O60" i="9"/>
  <c r="L21" i="11" s="1"/>
  <c r="P60" i="9"/>
  <c r="M21" i="11" s="1"/>
  <c r="Q60" i="9"/>
  <c r="N21" i="11" s="1"/>
  <c r="R60" i="9"/>
  <c r="O21" i="11" s="1"/>
  <c r="S60" i="9"/>
  <c r="P21" i="11" s="1"/>
  <c r="T60" i="9"/>
  <c r="Q21" i="11" s="1"/>
  <c r="U60" i="9"/>
  <c r="R21" i="11" s="1"/>
  <c r="V60" i="9"/>
  <c r="S21" i="11" s="1"/>
  <c r="W60" i="9"/>
  <c r="T21" i="11" s="1"/>
  <c r="X60" i="9"/>
  <c r="U21" i="11" s="1"/>
  <c r="Y60" i="9"/>
  <c r="V21" i="11" s="1"/>
  <c r="Z60" i="9"/>
  <c r="W21" i="11" s="1"/>
  <c r="AA60" i="9"/>
  <c r="X21" i="11" s="1"/>
  <c r="AB60" i="9"/>
  <c r="Y21" i="11" s="1"/>
  <c r="AC60" i="9"/>
  <c r="Z21" i="11" s="1"/>
  <c r="AD60" i="9"/>
  <c r="AA21" i="11" s="1"/>
  <c r="AE60" i="9"/>
  <c r="AB21" i="11" s="1"/>
  <c r="F63" i="9"/>
  <c r="C22" i="11" s="1"/>
  <c r="G63" i="9"/>
  <c r="D22" i="11" s="1"/>
  <c r="H63" i="9"/>
  <c r="E22" i="11" s="1"/>
  <c r="I63" i="9"/>
  <c r="F22" i="11" s="1"/>
  <c r="J63" i="9"/>
  <c r="G22" i="11" s="1"/>
  <c r="K63" i="9"/>
  <c r="H22" i="11" s="1"/>
  <c r="L63" i="9"/>
  <c r="I22" i="11" s="1"/>
  <c r="M63" i="9"/>
  <c r="J22" i="11" s="1"/>
  <c r="N63" i="9"/>
  <c r="K22" i="11" s="1"/>
  <c r="O63" i="9"/>
  <c r="L22" i="11" s="1"/>
  <c r="P63" i="9"/>
  <c r="M22" i="11" s="1"/>
  <c r="Q63" i="9"/>
  <c r="N22" i="11" s="1"/>
  <c r="R63" i="9"/>
  <c r="O22" i="11" s="1"/>
  <c r="S63" i="9"/>
  <c r="P22" i="11" s="1"/>
  <c r="T63" i="9"/>
  <c r="Q22" i="11" s="1"/>
  <c r="U63" i="9"/>
  <c r="R22" i="11" s="1"/>
  <c r="V63" i="9"/>
  <c r="S22" i="11" s="1"/>
  <c r="W63" i="9"/>
  <c r="T22" i="11" s="1"/>
  <c r="X63" i="9"/>
  <c r="U22" i="11" s="1"/>
  <c r="Y63" i="9"/>
  <c r="V22" i="11" s="1"/>
  <c r="Z63" i="9"/>
  <c r="W22" i="11" s="1"/>
  <c r="AA63" i="9"/>
  <c r="X22" i="11" s="1"/>
  <c r="AB63" i="9"/>
  <c r="Y22" i="11" s="1"/>
  <c r="AC63" i="9"/>
  <c r="Z22" i="11" s="1"/>
  <c r="AD63" i="9"/>
  <c r="AA22" i="11" s="1"/>
  <c r="AE63" i="9"/>
  <c r="AB22" i="11" s="1"/>
  <c r="F66" i="9"/>
  <c r="C23" i="11" s="1"/>
  <c r="G66" i="9"/>
  <c r="D23" i="11" s="1"/>
  <c r="H66" i="9"/>
  <c r="E23" i="11" s="1"/>
  <c r="I66" i="9"/>
  <c r="F23" i="11" s="1"/>
  <c r="J66" i="9"/>
  <c r="G23" i="11" s="1"/>
  <c r="K66" i="9"/>
  <c r="H23" i="11" s="1"/>
  <c r="L66" i="9"/>
  <c r="I23" i="11" s="1"/>
  <c r="M66" i="9"/>
  <c r="J23" i="11" s="1"/>
  <c r="N66" i="9"/>
  <c r="K23" i="11" s="1"/>
  <c r="O66" i="9"/>
  <c r="L23" i="11" s="1"/>
  <c r="P66" i="9"/>
  <c r="M23" i="11" s="1"/>
  <c r="Q66" i="9"/>
  <c r="N23" i="11" s="1"/>
  <c r="R66" i="9"/>
  <c r="O23" i="11" s="1"/>
  <c r="S66" i="9"/>
  <c r="P23" i="11" s="1"/>
  <c r="T66" i="9"/>
  <c r="Q23" i="11" s="1"/>
  <c r="U66" i="9"/>
  <c r="R23" i="11" s="1"/>
  <c r="V66" i="9"/>
  <c r="S23" i="11" s="1"/>
  <c r="W66" i="9"/>
  <c r="T23" i="11" s="1"/>
  <c r="X66" i="9"/>
  <c r="U23" i="11" s="1"/>
  <c r="Y66" i="9"/>
  <c r="V23" i="11" s="1"/>
  <c r="Z66" i="9"/>
  <c r="W23" i="11" s="1"/>
  <c r="AA66" i="9"/>
  <c r="X23" i="11" s="1"/>
  <c r="AB66" i="9"/>
  <c r="Y23" i="11" s="1"/>
  <c r="AC66" i="9"/>
  <c r="Z23" i="11" s="1"/>
  <c r="AE66" i="9"/>
  <c r="AB23" i="11" s="1"/>
  <c r="F72" i="9"/>
  <c r="C25" i="11" s="1"/>
  <c r="G72" i="9"/>
  <c r="D25" i="11" s="1"/>
  <c r="H72" i="9"/>
  <c r="E25" i="11" s="1"/>
  <c r="I72" i="9"/>
  <c r="F25" i="11" s="1"/>
  <c r="J72" i="9"/>
  <c r="G25" i="11" s="1"/>
  <c r="K72" i="9"/>
  <c r="H25" i="11" s="1"/>
  <c r="L72" i="9"/>
  <c r="I25" i="11" s="1"/>
  <c r="M72" i="9"/>
  <c r="J25" i="11" s="1"/>
  <c r="N72" i="9"/>
  <c r="K25" i="11" s="1"/>
  <c r="O72" i="9"/>
  <c r="L25" i="11" s="1"/>
  <c r="P72" i="9"/>
  <c r="M25" i="11" s="1"/>
  <c r="Q72" i="9"/>
  <c r="N25" i="11" s="1"/>
  <c r="R72" i="9"/>
  <c r="O25" i="11" s="1"/>
  <c r="S72" i="9"/>
  <c r="P25" i="11" s="1"/>
  <c r="T72" i="9"/>
  <c r="Q25" i="11" s="1"/>
  <c r="U72" i="9"/>
  <c r="R25" i="11" s="1"/>
  <c r="V72" i="9"/>
  <c r="S25" i="11" s="1"/>
  <c r="W72" i="9"/>
  <c r="T25" i="11" s="1"/>
  <c r="X72" i="9"/>
  <c r="U25" i="11" s="1"/>
  <c r="Y72" i="9"/>
  <c r="V25" i="11" s="1"/>
  <c r="Z72" i="9"/>
  <c r="W25" i="11" s="1"/>
  <c r="AA72" i="9"/>
  <c r="X25" i="11" s="1"/>
  <c r="AB72" i="9"/>
  <c r="Y25" i="11" s="1"/>
  <c r="AC72" i="9"/>
  <c r="Z25" i="11" s="1"/>
  <c r="AD72" i="9"/>
  <c r="AA25" i="11" s="1"/>
  <c r="AE72" i="9"/>
  <c r="AB25" i="11" s="1"/>
  <c r="F75" i="9"/>
  <c r="C26" i="11" s="1"/>
  <c r="G75" i="9"/>
  <c r="D26" i="11" s="1"/>
  <c r="H75" i="9"/>
  <c r="E26" i="11" s="1"/>
  <c r="I75" i="9"/>
  <c r="F26" i="11" s="1"/>
  <c r="J75" i="9"/>
  <c r="G26" i="11" s="1"/>
  <c r="K75" i="9"/>
  <c r="H26" i="11" s="1"/>
  <c r="L75" i="9"/>
  <c r="I26" i="11" s="1"/>
  <c r="M75" i="9"/>
  <c r="J26" i="11" s="1"/>
  <c r="N75" i="9"/>
  <c r="K26" i="11" s="1"/>
  <c r="O75" i="9"/>
  <c r="L26" i="11" s="1"/>
  <c r="P75" i="9"/>
  <c r="M26" i="11" s="1"/>
  <c r="Q75" i="9"/>
  <c r="N26" i="11" s="1"/>
  <c r="R75" i="9"/>
  <c r="O26" i="11" s="1"/>
  <c r="S75" i="9"/>
  <c r="P26" i="11" s="1"/>
  <c r="T75" i="9"/>
  <c r="Q26" i="11" s="1"/>
  <c r="U75" i="9"/>
  <c r="R26" i="11" s="1"/>
  <c r="V75" i="9"/>
  <c r="S26" i="11" s="1"/>
  <c r="W75" i="9"/>
  <c r="T26" i="11" s="1"/>
  <c r="X75" i="9"/>
  <c r="U26" i="11" s="1"/>
  <c r="Y75" i="9"/>
  <c r="V26" i="11" s="1"/>
  <c r="Z75" i="9"/>
  <c r="W26" i="11" s="1"/>
  <c r="AA75" i="9"/>
  <c r="X26" i="11" s="1"/>
  <c r="AB75" i="9"/>
  <c r="Y26" i="11" s="1"/>
  <c r="AC75" i="9"/>
  <c r="Z26" i="11" s="1"/>
  <c r="AD75" i="9"/>
  <c r="AA26" i="11" s="1"/>
  <c r="AE75" i="9"/>
  <c r="AB26" i="11" s="1"/>
  <c r="F78" i="9"/>
  <c r="C27" i="11" s="1"/>
  <c r="G78" i="9"/>
  <c r="D27" i="11" s="1"/>
  <c r="H78" i="9"/>
  <c r="E27" i="11" s="1"/>
  <c r="I78" i="9"/>
  <c r="F27" i="11" s="1"/>
  <c r="J78" i="9"/>
  <c r="G27" i="11" s="1"/>
  <c r="K78" i="9"/>
  <c r="H27" i="11" s="1"/>
  <c r="L78" i="9"/>
  <c r="I27" i="11" s="1"/>
  <c r="M78" i="9"/>
  <c r="J27" i="11" s="1"/>
  <c r="N78" i="9"/>
  <c r="K27" i="11" s="1"/>
  <c r="O78" i="9"/>
  <c r="L27" i="11" s="1"/>
  <c r="P78" i="9"/>
  <c r="M27" i="11" s="1"/>
  <c r="Q78" i="9"/>
  <c r="N27" i="11" s="1"/>
  <c r="R78" i="9"/>
  <c r="O27" i="11" s="1"/>
  <c r="S78" i="9"/>
  <c r="P27" i="11" s="1"/>
  <c r="T78" i="9"/>
  <c r="Q27" i="11" s="1"/>
  <c r="U78" i="9"/>
  <c r="R27" i="11" s="1"/>
  <c r="V78" i="9"/>
  <c r="S27" i="11" s="1"/>
  <c r="W78" i="9"/>
  <c r="T27" i="11" s="1"/>
  <c r="X78" i="9"/>
  <c r="U27" i="11" s="1"/>
  <c r="Y78" i="9"/>
  <c r="V27" i="11" s="1"/>
  <c r="Z78" i="9"/>
  <c r="W27" i="11" s="1"/>
  <c r="AA78" i="9"/>
  <c r="X27" i="11" s="1"/>
  <c r="AB78" i="9"/>
  <c r="Y27" i="11" s="1"/>
  <c r="AC78" i="9"/>
  <c r="Z27" i="11" s="1"/>
  <c r="AD78" i="9"/>
  <c r="AA27" i="11" s="1"/>
  <c r="AE78" i="9"/>
  <c r="AB27" i="11" s="1"/>
  <c r="F81" i="9"/>
  <c r="C28" i="11" s="1"/>
  <c r="G81" i="9"/>
  <c r="D28" i="11" s="1"/>
  <c r="H81" i="9"/>
  <c r="E28" i="11" s="1"/>
  <c r="I81" i="9"/>
  <c r="F28" i="11" s="1"/>
  <c r="J81" i="9"/>
  <c r="G28" i="11" s="1"/>
  <c r="K81" i="9"/>
  <c r="H28" i="11" s="1"/>
  <c r="L81" i="9"/>
  <c r="I28" i="11" s="1"/>
  <c r="M81" i="9"/>
  <c r="J28" i="11" s="1"/>
  <c r="N81" i="9"/>
  <c r="K28" i="11" s="1"/>
  <c r="O81" i="9"/>
  <c r="L28" i="11" s="1"/>
  <c r="P81" i="9"/>
  <c r="M28" i="11" s="1"/>
  <c r="Q81" i="9"/>
  <c r="N28" i="11" s="1"/>
  <c r="R81" i="9"/>
  <c r="O28" i="11" s="1"/>
  <c r="S81" i="9"/>
  <c r="P28" i="11" s="1"/>
  <c r="T81" i="9"/>
  <c r="Q28" i="11" s="1"/>
  <c r="U81" i="9"/>
  <c r="R28" i="11" s="1"/>
  <c r="V81" i="9"/>
  <c r="S28" i="11" s="1"/>
  <c r="W81" i="9"/>
  <c r="T28" i="11" s="1"/>
  <c r="X81" i="9"/>
  <c r="U28" i="11" s="1"/>
  <c r="Y81" i="9"/>
  <c r="V28" i="11" s="1"/>
  <c r="Z81" i="9"/>
  <c r="W28" i="11" s="1"/>
  <c r="AA81" i="9"/>
  <c r="X28" i="11" s="1"/>
  <c r="AB81" i="9"/>
  <c r="Y28" i="11" s="1"/>
  <c r="AC81" i="9"/>
  <c r="Z28" i="11" s="1"/>
  <c r="AD81" i="9"/>
  <c r="AA28" i="11" s="1"/>
  <c r="AE81" i="9"/>
  <c r="AB28" i="11" s="1"/>
  <c r="F84" i="9"/>
  <c r="C29" i="11" s="1"/>
  <c r="G84" i="9"/>
  <c r="D29" i="11" s="1"/>
  <c r="H84" i="9"/>
  <c r="E29" i="11" s="1"/>
  <c r="I84" i="9"/>
  <c r="F29" i="11" s="1"/>
  <c r="J84" i="9"/>
  <c r="G29" i="11" s="1"/>
  <c r="K84" i="9"/>
  <c r="H29" i="11" s="1"/>
  <c r="L84" i="9"/>
  <c r="I29" i="11" s="1"/>
  <c r="M84" i="9"/>
  <c r="J29" i="11" s="1"/>
  <c r="N84" i="9"/>
  <c r="K29" i="11" s="1"/>
  <c r="O84" i="9"/>
  <c r="L29" i="11" s="1"/>
  <c r="P84" i="9"/>
  <c r="M29" i="11" s="1"/>
  <c r="Q84" i="9"/>
  <c r="N29" i="11" s="1"/>
  <c r="R84" i="9"/>
  <c r="O29" i="11" s="1"/>
  <c r="S84" i="9"/>
  <c r="P29" i="11" s="1"/>
  <c r="T84" i="9"/>
  <c r="Q29" i="11" s="1"/>
  <c r="U84" i="9"/>
  <c r="R29" i="11" s="1"/>
  <c r="V84" i="9"/>
  <c r="S29" i="11" s="1"/>
  <c r="W84" i="9"/>
  <c r="T29" i="11" s="1"/>
  <c r="X84" i="9"/>
  <c r="U29" i="11" s="1"/>
  <c r="Y84" i="9"/>
  <c r="V29" i="11" s="1"/>
  <c r="Z84" i="9"/>
  <c r="W29" i="11" s="1"/>
  <c r="AA84" i="9"/>
  <c r="X29" i="11" s="1"/>
  <c r="AB84" i="9"/>
  <c r="Y29" i="11" s="1"/>
  <c r="AC84" i="9"/>
  <c r="Z29" i="11" s="1"/>
  <c r="AD84" i="9"/>
  <c r="AA29" i="11" s="1"/>
  <c r="AE84" i="9"/>
  <c r="AB29" i="11" s="1"/>
  <c r="F87" i="9"/>
  <c r="C30" i="11" s="1"/>
  <c r="G87" i="9"/>
  <c r="D30" i="11" s="1"/>
  <c r="H87" i="9"/>
  <c r="E30" i="11" s="1"/>
  <c r="I87" i="9"/>
  <c r="F30" i="11" s="1"/>
  <c r="J87" i="9"/>
  <c r="G30" i="11" s="1"/>
  <c r="K87" i="9"/>
  <c r="H30" i="11" s="1"/>
  <c r="L87" i="9"/>
  <c r="I30" i="11" s="1"/>
  <c r="M87" i="9"/>
  <c r="J30" i="11" s="1"/>
  <c r="N87" i="9"/>
  <c r="K30" i="11" s="1"/>
  <c r="O87" i="9"/>
  <c r="L30" i="11" s="1"/>
  <c r="P87" i="9"/>
  <c r="M30" i="11" s="1"/>
  <c r="Q87" i="9"/>
  <c r="N30" i="11" s="1"/>
  <c r="R87" i="9"/>
  <c r="O30" i="11" s="1"/>
  <c r="S87" i="9"/>
  <c r="P30" i="11" s="1"/>
  <c r="T87" i="9"/>
  <c r="Q30" i="11" s="1"/>
  <c r="U87" i="9"/>
  <c r="R30" i="11" s="1"/>
  <c r="V87" i="9"/>
  <c r="S30" i="11" s="1"/>
  <c r="W87" i="9"/>
  <c r="T30" i="11" s="1"/>
  <c r="X87" i="9"/>
  <c r="U30" i="11" s="1"/>
  <c r="Y87" i="9"/>
  <c r="V30" i="11" s="1"/>
  <c r="Z87" i="9"/>
  <c r="W30" i="11" s="1"/>
  <c r="AA87" i="9"/>
  <c r="X30" i="11" s="1"/>
  <c r="AB87" i="9"/>
  <c r="Y30" i="11" s="1"/>
  <c r="AC87" i="9"/>
  <c r="Z30" i="11" s="1"/>
  <c r="AD87" i="9"/>
  <c r="AA30" i="11" s="1"/>
  <c r="AE87" i="9"/>
  <c r="AB30" i="11" s="1"/>
  <c r="F90" i="9"/>
  <c r="C32" i="11" s="1"/>
  <c r="G90" i="9"/>
  <c r="D32" i="11" s="1"/>
  <c r="H90" i="9"/>
  <c r="E32" i="11" s="1"/>
  <c r="I90" i="9"/>
  <c r="F32" i="11" s="1"/>
  <c r="J90" i="9"/>
  <c r="G32" i="11" s="1"/>
  <c r="K90" i="9"/>
  <c r="H32" i="11" s="1"/>
  <c r="L90" i="9"/>
  <c r="I32" i="11" s="1"/>
  <c r="M90" i="9"/>
  <c r="J32" i="11" s="1"/>
  <c r="N90" i="9"/>
  <c r="K32" i="11" s="1"/>
  <c r="O90" i="9"/>
  <c r="L32" i="11" s="1"/>
  <c r="P90" i="9"/>
  <c r="M32" i="11" s="1"/>
  <c r="Q90" i="9"/>
  <c r="N32" i="11" s="1"/>
  <c r="R90" i="9"/>
  <c r="O32" i="11" s="1"/>
  <c r="S90" i="9"/>
  <c r="P32" i="11" s="1"/>
  <c r="T90" i="9"/>
  <c r="Q32" i="11" s="1"/>
  <c r="U90" i="9"/>
  <c r="R32" i="11" s="1"/>
  <c r="V90" i="9"/>
  <c r="S32" i="11" s="1"/>
  <c r="W90" i="9"/>
  <c r="T32" i="11" s="1"/>
  <c r="X90" i="9"/>
  <c r="U32" i="11" s="1"/>
  <c r="Y90" i="9"/>
  <c r="V32" i="11" s="1"/>
  <c r="Z90" i="9"/>
  <c r="W32" i="11" s="1"/>
  <c r="AA90" i="9"/>
  <c r="X32" i="11" s="1"/>
  <c r="AB90" i="9"/>
  <c r="Y32" i="11" s="1"/>
  <c r="AC90" i="9"/>
  <c r="Z32" i="11" s="1"/>
  <c r="AD90" i="9"/>
  <c r="AA32" i="11" s="1"/>
  <c r="AE90" i="9"/>
  <c r="AB32" i="11" s="1"/>
  <c r="F93" i="9"/>
  <c r="C33" i="11" s="1"/>
  <c r="G93" i="9"/>
  <c r="D33" i="11" s="1"/>
  <c r="H93" i="9"/>
  <c r="E33" i="11" s="1"/>
  <c r="I93" i="9"/>
  <c r="F33" i="11" s="1"/>
  <c r="J93" i="9"/>
  <c r="G33" i="11" s="1"/>
  <c r="K93" i="9"/>
  <c r="H33" i="11" s="1"/>
  <c r="L93" i="9"/>
  <c r="I33" i="11" s="1"/>
  <c r="M93" i="9"/>
  <c r="J33" i="11" s="1"/>
  <c r="N93" i="9"/>
  <c r="K33" i="11" s="1"/>
  <c r="O93" i="9"/>
  <c r="L33" i="11" s="1"/>
  <c r="P93" i="9"/>
  <c r="M33" i="11" s="1"/>
  <c r="Q93" i="9"/>
  <c r="N33" i="11" s="1"/>
  <c r="R93" i="9"/>
  <c r="O33" i="11" s="1"/>
  <c r="S93" i="9"/>
  <c r="P33" i="11" s="1"/>
  <c r="T93" i="9"/>
  <c r="Q33" i="11" s="1"/>
  <c r="U93" i="9"/>
  <c r="R33" i="11" s="1"/>
  <c r="V93" i="9"/>
  <c r="S33" i="11" s="1"/>
  <c r="W93" i="9"/>
  <c r="T33" i="11" s="1"/>
  <c r="X93" i="9"/>
  <c r="U33" i="11" s="1"/>
  <c r="Y93" i="9"/>
  <c r="V33" i="11" s="1"/>
  <c r="Z93" i="9"/>
  <c r="W33" i="11" s="1"/>
  <c r="AA93" i="9"/>
  <c r="X33" i="11" s="1"/>
  <c r="AB93" i="9"/>
  <c r="Y33" i="11" s="1"/>
  <c r="AC93" i="9"/>
  <c r="Z33" i="11" s="1"/>
  <c r="AD93" i="9"/>
  <c r="AA33" i="11" s="1"/>
  <c r="AE93" i="9"/>
  <c r="AB33" i="11" s="1"/>
  <c r="F96" i="9"/>
  <c r="C34" i="11" s="1"/>
  <c r="G96" i="9"/>
  <c r="D34" i="11" s="1"/>
  <c r="H96" i="9"/>
  <c r="E34" i="11" s="1"/>
  <c r="I96" i="9"/>
  <c r="F34" i="11" s="1"/>
  <c r="J96" i="9"/>
  <c r="G34" i="11" s="1"/>
  <c r="K96" i="9"/>
  <c r="H34" i="11" s="1"/>
  <c r="L96" i="9"/>
  <c r="I34" i="11" s="1"/>
  <c r="M96" i="9"/>
  <c r="J34" i="11" s="1"/>
  <c r="N96" i="9"/>
  <c r="K34" i="11" s="1"/>
  <c r="O96" i="9"/>
  <c r="L34" i="11" s="1"/>
  <c r="P96" i="9"/>
  <c r="M34" i="11" s="1"/>
  <c r="Q96" i="9"/>
  <c r="N34" i="11" s="1"/>
  <c r="R96" i="9"/>
  <c r="O34" i="11" s="1"/>
  <c r="S96" i="9"/>
  <c r="P34" i="11" s="1"/>
  <c r="T96" i="9"/>
  <c r="Q34" i="11" s="1"/>
  <c r="U96" i="9"/>
  <c r="R34" i="11" s="1"/>
  <c r="V96" i="9"/>
  <c r="S34" i="11" s="1"/>
  <c r="W96" i="9"/>
  <c r="T34" i="11" s="1"/>
  <c r="X96" i="9"/>
  <c r="U34" i="11" s="1"/>
  <c r="Y96" i="9"/>
  <c r="V34" i="11" s="1"/>
  <c r="Z96" i="9"/>
  <c r="W34" i="11" s="1"/>
  <c r="AA96" i="9"/>
  <c r="X34" i="11" s="1"/>
  <c r="AB96" i="9"/>
  <c r="Y34" i="11" s="1"/>
  <c r="AC96" i="9"/>
  <c r="Z34" i="11" s="1"/>
  <c r="AD96" i="9"/>
  <c r="AA34" i="11" s="1"/>
  <c r="AE96" i="9"/>
  <c r="AB34" i="11" s="1"/>
  <c r="F99" i="9"/>
  <c r="C35" i="11" s="1"/>
  <c r="G99" i="9"/>
  <c r="D35" i="11" s="1"/>
  <c r="H99" i="9"/>
  <c r="E35" i="11" s="1"/>
  <c r="I99" i="9"/>
  <c r="F35" i="11" s="1"/>
  <c r="J99" i="9"/>
  <c r="G35" i="11" s="1"/>
  <c r="K99" i="9"/>
  <c r="H35" i="11" s="1"/>
  <c r="L99" i="9"/>
  <c r="I35" i="11" s="1"/>
  <c r="M99" i="9"/>
  <c r="J35" i="11" s="1"/>
  <c r="N99" i="9"/>
  <c r="K35" i="11" s="1"/>
  <c r="O99" i="9"/>
  <c r="L35" i="11" s="1"/>
  <c r="P99" i="9"/>
  <c r="M35" i="11" s="1"/>
  <c r="Q99" i="9"/>
  <c r="N35" i="11" s="1"/>
  <c r="R99" i="9"/>
  <c r="O35" i="11" s="1"/>
  <c r="S99" i="9"/>
  <c r="P35" i="11" s="1"/>
  <c r="T99" i="9"/>
  <c r="Q35" i="11" s="1"/>
  <c r="U99" i="9"/>
  <c r="R35" i="11" s="1"/>
  <c r="V99" i="9"/>
  <c r="S35" i="11" s="1"/>
  <c r="W99" i="9"/>
  <c r="T35" i="11" s="1"/>
  <c r="X99" i="9"/>
  <c r="U35" i="11" s="1"/>
  <c r="Y99" i="9"/>
  <c r="V35" i="11" s="1"/>
  <c r="Z99" i="9"/>
  <c r="W35" i="11" s="1"/>
  <c r="AA99" i="9"/>
  <c r="X35" i="11" s="1"/>
  <c r="AB99" i="9"/>
  <c r="Y35" i="11" s="1"/>
  <c r="AC99" i="9"/>
  <c r="Z35" i="11" s="1"/>
  <c r="AD99" i="9"/>
  <c r="AA35" i="11" s="1"/>
  <c r="AE99" i="9"/>
  <c r="AB35" i="11" s="1"/>
  <c r="F102" i="9"/>
  <c r="C36" i="11" s="1"/>
  <c r="G102" i="9"/>
  <c r="D36" i="11" s="1"/>
  <c r="H102" i="9"/>
  <c r="E36" i="11" s="1"/>
  <c r="I102" i="9"/>
  <c r="F36" i="11" s="1"/>
  <c r="J102" i="9"/>
  <c r="G36" i="11" s="1"/>
  <c r="K102" i="9"/>
  <c r="H36" i="11" s="1"/>
  <c r="L102" i="9"/>
  <c r="I36" i="11" s="1"/>
  <c r="M102" i="9"/>
  <c r="J36" i="11" s="1"/>
  <c r="N102" i="9"/>
  <c r="K36" i="11" s="1"/>
  <c r="O102" i="9"/>
  <c r="L36" i="11" s="1"/>
  <c r="P102" i="9"/>
  <c r="M36" i="11" s="1"/>
  <c r="Q102" i="9"/>
  <c r="N36" i="11" s="1"/>
  <c r="R102" i="9"/>
  <c r="O36" i="11" s="1"/>
  <c r="S102" i="9"/>
  <c r="P36" i="11" s="1"/>
  <c r="T102" i="9"/>
  <c r="Q36" i="11" s="1"/>
  <c r="U102" i="9"/>
  <c r="R36" i="11" s="1"/>
  <c r="V102" i="9"/>
  <c r="S36" i="11" s="1"/>
  <c r="W102" i="9"/>
  <c r="T36" i="11" s="1"/>
  <c r="X102" i="9"/>
  <c r="U36" i="11" s="1"/>
  <c r="Y102" i="9"/>
  <c r="V36" i="11" s="1"/>
  <c r="Z102" i="9"/>
  <c r="W36" i="11" s="1"/>
  <c r="AA102" i="9"/>
  <c r="X36" i="11" s="1"/>
  <c r="AB102" i="9"/>
  <c r="Y36" i="11" s="1"/>
  <c r="AC102" i="9"/>
  <c r="Z36" i="11" s="1"/>
  <c r="AD102" i="9"/>
  <c r="AA36" i="11" s="1"/>
  <c r="AE102" i="9"/>
  <c r="AB36" i="11" s="1"/>
  <c r="F105" i="9"/>
  <c r="C37" i="11" s="1"/>
  <c r="G105" i="9"/>
  <c r="D37" i="11" s="1"/>
  <c r="H105" i="9"/>
  <c r="E37" i="11" s="1"/>
  <c r="I105" i="9"/>
  <c r="F37" i="11" s="1"/>
  <c r="J105" i="9"/>
  <c r="G37" i="11" s="1"/>
  <c r="K105" i="9"/>
  <c r="H37" i="11" s="1"/>
  <c r="L105" i="9"/>
  <c r="I37" i="11" s="1"/>
  <c r="M105" i="9"/>
  <c r="J37" i="11" s="1"/>
  <c r="N105" i="9"/>
  <c r="K37" i="11" s="1"/>
  <c r="O105" i="9"/>
  <c r="L37" i="11" s="1"/>
  <c r="P105" i="9"/>
  <c r="M37" i="11" s="1"/>
  <c r="Q105" i="9"/>
  <c r="N37" i="11" s="1"/>
  <c r="R105" i="9"/>
  <c r="O37" i="11" s="1"/>
  <c r="S105" i="9"/>
  <c r="P37" i="11" s="1"/>
  <c r="T105" i="9"/>
  <c r="Q37" i="11" s="1"/>
  <c r="U105" i="9"/>
  <c r="R37" i="11" s="1"/>
  <c r="V105" i="9"/>
  <c r="S37" i="11" s="1"/>
  <c r="W105" i="9"/>
  <c r="T37" i="11" s="1"/>
  <c r="X105" i="9"/>
  <c r="U37" i="11" s="1"/>
  <c r="Y105" i="9"/>
  <c r="V37" i="11" s="1"/>
  <c r="Z105" i="9"/>
  <c r="W37" i="11" s="1"/>
  <c r="AA105" i="9"/>
  <c r="X37" i="11" s="1"/>
  <c r="AB105" i="9"/>
  <c r="Y37" i="11" s="1"/>
  <c r="AC105" i="9"/>
  <c r="Z37" i="11" s="1"/>
  <c r="AD105" i="9"/>
  <c r="AA37" i="11" s="1"/>
  <c r="AE105" i="9"/>
  <c r="AB37" i="11" s="1"/>
  <c r="F111" i="9"/>
  <c r="C39" i="11" s="1"/>
  <c r="G111" i="9"/>
  <c r="D39" i="11" s="1"/>
  <c r="H111" i="9"/>
  <c r="E39" i="11" s="1"/>
  <c r="I111" i="9"/>
  <c r="F39" i="11" s="1"/>
  <c r="J111" i="9"/>
  <c r="G39" i="11" s="1"/>
  <c r="K111" i="9"/>
  <c r="H39" i="11" s="1"/>
  <c r="L111" i="9"/>
  <c r="I39" i="11" s="1"/>
  <c r="M111" i="9"/>
  <c r="J39" i="11" s="1"/>
  <c r="N111" i="9"/>
  <c r="K39" i="11" s="1"/>
  <c r="O111" i="9"/>
  <c r="L39" i="11" s="1"/>
  <c r="P111" i="9"/>
  <c r="M39" i="11" s="1"/>
  <c r="Q111" i="9"/>
  <c r="N39" i="11" s="1"/>
  <c r="R111" i="9"/>
  <c r="O39" i="11" s="1"/>
  <c r="S111" i="9"/>
  <c r="P39" i="11" s="1"/>
  <c r="T111" i="9"/>
  <c r="Q39" i="11" s="1"/>
  <c r="U111" i="9"/>
  <c r="R39" i="11" s="1"/>
  <c r="V111" i="9"/>
  <c r="S39" i="11" s="1"/>
  <c r="W111" i="9"/>
  <c r="T39" i="11" s="1"/>
  <c r="X111" i="9"/>
  <c r="U39" i="11" s="1"/>
  <c r="Y111" i="9"/>
  <c r="V39" i="11" s="1"/>
  <c r="Z111" i="9"/>
  <c r="W39" i="11" s="1"/>
  <c r="AA111" i="9"/>
  <c r="X39" i="11" s="1"/>
  <c r="AB111" i="9"/>
  <c r="Y39" i="11" s="1"/>
  <c r="AC111" i="9"/>
  <c r="Z39" i="11" s="1"/>
  <c r="AD111" i="9"/>
  <c r="AA39" i="11" s="1"/>
  <c r="AE111" i="9"/>
  <c r="AB39" i="11" s="1"/>
  <c r="F114" i="9"/>
  <c r="C40" i="11" s="1"/>
  <c r="G114" i="9"/>
  <c r="D40" i="11" s="1"/>
  <c r="H114" i="9"/>
  <c r="E40" i="11" s="1"/>
  <c r="I114" i="9"/>
  <c r="F40" i="11" s="1"/>
  <c r="J114" i="9"/>
  <c r="G40" i="11" s="1"/>
  <c r="K114" i="9"/>
  <c r="H40" i="11" s="1"/>
  <c r="L114" i="9"/>
  <c r="I40" i="11" s="1"/>
  <c r="M114" i="9"/>
  <c r="J40" i="11" s="1"/>
  <c r="N114" i="9"/>
  <c r="K40" i="11" s="1"/>
  <c r="O114" i="9"/>
  <c r="L40" i="11" s="1"/>
  <c r="P114" i="9"/>
  <c r="M40" i="11" s="1"/>
  <c r="Q114" i="9"/>
  <c r="N40" i="11" s="1"/>
  <c r="R114" i="9"/>
  <c r="O40" i="11" s="1"/>
  <c r="S114" i="9"/>
  <c r="P40" i="11" s="1"/>
  <c r="T114" i="9"/>
  <c r="Q40" i="11" s="1"/>
  <c r="U114" i="9"/>
  <c r="R40" i="11" s="1"/>
  <c r="V114" i="9"/>
  <c r="S40" i="11" s="1"/>
  <c r="W114" i="9"/>
  <c r="T40" i="11" s="1"/>
  <c r="X114" i="9"/>
  <c r="U40" i="11" s="1"/>
  <c r="Y114" i="9"/>
  <c r="V40" i="11" s="1"/>
  <c r="Z114" i="9"/>
  <c r="W40" i="11" s="1"/>
  <c r="AA114" i="9"/>
  <c r="X40" i="11" s="1"/>
  <c r="AB114" i="9"/>
  <c r="Y40" i="11" s="1"/>
  <c r="AC114" i="9"/>
  <c r="Z40" i="11" s="1"/>
  <c r="AD114" i="9"/>
  <c r="AA40" i="11" s="1"/>
  <c r="AE114" i="9"/>
  <c r="AB40" i="11" s="1"/>
  <c r="F117" i="9"/>
  <c r="C41" i="11" s="1"/>
  <c r="G117" i="9"/>
  <c r="D41" i="11" s="1"/>
  <c r="H117" i="9"/>
  <c r="E41" i="11" s="1"/>
  <c r="I117" i="9"/>
  <c r="F41" i="11" s="1"/>
  <c r="J117" i="9"/>
  <c r="G41" i="11" s="1"/>
  <c r="K117" i="9"/>
  <c r="H41" i="11" s="1"/>
  <c r="L117" i="9"/>
  <c r="I41" i="11" s="1"/>
  <c r="M117" i="9"/>
  <c r="J41" i="11" s="1"/>
  <c r="N117" i="9"/>
  <c r="K41" i="11" s="1"/>
  <c r="O117" i="9"/>
  <c r="L41" i="11" s="1"/>
  <c r="P117" i="9"/>
  <c r="M41" i="11" s="1"/>
  <c r="Q117" i="9"/>
  <c r="N41" i="11" s="1"/>
  <c r="R117" i="9"/>
  <c r="O41" i="11" s="1"/>
  <c r="S117" i="9"/>
  <c r="P41" i="11" s="1"/>
  <c r="T117" i="9"/>
  <c r="Q41" i="11" s="1"/>
  <c r="U117" i="9"/>
  <c r="R41" i="11" s="1"/>
  <c r="V117" i="9"/>
  <c r="S41" i="11" s="1"/>
  <c r="W117" i="9"/>
  <c r="T41" i="11" s="1"/>
  <c r="X117" i="9"/>
  <c r="U41" i="11" s="1"/>
  <c r="Y117" i="9"/>
  <c r="V41" i="11" s="1"/>
  <c r="Z117" i="9"/>
  <c r="W41" i="11" s="1"/>
  <c r="AA117" i="9"/>
  <c r="X41" i="11" s="1"/>
  <c r="AB117" i="9"/>
  <c r="Y41" i="11" s="1"/>
  <c r="AC117" i="9"/>
  <c r="Z41" i="11" s="1"/>
  <c r="AD117" i="9"/>
  <c r="AA41" i="11" s="1"/>
  <c r="AE117" i="9"/>
  <c r="AB41" i="11" s="1"/>
  <c r="F120" i="9"/>
  <c r="C42" i="11" s="1"/>
  <c r="G120" i="9"/>
  <c r="D42" i="11" s="1"/>
  <c r="H120" i="9"/>
  <c r="E42" i="11" s="1"/>
  <c r="I120" i="9"/>
  <c r="F42" i="11" s="1"/>
  <c r="J120" i="9"/>
  <c r="G42" i="11" s="1"/>
  <c r="K120" i="9"/>
  <c r="H42" i="11" s="1"/>
  <c r="L120" i="9"/>
  <c r="I42" i="11" s="1"/>
  <c r="M120" i="9"/>
  <c r="J42" i="11" s="1"/>
  <c r="N120" i="9"/>
  <c r="K42" i="11" s="1"/>
  <c r="O120" i="9"/>
  <c r="L42" i="11" s="1"/>
  <c r="P120" i="9"/>
  <c r="M42" i="11" s="1"/>
  <c r="Q120" i="9"/>
  <c r="N42" i="11" s="1"/>
  <c r="R120" i="9"/>
  <c r="O42" i="11" s="1"/>
  <c r="S120" i="9"/>
  <c r="P42" i="11" s="1"/>
  <c r="T120" i="9"/>
  <c r="Q42" i="11" s="1"/>
  <c r="U120" i="9"/>
  <c r="R42" i="11" s="1"/>
  <c r="V120" i="9"/>
  <c r="S42" i="11" s="1"/>
  <c r="W120" i="9"/>
  <c r="T42" i="11" s="1"/>
  <c r="X120" i="9"/>
  <c r="U42" i="11" s="1"/>
  <c r="Y120" i="9"/>
  <c r="V42" i="11" s="1"/>
  <c r="Z120" i="9"/>
  <c r="W42" i="11" s="1"/>
  <c r="AA120" i="9"/>
  <c r="X42" i="11" s="1"/>
  <c r="AB120" i="9"/>
  <c r="Y42" i="11" s="1"/>
  <c r="AC120" i="9"/>
  <c r="Z42" i="11" s="1"/>
  <c r="AD120" i="9"/>
  <c r="AA42" i="11" s="1"/>
  <c r="AE120" i="9"/>
  <c r="AB42" i="11" s="1"/>
  <c r="F123" i="9"/>
  <c r="C43" i="11" s="1"/>
  <c r="G123" i="9"/>
  <c r="D43" i="11" s="1"/>
  <c r="H123" i="9"/>
  <c r="E43" i="11" s="1"/>
  <c r="I123" i="9"/>
  <c r="F43" i="11" s="1"/>
  <c r="J123" i="9"/>
  <c r="G43" i="11" s="1"/>
  <c r="K123" i="9"/>
  <c r="H43" i="11" s="1"/>
  <c r="L123" i="9"/>
  <c r="I43" i="11" s="1"/>
  <c r="M123" i="9"/>
  <c r="J43" i="11" s="1"/>
  <c r="N123" i="9"/>
  <c r="K43" i="11" s="1"/>
  <c r="O123" i="9"/>
  <c r="L43" i="11" s="1"/>
  <c r="P123" i="9"/>
  <c r="M43" i="11" s="1"/>
  <c r="Q123" i="9"/>
  <c r="N43" i="11" s="1"/>
  <c r="R123" i="9"/>
  <c r="O43" i="11" s="1"/>
  <c r="S123" i="9"/>
  <c r="P43" i="11" s="1"/>
  <c r="T123" i="9"/>
  <c r="Q43" i="11" s="1"/>
  <c r="U123" i="9"/>
  <c r="R43" i="11" s="1"/>
  <c r="V123" i="9"/>
  <c r="S43" i="11" s="1"/>
  <c r="W123" i="9"/>
  <c r="T43" i="11" s="1"/>
  <c r="X123" i="9"/>
  <c r="U43" i="11" s="1"/>
  <c r="Y123" i="9"/>
  <c r="V43" i="11" s="1"/>
  <c r="Z123" i="9"/>
  <c r="W43" i="11" s="1"/>
  <c r="AA123" i="9"/>
  <c r="X43" i="11" s="1"/>
  <c r="AB123" i="9"/>
  <c r="Y43" i="11" s="1"/>
  <c r="AC123" i="9"/>
  <c r="Z43" i="11" s="1"/>
  <c r="AD123" i="9"/>
  <c r="AA43" i="11" s="1"/>
  <c r="AE123" i="9"/>
  <c r="AB43" i="11" s="1"/>
  <c r="F126" i="9"/>
  <c r="C44" i="11" s="1"/>
  <c r="G126" i="9"/>
  <c r="D44" i="11" s="1"/>
  <c r="H126" i="9"/>
  <c r="E44" i="11" s="1"/>
  <c r="I126" i="9"/>
  <c r="F44" i="11" s="1"/>
  <c r="J126" i="9"/>
  <c r="G44" i="11" s="1"/>
  <c r="K126" i="9"/>
  <c r="H44" i="11" s="1"/>
  <c r="L126" i="9"/>
  <c r="I44" i="11" s="1"/>
  <c r="M126" i="9"/>
  <c r="J44" i="11" s="1"/>
  <c r="N126" i="9"/>
  <c r="K44" i="11" s="1"/>
  <c r="O126" i="9"/>
  <c r="L44" i="11" s="1"/>
  <c r="P126" i="9"/>
  <c r="M44" i="11" s="1"/>
  <c r="Q126" i="9"/>
  <c r="N44" i="11" s="1"/>
  <c r="R126" i="9"/>
  <c r="O44" i="11" s="1"/>
  <c r="S126" i="9"/>
  <c r="P44" i="11" s="1"/>
  <c r="T126" i="9"/>
  <c r="Q44" i="11" s="1"/>
  <c r="U126" i="9"/>
  <c r="R44" i="11" s="1"/>
  <c r="V126" i="9"/>
  <c r="S44" i="11" s="1"/>
  <c r="W126" i="9"/>
  <c r="T44" i="11" s="1"/>
  <c r="X126" i="9"/>
  <c r="U44" i="11" s="1"/>
  <c r="Y126" i="9"/>
  <c r="V44" i="11" s="1"/>
  <c r="Z126" i="9"/>
  <c r="W44" i="11" s="1"/>
  <c r="AA126" i="9"/>
  <c r="X44" i="11" s="1"/>
  <c r="AB126" i="9"/>
  <c r="Y44" i="11" s="1"/>
  <c r="AC126" i="9"/>
  <c r="Z44" i="11" s="1"/>
  <c r="AD126" i="9"/>
  <c r="AA44" i="11" s="1"/>
  <c r="AE126" i="9"/>
  <c r="AB44" i="11" s="1"/>
  <c r="F129" i="9"/>
  <c r="C46" i="11" s="1"/>
  <c r="G129" i="9"/>
  <c r="D46" i="11" s="1"/>
  <c r="H129" i="9"/>
  <c r="E46" i="11" s="1"/>
  <c r="I129" i="9"/>
  <c r="F46" i="11" s="1"/>
  <c r="J129" i="9"/>
  <c r="G46" i="11" s="1"/>
  <c r="K129" i="9"/>
  <c r="H46" i="11" s="1"/>
  <c r="L129" i="9"/>
  <c r="I46" i="11" s="1"/>
  <c r="M129" i="9"/>
  <c r="J46" i="11" s="1"/>
  <c r="N129" i="9"/>
  <c r="K46" i="11" s="1"/>
  <c r="O129" i="9"/>
  <c r="L46" i="11" s="1"/>
  <c r="P129" i="9"/>
  <c r="M46" i="11" s="1"/>
  <c r="Q129" i="9"/>
  <c r="N46" i="11" s="1"/>
  <c r="R129" i="9"/>
  <c r="O46" i="11" s="1"/>
  <c r="S129" i="9"/>
  <c r="P46" i="11" s="1"/>
  <c r="T129" i="9"/>
  <c r="Q46" i="11" s="1"/>
  <c r="U129" i="9"/>
  <c r="R46" i="11" s="1"/>
  <c r="V129" i="9"/>
  <c r="S46" i="11" s="1"/>
  <c r="W129" i="9"/>
  <c r="T46" i="11" s="1"/>
  <c r="X129" i="9"/>
  <c r="U46" i="11" s="1"/>
  <c r="Y129" i="9"/>
  <c r="V46" i="11" s="1"/>
  <c r="Z129" i="9"/>
  <c r="W46" i="11" s="1"/>
  <c r="AA129" i="9"/>
  <c r="X46" i="11" s="1"/>
  <c r="AB129" i="9"/>
  <c r="Y46" i="11" s="1"/>
  <c r="AC129" i="9"/>
  <c r="Z46" i="11" s="1"/>
  <c r="AD129" i="9"/>
  <c r="AA46" i="11" s="1"/>
  <c r="AE129" i="9"/>
  <c r="AB46" i="11" s="1"/>
  <c r="F132" i="9"/>
  <c r="C47" i="11" s="1"/>
  <c r="G132" i="9"/>
  <c r="D47" i="11" s="1"/>
  <c r="H132" i="9"/>
  <c r="E47" i="11" s="1"/>
  <c r="I132" i="9"/>
  <c r="F47" i="11" s="1"/>
  <c r="J132" i="9"/>
  <c r="G47" i="11" s="1"/>
  <c r="K132" i="9"/>
  <c r="H47" i="11" s="1"/>
  <c r="L132" i="9"/>
  <c r="I47" i="11" s="1"/>
  <c r="M132" i="9"/>
  <c r="J47" i="11" s="1"/>
  <c r="N132" i="9"/>
  <c r="K47" i="11" s="1"/>
  <c r="O132" i="9"/>
  <c r="L47" i="11" s="1"/>
  <c r="P132" i="9"/>
  <c r="M47" i="11" s="1"/>
  <c r="Q132" i="9"/>
  <c r="N47" i="11" s="1"/>
  <c r="R132" i="9"/>
  <c r="O47" i="11" s="1"/>
  <c r="S132" i="9"/>
  <c r="P47" i="11" s="1"/>
  <c r="T132" i="9"/>
  <c r="Q47" i="11" s="1"/>
  <c r="U132" i="9"/>
  <c r="R47" i="11" s="1"/>
  <c r="V132" i="9"/>
  <c r="S47" i="11" s="1"/>
  <c r="W132" i="9"/>
  <c r="T47" i="11" s="1"/>
  <c r="X132" i="9"/>
  <c r="U47" i="11" s="1"/>
  <c r="Y132" i="9"/>
  <c r="V47" i="11" s="1"/>
  <c r="Z132" i="9"/>
  <c r="W47" i="11" s="1"/>
  <c r="AA132" i="9"/>
  <c r="X47" i="11" s="1"/>
  <c r="AB132" i="9"/>
  <c r="Y47" i="11" s="1"/>
  <c r="AC132" i="9"/>
  <c r="Z47" i="11" s="1"/>
  <c r="AD132" i="9"/>
  <c r="AA47" i="11" s="1"/>
  <c r="AE132" i="9"/>
  <c r="AB47" i="11" s="1"/>
  <c r="F135" i="9"/>
  <c r="C48" i="11" s="1"/>
  <c r="G135" i="9"/>
  <c r="D48" i="11" s="1"/>
  <c r="H135" i="9"/>
  <c r="E48" i="11" s="1"/>
  <c r="I135" i="9"/>
  <c r="F48" i="11" s="1"/>
  <c r="J135" i="9"/>
  <c r="G48" i="11" s="1"/>
  <c r="K135" i="9"/>
  <c r="H48" i="11" s="1"/>
  <c r="L135" i="9"/>
  <c r="I48" i="11" s="1"/>
  <c r="M135" i="9"/>
  <c r="J48" i="11" s="1"/>
  <c r="N135" i="9"/>
  <c r="K48" i="11" s="1"/>
  <c r="O135" i="9"/>
  <c r="L48" i="11" s="1"/>
  <c r="P135" i="9"/>
  <c r="M48" i="11" s="1"/>
  <c r="Q135" i="9"/>
  <c r="N48" i="11" s="1"/>
  <c r="R135" i="9"/>
  <c r="O48" i="11" s="1"/>
  <c r="S135" i="9"/>
  <c r="P48" i="11" s="1"/>
  <c r="T135" i="9"/>
  <c r="Q48" i="11" s="1"/>
  <c r="U135" i="9"/>
  <c r="R48" i="11" s="1"/>
  <c r="V135" i="9"/>
  <c r="S48" i="11" s="1"/>
  <c r="W135" i="9"/>
  <c r="T48" i="11" s="1"/>
  <c r="X135" i="9"/>
  <c r="U48" i="11" s="1"/>
  <c r="Y135" i="9"/>
  <c r="V48" i="11" s="1"/>
  <c r="Z135" i="9"/>
  <c r="W48" i="11" s="1"/>
  <c r="AA135" i="9"/>
  <c r="X48" i="11" s="1"/>
  <c r="AB135" i="9"/>
  <c r="Y48" i="11" s="1"/>
  <c r="AC135" i="9"/>
  <c r="Z48" i="11" s="1"/>
  <c r="AD135" i="9"/>
  <c r="AA48" i="11" s="1"/>
  <c r="AE135" i="9"/>
  <c r="AB48" i="11" s="1"/>
  <c r="F138" i="9"/>
  <c r="C49" i="11" s="1"/>
  <c r="G138" i="9"/>
  <c r="D49" i="11" s="1"/>
  <c r="H138" i="9"/>
  <c r="E49" i="11" s="1"/>
  <c r="I138" i="9"/>
  <c r="F49" i="11" s="1"/>
  <c r="J138" i="9"/>
  <c r="G49" i="11" s="1"/>
  <c r="K138" i="9"/>
  <c r="H49" i="11" s="1"/>
  <c r="L138" i="9"/>
  <c r="I49" i="11" s="1"/>
  <c r="M138" i="9"/>
  <c r="J49" i="11" s="1"/>
  <c r="N138" i="9"/>
  <c r="K49" i="11" s="1"/>
  <c r="O138" i="9"/>
  <c r="L49" i="11" s="1"/>
  <c r="P138" i="9"/>
  <c r="M49" i="11" s="1"/>
  <c r="Q138" i="9"/>
  <c r="N49" i="11" s="1"/>
  <c r="R138" i="9"/>
  <c r="O49" i="11" s="1"/>
  <c r="S138" i="9"/>
  <c r="P49" i="11" s="1"/>
  <c r="T138" i="9"/>
  <c r="Q49" i="11" s="1"/>
  <c r="U138" i="9"/>
  <c r="R49" i="11" s="1"/>
  <c r="V138" i="9"/>
  <c r="S49" i="11" s="1"/>
  <c r="W138" i="9"/>
  <c r="T49" i="11" s="1"/>
  <c r="X138" i="9"/>
  <c r="U49" i="11" s="1"/>
  <c r="Y138" i="9"/>
  <c r="V49" i="11" s="1"/>
  <c r="Z138" i="9"/>
  <c r="W49" i="11" s="1"/>
  <c r="AA138" i="9"/>
  <c r="X49" i="11" s="1"/>
  <c r="AB138" i="9"/>
  <c r="Y49" i="11" s="1"/>
  <c r="AC138" i="9"/>
  <c r="Z49" i="11" s="1"/>
  <c r="AD138" i="9"/>
  <c r="AA49" i="11" s="1"/>
  <c r="AE138" i="9"/>
  <c r="AB49" i="11" s="1"/>
  <c r="F141" i="9"/>
  <c r="C50" i="11" s="1"/>
  <c r="G141" i="9"/>
  <c r="D50" i="11" s="1"/>
  <c r="H141" i="9"/>
  <c r="E50" i="11" s="1"/>
  <c r="I141" i="9"/>
  <c r="F50" i="11" s="1"/>
  <c r="J141" i="9"/>
  <c r="G50" i="11" s="1"/>
  <c r="K141" i="9"/>
  <c r="H50" i="11" s="1"/>
  <c r="L141" i="9"/>
  <c r="I50" i="11" s="1"/>
  <c r="M141" i="9"/>
  <c r="J50" i="11" s="1"/>
  <c r="N141" i="9"/>
  <c r="K50" i="11" s="1"/>
  <c r="O141" i="9"/>
  <c r="L50" i="11" s="1"/>
  <c r="P141" i="9"/>
  <c r="M50" i="11" s="1"/>
  <c r="Q141" i="9"/>
  <c r="N50" i="11" s="1"/>
  <c r="R141" i="9"/>
  <c r="O50" i="11" s="1"/>
  <c r="S141" i="9"/>
  <c r="P50" i="11" s="1"/>
  <c r="T141" i="9"/>
  <c r="Q50" i="11" s="1"/>
  <c r="U141" i="9"/>
  <c r="R50" i="11" s="1"/>
  <c r="V141" i="9"/>
  <c r="S50" i="11" s="1"/>
  <c r="W141" i="9"/>
  <c r="T50" i="11" s="1"/>
  <c r="X141" i="9"/>
  <c r="U50" i="11" s="1"/>
  <c r="Y141" i="9"/>
  <c r="V50" i="11" s="1"/>
  <c r="Z141" i="9"/>
  <c r="W50" i="11" s="1"/>
  <c r="AA141" i="9"/>
  <c r="X50" i="11" s="1"/>
  <c r="AB141" i="9"/>
  <c r="Y50" i="11" s="1"/>
  <c r="AC141" i="9"/>
  <c r="Z50" i="11" s="1"/>
  <c r="AD141" i="9"/>
  <c r="AA50" i="11" s="1"/>
  <c r="AE141" i="9"/>
  <c r="AB50" i="11" s="1"/>
  <c r="F144" i="9"/>
  <c r="C51" i="11" s="1"/>
  <c r="G144" i="9"/>
  <c r="D51" i="11" s="1"/>
  <c r="H144" i="9"/>
  <c r="E51" i="11" s="1"/>
  <c r="I144" i="9"/>
  <c r="F51" i="11" s="1"/>
  <c r="J144" i="9"/>
  <c r="G51" i="11" s="1"/>
  <c r="K144" i="9"/>
  <c r="H51" i="11" s="1"/>
  <c r="L144" i="9"/>
  <c r="I51" i="11" s="1"/>
  <c r="M144" i="9"/>
  <c r="J51" i="11" s="1"/>
  <c r="N144" i="9"/>
  <c r="K51" i="11" s="1"/>
  <c r="O144" i="9"/>
  <c r="L51" i="11" s="1"/>
  <c r="P144" i="9"/>
  <c r="M51" i="11" s="1"/>
  <c r="Q144" i="9"/>
  <c r="N51" i="11" s="1"/>
  <c r="R144" i="9"/>
  <c r="O51" i="11" s="1"/>
  <c r="S144" i="9"/>
  <c r="P51" i="11" s="1"/>
  <c r="T144" i="9"/>
  <c r="Q51" i="11" s="1"/>
  <c r="U144" i="9"/>
  <c r="R51" i="11" s="1"/>
  <c r="V144" i="9"/>
  <c r="S51" i="11" s="1"/>
  <c r="W144" i="9"/>
  <c r="T51" i="11" s="1"/>
  <c r="X144" i="9"/>
  <c r="U51" i="11" s="1"/>
  <c r="Y144" i="9"/>
  <c r="V51" i="11" s="1"/>
  <c r="Z144" i="9"/>
  <c r="W51" i="11" s="1"/>
  <c r="AA144" i="9"/>
  <c r="X51" i="11" s="1"/>
  <c r="AB144" i="9"/>
  <c r="Y51" i="11" s="1"/>
  <c r="AC144" i="9"/>
  <c r="Z51" i="11" s="1"/>
  <c r="AD144" i="9"/>
  <c r="AA51" i="11" s="1"/>
  <c r="AE144" i="9"/>
  <c r="AB51" i="11" s="1"/>
  <c r="F150" i="9"/>
  <c r="C53" i="11" s="1"/>
  <c r="G150" i="9"/>
  <c r="D53" i="11" s="1"/>
  <c r="H150" i="9"/>
  <c r="E53" i="11" s="1"/>
  <c r="I150" i="9"/>
  <c r="F53" i="11" s="1"/>
  <c r="J150" i="9"/>
  <c r="G53" i="11" s="1"/>
  <c r="K150" i="9"/>
  <c r="H53" i="11" s="1"/>
  <c r="L150" i="9"/>
  <c r="I53" i="11" s="1"/>
  <c r="M150" i="9"/>
  <c r="J53" i="11" s="1"/>
  <c r="N150" i="9"/>
  <c r="K53" i="11" s="1"/>
  <c r="O150" i="9"/>
  <c r="L53" i="11" s="1"/>
  <c r="P150" i="9"/>
  <c r="M53" i="11" s="1"/>
  <c r="Q150" i="9"/>
  <c r="N53" i="11" s="1"/>
  <c r="R150" i="9"/>
  <c r="O53" i="11" s="1"/>
  <c r="S150" i="9"/>
  <c r="P53" i="11" s="1"/>
  <c r="T150" i="9"/>
  <c r="Q53" i="11" s="1"/>
  <c r="U150" i="9"/>
  <c r="R53" i="11" s="1"/>
  <c r="V150" i="9"/>
  <c r="S53" i="11" s="1"/>
  <c r="W150" i="9"/>
  <c r="T53" i="11" s="1"/>
  <c r="X150" i="9"/>
  <c r="U53" i="11" s="1"/>
  <c r="Y150" i="9"/>
  <c r="V53" i="11" s="1"/>
  <c r="Z150" i="9"/>
  <c r="W53" i="11" s="1"/>
  <c r="AA150" i="9"/>
  <c r="X53" i="11" s="1"/>
  <c r="AB150" i="9"/>
  <c r="Y53" i="11" s="1"/>
  <c r="AC150" i="9"/>
  <c r="Z53" i="11" s="1"/>
  <c r="AD150" i="9"/>
  <c r="AA53" i="11" s="1"/>
  <c r="AE150" i="9"/>
  <c r="AB53" i="11" s="1"/>
  <c r="F153" i="9"/>
  <c r="C54" i="11" s="1"/>
  <c r="G153" i="9"/>
  <c r="D54" i="11" s="1"/>
  <c r="H153" i="9"/>
  <c r="E54" i="11" s="1"/>
  <c r="I153" i="9"/>
  <c r="F54" i="11" s="1"/>
  <c r="J153" i="9"/>
  <c r="G54" i="11" s="1"/>
  <c r="K153" i="9"/>
  <c r="H54" i="11" s="1"/>
  <c r="L153" i="9"/>
  <c r="I54" i="11" s="1"/>
  <c r="M153" i="9"/>
  <c r="J54" i="11" s="1"/>
  <c r="N153" i="9"/>
  <c r="K54" i="11" s="1"/>
  <c r="O153" i="9"/>
  <c r="L54" i="11" s="1"/>
  <c r="P153" i="9"/>
  <c r="M54" i="11" s="1"/>
  <c r="Q153" i="9"/>
  <c r="N54" i="11" s="1"/>
  <c r="R153" i="9"/>
  <c r="O54" i="11" s="1"/>
  <c r="S153" i="9"/>
  <c r="P54" i="11" s="1"/>
  <c r="T153" i="9"/>
  <c r="Q54" i="11" s="1"/>
  <c r="U153" i="9"/>
  <c r="R54" i="11" s="1"/>
  <c r="V153" i="9"/>
  <c r="S54" i="11" s="1"/>
  <c r="W153" i="9"/>
  <c r="T54" i="11" s="1"/>
  <c r="X153" i="9"/>
  <c r="U54" i="11" s="1"/>
  <c r="Y153" i="9"/>
  <c r="V54" i="11" s="1"/>
  <c r="Z153" i="9"/>
  <c r="W54" i="11" s="1"/>
  <c r="AA153" i="9"/>
  <c r="X54" i="11" s="1"/>
  <c r="AB153" i="9"/>
  <c r="Y54" i="11" s="1"/>
  <c r="AC153" i="9"/>
  <c r="Z54" i="11" s="1"/>
  <c r="AD153" i="9"/>
  <c r="AA54" i="11" s="1"/>
  <c r="AE153" i="9"/>
  <c r="AB54" i="11" s="1"/>
  <c r="F156" i="9"/>
  <c r="C55" i="11" s="1"/>
  <c r="G156" i="9"/>
  <c r="D55" i="11" s="1"/>
  <c r="H156" i="9"/>
  <c r="E55" i="11" s="1"/>
  <c r="I156" i="9"/>
  <c r="F55" i="11" s="1"/>
  <c r="J156" i="9"/>
  <c r="G55" i="11" s="1"/>
  <c r="K156" i="9"/>
  <c r="H55" i="11" s="1"/>
  <c r="L156" i="9"/>
  <c r="I55" i="11" s="1"/>
  <c r="M156" i="9"/>
  <c r="J55" i="11" s="1"/>
  <c r="N156" i="9"/>
  <c r="K55" i="11" s="1"/>
  <c r="O156" i="9"/>
  <c r="L55" i="11" s="1"/>
  <c r="P156" i="9"/>
  <c r="M55" i="11" s="1"/>
  <c r="Q156" i="9"/>
  <c r="N55" i="11" s="1"/>
  <c r="R156" i="9"/>
  <c r="O55" i="11" s="1"/>
  <c r="S156" i="9"/>
  <c r="P55" i="11" s="1"/>
  <c r="T156" i="9"/>
  <c r="Q55" i="11" s="1"/>
  <c r="U156" i="9"/>
  <c r="R55" i="11" s="1"/>
  <c r="V156" i="9"/>
  <c r="S55" i="11" s="1"/>
  <c r="W156" i="9"/>
  <c r="T55" i="11" s="1"/>
  <c r="X156" i="9"/>
  <c r="U55" i="11" s="1"/>
  <c r="Y156" i="9"/>
  <c r="V55" i="11" s="1"/>
  <c r="Z156" i="9"/>
  <c r="W55" i="11" s="1"/>
  <c r="AA156" i="9"/>
  <c r="X55" i="11" s="1"/>
  <c r="AB156" i="9"/>
  <c r="Y55" i="11" s="1"/>
  <c r="AC156" i="9"/>
  <c r="Z55" i="11" s="1"/>
  <c r="AD156" i="9"/>
  <c r="AA55" i="11" s="1"/>
  <c r="AE156" i="9"/>
  <c r="AB55" i="11" s="1"/>
  <c r="F159" i="9"/>
  <c r="C56" i="11" s="1"/>
  <c r="G159" i="9"/>
  <c r="D56" i="11" s="1"/>
  <c r="H159" i="9"/>
  <c r="E56" i="11" s="1"/>
  <c r="I159" i="9"/>
  <c r="F56" i="11" s="1"/>
  <c r="J159" i="9"/>
  <c r="G56" i="11" s="1"/>
  <c r="K159" i="9"/>
  <c r="H56" i="11" s="1"/>
  <c r="L159" i="9"/>
  <c r="I56" i="11" s="1"/>
  <c r="M159" i="9"/>
  <c r="J56" i="11" s="1"/>
  <c r="N159" i="9"/>
  <c r="K56" i="11" s="1"/>
  <c r="O159" i="9"/>
  <c r="L56" i="11" s="1"/>
  <c r="P159" i="9"/>
  <c r="M56" i="11" s="1"/>
  <c r="Q159" i="9"/>
  <c r="N56" i="11" s="1"/>
  <c r="R159" i="9"/>
  <c r="O56" i="11" s="1"/>
  <c r="S159" i="9"/>
  <c r="P56" i="11" s="1"/>
  <c r="T159" i="9"/>
  <c r="Q56" i="11" s="1"/>
  <c r="U159" i="9"/>
  <c r="R56" i="11" s="1"/>
  <c r="V159" i="9"/>
  <c r="S56" i="11" s="1"/>
  <c r="W159" i="9"/>
  <c r="T56" i="11" s="1"/>
  <c r="X159" i="9"/>
  <c r="U56" i="11" s="1"/>
  <c r="Y159" i="9"/>
  <c r="V56" i="11" s="1"/>
  <c r="Z159" i="9"/>
  <c r="W56" i="11" s="1"/>
  <c r="AA159" i="9"/>
  <c r="X56" i="11" s="1"/>
  <c r="AB159" i="9"/>
  <c r="Y56" i="11" s="1"/>
  <c r="AC159" i="9"/>
  <c r="Z56" i="11" s="1"/>
  <c r="AD159" i="9"/>
  <c r="AA56" i="11" s="1"/>
  <c r="AE159" i="9"/>
  <c r="AB56" i="11" s="1"/>
  <c r="F162" i="9"/>
  <c r="C57" i="11" s="1"/>
  <c r="G162" i="9"/>
  <c r="D57" i="11" s="1"/>
  <c r="H162" i="9"/>
  <c r="E57" i="11" s="1"/>
  <c r="I162" i="9"/>
  <c r="F57" i="11" s="1"/>
  <c r="J162" i="9"/>
  <c r="G57" i="11" s="1"/>
  <c r="K162" i="9"/>
  <c r="H57" i="11" s="1"/>
  <c r="L162" i="9"/>
  <c r="I57" i="11" s="1"/>
  <c r="M162" i="9"/>
  <c r="J57" i="11" s="1"/>
  <c r="N162" i="9"/>
  <c r="K57" i="11" s="1"/>
  <c r="O162" i="9"/>
  <c r="L57" i="11" s="1"/>
  <c r="P162" i="9"/>
  <c r="M57" i="11" s="1"/>
  <c r="Q162" i="9"/>
  <c r="N57" i="11" s="1"/>
  <c r="R162" i="9"/>
  <c r="O57" i="11" s="1"/>
  <c r="S162" i="9"/>
  <c r="P57" i="11" s="1"/>
  <c r="T162" i="9"/>
  <c r="Q57" i="11" s="1"/>
  <c r="U162" i="9"/>
  <c r="R57" i="11" s="1"/>
  <c r="V162" i="9"/>
  <c r="S57" i="11" s="1"/>
  <c r="W162" i="9"/>
  <c r="T57" i="11" s="1"/>
  <c r="X162" i="9"/>
  <c r="U57" i="11" s="1"/>
  <c r="Y162" i="9"/>
  <c r="V57" i="11" s="1"/>
  <c r="Z162" i="9"/>
  <c r="W57" i="11" s="1"/>
  <c r="AA162" i="9"/>
  <c r="X57" i="11" s="1"/>
  <c r="AB162" i="9"/>
  <c r="Y57" i="11" s="1"/>
  <c r="AC162" i="9"/>
  <c r="Z57" i="11" s="1"/>
  <c r="AD162" i="9"/>
  <c r="AA57" i="11" s="1"/>
  <c r="AE162" i="9"/>
  <c r="AB57" i="11" s="1"/>
  <c r="F165" i="9"/>
  <c r="C58" i="11" s="1"/>
  <c r="G165" i="9"/>
  <c r="D58" i="11" s="1"/>
  <c r="H165" i="9"/>
  <c r="E58" i="11" s="1"/>
  <c r="I165" i="9"/>
  <c r="F58" i="11" s="1"/>
  <c r="J165" i="9"/>
  <c r="G58" i="11" s="1"/>
  <c r="K165" i="9"/>
  <c r="H58" i="11" s="1"/>
  <c r="L165" i="9"/>
  <c r="I58" i="11" s="1"/>
  <c r="M165" i="9"/>
  <c r="J58" i="11" s="1"/>
  <c r="N165" i="9"/>
  <c r="K58" i="11" s="1"/>
  <c r="O165" i="9"/>
  <c r="L58" i="11" s="1"/>
  <c r="P165" i="9"/>
  <c r="M58" i="11" s="1"/>
  <c r="Q165" i="9"/>
  <c r="N58" i="11" s="1"/>
  <c r="R165" i="9"/>
  <c r="O58" i="11" s="1"/>
  <c r="S165" i="9"/>
  <c r="P58" i="11" s="1"/>
  <c r="T165" i="9"/>
  <c r="Q58" i="11" s="1"/>
  <c r="U165" i="9"/>
  <c r="R58" i="11" s="1"/>
  <c r="V165" i="9"/>
  <c r="S58" i="11" s="1"/>
  <c r="W165" i="9"/>
  <c r="T58" i="11" s="1"/>
  <c r="X165" i="9"/>
  <c r="U58" i="11" s="1"/>
  <c r="Y165" i="9"/>
  <c r="V58" i="11" s="1"/>
  <c r="Z165" i="9"/>
  <c r="W58" i="11" s="1"/>
  <c r="AA165" i="9"/>
  <c r="X58" i="11" s="1"/>
  <c r="AB165" i="9"/>
  <c r="Y58" i="11" s="1"/>
  <c r="AC165" i="9"/>
  <c r="Z58" i="11" s="1"/>
  <c r="AD165" i="9"/>
  <c r="AA58" i="11" s="1"/>
  <c r="AE165" i="9"/>
  <c r="AB58" i="11" s="1"/>
  <c r="F168" i="9"/>
  <c r="C60" i="11" s="1"/>
  <c r="G168" i="9"/>
  <c r="D60" i="11" s="1"/>
  <c r="H168" i="9"/>
  <c r="E60" i="11" s="1"/>
  <c r="I168" i="9"/>
  <c r="F60" i="11" s="1"/>
  <c r="J168" i="9"/>
  <c r="G60" i="11" s="1"/>
  <c r="K168" i="9"/>
  <c r="H60" i="11" s="1"/>
  <c r="L168" i="9"/>
  <c r="I60" i="11" s="1"/>
  <c r="M168" i="9"/>
  <c r="J60" i="11" s="1"/>
  <c r="N168" i="9"/>
  <c r="K60" i="11" s="1"/>
  <c r="O168" i="9"/>
  <c r="L60" i="11" s="1"/>
  <c r="P168" i="9"/>
  <c r="M60" i="11" s="1"/>
  <c r="Q168" i="9"/>
  <c r="N60" i="11" s="1"/>
  <c r="R168" i="9"/>
  <c r="O60" i="11" s="1"/>
  <c r="S168" i="9"/>
  <c r="P60" i="11" s="1"/>
  <c r="T168" i="9"/>
  <c r="Q60" i="11" s="1"/>
  <c r="U168" i="9"/>
  <c r="R60" i="11" s="1"/>
  <c r="V168" i="9"/>
  <c r="S60" i="11" s="1"/>
  <c r="W168" i="9"/>
  <c r="T60" i="11" s="1"/>
  <c r="X168" i="9"/>
  <c r="U60" i="11" s="1"/>
  <c r="Y168" i="9"/>
  <c r="V60" i="11" s="1"/>
  <c r="Z168" i="9"/>
  <c r="W60" i="11" s="1"/>
  <c r="AA168" i="9"/>
  <c r="X60" i="11" s="1"/>
  <c r="AB168" i="9"/>
  <c r="Y60" i="11" s="1"/>
  <c r="AC168" i="9"/>
  <c r="Z60" i="11" s="1"/>
  <c r="AD168" i="9"/>
  <c r="AA60" i="11" s="1"/>
  <c r="AE168" i="9"/>
  <c r="AB60" i="11" s="1"/>
  <c r="F171" i="9"/>
  <c r="C61" i="11" s="1"/>
  <c r="G171" i="9"/>
  <c r="D61" i="11" s="1"/>
  <c r="H171" i="9"/>
  <c r="E61" i="11" s="1"/>
  <c r="I171" i="9"/>
  <c r="F61" i="11" s="1"/>
  <c r="J171" i="9"/>
  <c r="G61" i="11" s="1"/>
  <c r="K171" i="9"/>
  <c r="H61" i="11" s="1"/>
  <c r="L171" i="9"/>
  <c r="I61" i="11" s="1"/>
  <c r="M171" i="9"/>
  <c r="J61" i="11" s="1"/>
  <c r="N171" i="9"/>
  <c r="K61" i="11" s="1"/>
  <c r="O171" i="9"/>
  <c r="L61" i="11" s="1"/>
  <c r="P171" i="9"/>
  <c r="M61" i="11" s="1"/>
  <c r="Q171" i="9"/>
  <c r="N61" i="11" s="1"/>
  <c r="R171" i="9"/>
  <c r="O61" i="11" s="1"/>
  <c r="S171" i="9"/>
  <c r="P61" i="11" s="1"/>
  <c r="T171" i="9"/>
  <c r="Q61" i="11" s="1"/>
  <c r="U171" i="9"/>
  <c r="R61" i="11" s="1"/>
  <c r="V171" i="9"/>
  <c r="S61" i="11" s="1"/>
  <c r="W171" i="9"/>
  <c r="T61" i="11" s="1"/>
  <c r="X171" i="9"/>
  <c r="U61" i="11" s="1"/>
  <c r="Y171" i="9"/>
  <c r="V61" i="11" s="1"/>
  <c r="Z171" i="9"/>
  <c r="W61" i="11" s="1"/>
  <c r="AA171" i="9"/>
  <c r="X61" i="11" s="1"/>
  <c r="AB171" i="9"/>
  <c r="Y61" i="11" s="1"/>
  <c r="AC171" i="9"/>
  <c r="Z61" i="11" s="1"/>
  <c r="AD171" i="9"/>
  <c r="AA61" i="11" s="1"/>
  <c r="AE171" i="9"/>
  <c r="AB61" i="11" s="1"/>
  <c r="F174" i="9"/>
  <c r="C62" i="11" s="1"/>
  <c r="G174" i="9"/>
  <c r="D62" i="11" s="1"/>
  <c r="H174" i="9"/>
  <c r="E62" i="11" s="1"/>
  <c r="I174" i="9"/>
  <c r="F62" i="11" s="1"/>
  <c r="J174" i="9"/>
  <c r="G62" i="11" s="1"/>
  <c r="K174" i="9"/>
  <c r="H62" i="11" s="1"/>
  <c r="L174" i="9"/>
  <c r="I62" i="11" s="1"/>
  <c r="M174" i="9"/>
  <c r="J62" i="11" s="1"/>
  <c r="N174" i="9"/>
  <c r="K62" i="11" s="1"/>
  <c r="O174" i="9"/>
  <c r="L62" i="11" s="1"/>
  <c r="P174" i="9"/>
  <c r="M62" i="11" s="1"/>
  <c r="Q174" i="9"/>
  <c r="N62" i="11" s="1"/>
  <c r="R174" i="9"/>
  <c r="O62" i="11" s="1"/>
  <c r="S174" i="9"/>
  <c r="P62" i="11" s="1"/>
  <c r="T174" i="9"/>
  <c r="Q62" i="11" s="1"/>
  <c r="U174" i="9"/>
  <c r="R62" i="11" s="1"/>
  <c r="V174" i="9"/>
  <c r="S62" i="11" s="1"/>
  <c r="W174" i="9"/>
  <c r="T62" i="11" s="1"/>
  <c r="X174" i="9"/>
  <c r="U62" i="11" s="1"/>
  <c r="Y174" i="9"/>
  <c r="V62" i="11" s="1"/>
  <c r="Z174" i="9"/>
  <c r="W62" i="11" s="1"/>
  <c r="AA174" i="9"/>
  <c r="X62" i="11" s="1"/>
  <c r="AB174" i="9"/>
  <c r="Y62" i="11" s="1"/>
  <c r="AC174" i="9"/>
  <c r="Z62" i="11" s="1"/>
  <c r="AD174" i="9"/>
  <c r="AA62" i="11" s="1"/>
  <c r="AE174" i="9"/>
  <c r="AB62" i="11" s="1"/>
  <c r="F177" i="9"/>
  <c r="C63" i="11" s="1"/>
  <c r="G177" i="9"/>
  <c r="D63" i="11" s="1"/>
  <c r="H177" i="9"/>
  <c r="E63" i="11" s="1"/>
  <c r="I177" i="9"/>
  <c r="F63" i="11" s="1"/>
  <c r="J177" i="9"/>
  <c r="G63" i="11" s="1"/>
  <c r="K177" i="9"/>
  <c r="H63" i="11" s="1"/>
  <c r="L177" i="9"/>
  <c r="I63" i="11" s="1"/>
  <c r="M177" i="9"/>
  <c r="J63" i="11" s="1"/>
  <c r="N177" i="9"/>
  <c r="K63" i="11" s="1"/>
  <c r="O177" i="9"/>
  <c r="L63" i="11" s="1"/>
  <c r="P177" i="9"/>
  <c r="M63" i="11" s="1"/>
  <c r="Q177" i="9"/>
  <c r="N63" i="11" s="1"/>
  <c r="R177" i="9"/>
  <c r="O63" i="11" s="1"/>
  <c r="S177" i="9"/>
  <c r="P63" i="11" s="1"/>
  <c r="T177" i="9"/>
  <c r="Q63" i="11" s="1"/>
  <c r="U177" i="9"/>
  <c r="R63" i="11" s="1"/>
  <c r="V177" i="9"/>
  <c r="S63" i="11" s="1"/>
  <c r="W177" i="9"/>
  <c r="T63" i="11" s="1"/>
  <c r="X177" i="9"/>
  <c r="U63" i="11" s="1"/>
  <c r="Y177" i="9"/>
  <c r="V63" i="11" s="1"/>
  <c r="Z177" i="9"/>
  <c r="W63" i="11" s="1"/>
  <c r="AA177" i="9"/>
  <c r="X63" i="11" s="1"/>
  <c r="AB177" i="9"/>
  <c r="Y63" i="11" s="1"/>
  <c r="AC177" i="9"/>
  <c r="Z63" i="11" s="1"/>
  <c r="AD177" i="9"/>
  <c r="AA63" i="11" s="1"/>
  <c r="AE177" i="9"/>
  <c r="AB63" i="11" s="1"/>
  <c r="F180" i="9"/>
  <c r="C64" i="11" s="1"/>
  <c r="G180" i="9"/>
  <c r="D64" i="11" s="1"/>
  <c r="H180" i="9"/>
  <c r="E64" i="11" s="1"/>
  <c r="I180" i="9"/>
  <c r="F64" i="11" s="1"/>
  <c r="J180" i="9"/>
  <c r="G64" i="11" s="1"/>
  <c r="K180" i="9"/>
  <c r="H64" i="11" s="1"/>
  <c r="L180" i="9"/>
  <c r="I64" i="11" s="1"/>
  <c r="M180" i="9"/>
  <c r="J64" i="11" s="1"/>
  <c r="N180" i="9"/>
  <c r="K64" i="11" s="1"/>
  <c r="O180" i="9"/>
  <c r="L64" i="11" s="1"/>
  <c r="P180" i="9"/>
  <c r="M64" i="11" s="1"/>
  <c r="Q180" i="9"/>
  <c r="N64" i="11" s="1"/>
  <c r="R180" i="9"/>
  <c r="O64" i="11" s="1"/>
  <c r="S180" i="9"/>
  <c r="P64" i="11" s="1"/>
  <c r="T180" i="9"/>
  <c r="Q64" i="11" s="1"/>
  <c r="U180" i="9"/>
  <c r="R64" i="11" s="1"/>
  <c r="V180" i="9"/>
  <c r="S64" i="11" s="1"/>
  <c r="W180" i="9"/>
  <c r="T64" i="11" s="1"/>
  <c r="X180" i="9"/>
  <c r="U64" i="11" s="1"/>
  <c r="Y180" i="9"/>
  <c r="V64" i="11" s="1"/>
  <c r="Z180" i="9"/>
  <c r="W64" i="11" s="1"/>
  <c r="AA180" i="9"/>
  <c r="X64" i="11" s="1"/>
  <c r="AB180" i="9"/>
  <c r="Y64" i="11" s="1"/>
  <c r="AC180" i="9"/>
  <c r="Z64" i="11" s="1"/>
  <c r="AD180" i="9"/>
  <c r="AA64" i="11" s="1"/>
  <c r="AE180" i="9"/>
  <c r="AB64" i="11" s="1"/>
  <c r="F183" i="9"/>
  <c r="C65" i="11" s="1"/>
  <c r="G183" i="9"/>
  <c r="D65" i="11" s="1"/>
  <c r="H183" i="9"/>
  <c r="E65" i="11" s="1"/>
  <c r="I183" i="9"/>
  <c r="F65" i="11" s="1"/>
  <c r="J183" i="9"/>
  <c r="G65" i="11" s="1"/>
  <c r="K183" i="9"/>
  <c r="H65" i="11" s="1"/>
  <c r="L183" i="9"/>
  <c r="I65" i="11" s="1"/>
  <c r="M183" i="9"/>
  <c r="J65" i="11" s="1"/>
  <c r="N183" i="9"/>
  <c r="K65" i="11" s="1"/>
  <c r="O183" i="9"/>
  <c r="L65" i="11" s="1"/>
  <c r="P183" i="9"/>
  <c r="M65" i="11" s="1"/>
  <c r="Q183" i="9"/>
  <c r="N65" i="11" s="1"/>
  <c r="R183" i="9"/>
  <c r="O65" i="11" s="1"/>
  <c r="S183" i="9"/>
  <c r="P65" i="11" s="1"/>
  <c r="T183" i="9"/>
  <c r="Q65" i="11" s="1"/>
  <c r="U183" i="9"/>
  <c r="R65" i="11" s="1"/>
  <c r="V183" i="9"/>
  <c r="S65" i="11" s="1"/>
  <c r="W183" i="9"/>
  <c r="T65" i="11" s="1"/>
  <c r="X183" i="9"/>
  <c r="U65" i="11" s="1"/>
  <c r="Y183" i="9"/>
  <c r="V65" i="11" s="1"/>
  <c r="Z183" i="9"/>
  <c r="W65" i="11" s="1"/>
  <c r="AA183" i="9"/>
  <c r="X65" i="11" s="1"/>
  <c r="AB183" i="9"/>
  <c r="Y65" i="11" s="1"/>
  <c r="AC183" i="9"/>
  <c r="Z65" i="11" s="1"/>
  <c r="AD183" i="9"/>
  <c r="AA65" i="11" s="1"/>
  <c r="AE183" i="9"/>
  <c r="AB65" i="11" s="1"/>
  <c r="F189" i="9"/>
  <c r="C67" i="11" s="1"/>
  <c r="G189" i="9"/>
  <c r="D67" i="11" s="1"/>
  <c r="H189" i="9"/>
  <c r="E67" i="11" s="1"/>
  <c r="I189" i="9"/>
  <c r="F67" i="11" s="1"/>
  <c r="J189" i="9"/>
  <c r="G67" i="11" s="1"/>
  <c r="K189" i="9"/>
  <c r="H67" i="11" s="1"/>
  <c r="L189" i="9"/>
  <c r="I67" i="11" s="1"/>
  <c r="M189" i="9"/>
  <c r="J67" i="11" s="1"/>
  <c r="N189" i="9"/>
  <c r="K67" i="11" s="1"/>
  <c r="O189" i="9"/>
  <c r="L67" i="11" s="1"/>
  <c r="P189" i="9"/>
  <c r="M67" i="11" s="1"/>
  <c r="Q189" i="9"/>
  <c r="N67" i="11" s="1"/>
  <c r="R189" i="9"/>
  <c r="O67" i="11" s="1"/>
  <c r="S189" i="9"/>
  <c r="P67" i="11" s="1"/>
  <c r="T189" i="9"/>
  <c r="Q67" i="11" s="1"/>
  <c r="U189" i="9"/>
  <c r="R67" i="11" s="1"/>
  <c r="V189" i="9"/>
  <c r="S67" i="11" s="1"/>
  <c r="W189" i="9"/>
  <c r="T67" i="11" s="1"/>
  <c r="X189" i="9"/>
  <c r="U67" i="11" s="1"/>
  <c r="Y189" i="9"/>
  <c r="V67" i="11" s="1"/>
  <c r="Z189" i="9"/>
  <c r="W67" i="11" s="1"/>
  <c r="AA189" i="9"/>
  <c r="X67" i="11" s="1"/>
  <c r="AB189" i="9"/>
  <c r="Y67" i="11" s="1"/>
  <c r="AC189" i="9"/>
  <c r="Z67" i="11" s="1"/>
  <c r="AD189" i="9"/>
  <c r="AA67" i="11" s="1"/>
  <c r="AE189" i="9"/>
  <c r="AB67" i="11" s="1"/>
  <c r="F192" i="9"/>
  <c r="C68" i="11" s="1"/>
  <c r="G192" i="9"/>
  <c r="D68" i="11" s="1"/>
  <c r="H192" i="9"/>
  <c r="E68" i="11" s="1"/>
  <c r="I192" i="9"/>
  <c r="F68" i="11" s="1"/>
  <c r="J192" i="9"/>
  <c r="G68" i="11" s="1"/>
  <c r="K192" i="9"/>
  <c r="H68" i="11" s="1"/>
  <c r="L192" i="9"/>
  <c r="I68" i="11" s="1"/>
  <c r="M192" i="9"/>
  <c r="J68" i="11" s="1"/>
  <c r="N192" i="9"/>
  <c r="K68" i="11" s="1"/>
  <c r="O192" i="9"/>
  <c r="L68" i="11" s="1"/>
  <c r="P192" i="9"/>
  <c r="M68" i="11" s="1"/>
  <c r="Q192" i="9"/>
  <c r="N68" i="11" s="1"/>
  <c r="R192" i="9"/>
  <c r="O68" i="11" s="1"/>
  <c r="S192" i="9"/>
  <c r="P68" i="11" s="1"/>
  <c r="T192" i="9"/>
  <c r="Q68" i="11" s="1"/>
  <c r="U192" i="9"/>
  <c r="R68" i="11" s="1"/>
  <c r="V192" i="9"/>
  <c r="S68" i="11" s="1"/>
  <c r="W192" i="9"/>
  <c r="T68" i="11" s="1"/>
  <c r="X192" i="9"/>
  <c r="U68" i="11" s="1"/>
  <c r="Y192" i="9"/>
  <c r="V68" i="11" s="1"/>
  <c r="Z192" i="9"/>
  <c r="W68" i="11" s="1"/>
  <c r="AA192" i="9"/>
  <c r="X68" i="11" s="1"/>
  <c r="AB192" i="9"/>
  <c r="Y68" i="11" s="1"/>
  <c r="AC192" i="9"/>
  <c r="Z68" i="11" s="1"/>
  <c r="AD192" i="9"/>
  <c r="AA68" i="11" s="1"/>
  <c r="AE192" i="9"/>
  <c r="AB68" i="11" s="1"/>
  <c r="F195" i="9"/>
  <c r="C69" i="11" s="1"/>
  <c r="G195" i="9"/>
  <c r="D69" i="11" s="1"/>
  <c r="H195" i="9"/>
  <c r="E69" i="11" s="1"/>
  <c r="I195" i="9"/>
  <c r="F69" i="11" s="1"/>
  <c r="J195" i="9"/>
  <c r="G69" i="11" s="1"/>
  <c r="K195" i="9"/>
  <c r="H69" i="11" s="1"/>
  <c r="L195" i="9"/>
  <c r="I69" i="11" s="1"/>
  <c r="M195" i="9"/>
  <c r="J69" i="11" s="1"/>
  <c r="N195" i="9"/>
  <c r="K69" i="11" s="1"/>
  <c r="O195" i="9"/>
  <c r="L69" i="11" s="1"/>
  <c r="P195" i="9"/>
  <c r="M69" i="11" s="1"/>
  <c r="Q195" i="9"/>
  <c r="N69" i="11" s="1"/>
  <c r="R195" i="9"/>
  <c r="O69" i="11" s="1"/>
  <c r="S195" i="9"/>
  <c r="P69" i="11" s="1"/>
  <c r="T195" i="9"/>
  <c r="Q69" i="11" s="1"/>
  <c r="U195" i="9"/>
  <c r="R69" i="11" s="1"/>
  <c r="V195" i="9"/>
  <c r="S69" i="11" s="1"/>
  <c r="W195" i="9"/>
  <c r="T69" i="11" s="1"/>
  <c r="X195" i="9"/>
  <c r="U69" i="11" s="1"/>
  <c r="Y195" i="9"/>
  <c r="V69" i="11" s="1"/>
  <c r="Z195" i="9"/>
  <c r="W69" i="11" s="1"/>
  <c r="AA195" i="9"/>
  <c r="X69" i="11" s="1"/>
  <c r="AB195" i="9"/>
  <c r="Y69" i="11" s="1"/>
  <c r="AC195" i="9"/>
  <c r="Z69" i="11" s="1"/>
  <c r="AD195" i="9"/>
  <c r="AA69" i="11" s="1"/>
  <c r="AE195" i="9"/>
  <c r="AB69" i="11" s="1"/>
  <c r="F198" i="9"/>
  <c r="C70" i="11" s="1"/>
  <c r="G198" i="9"/>
  <c r="D70" i="11" s="1"/>
  <c r="H198" i="9"/>
  <c r="E70" i="11" s="1"/>
  <c r="I198" i="9"/>
  <c r="F70" i="11" s="1"/>
  <c r="J198" i="9"/>
  <c r="G70" i="11" s="1"/>
  <c r="K198" i="9"/>
  <c r="H70" i="11" s="1"/>
  <c r="L198" i="9"/>
  <c r="I70" i="11" s="1"/>
  <c r="M198" i="9"/>
  <c r="J70" i="11" s="1"/>
  <c r="N198" i="9"/>
  <c r="K70" i="11" s="1"/>
  <c r="O198" i="9"/>
  <c r="L70" i="11" s="1"/>
  <c r="P198" i="9"/>
  <c r="M70" i="11" s="1"/>
  <c r="Q198" i="9"/>
  <c r="N70" i="11" s="1"/>
  <c r="R198" i="9"/>
  <c r="O70" i="11" s="1"/>
  <c r="S198" i="9"/>
  <c r="P70" i="11" s="1"/>
  <c r="T198" i="9"/>
  <c r="Q70" i="11" s="1"/>
  <c r="U198" i="9"/>
  <c r="R70" i="11" s="1"/>
  <c r="V198" i="9"/>
  <c r="S70" i="11" s="1"/>
  <c r="W198" i="9"/>
  <c r="T70" i="11" s="1"/>
  <c r="X198" i="9"/>
  <c r="U70" i="11" s="1"/>
  <c r="Y198" i="9"/>
  <c r="V70" i="11" s="1"/>
  <c r="Z198" i="9"/>
  <c r="W70" i="11" s="1"/>
  <c r="AA198" i="9"/>
  <c r="X70" i="11" s="1"/>
  <c r="AB198" i="9"/>
  <c r="Y70" i="11" s="1"/>
  <c r="AC198" i="9"/>
  <c r="Z70" i="11" s="1"/>
  <c r="AD198" i="9"/>
  <c r="AA70" i="11" s="1"/>
  <c r="AE198" i="9"/>
  <c r="AB70" i="11" s="1"/>
  <c r="F201" i="9"/>
  <c r="C71" i="11" s="1"/>
  <c r="G201" i="9"/>
  <c r="D71" i="11" s="1"/>
  <c r="H201" i="9"/>
  <c r="E71" i="11" s="1"/>
  <c r="I201" i="9"/>
  <c r="F71" i="11" s="1"/>
  <c r="J201" i="9"/>
  <c r="G71" i="11" s="1"/>
  <c r="K201" i="9"/>
  <c r="H71" i="11" s="1"/>
  <c r="L201" i="9"/>
  <c r="I71" i="11" s="1"/>
  <c r="M201" i="9"/>
  <c r="J71" i="11" s="1"/>
  <c r="N201" i="9"/>
  <c r="K71" i="11" s="1"/>
  <c r="O201" i="9"/>
  <c r="L71" i="11" s="1"/>
  <c r="P201" i="9"/>
  <c r="M71" i="11" s="1"/>
  <c r="Q201" i="9"/>
  <c r="N71" i="11" s="1"/>
  <c r="R201" i="9"/>
  <c r="O71" i="11" s="1"/>
  <c r="S201" i="9"/>
  <c r="P71" i="11" s="1"/>
  <c r="T201" i="9"/>
  <c r="Q71" i="11" s="1"/>
  <c r="U201" i="9"/>
  <c r="R71" i="11" s="1"/>
  <c r="V201" i="9"/>
  <c r="S71" i="11" s="1"/>
  <c r="W201" i="9"/>
  <c r="T71" i="11" s="1"/>
  <c r="X201" i="9"/>
  <c r="U71" i="11" s="1"/>
  <c r="Y201" i="9"/>
  <c r="V71" i="11" s="1"/>
  <c r="Z201" i="9"/>
  <c r="W71" i="11" s="1"/>
  <c r="AA201" i="9"/>
  <c r="X71" i="11" s="1"/>
  <c r="AB201" i="9"/>
  <c r="Y71" i="11" s="1"/>
  <c r="AC201" i="9"/>
  <c r="Z71" i="11" s="1"/>
  <c r="AD201" i="9"/>
  <c r="AA71" i="11" s="1"/>
  <c r="AE201" i="9"/>
  <c r="AB71" i="11" s="1"/>
  <c r="F204" i="9"/>
  <c r="C72" i="11" s="1"/>
  <c r="G204" i="9"/>
  <c r="D72" i="11" s="1"/>
  <c r="H204" i="9"/>
  <c r="E72" i="11" s="1"/>
  <c r="I204" i="9"/>
  <c r="F72" i="11" s="1"/>
  <c r="J204" i="9"/>
  <c r="G72" i="11" s="1"/>
  <c r="K204" i="9"/>
  <c r="H72" i="11" s="1"/>
  <c r="L204" i="9"/>
  <c r="I72" i="11" s="1"/>
  <c r="M204" i="9"/>
  <c r="J72" i="11" s="1"/>
  <c r="N204" i="9"/>
  <c r="K72" i="11" s="1"/>
  <c r="O204" i="9"/>
  <c r="L72" i="11" s="1"/>
  <c r="P204" i="9"/>
  <c r="M72" i="11" s="1"/>
  <c r="Q204" i="9"/>
  <c r="N72" i="11" s="1"/>
  <c r="R204" i="9"/>
  <c r="O72" i="11" s="1"/>
  <c r="S204" i="9"/>
  <c r="P72" i="11" s="1"/>
  <c r="T204" i="9"/>
  <c r="Q72" i="11" s="1"/>
  <c r="U204" i="9"/>
  <c r="R72" i="11" s="1"/>
  <c r="V204" i="9"/>
  <c r="S72" i="11" s="1"/>
  <c r="W204" i="9"/>
  <c r="T72" i="11" s="1"/>
  <c r="X204" i="9"/>
  <c r="U72" i="11" s="1"/>
  <c r="Y204" i="9"/>
  <c r="V72" i="11" s="1"/>
  <c r="Z204" i="9"/>
  <c r="W72" i="11" s="1"/>
  <c r="AA204" i="9"/>
  <c r="X72" i="11" s="1"/>
  <c r="AB204" i="9"/>
  <c r="Y72" i="11" s="1"/>
  <c r="AC204" i="9"/>
  <c r="Z72" i="11" s="1"/>
  <c r="AD204" i="9"/>
  <c r="AA72" i="11" s="1"/>
  <c r="AE204" i="9"/>
  <c r="AB72" i="11" s="1"/>
  <c r="F207" i="9"/>
  <c r="C74" i="11" s="1"/>
  <c r="G207" i="9"/>
  <c r="D74" i="11" s="1"/>
  <c r="H207" i="9"/>
  <c r="E74" i="11" s="1"/>
  <c r="I207" i="9"/>
  <c r="F74" i="11" s="1"/>
  <c r="J207" i="9"/>
  <c r="G74" i="11" s="1"/>
  <c r="K207" i="9"/>
  <c r="H74" i="11" s="1"/>
  <c r="L207" i="9"/>
  <c r="I74" i="11" s="1"/>
  <c r="M207" i="9"/>
  <c r="J74" i="11" s="1"/>
  <c r="N207" i="9"/>
  <c r="K74" i="11" s="1"/>
  <c r="O207" i="9"/>
  <c r="L74" i="11" s="1"/>
  <c r="P207" i="9"/>
  <c r="M74" i="11" s="1"/>
  <c r="Q207" i="9"/>
  <c r="N74" i="11" s="1"/>
  <c r="R207" i="9"/>
  <c r="O74" i="11" s="1"/>
  <c r="S207" i="9"/>
  <c r="P74" i="11" s="1"/>
  <c r="T207" i="9"/>
  <c r="Q74" i="11" s="1"/>
  <c r="U207" i="9"/>
  <c r="R74" i="11" s="1"/>
  <c r="V207" i="9"/>
  <c r="S74" i="11" s="1"/>
  <c r="W207" i="9"/>
  <c r="T74" i="11" s="1"/>
  <c r="X207" i="9"/>
  <c r="U74" i="11" s="1"/>
  <c r="Y207" i="9"/>
  <c r="V74" i="11" s="1"/>
  <c r="Z207" i="9"/>
  <c r="W74" i="11" s="1"/>
  <c r="AA207" i="9"/>
  <c r="X74" i="11" s="1"/>
  <c r="AB207" i="9"/>
  <c r="Y74" i="11" s="1"/>
  <c r="AC207" i="9"/>
  <c r="Z74" i="11" s="1"/>
  <c r="AD207" i="9"/>
  <c r="AA74" i="11" s="1"/>
  <c r="AE207" i="9"/>
  <c r="AB74" i="11" s="1"/>
  <c r="F210" i="9"/>
  <c r="C75" i="11" s="1"/>
  <c r="G210" i="9"/>
  <c r="D75" i="11" s="1"/>
  <c r="H210" i="9"/>
  <c r="E75" i="11" s="1"/>
  <c r="I210" i="9"/>
  <c r="F75" i="11" s="1"/>
  <c r="J210" i="9"/>
  <c r="G75" i="11" s="1"/>
  <c r="K210" i="9"/>
  <c r="H75" i="11" s="1"/>
  <c r="L210" i="9"/>
  <c r="I75" i="11" s="1"/>
  <c r="M210" i="9"/>
  <c r="J75" i="11" s="1"/>
  <c r="N210" i="9"/>
  <c r="K75" i="11" s="1"/>
  <c r="O210" i="9"/>
  <c r="L75" i="11" s="1"/>
  <c r="P210" i="9"/>
  <c r="M75" i="11" s="1"/>
  <c r="Q210" i="9"/>
  <c r="N75" i="11" s="1"/>
  <c r="R210" i="9"/>
  <c r="O75" i="11" s="1"/>
  <c r="S210" i="9"/>
  <c r="P75" i="11" s="1"/>
  <c r="T210" i="9"/>
  <c r="Q75" i="11" s="1"/>
  <c r="U210" i="9"/>
  <c r="R75" i="11" s="1"/>
  <c r="V210" i="9"/>
  <c r="S75" i="11" s="1"/>
  <c r="W210" i="9"/>
  <c r="T75" i="11" s="1"/>
  <c r="X210" i="9"/>
  <c r="U75" i="11" s="1"/>
  <c r="Y210" i="9"/>
  <c r="V75" i="11" s="1"/>
  <c r="Z210" i="9"/>
  <c r="W75" i="11" s="1"/>
  <c r="AA210" i="9"/>
  <c r="X75" i="11" s="1"/>
  <c r="AB210" i="9"/>
  <c r="Y75" i="11" s="1"/>
  <c r="AC210" i="9"/>
  <c r="Z75" i="11" s="1"/>
  <c r="AD210" i="9"/>
  <c r="AA75" i="11" s="1"/>
  <c r="AE210" i="9"/>
  <c r="AB75" i="11" s="1"/>
  <c r="F213" i="9"/>
  <c r="C76" i="11" s="1"/>
  <c r="G213" i="9"/>
  <c r="D76" i="11" s="1"/>
  <c r="H213" i="9"/>
  <c r="E76" i="11" s="1"/>
  <c r="I213" i="9"/>
  <c r="F76" i="11" s="1"/>
  <c r="J213" i="9"/>
  <c r="G76" i="11" s="1"/>
  <c r="K213" i="9"/>
  <c r="H76" i="11" s="1"/>
  <c r="L213" i="9"/>
  <c r="I76" i="11" s="1"/>
  <c r="M213" i="9"/>
  <c r="J76" i="11" s="1"/>
  <c r="N213" i="9"/>
  <c r="K76" i="11" s="1"/>
  <c r="O213" i="9"/>
  <c r="L76" i="11" s="1"/>
  <c r="P213" i="9"/>
  <c r="M76" i="11" s="1"/>
  <c r="Q213" i="9"/>
  <c r="N76" i="11" s="1"/>
  <c r="R213" i="9"/>
  <c r="O76" i="11" s="1"/>
  <c r="S213" i="9"/>
  <c r="P76" i="11" s="1"/>
  <c r="T213" i="9"/>
  <c r="Q76" i="11" s="1"/>
  <c r="U213" i="9"/>
  <c r="R76" i="11" s="1"/>
  <c r="V213" i="9"/>
  <c r="S76" i="11" s="1"/>
  <c r="W213" i="9"/>
  <c r="T76" i="11" s="1"/>
  <c r="X213" i="9"/>
  <c r="U76" i="11" s="1"/>
  <c r="Y213" i="9"/>
  <c r="V76" i="11" s="1"/>
  <c r="Z213" i="9"/>
  <c r="W76" i="11" s="1"/>
  <c r="AA213" i="9"/>
  <c r="X76" i="11" s="1"/>
  <c r="AB213" i="9"/>
  <c r="Y76" i="11" s="1"/>
  <c r="AC213" i="9"/>
  <c r="Z76" i="11" s="1"/>
  <c r="AD213" i="9"/>
  <c r="AA76" i="11" s="1"/>
  <c r="AE213" i="9"/>
  <c r="AB76" i="11" s="1"/>
  <c r="F216" i="9"/>
  <c r="C77" i="11" s="1"/>
  <c r="G216" i="9"/>
  <c r="D77" i="11" s="1"/>
  <c r="H216" i="9"/>
  <c r="E77" i="11" s="1"/>
  <c r="I216" i="9"/>
  <c r="F77" i="11" s="1"/>
  <c r="J216" i="9"/>
  <c r="G77" i="11" s="1"/>
  <c r="K216" i="9"/>
  <c r="H77" i="11" s="1"/>
  <c r="L216" i="9"/>
  <c r="I77" i="11" s="1"/>
  <c r="M216" i="9"/>
  <c r="J77" i="11" s="1"/>
  <c r="N216" i="9"/>
  <c r="K77" i="11" s="1"/>
  <c r="O216" i="9"/>
  <c r="L77" i="11" s="1"/>
  <c r="P216" i="9"/>
  <c r="M77" i="11" s="1"/>
  <c r="Q216" i="9"/>
  <c r="N77" i="11" s="1"/>
  <c r="R216" i="9"/>
  <c r="O77" i="11" s="1"/>
  <c r="S216" i="9"/>
  <c r="P77" i="11" s="1"/>
  <c r="T216" i="9"/>
  <c r="Q77" i="11" s="1"/>
  <c r="U216" i="9"/>
  <c r="R77" i="11" s="1"/>
  <c r="V216" i="9"/>
  <c r="S77" i="11" s="1"/>
  <c r="W216" i="9"/>
  <c r="T77" i="11" s="1"/>
  <c r="X216" i="9"/>
  <c r="U77" i="11" s="1"/>
  <c r="Y216" i="9"/>
  <c r="V77" i="11" s="1"/>
  <c r="Z216" i="9"/>
  <c r="W77" i="11" s="1"/>
  <c r="AA216" i="9"/>
  <c r="X77" i="11" s="1"/>
  <c r="AB216" i="9"/>
  <c r="Y77" i="11" s="1"/>
  <c r="AC216" i="9"/>
  <c r="Z77" i="11" s="1"/>
  <c r="AD216" i="9"/>
  <c r="AA77" i="11" s="1"/>
  <c r="AE216" i="9"/>
  <c r="AB77" i="11" s="1"/>
  <c r="F219" i="9"/>
  <c r="C78" i="11" s="1"/>
  <c r="G219" i="9"/>
  <c r="D78" i="11" s="1"/>
  <c r="H219" i="9"/>
  <c r="E78" i="11" s="1"/>
  <c r="I219" i="9"/>
  <c r="F78" i="11" s="1"/>
  <c r="J219" i="9"/>
  <c r="G78" i="11" s="1"/>
  <c r="K219" i="9"/>
  <c r="H78" i="11" s="1"/>
  <c r="L219" i="9"/>
  <c r="I78" i="11" s="1"/>
  <c r="M219" i="9"/>
  <c r="J78" i="11" s="1"/>
  <c r="N219" i="9"/>
  <c r="K78" i="11" s="1"/>
  <c r="O219" i="9"/>
  <c r="L78" i="11" s="1"/>
  <c r="P219" i="9"/>
  <c r="M78" i="11" s="1"/>
  <c r="Q219" i="9"/>
  <c r="N78" i="11" s="1"/>
  <c r="R219" i="9"/>
  <c r="O78" i="11" s="1"/>
  <c r="S219" i="9"/>
  <c r="P78" i="11" s="1"/>
  <c r="T219" i="9"/>
  <c r="Q78" i="11" s="1"/>
  <c r="U219" i="9"/>
  <c r="R78" i="11" s="1"/>
  <c r="V219" i="9"/>
  <c r="S78" i="11" s="1"/>
  <c r="W219" i="9"/>
  <c r="T78" i="11" s="1"/>
  <c r="X219" i="9"/>
  <c r="U78" i="11" s="1"/>
  <c r="Y219" i="9"/>
  <c r="V78" i="11" s="1"/>
  <c r="Z219" i="9"/>
  <c r="W78" i="11" s="1"/>
  <c r="AA219" i="9"/>
  <c r="X78" i="11" s="1"/>
  <c r="AB219" i="9"/>
  <c r="Y78" i="11" s="1"/>
  <c r="AC219" i="9"/>
  <c r="Z78" i="11" s="1"/>
  <c r="AD219" i="9"/>
  <c r="AA78" i="11" s="1"/>
  <c r="AE219" i="9"/>
  <c r="AB78" i="11" s="1"/>
  <c r="F222" i="9"/>
  <c r="C79" i="11" s="1"/>
  <c r="G222" i="9"/>
  <c r="D79" i="11" s="1"/>
  <c r="H222" i="9"/>
  <c r="E79" i="11" s="1"/>
  <c r="I222" i="9"/>
  <c r="F79" i="11" s="1"/>
  <c r="J222" i="9"/>
  <c r="G79" i="11" s="1"/>
  <c r="K222" i="9"/>
  <c r="H79" i="11" s="1"/>
  <c r="L222" i="9"/>
  <c r="I79" i="11" s="1"/>
  <c r="M222" i="9"/>
  <c r="J79" i="11" s="1"/>
  <c r="N222" i="9"/>
  <c r="K79" i="11" s="1"/>
  <c r="O222" i="9"/>
  <c r="L79" i="11" s="1"/>
  <c r="P222" i="9"/>
  <c r="M79" i="11" s="1"/>
  <c r="Q222" i="9"/>
  <c r="N79" i="11" s="1"/>
  <c r="R222" i="9"/>
  <c r="O79" i="11" s="1"/>
  <c r="S222" i="9"/>
  <c r="P79" i="11" s="1"/>
  <c r="T222" i="9"/>
  <c r="Q79" i="11" s="1"/>
  <c r="U222" i="9"/>
  <c r="R79" i="11" s="1"/>
  <c r="V222" i="9"/>
  <c r="S79" i="11" s="1"/>
  <c r="W222" i="9"/>
  <c r="T79" i="11" s="1"/>
  <c r="X222" i="9"/>
  <c r="U79" i="11" s="1"/>
  <c r="Y222" i="9"/>
  <c r="V79" i="11" s="1"/>
  <c r="Z222" i="9"/>
  <c r="W79" i="11" s="1"/>
  <c r="AA222" i="9"/>
  <c r="X79" i="11" s="1"/>
  <c r="AB222" i="9"/>
  <c r="Y79" i="11" s="1"/>
  <c r="AC222" i="9"/>
  <c r="Z79" i="11" s="1"/>
  <c r="AD222" i="9"/>
  <c r="AA79" i="11" s="1"/>
  <c r="AE222" i="9"/>
  <c r="AB79" i="11" s="1"/>
  <c r="F228" i="9"/>
  <c r="C81" i="11" s="1"/>
  <c r="G228" i="9"/>
  <c r="D81" i="11" s="1"/>
  <c r="H228" i="9"/>
  <c r="E81" i="11" s="1"/>
  <c r="I228" i="9"/>
  <c r="F81" i="11" s="1"/>
  <c r="J228" i="9"/>
  <c r="G81" i="11" s="1"/>
  <c r="K228" i="9"/>
  <c r="H81" i="11" s="1"/>
  <c r="L228" i="9"/>
  <c r="I81" i="11" s="1"/>
  <c r="M228" i="9"/>
  <c r="J81" i="11" s="1"/>
  <c r="N228" i="9"/>
  <c r="K81" i="11" s="1"/>
  <c r="O228" i="9"/>
  <c r="L81" i="11" s="1"/>
  <c r="P228" i="9"/>
  <c r="M81" i="11" s="1"/>
  <c r="Q228" i="9"/>
  <c r="N81" i="11" s="1"/>
  <c r="R228" i="9"/>
  <c r="O81" i="11" s="1"/>
  <c r="S228" i="9"/>
  <c r="P81" i="11" s="1"/>
  <c r="T228" i="9"/>
  <c r="Q81" i="11" s="1"/>
  <c r="U228" i="9"/>
  <c r="R81" i="11" s="1"/>
  <c r="V228" i="9"/>
  <c r="S81" i="11" s="1"/>
  <c r="W228" i="9"/>
  <c r="T81" i="11" s="1"/>
  <c r="X228" i="9"/>
  <c r="U81" i="11" s="1"/>
  <c r="Y228" i="9"/>
  <c r="V81" i="11" s="1"/>
  <c r="Z228" i="9"/>
  <c r="W81" i="11" s="1"/>
  <c r="AA228" i="9"/>
  <c r="X81" i="11" s="1"/>
  <c r="AB228" i="9"/>
  <c r="Y81" i="11" s="1"/>
  <c r="AC228" i="9"/>
  <c r="Z81" i="11" s="1"/>
  <c r="AD228" i="9"/>
  <c r="AA81" i="11" s="1"/>
  <c r="AE228" i="9"/>
  <c r="AB81" i="11" s="1"/>
  <c r="F231" i="9"/>
  <c r="C82" i="11" s="1"/>
  <c r="G231" i="9"/>
  <c r="D82" i="11" s="1"/>
  <c r="H231" i="9"/>
  <c r="E82" i="11" s="1"/>
  <c r="I231" i="9"/>
  <c r="F82" i="11" s="1"/>
  <c r="J231" i="9"/>
  <c r="G82" i="11" s="1"/>
  <c r="K231" i="9"/>
  <c r="H82" i="11" s="1"/>
  <c r="L231" i="9"/>
  <c r="I82" i="11" s="1"/>
  <c r="M231" i="9"/>
  <c r="J82" i="11" s="1"/>
  <c r="N231" i="9"/>
  <c r="K82" i="11" s="1"/>
  <c r="O231" i="9"/>
  <c r="L82" i="11" s="1"/>
  <c r="P231" i="9"/>
  <c r="M82" i="11" s="1"/>
  <c r="Q231" i="9"/>
  <c r="N82" i="11" s="1"/>
  <c r="R231" i="9"/>
  <c r="O82" i="11" s="1"/>
  <c r="S231" i="9"/>
  <c r="P82" i="11" s="1"/>
  <c r="T231" i="9"/>
  <c r="Q82" i="11" s="1"/>
  <c r="U231" i="9"/>
  <c r="R82" i="11" s="1"/>
  <c r="V231" i="9"/>
  <c r="S82" i="11" s="1"/>
  <c r="W231" i="9"/>
  <c r="T82" i="11" s="1"/>
  <c r="X231" i="9"/>
  <c r="U82" i="11" s="1"/>
  <c r="Y231" i="9"/>
  <c r="V82" i="11" s="1"/>
  <c r="Z231" i="9"/>
  <c r="W82" i="11" s="1"/>
  <c r="AA231" i="9"/>
  <c r="X82" i="11" s="1"/>
  <c r="AB231" i="9"/>
  <c r="Y82" i="11" s="1"/>
  <c r="AC231" i="9"/>
  <c r="Z82" i="11" s="1"/>
  <c r="AD231" i="9"/>
  <c r="AA82" i="11" s="1"/>
  <c r="AE231" i="9"/>
  <c r="AB82" i="11" s="1"/>
  <c r="F234" i="9"/>
  <c r="C83" i="11" s="1"/>
  <c r="G234" i="9"/>
  <c r="D83" i="11" s="1"/>
  <c r="H234" i="9"/>
  <c r="E83" i="11" s="1"/>
  <c r="I234" i="9"/>
  <c r="F83" i="11" s="1"/>
  <c r="J234" i="9"/>
  <c r="G83" i="11" s="1"/>
  <c r="K234" i="9"/>
  <c r="H83" i="11" s="1"/>
  <c r="L234" i="9"/>
  <c r="I83" i="11" s="1"/>
  <c r="M234" i="9"/>
  <c r="J83" i="11" s="1"/>
  <c r="N234" i="9"/>
  <c r="K83" i="11" s="1"/>
  <c r="O234" i="9"/>
  <c r="L83" i="11" s="1"/>
  <c r="P234" i="9"/>
  <c r="M83" i="11" s="1"/>
  <c r="Q234" i="9"/>
  <c r="N83" i="11" s="1"/>
  <c r="R234" i="9"/>
  <c r="O83" i="11" s="1"/>
  <c r="S234" i="9"/>
  <c r="P83" i="11" s="1"/>
  <c r="T234" i="9"/>
  <c r="Q83" i="11" s="1"/>
  <c r="U234" i="9"/>
  <c r="R83" i="11" s="1"/>
  <c r="V234" i="9"/>
  <c r="S83" i="11" s="1"/>
  <c r="W234" i="9"/>
  <c r="T83" i="11" s="1"/>
  <c r="X234" i="9"/>
  <c r="U83" i="11" s="1"/>
  <c r="Y234" i="9"/>
  <c r="V83" i="11" s="1"/>
  <c r="Z234" i="9"/>
  <c r="W83" i="11" s="1"/>
  <c r="AA234" i="9"/>
  <c r="X83" i="11" s="1"/>
  <c r="AB234" i="9"/>
  <c r="Y83" i="11" s="1"/>
  <c r="AC234" i="9"/>
  <c r="Z83" i="11" s="1"/>
  <c r="AD234" i="9"/>
  <c r="AA83" i="11" s="1"/>
  <c r="AE234" i="9"/>
  <c r="AB83" i="11" s="1"/>
  <c r="F237" i="9"/>
  <c r="C84" i="11" s="1"/>
  <c r="G237" i="9"/>
  <c r="D84" i="11" s="1"/>
  <c r="H237" i="9"/>
  <c r="E84" i="11" s="1"/>
  <c r="I237" i="9"/>
  <c r="F84" i="11" s="1"/>
  <c r="J237" i="9"/>
  <c r="G84" i="11" s="1"/>
  <c r="K237" i="9"/>
  <c r="H84" i="11" s="1"/>
  <c r="L237" i="9"/>
  <c r="I84" i="11" s="1"/>
  <c r="M237" i="9"/>
  <c r="J84" i="11" s="1"/>
  <c r="N237" i="9"/>
  <c r="K84" i="11" s="1"/>
  <c r="O237" i="9"/>
  <c r="L84" i="11" s="1"/>
  <c r="P237" i="9"/>
  <c r="M84" i="11" s="1"/>
  <c r="Q237" i="9"/>
  <c r="N84" i="11" s="1"/>
  <c r="R237" i="9"/>
  <c r="O84" i="11" s="1"/>
  <c r="S237" i="9"/>
  <c r="P84" i="11" s="1"/>
  <c r="T237" i="9"/>
  <c r="Q84" i="11" s="1"/>
  <c r="U237" i="9"/>
  <c r="R84" i="11" s="1"/>
  <c r="V237" i="9"/>
  <c r="S84" i="11" s="1"/>
  <c r="W237" i="9"/>
  <c r="T84" i="11" s="1"/>
  <c r="X237" i="9"/>
  <c r="U84" i="11" s="1"/>
  <c r="Y237" i="9"/>
  <c r="V84" i="11" s="1"/>
  <c r="Z237" i="9"/>
  <c r="W84" i="11" s="1"/>
  <c r="AA237" i="9"/>
  <c r="X84" i="11" s="1"/>
  <c r="AB237" i="9"/>
  <c r="Y84" i="11" s="1"/>
  <c r="AC237" i="9"/>
  <c r="Z84" i="11" s="1"/>
  <c r="AD237" i="9"/>
  <c r="AA84" i="11" s="1"/>
  <c r="AE237" i="9"/>
  <c r="AB84" i="11" s="1"/>
  <c r="F240" i="9"/>
  <c r="C85" i="11" s="1"/>
  <c r="G240" i="9"/>
  <c r="D85" i="11" s="1"/>
  <c r="H240" i="9"/>
  <c r="E85" i="11" s="1"/>
  <c r="I240" i="9"/>
  <c r="F85" i="11" s="1"/>
  <c r="J240" i="9"/>
  <c r="G85" i="11" s="1"/>
  <c r="K240" i="9"/>
  <c r="H85" i="11" s="1"/>
  <c r="L240" i="9"/>
  <c r="I85" i="11" s="1"/>
  <c r="M240" i="9"/>
  <c r="J85" i="11" s="1"/>
  <c r="N240" i="9"/>
  <c r="K85" i="11" s="1"/>
  <c r="O240" i="9"/>
  <c r="L85" i="11" s="1"/>
  <c r="P240" i="9"/>
  <c r="M85" i="11" s="1"/>
  <c r="Q240" i="9"/>
  <c r="N85" i="11" s="1"/>
  <c r="R240" i="9"/>
  <c r="O85" i="11" s="1"/>
  <c r="S240" i="9"/>
  <c r="P85" i="11" s="1"/>
  <c r="T240" i="9"/>
  <c r="Q85" i="11" s="1"/>
  <c r="U240" i="9"/>
  <c r="R85" i="11" s="1"/>
  <c r="V240" i="9"/>
  <c r="S85" i="11" s="1"/>
  <c r="W240" i="9"/>
  <c r="T85" i="11" s="1"/>
  <c r="X240" i="9"/>
  <c r="U85" i="11" s="1"/>
  <c r="Y240" i="9"/>
  <c r="V85" i="11" s="1"/>
  <c r="Z240" i="9"/>
  <c r="W85" i="11" s="1"/>
  <c r="AA240" i="9"/>
  <c r="X85" i="11" s="1"/>
  <c r="AB240" i="9"/>
  <c r="Y85" i="11" s="1"/>
  <c r="AC240" i="9"/>
  <c r="Z85" i="11" s="1"/>
  <c r="AD240" i="9"/>
  <c r="AA85" i="11" s="1"/>
  <c r="AE240" i="9"/>
  <c r="AB85" i="11" s="1"/>
  <c r="F243" i="9"/>
  <c r="C86" i="11" s="1"/>
  <c r="G243" i="9"/>
  <c r="D86" i="11" s="1"/>
  <c r="H243" i="9"/>
  <c r="E86" i="11" s="1"/>
  <c r="I243" i="9"/>
  <c r="F86" i="11" s="1"/>
  <c r="J243" i="9"/>
  <c r="G86" i="11" s="1"/>
  <c r="K243" i="9"/>
  <c r="H86" i="11" s="1"/>
  <c r="L243" i="9"/>
  <c r="I86" i="11" s="1"/>
  <c r="M243" i="9"/>
  <c r="J86" i="11" s="1"/>
  <c r="N243" i="9"/>
  <c r="K86" i="11" s="1"/>
  <c r="O243" i="9"/>
  <c r="L86" i="11" s="1"/>
  <c r="P243" i="9"/>
  <c r="M86" i="11" s="1"/>
  <c r="Q243" i="9"/>
  <c r="N86" i="11" s="1"/>
  <c r="R243" i="9"/>
  <c r="O86" i="11" s="1"/>
  <c r="S243" i="9"/>
  <c r="P86" i="11" s="1"/>
  <c r="T243" i="9"/>
  <c r="Q86" i="11" s="1"/>
  <c r="U243" i="9"/>
  <c r="R86" i="11" s="1"/>
  <c r="V243" i="9"/>
  <c r="S86" i="11" s="1"/>
  <c r="W243" i="9"/>
  <c r="T86" i="11" s="1"/>
  <c r="X243" i="9"/>
  <c r="U86" i="11" s="1"/>
  <c r="Y243" i="9"/>
  <c r="V86" i="11" s="1"/>
  <c r="Z243" i="9"/>
  <c r="W86" i="11" s="1"/>
  <c r="AA243" i="9"/>
  <c r="X86" i="11" s="1"/>
  <c r="AB243" i="9"/>
  <c r="Y86" i="11" s="1"/>
  <c r="AC243" i="9"/>
  <c r="Z86" i="11" s="1"/>
  <c r="AD243" i="9"/>
  <c r="AA86" i="11" s="1"/>
  <c r="AE243" i="9"/>
  <c r="AB86" i="11" s="1"/>
  <c r="F246" i="9"/>
  <c r="C89" i="11" s="1"/>
  <c r="G246" i="9"/>
  <c r="D89" i="11" s="1"/>
  <c r="H246" i="9"/>
  <c r="E89" i="11" s="1"/>
  <c r="I246" i="9"/>
  <c r="F89" i="11" s="1"/>
  <c r="J246" i="9"/>
  <c r="G89" i="11" s="1"/>
  <c r="K246" i="9"/>
  <c r="H89" i="11" s="1"/>
  <c r="L246" i="9"/>
  <c r="I89" i="11" s="1"/>
  <c r="M246" i="9"/>
  <c r="J89" i="11" s="1"/>
  <c r="N246" i="9"/>
  <c r="K89" i="11" s="1"/>
  <c r="O246" i="9"/>
  <c r="L89" i="11" s="1"/>
  <c r="P246" i="9"/>
  <c r="M89" i="11" s="1"/>
  <c r="Q246" i="9"/>
  <c r="N89" i="11" s="1"/>
  <c r="R246" i="9"/>
  <c r="O89" i="11" s="1"/>
  <c r="S246" i="9"/>
  <c r="P89" i="11" s="1"/>
  <c r="T246" i="9"/>
  <c r="Q89" i="11" s="1"/>
  <c r="U246" i="9"/>
  <c r="R89" i="11" s="1"/>
  <c r="V246" i="9"/>
  <c r="S89" i="11" s="1"/>
  <c r="W246" i="9"/>
  <c r="T89" i="11" s="1"/>
  <c r="X246" i="9"/>
  <c r="U89" i="11" s="1"/>
  <c r="Y246" i="9"/>
  <c r="V89" i="11" s="1"/>
  <c r="Z246" i="9"/>
  <c r="W89" i="11" s="1"/>
  <c r="AA246" i="9"/>
  <c r="X89" i="11" s="1"/>
  <c r="AB246" i="9"/>
  <c r="Y89" i="11" s="1"/>
  <c r="AC246" i="9"/>
  <c r="Z89" i="11" s="1"/>
  <c r="AD246" i="9"/>
  <c r="AA89" i="11" s="1"/>
  <c r="AE246" i="9"/>
  <c r="AB89" i="11" s="1"/>
  <c r="F249" i="9"/>
  <c r="C90" i="11" s="1"/>
  <c r="G249" i="9"/>
  <c r="D90" i="11" s="1"/>
  <c r="H249" i="9"/>
  <c r="E90" i="11" s="1"/>
  <c r="I249" i="9"/>
  <c r="F90" i="11" s="1"/>
  <c r="J249" i="9"/>
  <c r="G90" i="11" s="1"/>
  <c r="K249" i="9"/>
  <c r="H90" i="11" s="1"/>
  <c r="L249" i="9"/>
  <c r="I90" i="11" s="1"/>
  <c r="M249" i="9"/>
  <c r="J90" i="11" s="1"/>
  <c r="N249" i="9"/>
  <c r="K90" i="11" s="1"/>
  <c r="O249" i="9"/>
  <c r="L90" i="11" s="1"/>
  <c r="P249" i="9"/>
  <c r="M90" i="11" s="1"/>
  <c r="Q249" i="9"/>
  <c r="N90" i="11" s="1"/>
  <c r="R249" i="9"/>
  <c r="O90" i="11" s="1"/>
  <c r="S249" i="9"/>
  <c r="P90" i="11" s="1"/>
  <c r="T249" i="9"/>
  <c r="Q90" i="11" s="1"/>
  <c r="U249" i="9"/>
  <c r="R90" i="11" s="1"/>
  <c r="V249" i="9"/>
  <c r="S90" i="11" s="1"/>
  <c r="W249" i="9"/>
  <c r="T90" i="11" s="1"/>
  <c r="X249" i="9"/>
  <c r="U90" i="11" s="1"/>
  <c r="Y249" i="9"/>
  <c r="V90" i="11" s="1"/>
  <c r="Z249" i="9"/>
  <c r="W90" i="11" s="1"/>
  <c r="AA249" i="9"/>
  <c r="X90" i="11" s="1"/>
  <c r="AB249" i="9"/>
  <c r="Y90" i="11" s="1"/>
  <c r="AC249" i="9"/>
  <c r="Z90" i="11" s="1"/>
  <c r="AD249" i="9"/>
  <c r="AA90" i="11" s="1"/>
  <c r="AE249" i="9"/>
  <c r="AB90" i="11" s="1"/>
  <c r="F252" i="9"/>
  <c r="C91" i="11" s="1"/>
  <c r="G252" i="9"/>
  <c r="D91" i="11" s="1"/>
  <c r="H252" i="9"/>
  <c r="E91" i="11" s="1"/>
  <c r="I252" i="9"/>
  <c r="F91" i="11" s="1"/>
  <c r="J252" i="9"/>
  <c r="G91" i="11" s="1"/>
  <c r="K252" i="9"/>
  <c r="H91" i="11" s="1"/>
  <c r="L252" i="9"/>
  <c r="I91" i="11" s="1"/>
  <c r="M252" i="9"/>
  <c r="J91" i="11" s="1"/>
  <c r="N252" i="9"/>
  <c r="K91" i="11" s="1"/>
  <c r="O252" i="9"/>
  <c r="L91" i="11" s="1"/>
  <c r="P252" i="9"/>
  <c r="M91" i="11" s="1"/>
  <c r="Q252" i="9"/>
  <c r="N91" i="11" s="1"/>
  <c r="R252" i="9"/>
  <c r="O91" i="11" s="1"/>
  <c r="S252" i="9"/>
  <c r="P91" i="11" s="1"/>
  <c r="T252" i="9"/>
  <c r="Q91" i="11" s="1"/>
  <c r="U252" i="9"/>
  <c r="R91" i="11" s="1"/>
  <c r="V252" i="9"/>
  <c r="S91" i="11" s="1"/>
  <c r="W252" i="9"/>
  <c r="T91" i="11" s="1"/>
  <c r="X252" i="9"/>
  <c r="U91" i="11" s="1"/>
  <c r="Y252" i="9"/>
  <c r="V91" i="11" s="1"/>
  <c r="Z252" i="9"/>
  <c r="W91" i="11" s="1"/>
  <c r="AA252" i="9"/>
  <c r="X91" i="11" s="1"/>
  <c r="AB252" i="9"/>
  <c r="Y91" i="11" s="1"/>
  <c r="AC252" i="9"/>
  <c r="Z91" i="11" s="1"/>
  <c r="AD252" i="9"/>
  <c r="AA91" i="11" s="1"/>
  <c r="AE252" i="9"/>
  <c r="AB91" i="11" s="1"/>
  <c r="F255" i="9"/>
  <c r="C92" i="11" s="1"/>
  <c r="G255" i="9"/>
  <c r="D92" i="11" s="1"/>
  <c r="H255" i="9"/>
  <c r="E92" i="11" s="1"/>
  <c r="I255" i="9"/>
  <c r="F92" i="11" s="1"/>
  <c r="J255" i="9"/>
  <c r="G92" i="11" s="1"/>
  <c r="K255" i="9"/>
  <c r="H92" i="11" s="1"/>
  <c r="L255" i="9"/>
  <c r="I92" i="11" s="1"/>
  <c r="M255" i="9"/>
  <c r="J92" i="11" s="1"/>
  <c r="N255" i="9"/>
  <c r="K92" i="11" s="1"/>
  <c r="O255" i="9"/>
  <c r="L92" i="11" s="1"/>
  <c r="P255" i="9"/>
  <c r="M92" i="11" s="1"/>
  <c r="Q255" i="9"/>
  <c r="N92" i="11" s="1"/>
  <c r="R255" i="9"/>
  <c r="O92" i="11" s="1"/>
  <c r="S255" i="9"/>
  <c r="P92" i="11" s="1"/>
  <c r="T255" i="9"/>
  <c r="Q92" i="11" s="1"/>
  <c r="U255" i="9"/>
  <c r="R92" i="11" s="1"/>
  <c r="V255" i="9"/>
  <c r="S92" i="11" s="1"/>
  <c r="W255" i="9"/>
  <c r="T92" i="11" s="1"/>
  <c r="X255" i="9"/>
  <c r="U92" i="11" s="1"/>
  <c r="Y255" i="9"/>
  <c r="V92" i="11" s="1"/>
  <c r="Z255" i="9"/>
  <c r="W92" i="11" s="1"/>
  <c r="AA255" i="9"/>
  <c r="X92" i="11" s="1"/>
  <c r="AB255" i="9"/>
  <c r="Y92" i="11" s="1"/>
  <c r="AC255" i="9"/>
  <c r="Z92" i="11" s="1"/>
  <c r="AD255" i="9"/>
  <c r="AA92" i="11" s="1"/>
  <c r="AE255" i="9"/>
  <c r="AB92" i="11" s="1"/>
  <c r="F258" i="9"/>
  <c r="C93" i="11" s="1"/>
  <c r="G258" i="9"/>
  <c r="D93" i="11" s="1"/>
  <c r="H258" i="9"/>
  <c r="E93" i="11" s="1"/>
  <c r="I258" i="9"/>
  <c r="F93" i="11" s="1"/>
  <c r="J258" i="9"/>
  <c r="G93" i="11" s="1"/>
  <c r="K258" i="9"/>
  <c r="H93" i="11" s="1"/>
  <c r="L258" i="9"/>
  <c r="I93" i="11" s="1"/>
  <c r="M258" i="9"/>
  <c r="J93" i="11" s="1"/>
  <c r="N258" i="9"/>
  <c r="K93" i="11" s="1"/>
  <c r="O258" i="9"/>
  <c r="L93" i="11" s="1"/>
  <c r="P258" i="9"/>
  <c r="M93" i="11" s="1"/>
  <c r="Q258" i="9"/>
  <c r="N93" i="11" s="1"/>
  <c r="R258" i="9"/>
  <c r="O93" i="11" s="1"/>
  <c r="S258" i="9"/>
  <c r="P93" i="11" s="1"/>
  <c r="T258" i="9"/>
  <c r="Q93" i="11" s="1"/>
  <c r="U258" i="9"/>
  <c r="R93" i="11" s="1"/>
  <c r="V258" i="9"/>
  <c r="S93" i="11" s="1"/>
  <c r="W258" i="9"/>
  <c r="T93" i="11" s="1"/>
  <c r="X258" i="9"/>
  <c r="U93" i="11" s="1"/>
  <c r="Y258" i="9"/>
  <c r="V93" i="11" s="1"/>
  <c r="Z258" i="9"/>
  <c r="W93" i="11" s="1"/>
  <c r="AA258" i="9"/>
  <c r="X93" i="11" s="1"/>
  <c r="AB258" i="9"/>
  <c r="Y93" i="11" s="1"/>
  <c r="AC258" i="9"/>
  <c r="Z93" i="11" s="1"/>
  <c r="AD258" i="9"/>
  <c r="AA93" i="11" s="1"/>
  <c r="AE258" i="9"/>
  <c r="AB93" i="11" s="1"/>
  <c r="F261" i="9"/>
  <c r="C94" i="11" s="1"/>
  <c r="G261" i="9"/>
  <c r="D94" i="11" s="1"/>
  <c r="H261" i="9"/>
  <c r="E94" i="11" s="1"/>
  <c r="I261" i="9"/>
  <c r="F94" i="11" s="1"/>
  <c r="J261" i="9"/>
  <c r="G94" i="11" s="1"/>
  <c r="K261" i="9"/>
  <c r="H94" i="11" s="1"/>
  <c r="L261" i="9"/>
  <c r="I94" i="11" s="1"/>
  <c r="M261" i="9"/>
  <c r="J94" i="11" s="1"/>
  <c r="N261" i="9"/>
  <c r="K94" i="11" s="1"/>
  <c r="O261" i="9"/>
  <c r="L94" i="11" s="1"/>
  <c r="P261" i="9"/>
  <c r="M94" i="11" s="1"/>
  <c r="Q261" i="9"/>
  <c r="N94" i="11" s="1"/>
  <c r="R261" i="9"/>
  <c r="O94" i="11" s="1"/>
  <c r="S261" i="9"/>
  <c r="P94" i="11" s="1"/>
  <c r="T261" i="9"/>
  <c r="Q94" i="11" s="1"/>
  <c r="U261" i="9"/>
  <c r="R94" i="11" s="1"/>
  <c r="V261" i="9"/>
  <c r="S94" i="11" s="1"/>
  <c r="W261" i="9"/>
  <c r="T94" i="11" s="1"/>
  <c r="X261" i="9"/>
  <c r="U94" i="11" s="1"/>
  <c r="Y261" i="9"/>
  <c r="V94" i="11" s="1"/>
  <c r="Z261" i="9"/>
  <c r="W94" i="11" s="1"/>
  <c r="AA261" i="9"/>
  <c r="X94" i="11" s="1"/>
  <c r="AB261" i="9"/>
  <c r="Y94" i="11" s="1"/>
  <c r="AC261" i="9"/>
  <c r="Z94" i="11" s="1"/>
  <c r="AD261" i="9"/>
  <c r="AA94" i="11" s="1"/>
  <c r="AE261" i="9"/>
  <c r="AB94" i="11" s="1"/>
  <c r="F267" i="9"/>
  <c r="C96" i="11" s="1"/>
  <c r="G267" i="9"/>
  <c r="D96" i="11" s="1"/>
  <c r="H267" i="9"/>
  <c r="E96" i="11" s="1"/>
  <c r="I267" i="9"/>
  <c r="F96" i="11" s="1"/>
  <c r="J267" i="9"/>
  <c r="G96" i="11" s="1"/>
  <c r="K267" i="9"/>
  <c r="H96" i="11" s="1"/>
  <c r="L267" i="9"/>
  <c r="I96" i="11" s="1"/>
  <c r="M267" i="9"/>
  <c r="J96" i="11" s="1"/>
  <c r="N267" i="9"/>
  <c r="K96" i="11" s="1"/>
  <c r="O267" i="9"/>
  <c r="L96" i="11" s="1"/>
  <c r="P267" i="9"/>
  <c r="M96" i="11" s="1"/>
  <c r="Q267" i="9"/>
  <c r="N96" i="11" s="1"/>
  <c r="R267" i="9"/>
  <c r="O96" i="11" s="1"/>
  <c r="S267" i="9"/>
  <c r="P96" i="11" s="1"/>
  <c r="T267" i="9"/>
  <c r="Q96" i="11" s="1"/>
  <c r="U267" i="9"/>
  <c r="R96" i="11" s="1"/>
  <c r="V267" i="9"/>
  <c r="S96" i="11" s="1"/>
  <c r="W267" i="9"/>
  <c r="T96" i="11" s="1"/>
  <c r="X267" i="9"/>
  <c r="U96" i="11" s="1"/>
  <c r="Y267" i="9"/>
  <c r="V96" i="11" s="1"/>
  <c r="Z267" i="9"/>
  <c r="W96" i="11" s="1"/>
  <c r="AA267" i="9"/>
  <c r="X96" i="11" s="1"/>
  <c r="AB267" i="9"/>
  <c r="Y96" i="11" s="1"/>
  <c r="AC267" i="9"/>
  <c r="Z96" i="11" s="1"/>
  <c r="AD267" i="9"/>
  <c r="AA96" i="11" s="1"/>
  <c r="AE267" i="9"/>
  <c r="AB96" i="11" s="1"/>
  <c r="F270" i="9"/>
  <c r="C97" i="11" s="1"/>
  <c r="G270" i="9"/>
  <c r="D97" i="11" s="1"/>
  <c r="H270" i="9"/>
  <c r="E97" i="11" s="1"/>
  <c r="I270" i="9"/>
  <c r="F97" i="11" s="1"/>
  <c r="J270" i="9"/>
  <c r="G97" i="11" s="1"/>
  <c r="K270" i="9"/>
  <c r="H97" i="11" s="1"/>
  <c r="L270" i="9"/>
  <c r="I97" i="11" s="1"/>
  <c r="M270" i="9"/>
  <c r="J97" i="11" s="1"/>
  <c r="N270" i="9"/>
  <c r="K97" i="11" s="1"/>
  <c r="O270" i="9"/>
  <c r="L97" i="11" s="1"/>
  <c r="P270" i="9"/>
  <c r="M97" i="11" s="1"/>
  <c r="Q270" i="9"/>
  <c r="N97" i="11" s="1"/>
  <c r="R270" i="9"/>
  <c r="O97" i="11" s="1"/>
  <c r="S270" i="9"/>
  <c r="P97" i="11" s="1"/>
  <c r="T270" i="9"/>
  <c r="Q97" i="11" s="1"/>
  <c r="U270" i="9"/>
  <c r="R97" i="11" s="1"/>
  <c r="V270" i="9"/>
  <c r="S97" i="11" s="1"/>
  <c r="W270" i="9"/>
  <c r="T97" i="11" s="1"/>
  <c r="X270" i="9"/>
  <c r="U97" i="11" s="1"/>
  <c r="Y270" i="9"/>
  <c r="V97" i="11" s="1"/>
  <c r="Z270" i="9"/>
  <c r="W97" i="11" s="1"/>
  <c r="AA270" i="9"/>
  <c r="X97" i="11" s="1"/>
  <c r="AB270" i="9"/>
  <c r="Y97" i="11" s="1"/>
  <c r="AC270" i="9"/>
  <c r="Z97" i="11" s="1"/>
  <c r="AD270" i="9"/>
  <c r="AA97" i="11" s="1"/>
  <c r="AE270" i="9"/>
  <c r="AB97" i="11" s="1"/>
  <c r="F273" i="9"/>
  <c r="C98" i="11" s="1"/>
  <c r="G273" i="9"/>
  <c r="D98" i="11" s="1"/>
  <c r="H273" i="9"/>
  <c r="E98" i="11" s="1"/>
  <c r="I273" i="9"/>
  <c r="F98" i="11" s="1"/>
  <c r="J273" i="9"/>
  <c r="G98" i="11" s="1"/>
  <c r="K273" i="9"/>
  <c r="H98" i="11" s="1"/>
  <c r="L273" i="9"/>
  <c r="I98" i="11" s="1"/>
  <c r="M273" i="9"/>
  <c r="J98" i="11" s="1"/>
  <c r="N273" i="9"/>
  <c r="K98" i="11" s="1"/>
  <c r="O273" i="9"/>
  <c r="L98" i="11" s="1"/>
  <c r="P273" i="9"/>
  <c r="M98" i="11" s="1"/>
  <c r="Q273" i="9"/>
  <c r="N98" i="11" s="1"/>
  <c r="R273" i="9"/>
  <c r="O98" i="11" s="1"/>
  <c r="S273" i="9"/>
  <c r="P98" i="11" s="1"/>
  <c r="T273" i="9"/>
  <c r="Q98" i="11" s="1"/>
  <c r="U273" i="9"/>
  <c r="R98" i="11" s="1"/>
  <c r="V273" i="9"/>
  <c r="S98" i="11" s="1"/>
  <c r="W273" i="9"/>
  <c r="T98" i="11" s="1"/>
  <c r="X273" i="9"/>
  <c r="U98" i="11" s="1"/>
  <c r="Y273" i="9"/>
  <c r="V98" i="11" s="1"/>
  <c r="Z273" i="9"/>
  <c r="W98" i="11" s="1"/>
  <c r="AA273" i="9"/>
  <c r="X98" i="11" s="1"/>
  <c r="AB273" i="9"/>
  <c r="Y98" i="11" s="1"/>
  <c r="AC273" i="9"/>
  <c r="Z98" i="11" s="1"/>
  <c r="AD273" i="9"/>
  <c r="AA98" i="11" s="1"/>
  <c r="AE273" i="9"/>
  <c r="AB98" i="11" s="1"/>
  <c r="F276" i="9"/>
  <c r="C99" i="11" s="1"/>
  <c r="G276" i="9"/>
  <c r="D99" i="11" s="1"/>
  <c r="H276" i="9"/>
  <c r="E99" i="11" s="1"/>
  <c r="I276" i="9"/>
  <c r="F99" i="11" s="1"/>
  <c r="J276" i="9"/>
  <c r="G99" i="11" s="1"/>
  <c r="K276" i="9"/>
  <c r="H99" i="11" s="1"/>
  <c r="L276" i="9"/>
  <c r="I99" i="11" s="1"/>
  <c r="M276" i="9"/>
  <c r="J99" i="11" s="1"/>
  <c r="N276" i="9"/>
  <c r="K99" i="11" s="1"/>
  <c r="O276" i="9"/>
  <c r="L99" i="11" s="1"/>
  <c r="P276" i="9"/>
  <c r="M99" i="11" s="1"/>
  <c r="Q276" i="9"/>
  <c r="N99" i="11" s="1"/>
  <c r="R276" i="9"/>
  <c r="O99" i="11" s="1"/>
  <c r="S276" i="9"/>
  <c r="P99" i="11" s="1"/>
  <c r="T276" i="9"/>
  <c r="Q99" i="11" s="1"/>
  <c r="U276" i="9"/>
  <c r="R99" i="11" s="1"/>
  <c r="V276" i="9"/>
  <c r="S99" i="11" s="1"/>
  <c r="W276" i="9"/>
  <c r="T99" i="11" s="1"/>
  <c r="X276" i="9"/>
  <c r="U99" i="11" s="1"/>
  <c r="Y276" i="9"/>
  <c r="V99" i="11" s="1"/>
  <c r="Z276" i="9"/>
  <c r="W99" i="11" s="1"/>
  <c r="AA276" i="9"/>
  <c r="X99" i="11" s="1"/>
  <c r="AB276" i="9"/>
  <c r="Y99" i="11" s="1"/>
  <c r="AC276" i="9"/>
  <c r="Z99" i="11" s="1"/>
  <c r="AD276" i="9"/>
  <c r="AA99" i="11" s="1"/>
  <c r="AE276" i="9"/>
  <c r="AB99" i="11" s="1"/>
  <c r="F279" i="9"/>
  <c r="C100" i="11" s="1"/>
  <c r="G279" i="9"/>
  <c r="D100" i="11" s="1"/>
  <c r="H279" i="9"/>
  <c r="E100" i="11" s="1"/>
  <c r="I279" i="9"/>
  <c r="F100" i="11" s="1"/>
  <c r="J279" i="9"/>
  <c r="G100" i="11" s="1"/>
  <c r="K279" i="9"/>
  <c r="H100" i="11" s="1"/>
  <c r="L279" i="9"/>
  <c r="I100" i="11" s="1"/>
  <c r="M279" i="9"/>
  <c r="J100" i="11" s="1"/>
  <c r="N279" i="9"/>
  <c r="K100" i="11" s="1"/>
  <c r="O279" i="9"/>
  <c r="L100" i="11" s="1"/>
  <c r="P279" i="9"/>
  <c r="M100" i="11" s="1"/>
  <c r="Q279" i="9"/>
  <c r="N100" i="11" s="1"/>
  <c r="R279" i="9"/>
  <c r="O100" i="11" s="1"/>
  <c r="S279" i="9"/>
  <c r="P100" i="11" s="1"/>
  <c r="T279" i="9"/>
  <c r="Q100" i="11" s="1"/>
  <c r="U279" i="9"/>
  <c r="R100" i="11" s="1"/>
  <c r="V279" i="9"/>
  <c r="S100" i="11" s="1"/>
  <c r="W279" i="9"/>
  <c r="T100" i="11" s="1"/>
  <c r="X279" i="9"/>
  <c r="U100" i="11" s="1"/>
  <c r="Y279" i="9"/>
  <c r="V100" i="11" s="1"/>
  <c r="Z279" i="9"/>
  <c r="W100" i="11" s="1"/>
  <c r="AA279" i="9"/>
  <c r="X100" i="11" s="1"/>
  <c r="AB279" i="9"/>
  <c r="Y100" i="11" s="1"/>
  <c r="AC279" i="9"/>
  <c r="Z100" i="11" s="1"/>
  <c r="AD279" i="9"/>
  <c r="AA100" i="11" s="1"/>
  <c r="AE279" i="9"/>
  <c r="AB100" i="11" s="1"/>
  <c r="F282" i="9"/>
  <c r="C101" i="11" s="1"/>
  <c r="G282" i="9"/>
  <c r="D101" i="11" s="1"/>
  <c r="H282" i="9"/>
  <c r="E101" i="11" s="1"/>
  <c r="I282" i="9"/>
  <c r="F101" i="11" s="1"/>
  <c r="J282" i="9"/>
  <c r="G101" i="11" s="1"/>
  <c r="K282" i="9"/>
  <c r="H101" i="11" s="1"/>
  <c r="L282" i="9"/>
  <c r="I101" i="11" s="1"/>
  <c r="M282" i="9"/>
  <c r="J101" i="11" s="1"/>
  <c r="N282" i="9"/>
  <c r="K101" i="11" s="1"/>
  <c r="O282" i="9"/>
  <c r="L101" i="11" s="1"/>
  <c r="P282" i="9"/>
  <c r="M101" i="11" s="1"/>
  <c r="Q282" i="9"/>
  <c r="N101" i="11" s="1"/>
  <c r="R282" i="9"/>
  <c r="O101" i="11" s="1"/>
  <c r="S282" i="9"/>
  <c r="P101" i="11" s="1"/>
  <c r="T282" i="9"/>
  <c r="Q101" i="11" s="1"/>
  <c r="U282" i="9"/>
  <c r="R101" i="11" s="1"/>
  <c r="V282" i="9"/>
  <c r="S101" i="11" s="1"/>
  <c r="W282" i="9"/>
  <c r="T101" i="11" s="1"/>
  <c r="X282" i="9"/>
  <c r="U101" i="11" s="1"/>
  <c r="Y282" i="9"/>
  <c r="V101" i="11" s="1"/>
  <c r="Z282" i="9"/>
  <c r="W101" i="11" s="1"/>
  <c r="AA282" i="9"/>
  <c r="X101" i="11" s="1"/>
  <c r="AB282" i="9"/>
  <c r="Y101" i="11" s="1"/>
  <c r="AC282" i="9"/>
  <c r="Z101" i="11" s="1"/>
  <c r="AD282" i="9"/>
  <c r="AA101" i="11" s="1"/>
  <c r="AE282" i="9"/>
  <c r="AB101" i="11" s="1"/>
  <c r="E282" i="9"/>
  <c r="B101" i="11" s="1"/>
  <c r="E279" i="9"/>
  <c r="B100" i="11" s="1"/>
  <c r="E276" i="9"/>
  <c r="B99" i="11" s="1"/>
  <c r="E273" i="9"/>
  <c r="B98" i="11" s="1"/>
  <c r="E270" i="9"/>
  <c r="B97" i="11" s="1"/>
  <c r="E267" i="9"/>
  <c r="B96" i="11" s="1"/>
  <c r="E261" i="9"/>
  <c r="B94" i="11" s="1"/>
  <c r="E258" i="9"/>
  <c r="B93" i="11" s="1"/>
  <c r="E255" i="9"/>
  <c r="B92" i="11" s="1"/>
  <c r="E252" i="9"/>
  <c r="B91" i="11" s="1"/>
  <c r="E249" i="9"/>
  <c r="B90" i="11" s="1"/>
  <c r="E246" i="9"/>
  <c r="B89" i="11" s="1"/>
  <c r="E243" i="9"/>
  <c r="B86" i="11" s="1"/>
  <c r="E240" i="9"/>
  <c r="B85" i="11" s="1"/>
  <c r="E237" i="9"/>
  <c r="B84" i="11" s="1"/>
  <c r="E234" i="9"/>
  <c r="B83" i="11" s="1"/>
  <c r="E231" i="9"/>
  <c r="B82" i="11" s="1"/>
  <c r="E228" i="9"/>
  <c r="B81" i="11" s="1"/>
  <c r="E222" i="9"/>
  <c r="B79" i="11" s="1"/>
  <c r="E219" i="9"/>
  <c r="B78" i="11" s="1"/>
  <c r="E216" i="9"/>
  <c r="B77" i="11" s="1"/>
  <c r="E213" i="9"/>
  <c r="B76" i="11" s="1"/>
  <c r="E210" i="9"/>
  <c r="B75" i="11" s="1"/>
  <c r="E207" i="9"/>
  <c r="B74" i="11" s="1"/>
  <c r="E204" i="9"/>
  <c r="B72" i="11" s="1"/>
  <c r="E201" i="9"/>
  <c r="B71" i="11" s="1"/>
  <c r="E198" i="9"/>
  <c r="B70" i="11" s="1"/>
  <c r="E195" i="9"/>
  <c r="B69" i="11" s="1"/>
  <c r="E192" i="9"/>
  <c r="B68" i="11" s="1"/>
  <c r="E189" i="9"/>
  <c r="B67" i="11" s="1"/>
  <c r="E183" i="9"/>
  <c r="B65" i="11" s="1"/>
  <c r="E180" i="9"/>
  <c r="B64" i="11" s="1"/>
  <c r="E177" i="9"/>
  <c r="B63" i="11" s="1"/>
  <c r="E174" i="9"/>
  <c r="B62" i="11" s="1"/>
  <c r="E171" i="9"/>
  <c r="B61" i="11" s="1"/>
  <c r="E168" i="9"/>
  <c r="B60" i="11" s="1"/>
  <c r="E165" i="9"/>
  <c r="B58" i="11" s="1"/>
  <c r="E162" i="9"/>
  <c r="B57" i="11" s="1"/>
  <c r="E159" i="9"/>
  <c r="B56" i="11" s="1"/>
  <c r="E156" i="9"/>
  <c r="B55" i="11" s="1"/>
  <c r="E153" i="9"/>
  <c r="B54" i="11" s="1"/>
  <c r="E150" i="9"/>
  <c r="B53" i="11" s="1"/>
  <c r="E144" i="9"/>
  <c r="B51" i="11" s="1"/>
  <c r="E141" i="9"/>
  <c r="B50" i="11" s="1"/>
  <c r="E138" i="9"/>
  <c r="B49" i="11" s="1"/>
  <c r="E135" i="9"/>
  <c r="B48" i="11" s="1"/>
  <c r="E132" i="9"/>
  <c r="B47" i="11" s="1"/>
  <c r="E129" i="9"/>
  <c r="B46" i="11" s="1"/>
  <c r="E126" i="9"/>
  <c r="B44" i="11" s="1"/>
  <c r="E123" i="9"/>
  <c r="B43" i="11" s="1"/>
  <c r="E120" i="9"/>
  <c r="B42" i="11" s="1"/>
  <c r="E117" i="9"/>
  <c r="B41" i="11" s="1"/>
  <c r="E114" i="9"/>
  <c r="B40" i="11" s="1"/>
  <c r="E111" i="9"/>
  <c r="B39" i="11" s="1"/>
  <c r="E105" i="9"/>
  <c r="B37" i="11" s="1"/>
  <c r="E102" i="9"/>
  <c r="B36" i="11" s="1"/>
  <c r="E99" i="9"/>
  <c r="B35" i="11" s="1"/>
  <c r="E96" i="9"/>
  <c r="B34" i="11" s="1"/>
  <c r="E93" i="9"/>
  <c r="B33" i="11" s="1"/>
  <c r="E90" i="9"/>
  <c r="B32" i="11" s="1"/>
  <c r="E87" i="9"/>
  <c r="B30" i="11" s="1"/>
  <c r="E84" i="9"/>
  <c r="B29" i="11" s="1"/>
  <c r="E81" i="9"/>
  <c r="B28" i="11" s="1"/>
  <c r="E78" i="9"/>
  <c r="B27" i="11" s="1"/>
  <c r="E75" i="9"/>
  <c r="B26" i="11" s="1"/>
  <c r="E72" i="9"/>
  <c r="B25" i="11" s="1"/>
  <c r="E66" i="9"/>
  <c r="B23" i="11" s="1"/>
  <c r="E63" i="9"/>
  <c r="B22" i="11" s="1"/>
  <c r="E60" i="9"/>
  <c r="B21" i="11" s="1"/>
  <c r="E57" i="9"/>
  <c r="B20" i="11" s="1"/>
  <c r="E54" i="9"/>
  <c r="B19" i="11" s="1"/>
  <c r="E51" i="9"/>
  <c r="B18" i="11" s="1"/>
  <c r="E48" i="9"/>
  <c r="B16" i="11" s="1"/>
  <c r="E45" i="9"/>
  <c r="B15" i="11" s="1"/>
  <c r="E42" i="9"/>
  <c r="B14" i="11" s="1"/>
  <c r="E39" i="9"/>
  <c r="B13" i="11" s="1"/>
  <c r="E36" i="9"/>
  <c r="B12" i="11" s="1"/>
  <c r="E33" i="9"/>
  <c r="B11" i="11" s="1"/>
  <c r="E27" i="9"/>
  <c r="B9" i="11" s="1"/>
  <c r="E24" i="9"/>
  <c r="B8" i="11" s="1"/>
  <c r="E21" i="9"/>
  <c r="B7" i="11" s="1"/>
  <c r="E18" i="9"/>
  <c r="B6" i="11" s="1"/>
  <c r="E15" i="9"/>
  <c r="B5" i="11" s="1"/>
  <c r="E12" i="9"/>
  <c r="B4" i="11" s="1"/>
  <c r="K67" i="5"/>
  <c r="K64" i="5"/>
  <c r="K61" i="5"/>
  <c r="K58" i="5"/>
  <c r="K55" i="5"/>
  <c r="K52" i="5"/>
  <c r="I67" i="5"/>
  <c r="I64" i="5"/>
  <c r="I61" i="5"/>
  <c r="I58" i="5"/>
  <c r="I55" i="5"/>
  <c r="I52" i="5"/>
  <c r="H67" i="5"/>
  <c r="H64" i="5"/>
  <c r="H61" i="5"/>
  <c r="H58" i="5"/>
  <c r="H55" i="5"/>
  <c r="H52" i="5"/>
  <c r="N67" i="5"/>
  <c r="M67" i="5"/>
  <c r="L67" i="5"/>
  <c r="N64" i="5"/>
  <c r="M64" i="5"/>
  <c r="L64" i="5"/>
  <c r="N61" i="5"/>
  <c r="M61" i="5"/>
  <c r="L61" i="5"/>
  <c r="N58" i="5"/>
  <c r="M58" i="5"/>
  <c r="L58" i="5"/>
  <c r="N55" i="5"/>
  <c r="N52" i="5"/>
  <c r="M52" i="5"/>
  <c r="L52" i="5"/>
  <c r="AE244" i="5"/>
  <c r="D13" i="5"/>
  <c r="E13" i="5"/>
  <c r="F13" i="5"/>
  <c r="G13" i="5"/>
  <c r="H13" i="5"/>
  <c r="I13" i="5"/>
  <c r="J13" i="5"/>
  <c r="K13" i="5"/>
  <c r="L13" i="5"/>
  <c r="M13" i="5"/>
  <c r="N13" i="5"/>
  <c r="O13" i="5"/>
  <c r="P13" i="5"/>
  <c r="Q13" i="5"/>
  <c r="R13" i="5"/>
  <c r="S13" i="5"/>
  <c r="T13" i="5"/>
  <c r="U13" i="5"/>
  <c r="V13" i="5"/>
  <c r="W13" i="5"/>
  <c r="X13" i="5"/>
  <c r="Y13" i="5"/>
  <c r="Z13" i="5"/>
  <c r="AA13" i="5"/>
  <c r="AB13" i="5"/>
  <c r="AC13" i="5"/>
  <c r="AD13" i="5"/>
  <c r="AE13" i="5"/>
  <c r="AF13" i="5"/>
  <c r="AG13" i="5"/>
  <c r="AH13" i="5"/>
  <c r="D16" i="5"/>
  <c r="E16" i="5"/>
  <c r="F16" i="5"/>
  <c r="G16" i="5"/>
  <c r="H16" i="5"/>
  <c r="I16" i="5"/>
  <c r="J16" i="5"/>
  <c r="K16" i="5"/>
  <c r="L16" i="5"/>
  <c r="M16" i="5"/>
  <c r="N16" i="5"/>
  <c r="O16" i="5"/>
  <c r="P16" i="5"/>
  <c r="Q16" i="5"/>
  <c r="R16" i="5"/>
  <c r="S16" i="5"/>
  <c r="T16" i="5"/>
  <c r="U16" i="5"/>
  <c r="V16" i="5"/>
  <c r="W16" i="5"/>
  <c r="X16" i="5"/>
  <c r="Y16" i="5"/>
  <c r="Z16" i="5"/>
  <c r="AA16" i="5"/>
  <c r="AB16" i="5"/>
  <c r="AC16" i="5"/>
  <c r="AD16" i="5"/>
  <c r="AE16" i="5"/>
  <c r="AF16" i="5"/>
  <c r="AG16" i="5"/>
  <c r="AH16" i="5"/>
  <c r="D19" i="5"/>
  <c r="E19" i="5"/>
  <c r="F19" i="5"/>
  <c r="G19" i="5"/>
  <c r="H19" i="5"/>
  <c r="I19" i="5"/>
  <c r="J19" i="5"/>
  <c r="K19" i="5"/>
  <c r="L19" i="5"/>
  <c r="M19" i="5"/>
  <c r="N19" i="5"/>
  <c r="O19" i="5"/>
  <c r="P19" i="5"/>
  <c r="Q19" i="5"/>
  <c r="R19" i="5"/>
  <c r="S19" i="5"/>
  <c r="T19" i="5"/>
  <c r="U19" i="5"/>
  <c r="V19" i="5"/>
  <c r="W19" i="5"/>
  <c r="X19" i="5"/>
  <c r="Y19" i="5"/>
  <c r="Z19" i="5"/>
  <c r="AA19" i="5"/>
  <c r="AB19" i="5"/>
  <c r="AC19" i="5"/>
  <c r="AD19" i="5"/>
  <c r="AE19" i="5"/>
  <c r="AF19" i="5"/>
  <c r="AG19" i="5"/>
  <c r="AH19" i="5"/>
  <c r="D22" i="5"/>
  <c r="E22" i="5"/>
  <c r="F22" i="5"/>
  <c r="G22" i="5"/>
  <c r="H22" i="5"/>
  <c r="I22" i="5"/>
  <c r="J22" i="5"/>
  <c r="K22" i="5"/>
  <c r="L22" i="5"/>
  <c r="M22" i="5"/>
  <c r="N22" i="5"/>
  <c r="O22" i="5"/>
  <c r="P22" i="5"/>
  <c r="Q22" i="5"/>
  <c r="R22" i="5"/>
  <c r="S22" i="5"/>
  <c r="T22" i="5"/>
  <c r="U22" i="5"/>
  <c r="V22" i="5"/>
  <c r="W22" i="5"/>
  <c r="X22" i="5"/>
  <c r="Y22" i="5"/>
  <c r="Z22" i="5"/>
  <c r="AA22" i="5"/>
  <c r="AB22" i="5"/>
  <c r="AC22" i="5"/>
  <c r="AD22" i="5"/>
  <c r="AE22" i="5"/>
  <c r="AF22" i="5"/>
  <c r="AG22" i="5"/>
  <c r="AH22" i="5"/>
  <c r="D25" i="5"/>
  <c r="E25" i="5"/>
  <c r="F25" i="5"/>
  <c r="G25" i="5"/>
  <c r="H25" i="5"/>
  <c r="I25" i="5"/>
  <c r="J25" i="5"/>
  <c r="K25" i="5"/>
  <c r="L25" i="5"/>
  <c r="M25" i="5"/>
  <c r="N25" i="5"/>
  <c r="O25" i="5"/>
  <c r="P25" i="5"/>
  <c r="Q25" i="5"/>
  <c r="R25" i="5"/>
  <c r="S25" i="5"/>
  <c r="T25" i="5"/>
  <c r="U25" i="5"/>
  <c r="V25" i="5"/>
  <c r="W25" i="5"/>
  <c r="X25" i="5"/>
  <c r="Y25" i="5"/>
  <c r="Z25" i="5"/>
  <c r="AA25" i="5"/>
  <c r="AB25" i="5"/>
  <c r="AC25" i="5"/>
  <c r="AD25" i="5"/>
  <c r="AE25" i="5"/>
  <c r="AF25" i="5"/>
  <c r="AG25" i="5"/>
  <c r="AH25" i="5"/>
  <c r="D28" i="5"/>
  <c r="E28" i="5"/>
  <c r="F28" i="5"/>
  <c r="G28" i="5"/>
  <c r="H28" i="5"/>
  <c r="I28" i="5"/>
  <c r="J28" i="5"/>
  <c r="K28" i="5"/>
  <c r="L28" i="5"/>
  <c r="M28" i="5"/>
  <c r="N28" i="5"/>
  <c r="O28" i="5"/>
  <c r="P28" i="5"/>
  <c r="Q28" i="5"/>
  <c r="R28" i="5"/>
  <c r="S28" i="5"/>
  <c r="T28" i="5"/>
  <c r="U28" i="5"/>
  <c r="V28" i="5"/>
  <c r="W28" i="5"/>
  <c r="X28" i="5"/>
  <c r="Y28" i="5"/>
  <c r="Z28" i="5"/>
  <c r="AA28" i="5"/>
  <c r="AB28" i="5"/>
  <c r="AC28" i="5"/>
  <c r="AD28" i="5"/>
  <c r="AE28" i="5"/>
  <c r="AF28" i="5"/>
  <c r="AG28" i="5"/>
  <c r="AH28" i="5"/>
  <c r="D34" i="5"/>
  <c r="E34" i="5"/>
  <c r="F34" i="5"/>
  <c r="G34" i="5"/>
  <c r="H34" i="5"/>
  <c r="I34" i="5"/>
  <c r="J34" i="5"/>
  <c r="K34" i="5"/>
  <c r="L34" i="5"/>
  <c r="M34" i="5"/>
  <c r="N34" i="5"/>
  <c r="O34" i="5"/>
  <c r="P34" i="5"/>
  <c r="Q34" i="5"/>
  <c r="R34" i="5"/>
  <c r="S34" i="5"/>
  <c r="T34" i="5"/>
  <c r="U34" i="5"/>
  <c r="V34" i="5"/>
  <c r="W34" i="5"/>
  <c r="X34" i="5"/>
  <c r="Y34" i="5"/>
  <c r="Z34" i="5"/>
  <c r="AA34" i="5"/>
  <c r="AB34" i="5"/>
  <c r="AC34" i="5"/>
  <c r="AD34" i="5"/>
  <c r="AE34" i="5"/>
  <c r="AF34" i="5"/>
  <c r="AG34" i="5"/>
  <c r="AH34" i="5"/>
  <c r="D37" i="5"/>
  <c r="E37" i="5"/>
  <c r="F37" i="5"/>
  <c r="G37" i="5"/>
  <c r="H37" i="5"/>
  <c r="I37" i="5"/>
  <c r="J37" i="5"/>
  <c r="K37" i="5"/>
  <c r="L37" i="5"/>
  <c r="M37" i="5"/>
  <c r="N37" i="5"/>
  <c r="O37" i="5"/>
  <c r="P37" i="5"/>
  <c r="Q37" i="5"/>
  <c r="R37" i="5"/>
  <c r="S37" i="5"/>
  <c r="T37" i="5"/>
  <c r="U37" i="5"/>
  <c r="V37" i="5"/>
  <c r="W37" i="5"/>
  <c r="X37" i="5"/>
  <c r="Y37" i="5"/>
  <c r="Z37" i="5"/>
  <c r="AA37" i="5"/>
  <c r="AB37" i="5"/>
  <c r="AC37" i="5"/>
  <c r="AD37" i="5"/>
  <c r="AE37" i="5"/>
  <c r="AF37" i="5"/>
  <c r="AG37" i="5"/>
  <c r="AH37" i="5"/>
  <c r="D40" i="5"/>
  <c r="E40" i="5"/>
  <c r="F40" i="5"/>
  <c r="G40" i="5"/>
  <c r="H40" i="5"/>
  <c r="I40" i="5"/>
  <c r="J40" i="5"/>
  <c r="K40" i="5"/>
  <c r="L40" i="5"/>
  <c r="M40" i="5"/>
  <c r="N40" i="5"/>
  <c r="O40" i="5"/>
  <c r="P40" i="5"/>
  <c r="Q40" i="5"/>
  <c r="R40" i="5"/>
  <c r="S40" i="5"/>
  <c r="T40" i="5"/>
  <c r="U40" i="5"/>
  <c r="V40" i="5"/>
  <c r="W40" i="5"/>
  <c r="X40" i="5"/>
  <c r="Y40" i="5"/>
  <c r="Z40" i="5"/>
  <c r="AA40" i="5"/>
  <c r="AB40" i="5"/>
  <c r="AC40" i="5"/>
  <c r="AD40" i="5"/>
  <c r="AE40" i="5"/>
  <c r="AF40" i="5"/>
  <c r="AG40" i="5"/>
  <c r="AH40" i="5"/>
  <c r="D43" i="5"/>
  <c r="E43" i="5"/>
  <c r="F43" i="5"/>
  <c r="G43" i="5"/>
  <c r="H43" i="5"/>
  <c r="I43" i="5"/>
  <c r="J43" i="5"/>
  <c r="K43" i="5"/>
  <c r="L43" i="5"/>
  <c r="M43" i="5"/>
  <c r="N43" i="5"/>
  <c r="O43" i="5"/>
  <c r="P43" i="5"/>
  <c r="Q43" i="5"/>
  <c r="R43" i="5"/>
  <c r="S43" i="5"/>
  <c r="T43" i="5"/>
  <c r="U43" i="5"/>
  <c r="V43" i="5"/>
  <c r="W43" i="5"/>
  <c r="X43" i="5"/>
  <c r="Y43" i="5"/>
  <c r="Z43" i="5"/>
  <c r="AA43" i="5"/>
  <c r="AB43" i="5"/>
  <c r="AC43" i="5"/>
  <c r="AD43" i="5"/>
  <c r="AE43" i="5"/>
  <c r="AF43" i="5"/>
  <c r="AG43" i="5"/>
  <c r="AH43" i="5"/>
  <c r="D46" i="5"/>
  <c r="E46" i="5"/>
  <c r="F46" i="5"/>
  <c r="G46" i="5"/>
  <c r="H46" i="5"/>
  <c r="I46" i="5"/>
  <c r="J46" i="5"/>
  <c r="K46" i="5"/>
  <c r="L46" i="5"/>
  <c r="M46" i="5"/>
  <c r="N46" i="5"/>
  <c r="O46" i="5"/>
  <c r="P46" i="5"/>
  <c r="Q46" i="5"/>
  <c r="R46" i="5"/>
  <c r="S46" i="5"/>
  <c r="T46" i="5"/>
  <c r="U46" i="5"/>
  <c r="V46" i="5"/>
  <c r="W46" i="5"/>
  <c r="X46" i="5"/>
  <c r="Y46" i="5"/>
  <c r="Z46" i="5"/>
  <c r="AA46" i="5"/>
  <c r="AB46" i="5"/>
  <c r="AC46" i="5"/>
  <c r="AD46" i="5"/>
  <c r="AE46" i="5"/>
  <c r="AF46" i="5"/>
  <c r="AG46" i="5"/>
  <c r="AH46" i="5"/>
  <c r="D49" i="5"/>
  <c r="E49" i="5"/>
  <c r="F49" i="5"/>
  <c r="G49" i="5"/>
  <c r="H49" i="5"/>
  <c r="I49" i="5"/>
  <c r="J49" i="5"/>
  <c r="K49" i="5"/>
  <c r="L49" i="5"/>
  <c r="M49" i="5"/>
  <c r="N49" i="5"/>
  <c r="O49" i="5"/>
  <c r="P49" i="5"/>
  <c r="Q49" i="5"/>
  <c r="R49" i="5"/>
  <c r="S49" i="5"/>
  <c r="T49" i="5"/>
  <c r="U49" i="5"/>
  <c r="V49" i="5"/>
  <c r="W49" i="5"/>
  <c r="X49" i="5"/>
  <c r="Y49" i="5"/>
  <c r="Z49" i="5"/>
  <c r="AA49" i="5"/>
  <c r="AB49" i="5"/>
  <c r="AC49" i="5"/>
  <c r="AD49" i="5"/>
  <c r="AE49" i="5"/>
  <c r="AF49" i="5"/>
  <c r="AG49" i="5"/>
  <c r="AH49" i="5"/>
  <c r="D52" i="5"/>
  <c r="E52" i="5"/>
  <c r="F52" i="5"/>
  <c r="G52" i="5"/>
  <c r="O52" i="5"/>
  <c r="P52" i="5"/>
  <c r="Q52" i="5"/>
  <c r="R52" i="5"/>
  <c r="S52" i="5"/>
  <c r="T52" i="5"/>
  <c r="U52" i="5"/>
  <c r="V52" i="5"/>
  <c r="W52" i="5"/>
  <c r="X52" i="5"/>
  <c r="Y52" i="5"/>
  <c r="Z52" i="5"/>
  <c r="AA52" i="5"/>
  <c r="AB52" i="5"/>
  <c r="AC52" i="5"/>
  <c r="AD52" i="5"/>
  <c r="AE52" i="5"/>
  <c r="AF52" i="5"/>
  <c r="AG52" i="5"/>
  <c r="AH52" i="5"/>
  <c r="D55" i="5"/>
  <c r="E55" i="5"/>
  <c r="F55" i="5"/>
  <c r="G55" i="5"/>
  <c r="O55" i="5"/>
  <c r="P55" i="5"/>
  <c r="Q55" i="5"/>
  <c r="R55" i="5"/>
  <c r="S55" i="5"/>
  <c r="T55" i="5"/>
  <c r="U55" i="5"/>
  <c r="V55" i="5"/>
  <c r="W55" i="5"/>
  <c r="X55" i="5"/>
  <c r="Y55" i="5"/>
  <c r="Z55" i="5"/>
  <c r="AA55" i="5"/>
  <c r="AB55" i="5"/>
  <c r="AC55" i="5"/>
  <c r="AD55" i="5"/>
  <c r="AE55" i="5"/>
  <c r="AF55" i="5"/>
  <c r="AG55" i="5"/>
  <c r="AH55" i="5"/>
  <c r="D58" i="5"/>
  <c r="E58" i="5"/>
  <c r="F58" i="5"/>
  <c r="G58" i="5"/>
  <c r="O58" i="5"/>
  <c r="P58" i="5"/>
  <c r="Q58" i="5"/>
  <c r="R58" i="5"/>
  <c r="S58" i="5"/>
  <c r="T58" i="5"/>
  <c r="U58" i="5"/>
  <c r="V58" i="5"/>
  <c r="W58" i="5"/>
  <c r="X58" i="5"/>
  <c r="Y58" i="5"/>
  <c r="Z58" i="5"/>
  <c r="AA58" i="5"/>
  <c r="AB58" i="5"/>
  <c r="AC58" i="5"/>
  <c r="AD58" i="5"/>
  <c r="AE58" i="5"/>
  <c r="AF58" i="5"/>
  <c r="AG58" i="5"/>
  <c r="AH58" i="5"/>
  <c r="D61" i="5"/>
  <c r="E61" i="5"/>
  <c r="F61" i="5"/>
  <c r="G61" i="5"/>
  <c r="O61" i="5"/>
  <c r="P61" i="5"/>
  <c r="Q61" i="5"/>
  <c r="R61" i="5"/>
  <c r="S61" i="5"/>
  <c r="T61" i="5"/>
  <c r="U61" i="5"/>
  <c r="V61" i="5"/>
  <c r="W61" i="5"/>
  <c r="X61" i="5"/>
  <c r="Y61" i="5"/>
  <c r="Z61" i="5"/>
  <c r="AA61" i="5"/>
  <c r="AB61" i="5"/>
  <c r="AC61" i="5"/>
  <c r="AD61" i="5"/>
  <c r="AE61" i="5"/>
  <c r="AF61" i="5"/>
  <c r="AG61" i="5"/>
  <c r="AH61" i="5"/>
  <c r="D64" i="5"/>
  <c r="E64" i="5"/>
  <c r="F64" i="5"/>
  <c r="G64" i="5"/>
  <c r="O64" i="5"/>
  <c r="P64" i="5"/>
  <c r="Q64" i="5"/>
  <c r="R64" i="5"/>
  <c r="S64" i="5"/>
  <c r="T64" i="5"/>
  <c r="U64" i="5"/>
  <c r="V64" i="5"/>
  <c r="W64" i="5"/>
  <c r="X64" i="5"/>
  <c r="Y64" i="5"/>
  <c r="Z64" i="5"/>
  <c r="AA64" i="5"/>
  <c r="AB64" i="5"/>
  <c r="AC64" i="5"/>
  <c r="AD64" i="5"/>
  <c r="AE64" i="5"/>
  <c r="AF64" i="5"/>
  <c r="AG64" i="5"/>
  <c r="AH64" i="5"/>
  <c r="D67" i="5"/>
  <c r="E67" i="5"/>
  <c r="F67" i="5"/>
  <c r="G67" i="5"/>
  <c r="O67" i="5"/>
  <c r="P67" i="5"/>
  <c r="Q67" i="5"/>
  <c r="R67" i="5"/>
  <c r="S67" i="5"/>
  <c r="T67" i="5"/>
  <c r="U67" i="5"/>
  <c r="V67" i="5"/>
  <c r="W67" i="5"/>
  <c r="X67" i="5"/>
  <c r="Y67" i="5"/>
  <c r="Z67" i="5"/>
  <c r="AA67" i="5"/>
  <c r="AB67" i="5"/>
  <c r="AC67" i="5"/>
  <c r="AD67" i="5"/>
  <c r="AE67" i="5"/>
  <c r="AF67" i="5"/>
  <c r="AG67" i="5"/>
  <c r="AH67" i="5"/>
  <c r="D73" i="5"/>
  <c r="E73" i="5"/>
  <c r="F73" i="5"/>
  <c r="G73" i="5"/>
  <c r="H73" i="5"/>
  <c r="I73" i="5"/>
  <c r="J73" i="5"/>
  <c r="K73" i="5"/>
  <c r="L73" i="5"/>
  <c r="M73" i="5"/>
  <c r="N73" i="5"/>
  <c r="O73" i="5"/>
  <c r="P73" i="5"/>
  <c r="Q73" i="5"/>
  <c r="R73" i="5"/>
  <c r="S73" i="5"/>
  <c r="T73" i="5"/>
  <c r="U73" i="5"/>
  <c r="V73" i="5"/>
  <c r="W73" i="5"/>
  <c r="X73" i="5"/>
  <c r="Y73" i="5"/>
  <c r="Z73" i="5"/>
  <c r="AA73" i="5"/>
  <c r="AB73" i="5"/>
  <c r="AC73" i="5"/>
  <c r="AD73" i="5"/>
  <c r="AE73" i="5"/>
  <c r="AF73" i="5"/>
  <c r="AG73" i="5"/>
  <c r="AH73" i="5"/>
  <c r="D76" i="5"/>
  <c r="E76" i="5"/>
  <c r="F76" i="5"/>
  <c r="G76" i="5"/>
  <c r="H76" i="5"/>
  <c r="I76" i="5"/>
  <c r="J76" i="5"/>
  <c r="K76" i="5"/>
  <c r="L76" i="5"/>
  <c r="M76" i="5"/>
  <c r="N76" i="5"/>
  <c r="O76" i="5"/>
  <c r="P76" i="5"/>
  <c r="Q76" i="5"/>
  <c r="R76" i="5"/>
  <c r="S76" i="5"/>
  <c r="T76" i="5"/>
  <c r="U76" i="5"/>
  <c r="V76" i="5"/>
  <c r="W76" i="5"/>
  <c r="X76" i="5"/>
  <c r="Y76" i="5"/>
  <c r="Z76" i="5"/>
  <c r="AA76" i="5"/>
  <c r="AB76" i="5"/>
  <c r="AC76" i="5"/>
  <c r="AD76" i="5"/>
  <c r="AE76" i="5"/>
  <c r="AF76" i="5"/>
  <c r="AG76" i="5"/>
  <c r="AH76" i="5"/>
  <c r="D79" i="5"/>
  <c r="E79" i="5"/>
  <c r="F79" i="5"/>
  <c r="G79" i="5"/>
  <c r="H79" i="5"/>
  <c r="I79" i="5"/>
  <c r="J79" i="5"/>
  <c r="K79" i="5"/>
  <c r="L79" i="5"/>
  <c r="M79" i="5"/>
  <c r="N79" i="5"/>
  <c r="O79" i="5"/>
  <c r="P79" i="5"/>
  <c r="Q79" i="5"/>
  <c r="R79" i="5"/>
  <c r="S79" i="5"/>
  <c r="T79" i="5"/>
  <c r="U79" i="5"/>
  <c r="V79" i="5"/>
  <c r="W79" i="5"/>
  <c r="X79" i="5"/>
  <c r="Y79" i="5"/>
  <c r="Z79" i="5"/>
  <c r="AA79" i="5"/>
  <c r="AB79" i="5"/>
  <c r="AC79" i="5"/>
  <c r="AD79" i="5"/>
  <c r="AE79" i="5"/>
  <c r="AF79" i="5"/>
  <c r="AG79" i="5"/>
  <c r="AH79" i="5"/>
  <c r="D82" i="5"/>
  <c r="E82" i="5"/>
  <c r="F82" i="5"/>
  <c r="G82" i="5"/>
  <c r="H82" i="5"/>
  <c r="I82" i="5"/>
  <c r="J82" i="5"/>
  <c r="K82" i="5"/>
  <c r="L82" i="5"/>
  <c r="M82" i="5"/>
  <c r="N82" i="5"/>
  <c r="O82" i="5"/>
  <c r="P82" i="5"/>
  <c r="Q82" i="5"/>
  <c r="R82" i="5"/>
  <c r="S82" i="5"/>
  <c r="T82" i="5"/>
  <c r="U82" i="5"/>
  <c r="V82" i="5"/>
  <c r="W82" i="5"/>
  <c r="X82" i="5"/>
  <c r="Y82" i="5"/>
  <c r="Z82" i="5"/>
  <c r="AA82" i="5"/>
  <c r="AB82" i="5"/>
  <c r="AC82" i="5"/>
  <c r="AD82" i="5"/>
  <c r="AE82" i="5"/>
  <c r="AF82" i="5"/>
  <c r="AG82" i="5"/>
  <c r="AH82" i="5"/>
  <c r="D85" i="5"/>
  <c r="E85" i="5"/>
  <c r="F85" i="5"/>
  <c r="G85" i="5"/>
  <c r="H85" i="5"/>
  <c r="I85" i="5"/>
  <c r="J85" i="5"/>
  <c r="K85" i="5"/>
  <c r="L85" i="5"/>
  <c r="M85" i="5"/>
  <c r="N85" i="5"/>
  <c r="O85" i="5"/>
  <c r="P85" i="5"/>
  <c r="Q85" i="5"/>
  <c r="R85" i="5"/>
  <c r="S85" i="5"/>
  <c r="T85" i="5"/>
  <c r="U85" i="5"/>
  <c r="V85" i="5"/>
  <c r="W85" i="5"/>
  <c r="X85" i="5"/>
  <c r="Y85" i="5"/>
  <c r="Z85" i="5"/>
  <c r="AA85" i="5"/>
  <c r="AB85" i="5"/>
  <c r="AC85" i="5"/>
  <c r="AD85" i="5"/>
  <c r="AE85" i="5"/>
  <c r="AF85" i="5"/>
  <c r="AG85" i="5"/>
  <c r="AH85" i="5"/>
  <c r="D88" i="5"/>
  <c r="E88" i="5"/>
  <c r="F88" i="5"/>
  <c r="G88" i="5"/>
  <c r="H88" i="5"/>
  <c r="I88" i="5"/>
  <c r="J88" i="5"/>
  <c r="K88" i="5"/>
  <c r="L88" i="5"/>
  <c r="M88" i="5"/>
  <c r="N88" i="5"/>
  <c r="O88" i="5"/>
  <c r="P88" i="5"/>
  <c r="Q88" i="5"/>
  <c r="R88" i="5"/>
  <c r="S88" i="5"/>
  <c r="T88" i="5"/>
  <c r="U88" i="5"/>
  <c r="V88" i="5"/>
  <c r="W88" i="5"/>
  <c r="X88" i="5"/>
  <c r="Y88" i="5"/>
  <c r="Z88" i="5"/>
  <c r="AA88" i="5"/>
  <c r="AB88" i="5"/>
  <c r="AC88" i="5"/>
  <c r="AD88" i="5"/>
  <c r="AE88" i="5"/>
  <c r="AF88" i="5"/>
  <c r="AG88" i="5"/>
  <c r="AH88" i="5"/>
  <c r="D91" i="5"/>
  <c r="E91" i="5"/>
  <c r="F91" i="5"/>
  <c r="G91" i="5"/>
  <c r="H91" i="5"/>
  <c r="I91" i="5"/>
  <c r="J91" i="5"/>
  <c r="K91" i="5"/>
  <c r="L91" i="5"/>
  <c r="M91" i="5"/>
  <c r="N91" i="5"/>
  <c r="O91" i="5"/>
  <c r="P91" i="5"/>
  <c r="Q91" i="5"/>
  <c r="R91" i="5"/>
  <c r="S91" i="5"/>
  <c r="T91" i="5"/>
  <c r="U91" i="5"/>
  <c r="V91" i="5"/>
  <c r="W91" i="5"/>
  <c r="X91" i="5"/>
  <c r="Y91" i="5"/>
  <c r="Z91" i="5"/>
  <c r="AA91" i="5"/>
  <c r="AB91" i="5"/>
  <c r="AC91" i="5"/>
  <c r="AD91" i="5"/>
  <c r="AE91" i="5"/>
  <c r="AF91" i="5"/>
  <c r="AG91" i="5"/>
  <c r="AH91" i="5"/>
  <c r="D94" i="5"/>
  <c r="E94" i="5"/>
  <c r="F94" i="5"/>
  <c r="G94" i="5"/>
  <c r="H94" i="5"/>
  <c r="I94" i="5"/>
  <c r="J94" i="5"/>
  <c r="K94" i="5"/>
  <c r="L94" i="5"/>
  <c r="M94" i="5"/>
  <c r="N94" i="5"/>
  <c r="O94" i="5"/>
  <c r="P94" i="5"/>
  <c r="Q94" i="5"/>
  <c r="R94" i="5"/>
  <c r="S94" i="5"/>
  <c r="T94" i="5"/>
  <c r="U94" i="5"/>
  <c r="V94" i="5"/>
  <c r="W94" i="5"/>
  <c r="X94" i="5"/>
  <c r="Y94" i="5"/>
  <c r="Z94" i="5"/>
  <c r="AA94" i="5"/>
  <c r="AB94" i="5"/>
  <c r="AC94" i="5"/>
  <c r="AD94" i="5"/>
  <c r="AE94" i="5"/>
  <c r="AF94" i="5"/>
  <c r="AG94" i="5"/>
  <c r="AH94" i="5"/>
  <c r="D97" i="5"/>
  <c r="E97" i="5"/>
  <c r="F97" i="5"/>
  <c r="G97" i="5"/>
  <c r="H97" i="5"/>
  <c r="I97" i="5"/>
  <c r="J97" i="5"/>
  <c r="K97" i="5"/>
  <c r="L97" i="5"/>
  <c r="M97" i="5"/>
  <c r="N97" i="5"/>
  <c r="O97" i="5"/>
  <c r="P97" i="5"/>
  <c r="Q97" i="5"/>
  <c r="R97" i="5"/>
  <c r="S97" i="5"/>
  <c r="T97" i="5"/>
  <c r="U97" i="5"/>
  <c r="V97" i="5"/>
  <c r="W97" i="5"/>
  <c r="X97" i="5"/>
  <c r="Y97" i="5"/>
  <c r="Z97" i="5"/>
  <c r="AA97" i="5"/>
  <c r="AB97" i="5"/>
  <c r="AC97" i="5"/>
  <c r="AD97" i="5"/>
  <c r="AE97" i="5"/>
  <c r="AF97" i="5"/>
  <c r="AG97" i="5"/>
  <c r="AH97" i="5"/>
  <c r="D100" i="5"/>
  <c r="E100" i="5"/>
  <c r="F100" i="5"/>
  <c r="G100" i="5"/>
  <c r="H100" i="5"/>
  <c r="I100" i="5"/>
  <c r="J100" i="5"/>
  <c r="K100" i="5"/>
  <c r="L100" i="5"/>
  <c r="M100" i="5"/>
  <c r="N100" i="5"/>
  <c r="O100" i="5"/>
  <c r="P100" i="5"/>
  <c r="Q100" i="5"/>
  <c r="R100" i="5"/>
  <c r="S100" i="5"/>
  <c r="T100" i="5"/>
  <c r="U100" i="5"/>
  <c r="V100" i="5"/>
  <c r="W100" i="5"/>
  <c r="X100" i="5"/>
  <c r="Y100" i="5"/>
  <c r="Z100" i="5"/>
  <c r="AA100" i="5"/>
  <c r="AB100" i="5"/>
  <c r="AC100" i="5"/>
  <c r="AD100" i="5"/>
  <c r="AE100" i="5"/>
  <c r="AF100" i="5"/>
  <c r="AG100" i="5"/>
  <c r="AH100" i="5"/>
  <c r="D103" i="5"/>
  <c r="E103" i="5"/>
  <c r="F103" i="5"/>
  <c r="G103" i="5"/>
  <c r="H103" i="5"/>
  <c r="I103" i="5"/>
  <c r="J103" i="5"/>
  <c r="K103" i="5"/>
  <c r="L103" i="5"/>
  <c r="M103" i="5"/>
  <c r="N103" i="5"/>
  <c r="O103" i="5"/>
  <c r="P103" i="5"/>
  <c r="Q103" i="5"/>
  <c r="R103" i="5"/>
  <c r="S103" i="5"/>
  <c r="T103" i="5"/>
  <c r="U103" i="5"/>
  <c r="V103" i="5"/>
  <c r="W103" i="5"/>
  <c r="X103" i="5"/>
  <c r="Y103" i="5"/>
  <c r="Z103" i="5"/>
  <c r="AA103" i="5"/>
  <c r="AB103" i="5"/>
  <c r="AC103" i="5"/>
  <c r="AD103" i="5"/>
  <c r="AE103" i="5"/>
  <c r="AF103" i="5"/>
  <c r="AG103" i="5"/>
  <c r="AH103" i="5"/>
  <c r="D106" i="5"/>
  <c r="E106" i="5"/>
  <c r="F106" i="5"/>
  <c r="G106" i="5"/>
  <c r="H106" i="5"/>
  <c r="I106" i="5"/>
  <c r="J106" i="5"/>
  <c r="K106" i="5"/>
  <c r="L106" i="5"/>
  <c r="M106" i="5"/>
  <c r="N106" i="5"/>
  <c r="O106" i="5"/>
  <c r="P106" i="5"/>
  <c r="Q106" i="5"/>
  <c r="R106" i="5"/>
  <c r="S106" i="5"/>
  <c r="T106" i="5"/>
  <c r="U106" i="5"/>
  <c r="V106" i="5"/>
  <c r="W106" i="5"/>
  <c r="X106" i="5"/>
  <c r="Y106" i="5"/>
  <c r="Z106" i="5"/>
  <c r="AA106" i="5"/>
  <c r="AB106" i="5"/>
  <c r="AC106" i="5"/>
  <c r="AD106" i="5"/>
  <c r="AE106" i="5"/>
  <c r="AF106" i="5"/>
  <c r="AG106" i="5"/>
  <c r="AH106" i="5"/>
  <c r="D112" i="5"/>
  <c r="E112" i="5"/>
  <c r="F112" i="5"/>
  <c r="G112" i="5"/>
  <c r="H112" i="5"/>
  <c r="I112" i="5"/>
  <c r="J112" i="5"/>
  <c r="K112" i="5"/>
  <c r="L112" i="5"/>
  <c r="M112" i="5"/>
  <c r="N112" i="5"/>
  <c r="O112" i="5"/>
  <c r="P112" i="5"/>
  <c r="Q112" i="5"/>
  <c r="R112" i="5"/>
  <c r="S112" i="5"/>
  <c r="T112" i="5"/>
  <c r="U112" i="5"/>
  <c r="V112" i="5"/>
  <c r="W112" i="5"/>
  <c r="X112" i="5"/>
  <c r="Y112" i="5"/>
  <c r="Z112" i="5"/>
  <c r="AA112" i="5"/>
  <c r="AB112" i="5"/>
  <c r="AC112" i="5"/>
  <c r="AD112" i="5"/>
  <c r="AE112" i="5"/>
  <c r="AF112" i="5"/>
  <c r="AG112" i="5"/>
  <c r="AH112" i="5"/>
  <c r="D115" i="5"/>
  <c r="E115" i="5"/>
  <c r="F115" i="5"/>
  <c r="G115" i="5"/>
  <c r="H115" i="5"/>
  <c r="I115" i="5"/>
  <c r="J115" i="5"/>
  <c r="K115" i="5"/>
  <c r="L115" i="5"/>
  <c r="M115" i="5"/>
  <c r="N115" i="5"/>
  <c r="O115" i="5"/>
  <c r="P115" i="5"/>
  <c r="Q115" i="5"/>
  <c r="R115" i="5"/>
  <c r="S115" i="5"/>
  <c r="T115" i="5"/>
  <c r="U115" i="5"/>
  <c r="V115" i="5"/>
  <c r="W115" i="5"/>
  <c r="X115" i="5"/>
  <c r="Y115" i="5"/>
  <c r="Z115" i="5"/>
  <c r="AA115" i="5"/>
  <c r="AB115" i="5"/>
  <c r="AC115" i="5"/>
  <c r="AD115" i="5"/>
  <c r="AE115" i="5"/>
  <c r="AF115" i="5"/>
  <c r="AG115" i="5"/>
  <c r="AH115" i="5"/>
  <c r="D118" i="5"/>
  <c r="E118" i="5"/>
  <c r="F118" i="5"/>
  <c r="G118" i="5"/>
  <c r="H118" i="5"/>
  <c r="I118" i="5"/>
  <c r="J118" i="5"/>
  <c r="K118" i="5"/>
  <c r="L118" i="5"/>
  <c r="M118" i="5"/>
  <c r="N118" i="5"/>
  <c r="O118" i="5"/>
  <c r="P118" i="5"/>
  <c r="Q118" i="5"/>
  <c r="R118" i="5"/>
  <c r="S118" i="5"/>
  <c r="T118" i="5"/>
  <c r="U118" i="5"/>
  <c r="V118" i="5"/>
  <c r="W118" i="5"/>
  <c r="X118" i="5"/>
  <c r="Y118" i="5"/>
  <c r="Z118" i="5"/>
  <c r="AA118" i="5"/>
  <c r="AB118" i="5"/>
  <c r="AC118" i="5"/>
  <c r="AD118" i="5"/>
  <c r="AE118" i="5"/>
  <c r="AF118" i="5"/>
  <c r="AG118" i="5"/>
  <c r="AH118" i="5"/>
  <c r="D121" i="5"/>
  <c r="E121" i="5"/>
  <c r="F121" i="5"/>
  <c r="G121" i="5"/>
  <c r="H121" i="5"/>
  <c r="I121" i="5"/>
  <c r="J121" i="5"/>
  <c r="K121" i="5"/>
  <c r="L121" i="5"/>
  <c r="M121" i="5"/>
  <c r="N121" i="5"/>
  <c r="O121" i="5"/>
  <c r="P121" i="5"/>
  <c r="Q121" i="5"/>
  <c r="R121" i="5"/>
  <c r="S121" i="5"/>
  <c r="T121" i="5"/>
  <c r="U121" i="5"/>
  <c r="V121" i="5"/>
  <c r="W121" i="5"/>
  <c r="X121" i="5"/>
  <c r="Y121" i="5"/>
  <c r="Z121" i="5"/>
  <c r="AA121" i="5"/>
  <c r="AB121" i="5"/>
  <c r="AC121" i="5"/>
  <c r="AD121" i="5"/>
  <c r="AE121" i="5"/>
  <c r="AF121" i="5"/>
  <c r="AG121" i="5"/>
  <c r="AH121" i="5"/>
  <c r="D124" i="5"/>
  <c r="E124" i="5"/>
  <c r="F124" i="5"/>
  <c r="G124" i="5"/>
  <c r="H124" i="5"/>
  <c r="I124" i="5"/>
  <c r="J124" i="5"/>
  <c r="K124" i="5"/>
  <c r="L124" i="5"/>
  <c r="M124" i="5"/>
  <c r="N124" i="5"/>
  <c r="O124" i="5"/>
  <c r="P124" i="5"/>
  <c r="Q124" i="5"/>
  <c r="R124" i="5"/>
  <c r="S124" i="5"/>
  <c r="T124" i="5"/>
  <c r="U124" i="5"/>
  <c r="V124" i="5"/>
  <c r="W124" i="5"/>
  <c r="X124" i="5"/>
  <c r="Y124" i="5"/>
  <c r="Z124" i="5"/>
  <c r="AA124" i="5"/>
  <c r="AB124" i="5"/>
  <c r="AC124" i="5"/>
  <c r="AD124" i="5"/>
  <c r="AE124" i="5"/>
  <c r="AF124" i="5"/>
  <c r="AG124" i="5"/>
  <c r="AH124" i="5"/>
  <c r="D127" i="5"/>
  <c r="E127" i="5"/>
  <c r="F127" i="5"/>
  <c r="G127" i="5"/>
  <c r="H127" i="5"/>
  <c r="I127" i="5"/>
  <c r="J127" i="5"/>
  <c r="K127" i="5"/>
  <c r="L127" i="5"/>
  <c r="M127" i="5"/>
  <c r="N127" i="5"/>
  <c r="O127" i="5"/>
  <c r="P127" i="5"/>
  <c r="Q127" i="5"/>
  <c r="R127" i="5"/>
  <c r="S127" i="5"/>
  <c r="T127" i="5"/>
  <c r="U127" i="5"/>
  <c r="V127" i="5"/>
  <c r="W127" i="5"/>
  <c r="X127" i="5"/>
  <c r="Y127" i="5"/>
  <c r="Z127" i="5"/>
  <c r="AA127" i="5"/>
  <c r="AB127" i="5"/>
  <c r="AC127" i="5"/>
  <c r="AD127" i="5"/>
  <c r="AE127" i="5"/>
  <c r="AF127" i="5"/>
  <c r="AG127" i="5"/>
  <c r="AH127" i="5"/>
  <c r="D130" i="5"/>
  <c r="E130" i="5"/>
  <c r="F130" i="5"/>
  <c r="G130" i="5"/>
  <c r="H130" i="5"/>
  <c r="I130" i="5"/>
  <c r="J130" i="5"/>
  <c r="K130" i="5"/>
  <c r="L130" i="5"/>
  <c r="M130" i="5"/>
  <c r="N130" i="5"/>
  <c r="O130" i="5"/>
  <c r="P130" i="5"/>
  <c r="Q130" i="5"/>
  <c r="R130" i="5"/>
  <c r="S130" i="5"/>
  <c r="T130" i="5"/>
  <c r="U130" i="5"/>
  <c r="V130" i="5"/>
  <c r="W130" i="5"/>
  <c r="X130" i="5"/>
  <c r="Y130" i="5"/>
  <c r="Z130" i="5"/>
  <c r="AA130" i="5"/>
  <c r="AB130" i="5"/>
  <c r="AC130" i="5"/>
  <c r="AD130" i="5"/>
  <c r="AE130" i="5"/>
  <c r="AF130" i="5"/>
  <c r="AG130" i="5"/>
  <c r="AH130" i="5"/>
  <c r="D133" i="5"/>
  <c r="E133" i="5"/>
  <c r="F133" i="5"/>
  <c r="G133" i="5"/>
  <c r="H133" i="5"/>
  <c r="I133" i="5"/>
  <c r="J133" i="5"/>
  <c r="K133" i="5"/>
  <c r="L133" i="5"/>
  <c r="M133" i="5"/>
  <c r="N133" i="5"/>
  <c r="O133" i="5"/>
  <c r="P133" i="5"/>
  <c r="Q133" i="5"/>
  <c r="R133" i="5"/>
  <c r="S133" i="5"/>
  <c r="T133" i="5"/>
  <c r="U133" i="5"/>
  <c r="V133" i="5"/>
  <c r="W133" i="5"/>
  <c r="X133" i="5"/>
  <c r="Y133" i="5"/>
  <c r="Z133" i="5"/>
  <c r="AA133" i="5"/>
  <c r="AB133" i="5"/>
  <c r="AC133" i="5"/>
  <c r="AD133" i="5"/>
  <c r="AE133" i="5"/>
  <c r="AF133" i="5"/>
  <c r="AG133" i="5"/>
  <c r="AH133" i="5"/>
  <c r="D136" i="5"/>
  <c r="E136" i="5"/>
  <c r="F136" i="5"/>
  <c r="G136" i="5"/>
  <c r="H136" i="5"/>
  <c r="I136" i="5"/>
  <c r="J136" i="5"/>
  <c r="K136" i="5"/>
  <c r="L136" i="5"/>
  <c r="M136" i="5"/>
  <c r="N136" i="5"/>
  <c r="O136" i="5"/>
  <c r="P136" i="5"/>
  <c r="Q136" i="5"/>
  <c r="R136" i="5"/>
  <c r="S136" i="5"/>
  <c r="T136" i="5"/>
  <c r="U136" i="5"/>
  <c r="V136" i="5"/>
  <c r="W136" i="5"/>
  <c r="X136" i="5"/>
  <c r="Y136" i="5"/>
  <c r="Z136" i="5"/>
  <c r="AA136" i="5"/>
  <c r="AB136" i="5"/>
  <c r="AC136" i="5"/>
  <c r="AD136" i="5"/>
  <c r="AE136" i="5"/>
  <c r="AF136" i="5"/>
  <c r="AG136" i="5"/>
  <c r="AH136" i="5"/>
  <c r="D139" i="5"/>
  <c r="E139" i="5"/>
  <c r="F139" i="5"/>
  <c r="G139" i="5"/>
  <c r="H139" i="5"/>
  <c r="I139" i="5"/>
  <c r="J139" i="5"/>
  <c r="K139" i="5"/>
  <c r="L139" i="5"/>
  <c r="M139" i="5"/>
  <c r="N139" i="5"/>
  <c r="O139" i="5"/>
  <c r="P139" i="5"/>
  <c r="Q139" i="5"/>
  <c r="R139" i="5"/>
  <c r="S139" i="5"/>
  <c r="T139" i="5"/>
  <c r="U139" i="5"/>
  <c r="V139" i="5"/>
  <c r="W139" i="5"/>
  <c r="X139" i="5"/>
  <c r="Y139" i="5"/>
  <c r="Z139" i="5"/>
  <c r="AA139" i="5"/>
  <c r="AB139" i="5"/>
  <c r="AC139" i="5"/>
  <c r="AD139" i="5"/>
  <c r="AE139" i="5"/>
  <c r="AF139" i="5"/>
  <c r="AG139" i="5"/>
  <c r="AH139" i="5"/>
  <c r="D142" i="5"/>
  <c r="E142" i="5"/>
  <c r="F142" i="5"/>
  <c r="G142" i="5"/>
  <c r="H142" i="5"/>
  <c r="I142" i="5"/>
  <c r="J142" i="5"/>
  <c r="K142" i="5"/>
  <c r="L142" i="5"/>
  <c r="M142" i="5"/>
  <c r="N142" i="5"/>
  <c r="O142" i="5"/>
  <c r="P142" i="5"/>
  <c r="Q142" i="5"/>
  <c r="R142" i="5"/>
  <c r="S142" i="5"/>
  <c r="T142" i="5"/>
  <c r="U142" i="5"/>
  <c r="V142" i="5"/>
  <c r="W142" i="5"/>
  <c r="X142" i="5"/>
  <c r="Y142" i="5"/>
  <c r="Z142" i="5"/>
  <c r="AA142" i="5"/>
  <c r="AB142" i="5"/>
  <c r="AC142" i="5"/>
  <c r="AD142" i="5"/>
  <c r="AE142" i="5"/>
  <c r="AF142" i="5"/>
  <c r="AG142" i="5"/>
  <c r="AH142" i="5"/>
  <c r="D145" i="5"/>
  <c r="E145" i="5"/>
  <c r="F145" i="5"/>
  <c r="G145" i="5"/>
  <c r="H145" i="5"/>
  <c r="I145" i="5"/>
  <c r="J145" i="5"/>
  <c r="K145" i="5"/>
  <c r="L145" i="5"/>
  <c r="M145" i="5"/>
  <c r="N145" i="5"/>
  <c r="O145" i="5"/>
  <c r="P145" i="5"/>
  <c r="Q145" i="5"/>
  <c r="R145" i="5"/>
  <c r="S145" i="5"/>
  <c r="T145" i="5"/>
  <c r="U145" i="5"/>
  <c r="V145" i="5"/>
  <c r="W145" i="5"/>
  <c r="X145" i="5"/>
  <c r="Y145" i="5"/>
  <c r="Z145" i="5"/>
  <c r="AA145" i="5"/>
  <c r="AB145" i="5"/>
  <c r="AC145" i="5"/>
  <c r="AD145" i="5"/>
  <c r="AE145" i="5"/>
  <c r="AF145" i="5"/>
  <c r="AG145" i="5"/>
  <c r="AH145" i="5"/>
  <c r="D151" i="5"/>
  <c r="E151" i="5"/>
  <c r="F151" i="5"/>
  <c r="G151" i="5"/>
  <c r="H151" i="5"/>
  <c r="I151" i="5"/>
  <c r="J151" i="5"/>
  <c r="K151" i="5"/>
  <c r="L151" i="5"/>
  <c r="M151" i="5"/>
  <c r="N151" i="5"/>
  <c r="O151" i="5"/>
  <c r="P151" i="5"/>
  <c r="Q151" i="5"/>
  <c r="R151" i="5"/>
  <c r="S151" i="5"/>
  <c r="T151" i="5"/>
  <c r="U151" i="5"/>
  <c r="V151" i="5"/>
  <c r="W151" i="5"/>
  <c r="X151" i="5"/>
  <c r="Y151" i="5"/>
  <c r="Z151" i="5"/>
  <c r="AA151" i="5"/>
  <c r="AB151" i="5"/>
  <c r="AC151" i="5"/>
  <c r="AD151" i="5"/>
  <c r="AE151" i="5"/>
  <c r="AF151" i="5"/>
  <c r="AG151" i="5"/>
  <c r="AH151" i="5"/>
  <c r="D154" i="5"/>
  <c r="E154" i="5"/>
  <c r="F154" i="5"/>
  <c r="G154" i="5"/>
  <c r="H154" i="5"/>
  <c r="I154" i="5"/>
  <c r="J154" i="5"/>
  <c r="K154" i="5"/>
  <c r="L154" i="5"/>
  <c r="M154" i="5"/>
  <c r="N154" i="5"/>
  <c r="O154" i="5"/>
  <c r="P154" i="5"/>
  <c r="Q154" i="5"/>
  <c r="R154" i="5"/>
  <c r="S154" i="5"/>
  <c r="T154" i="5"/>
  <c r="U154" i="5"/>
  <c r="V154" i="5"/>
  <c r="W154" i="5"/>
  <c r="X154" i="5"/>
  <c r="Y154" i="5"/>
  <c r="Z154" i="5"/>
  <c r="AA154" i="5"/>
  <c r="AB154" i="5"/>
  <c r="AC154" i="5"/>
  <c r="AD154" i="5"/>
  <c r="AE154" i="5"/>
  <c r="AF154" i="5"/>
  <c r="AG154" i="5"/>
  <c r="AH154" i="5"/>
  <c r="D157" i="5"/>
  <c r="E157" i="5"/>
  <c r="F157" i="5"/>
  <c r="G157" i="5"/>
  <c r="H157" i="5"/>
  <c r="I157" i="5"/>
  <c r="J157" i="5"/>
  <c r="K157" i="5"/>
  <c r="L157" i="5"/>
  <c r="M157" i="5"/>
  <c r="N157" i="5"/>
  <c r="O157" i="5"/>
  <c r="P157" i="5"/>
  <c r="Q157" i="5"/>
  <c r="R157" i="5"/>
  <c r="S157" i="5"/>
  <c r="T157" i="5"/>
  <c r="U157" i="5"/>
  <c r="V157" i="5"/>
  <c r="W157" i="5"/>
  <c r="X157" i="5"/>
  <c r="Y157" i="5"/>
  <c r="Z157" i="5"/>
  <c r="AA157" i="5"/>
  <c r="AB157" i="5"/>
  <c r="AC157" i="5"/>
  <c r="AD157" i="5"/>
  <c r="AE157" i="5"/>
  <c r="AF157" i="5"/>
  <c r="AG157" i="5"/>
  <c r="AH157" i="5"/>
  <c r="D160" i="5"/>
  <c r="E160" i="5"/>
  <c r="F160" i="5"/>
  <c r="G160" i="5"/>
  <c r="H160" i="5"/>
  <c r="I160" i="5"/>
  <c r="J160" i="5"/>
  <c r="K160" i="5"/>
  <c r="L160" i="5"/>
  <c r="M160" i="5"/>
  <c r="N160" i="5"/>
  <c r="O160" i="5"/>
  <c r="P160" i="5"/>
  <c r="Q160" i="5"/>
  <c r="R160" i="5"/>
  <c r="S160" i="5"/>
  <c r="T160" i="5"/>
  <c r="U160" i="5"/>
  <c r="V160" i="5"/>
  <c r="W160" i="5"/>
  <c r="X160" i="5"/>
  <c r="Y160" i="5"/>
  <c r="Z160" i="5"/>
  <c r="AA160" i="5"/>
  <c r="AB160" i="5"/>
  <c r="AC160" i="5"/>
  <c r="AD160" i="5"/>
  <c r="AE160" i="5"/>
  <c r="AF160" i="5"/>
  <c r="AG160" i="5"/>
  <c r="AH160" i="5"/>
  <c r="D163" i="5"/>
  <c r="E163" i="5"/>
  <c r="F163" i="5"/>
  <c r="G163" i="5"/>
  <c r="H163" i="5"/>
  <c r="I163" i="5"/>
  <c r="J163" i="5"/>
  <c r="K163" i="5"/>
  <c r="L163" i="5"/>
  <c r="M163" i="5"/>
  <c r="N163" i="5"/>
  <c r="O163" i="5"/>
  <c r="P163" i="5"/>
  <c r="Q163" i="5"/>
  <c r="R163" i="5"/>
  <c r="S163" i="5"/>
  <c r="T163" i="5"/>
  <c r="U163" i="5"/>
  <c r="V163" i="5"/>
  <c r="W163" i="5"/>
  <c r="X163" i="5"/>
  <c r="Y163" i="5"/>
  <c r="Z163" i="5"/>
  <c r="AA163" i="5"/>
  <c r="AB163" i="5"/>
  <c r="AC163" i="5"/>
  <c r="AD163" i="5"/>
  <c r="AE163" i="5"/>
  <c r="AF163" i="5"/>
  <c r="AG163" i="5"/>
  <c r="AH163" i="5"/>
  <c r="D166" i="5"/>
  <c r="E166" i="5"/>
  <c r="F166" i="5"/>
  <c r="G166" i="5"/>
  <c r="H166" i="5"/>
  <c r="I166" i="5"/>
  <c r="J166" i="5"/>
  <c r="K166" i="5"/>
  <c r="L166" i="5"/>
  <c r="M166" i="5"/>
  <c r="N166" i="5"/>
  <c r="O166" i="5"/>
  <c r="P166" i="5"/>
  <c r="Q166" i="5"/>
  <c r="R166" i="5"/>
  <c r="S166" i="5"/>
  <c r="T166" i="5"/>
  <c r="U166" i="5"/>
  <c r="V166" i="5"/>
  <c r="W166" i="5"/>
  <c r="X166" i="5"/>
  <c r="Y166" i="5"/>
  <c r="Z166" i="5"/>
  <c r="AA166" i="5"/>
  <c r="AB166" i="5"/>
  <c r="AC166" i="5"/>
  <c r="AD166" i="5"/>
  <c r="AE166" i="5"/>
  <c r="AF166" i="5"/>
  <c r="AG166" i="5"/>
  <c r="AH166" i="5"/>
  <c r="D169" i="5"/>
  <c r="E169" i="5"/>
  <c r="F169" i="5"/>
  <c r="G169" i="5"/>
  <c r="H169" i="5"/>
  <c r="I169" i="5"/>
  <c r="J169" i="5"/>
  <c r="K169" i="5"/>
  <c r="L169" i="5"/>
  <c r="M169" i="5"/>
  <c r="N169" i="5"/>
  <c r="O169" i="5"/>
  <c r="P169" i="5"/>
  <c r="Q169" i="5"/>
  <c r="R169" i="5"/>
  <c r="S169" i="5"/>
  <c r="T169" i="5"/>
  <c r="U169" i="5"/>
  <c r="V169" i="5"/>
  <c r="W169" i="5"/>
  <c r="X169" i="5"/>
  <c r="Y169" i="5"/>
  <c r="Z169" i="5"/>
  <c r="AA169" i="5"/>
  <c r="AB169" i="5"/>
  <c r="AC169" i="5"/>
  <c r="AD169" i="5"/>
  <c r="AE169" i="5"/>
  <c r="AF169" i="5"/>
  <c r="AG169" i="5"/>
  <c r="AH169" i="5"/>
  <c r="D172" i="5"/>
  <c r="E172" i="5"/>
  <c r="F172" i="5"/>
  <c r="G172" i="5"/>
  <c r="H172" i="5"/>
  <c r="I172" i="5"/>
  <c r="J172" i="5"/>
  <c r="K172" i="5"/>
  <c r="L172" i="5"/>
  <c r="M172" i="5"/>
  <c r="N172" i="5"/>
  <c r="O172" i="5"/>
  <c r="P172" i="5"/>
  <c r="Q172" i="5"/>
  <c r="R172" i="5"/>
  <c r="S172" i="5"/>
  <c r="T172" i="5"/>
  <c r="U172" i="5"/>
  <c r="V172" i="5"/>
  <c r="W172" i="5"/>
  <c r="X172" i="5"/>
  <c r="Y172" i="5"/>
  <c r="Z172" i="5"/>
  <c r="AA172" i="5"/>
  <c r="AB172" i="5"/>
  <c r="AC172" i="5"/>
  <c r="AD172" i="5"/>
  <c r="AE172" i="5"/>
  <c r="AF172" i="5"/>
  <c r="AG172" i="5"/>
  <c r="AH172" i="5"/>
  <c r="D175" i="5"/>
  <c r="E175" i="5"/>
  <c r="F175" i="5"/>
  <c r="G175" i="5"/>
  <c r="H175" i="5"/>
  <c r="I175" i="5"/>
  <c r="J175" i="5"/>
  <c r="K175" i="5"/>
  <c r="L175" i="5"/>
  <c r="M175" i="5"/>
  <c r="N175" i="5"/>
  <c r="O175" i="5"/>
  <c r="P175" i="5"/>
  <c r="Q175" i="5"/>
  <c r="R175" i="5"/>
  <c r="S175" i="5"/>
  <c r="T175" i="5"/>
  <c r="U175" i="5"/>
  <c r="V175" i="5"/>
  <c r="W175" i="5"/>
  <c r="X175" i="5"/>
  <c r="Y175" i="5"/>
  <c r="Z175" i="5"/>
  <c r="AA175" i="5"/>
  <c r="AB175" i="5"/>
  <c r="AC175" i="5"/>
  <c r="AD175" i="5"/>
  <c r="AE175" i="5"/>
  <c r="AF175" i="5"/>
  <c r="AG175" i="5"/>
  <c r="AH175" i="5"/>
  <c r="D178" i="5"/>
  <c r="E178" i="5"/>
  <c r="F178" i="5"/>
  <c r="G178" i="5"/>
  <c r="H178" i="5"/>
  <c r="I178" i="5"/>
  <c r="J178" i="5"/>
  <c r="K178" i="5"/>
  <c r="L178" i="5"/>
  <c r="M178" i="5"/>
  <c r="N178" i="5"/>
  <c r="O178" i="5"/>
  <c r="P178" i="5"/>
  <c r="Q178" i="5"/>
  <c r="R178" i="5"/>
  <c r="S178" i="5"/>
  <c r="T178" i="5"/>
  <c r="U178" i="5"/>
  <c r="V178" i="5"/>
  <c r="W178" i="5"/>
  <c r="X178" i="5"/>
  <c r="Y178" i="5"/>
  <c r="Z178" i="5"/>
  <c r="AA178" i="5"/>
  <c r="AB178" i="5"/>
  <c r="AC178" i="5"/>
  <c r="AD178" i="5"/>
  <c r="AE178" i="5"/>
  <c r="AF178" i="5"/>
  <c r="AG178" i="5"/>
  <c r="AH178" i="5"/>
  <c r="D181" i="5"/>
  <c r="E181" i="5"/>
  <c r="F181" i="5"/>
  <c r="G181" i="5"/>
  <c r="H181" i="5"/>
  <c r="I181" i="5"/>
  <c r="J181" i="5"/>
  <c r="K181" i="5"/>
  <c r="L181" i="5"/>
  <c r="M181" i="5"/>
  <c r="N181" i="5"/>
  <c r="O181" i="5"/>
  <c r="P181" i="5"/>
  <c r="Q181" i="5"/>
  <c r="R181" i="5"/>
  <c r="S181" i="5"/>
  <c r="T181" i="5"/>
  <c r="U181" i="5"/>
  <c r="V181" i="5"/>
  <c r="W181" i="5"/>
  <c r="X181" i="5"/>
  <c r="Y181" i="5"/>
  <c r="Z181" i="5"/>
  <c r="AA181" i="5"/>
  <c r="AB181" i="5"/>
  <c r="AC181" i="5"/>
  <c r="AD181" i="5"/>
  <c r="AE181" i="5"/>
  <c r="AF181" i="5"/>
  <c r="AG181" i="5"/>
  <c r="AH181" i="5"/>
  <c r="D184" i="5"/>
  <c r="E184" i="5"/>
  <c r="F184" i="5"/>
  <c r="G184" i="5"/>
  <c r="H184" i="5"/>
  <c r="I184" i="5"/>
  <c r="J184" i="5"/>
  <c r="K184" i="5"/>
  <c r="L184" i="5"/>
  <c r="M184" i="5"/>
  <c r="N184" i="5"/>
  <c r="O184" i="5"/>
  <c r="P184" i="5"/>
  <c r="Q184" i="5"/>
  <c r="R184" i="5"/>
  <c r="S184" i="5"/>
  <c r="T184" i="5"/>
  <c r="U184" i="5"/>
  <c r="V184" i="5"/>
  <c r="W184" i="5"/>
  <c r="X184" i="5"/>
  <c r="Y184" i="5"/>
  <c r="Z184" i="5"/>
  <c r="AA184" i="5"/>
  <c r="AB184" i="5"/>
  <c r="AC184" i="5"/>
  <c r="AD184" i="5"/>
  <c r="AE184" i="5"/>
  <c r="AF184" i="5"/>
  <c r="AG184" i="5"/>
  <c r="AH184" i="5"/>
  <c r="D190" i="5"/>
  <c r="E190" i="5"/>
  <c r="F190" i="5"/>
  <c r="G190" i="5"/>
  <c r="H190" i="5"/>
  <c r="I190" i="5"/>
  <c r="J190" i="5"/>
  <c r="K190" i="5"/>
  <c r="L190" i="5"/>
  <c r="M190" i="5"/>
  <c r="N190" i="5"/>
  <c r="O190" i="5"/>
  <c r="P190" i="5"/>
  <c r="Q190" i="5"/>
  <c r="R190" i="5"/>
  <c r="S190" i="5"/>
  <c r="T190" i="5"/>
  <c r="U190" i="5"/>
  <c r="V190" i="5"/>
  <c r="W190" i="5"/>
  <c r="X190" i="5"/>
  <c r="Y190" i="5"/>
  <c r="Z190" i="5"/>
  <c r="AA190" i="5"/>
  <c r="AB190" i="5"/>
  <c r="AC190" i="5"/>
  <c r="AD190" i="5"/>
  <c r="AE190" i="5"/>
  <c r="AF190" i="5"/>
  <c r="AG190" i="5"/>
  <c r="AH190" i="5"/>
  <c r="D193" i="5"/>
  <c r="E193" i="5"/>
  <c r="F193" i="5"/>
  <c r="G193" i="5"/>
  <c r="H193" i="5"/>
  <c r="I193" i="5"/>
  <c r="J193" i="5"/>
  <c r="K193" i="5"/>
  <c r="L193" i="5"/>
  <c r="M193" i="5"/>
  <c r="N193" i="5"/>
  <c r="O193" i="5"/>
  <c r="P193" i="5"/>
  <c r="Q193" i="5"/>
  <c r="R193" i="5"/>
  <c r="S193" i="5"/>
  <c r="T193" i="5"/>
  <c r="U193" i="5"/>
  <c r="V193" i="5"/>
  <c r="W193" i="5"/>
  <c r="X193" i="5"/>
  <c r="Y193" i="5"/>
  <c r="Z193" i="5"/>
  <c r="AA193" i="5"/>
  <c r="AB193" i="5"/>
  <c r="AC193" i="5"/>
  <c r="AD193" i="5"/>
  <c r="AE193" i="5"/>
  <c r="AF193" i="5"/>
  <c r="AG193" i="5"/>
  <c r="AH193" i="5"/>
  <c r="I194" i="5"/>
  <c r="D196" i="5"/>
  <c r="E196" i="5"/>
  <c r="F196" i="5"/>
  <c r="G196" i="5"/>
  <c r="H196" i="5"/>
  <c r="I196" i="5"/>
  <c r="J196" i="5"/>
  <c r="K196" i="5"/>
  <c r="L196" i="5"/>
  <c r="M196" i="5"/>
  <c r="N196" i="5"/>
  <c r="O196" i="5"/>
  <c r="P196" i="5"/>
  <c r="Q196" i="5"/>
  <c r="R196" i="5"/>
  <c r="S196" i="5"/>
  <c r="T196" i="5"/>
  <c r="U196" i="5"/>
  <c r="V196" i="5"/>
  <c r="W196" i="5"/>
  <c r="X196" i="5"/>
  <c r="Y196" i="5"/>
  <c r="Z196" i="5"/>
  <c r="AA196" i="5"/>
  <c r="AB196" i="5"/>
  <c r="AC196" i="5"/>
  <c r="AD196" i="5"/>
  <c r="AE196" i="5"/>
  <c r="AF196" i="5"/>
  <c r="AG196" i="5"/>
  <c r="AH196" i="5"/>
  <c r="D199" i="5"/>
  <c r="E199" i="5"/>
  <c r="F199" i="5"/>
  <c r="G199" i="5"/>
  <c r="H199" i="5"/>
  <c r="I199" i="5"/>
  <c r="J199" i="5"/>
  <c r="K199" i="5"/>
  <c r="L199" i="5"/>
  <c r="M199" i="5"/>
  <c r="N199" i="5"/>
  <c r="O199" i="5"/>
  <c r="P199" i="5"/>
  <c r="Q199" i="5"/>
  <c r="R199" i="5"/>
  <c r="S199" i="5"/>
  <c r="T199" i="5"/>
  <c r="U199" i="5"/>
  <c r="V199" i="5"/>
  <c r="W199" i="5"/>
  <c r="X199" i="5"/>
  <c r="Y199" i="5"/>
  <c r="Z199" i="5"/>
  <c r="AA199" i="5"/>
  <c r="AB199" i="5"/>
  <c r="AC199" i="5"/>
  <c r="AD199" i="5"/>
  <c r="AE199" i="5"/>
  <c r="AF199" i="5"/>
  <c r="AG199" i="5"/>
  <c r="AH199" i="5"/>
  <c r="D202" i="5"/>
  <c r="E202" i="5"/>
  <c r="F202" i="5"/>
  <c r="G202" i="5"/>
  <c r="H202" i="5"/>
  <c r="I202" i="5"/>
  <c r="J202" i="5"/>
  <c r="K202" i="5"/>
  <c r="L202" i="5"/>
  <c r="M202" i="5"/>
  <c r="N202" i="5"/>
  <c r="O202" i="5"/>
  <c r="P202" i="5"/>
  <c r="Q202" i="5"/>
  <c r="R202" i="5"/>
  <c r="S202" i="5"/>
  <c r="T202" i="5"/>
  <c r="U202" i="5"/>
  <c r="V202" i="5"/>
  <c r="W202" i="5"/>
  <c r="X202" i="5"/>
  <c r="Y202" i="5"/>
  <c r="Z202" i="5"/>
  <c r="AA202" i="5"/>
  <c r="AB202" i="5"/>
  <c r="AC202" i="5"/>
  <c r="AD202" i="5"/>
  <c r="AE202" i="5"/>
  <c r="AF202" i="5"/>
  <c r="AG202" i="5"/>
  <c r="AH202" i="5"/>
  <c r="D205" i="5"/>
  <c r="E205" i="5"/>
  <c r="F205" i="5"/>
  <c r="G205" i="5"/>
  <c r="H205" i="5"/>
  <c r="I205" i="5"/>
  <c r="J205" i="5"/>
  <c r="K205" i="5"/>
  <c r="L205" i="5"/>
  <c r="M205" i="5"/>
  <c r="N205" i="5"/>
  <c r="O205" i="5"/>
  <c r="P205" i="5"/>
  <c r="Q205" i="5"/>
  <c r="R205" i="5"/>
  <c r="S205" i="5"/>
  <c r="T205" i="5"/>
  <c r="U205" i="5"/>
  <c r="V205" i="5"/>
  <c r="W205" i="5"/>
  <c r="X205" i="5"/>
  <c r="Y205" i="5"/>
  <c r="Z205" i="5"/>
  <c r="AA205" i="5"/>
  <c r="AB205" i="5"/>
  <c r="AC205" i="5"/>
  <c r="AD205" i="5"/>
  <c r="AE205" i="5"/>
  <c r="AF205" i="5"/>
  <c r="AG205" i="5"/>
  <c r="AH205" i="5"/>
  <c r="D208" i="5"/>
  <c r="E208" i="5"/>
  <c r="F208" i="5"/>
  <c r="G208" i="5"/>
  <c r="H208" i="5"/>
  <c r="I208" i="5"/>
  <c r="J208" i="5"/>
  <c r="K208" i="5"/>
  <c r="L208" i="5"/>
  <c r="M208" i="5"/>
  <c r="N208" i="5"/>
  <c r="O208" i="5"/>
  <c r="P208" i="5"/>
  <c r="Q208" i="5"/>
  <c r="R208" i="5"/>
  <c r="S208" i="5"/>
  <c r="T208" i="5"/>
  <c r="U208" i="5"/>
  <c r="V208" i="5"/>
  <c r="W208" i="5"/>
  <c r="X208" i="5"/>
  <c r="Y208" i="5"/>
  <c r="Z208" i="5"/>
  <c r="AA208" i="5"/>
  <c r="AB208" i="5"/>
  <c r="AC208" i="5"/>
  <c r="AD208" i="5"/>
  <c r="AE208" i="5"/>
  <c r="AF208" i="5"/>
  <c r="AG208" i="5"/>
  <c r="AH208" i="5"/>
  <c r="D211" i="5"/>
  <c r="E211" i="5"/>
  <c r="F211" i="5"/>
  <c r="G211" i="5"/>
  <c r="H211" i="5"/>
  <c r="I211" i="5"/>
  <c r="J211" i="5"/>
  <c r="K211" i="5"/>
  <c r="L211" i="5"/>
  <c r="M211" i="5"/>
  <c r="N211" i="5"/>
  <c r="O211" i="5"/>
  <c r="P211" i="5"/>
  <c r="Q211" i="5"/>
  <c r="R211" i="5"/>
  <c r="S211" i="5"/>
  <c r="T211" i="5"/>
  <c r="U211" i="5"/>
  <c r="V211" i="5"/>
  <c r="W211" i="5"/>
  <c r="X211" i="5"/>
  <c r="Y211" i="5"/>
  <c r="Z211" i="5"/>
  <c r="AA211" i="5"/>
  <c r="AB211" i="5"/>
  <c r="AC211" i="5"/>
  <c r="AD211" i="5"/>
  <c r="AE211" i="5"/>
  <c r="AF211" i="5"/>
  <c r="AG211" i="5"/>
  <c r="AH211" i="5"/>
  <c r="D214" i="5"/>
  <c r="E214" i="5"/>
  <c r="F214" i="5"/>
  <c r="G214" i="5"/>
  <c r="H214" i="5"/>
  <c r="I214" i="5"/>
  <c r="J214" i="5"/>
  <c r="K214" i="5"/>
  <c r="L214" i="5"/>
  <c r="M214" i="5"/>
  <c r="N214" i="5"/>
  <c r="O214" i="5"/>
  <c r="P214" i="5"/>
  <c r="Q214" i="5"/>
  <c r="R214" i="5"/>
  <c r="S214" i="5"/>
  <c r="T214" i="5"/>
  <c r="U214" i="5"/>
  <c r="V214" i="5"/>
  <c r="W214" i="5"/>
  <c r="X214" i="5"/>
  <c r="Y214" i="5"/>
  <c r="Z214" i="5"/>
  <c r="AA214" i="5"/>
  <c r="AB214" i="5"/>
  <c r="AC214" i="5"/>
  <c r="AD214" i="5"/>
  <c r="AE214" i="5"/>
  <c r="AF214" i="5"/>
  <c r="AG214" i="5"/>
  <c r="AH214" i="5"/>
  <c r="D217" i="5"/>
  <c r="E217" i="5"/>
  <c r="F217" i="5"/>
  <c r="G217" i="5"/>
  <c r="H217" i="5"/>
  <c r="I217" i="5"/>
  <c r="J217" i="5"/>
  <c r="K217" i="5"/>
  <c r="L217" i="5"/>
  <c r="M217" i="5"/>
  <c r="N217" i="5"/>
  <c r="O217" i="5"/>
  <c r="P217" i="5"/>
  <c r="Q217" i="5"/>
  <c r="R217" i="5"/>
  <c r="S217" i="5"/>
  <c r="T217" i="5"/>
  <c r="U217" i="5"/>
  <c r="V217" i="5"/>
  <c r="W217" i="5"/>
  <c r="X217" i="5"/>
  <c r="Y217" i="5"/>
  <c r="Z217" i="5"/>
  <c r="AA217" i="5"/>
  <c r="AB217" i="5"/>
  <c r="AC217" i="5"/>
  <c r="AD217" i="5"/>
  <c r="AE217" i="5"/>
  <c r="AF217" i="5"/>
  <c r="AG217" i="5"/>
  <c r="AH217" i="5"/>
  <c r="D220" i="5"/>
  <c r="E220" i="5"/>
  <c r="F220" i="5"/>
  <c r="G220" i="5"/>
  <c r="H220" i="5"/>
  <c r="I220" i="5"/>
  <c r="J220" i="5"/>
  <c r="K220" i="5"/>
  <c r="L220" i="5"/>
  <c r="M220" i="5"/>
  <c r="N220" i="5"/>
  <c r="O220" i="5"/>
  <c r="P220" i="5"/>
  <c r="Q220" i="5"/>
  <c r="R220" i="5"/>
  <c r="S220" i="5"/>
  <c r="T220" i="5"/>
  <c r="U220" i="5"/>
  <c r="V220" i="5"/>
  <c r="W220" i="5"/>
  <c r="X220" i="5"/>
  <c r="Y220" i="5"/>
  <c r="Z220" i="5"/>
  <c r="AA220" i="5"/>
  <c r="AB220" i="5"/>
  <c r="AC220" i="5"/>
  <c r="AD220" i="5"/>
  <c r="AE220" i="5"/>
  <c r="AF220" i="5"/>
  <c r="AG220" i="5"/>
  <c r="AH220" i="5"/>
  <c r="D223" i="5"/>
  <c r="E223" i="5"/>
  <c r="F223" i="5"/>
  <c r="G223" i="5"/>
  <c r="H223" i="5"/>
  <c r="I223" i="5"/>
  <c r="J223" i="5"/>
  <c r="K223" i="5"/>
  <c r="L223" i="5"/>
  <c r="M223" i="5"/>
  <c r="N223" i="5"/>
  <c r="O223" i="5"/>
  <c r="P223" i="5"/>
  <c r="Q223" i="5"/>
  <c r="R223" i="5"/>
  <c r="S223" i="5"/>
  <c r="T223" i="5"/>
  <c r="U223" i="5"/>
  <c r="V223" i="5"/>
  <c r="W223" i="5"/>
  <c r="X223" i="5"/>
  <c r="Y223" i="5"/>
  <c r="Z223" i="5"/>
  <c r="AA223" i="5"/>
  <c r="AB223" i="5"/>
  <c r="AC223" i="5"/>
  <c r="AD223" i="5"/>
  <c r="AE223" i="5"/>
  <c r="AF223" i="5"/>
  <c r="AG223" i="5"/>
  <c r="AH223" i="5"/>
  <c r="D229" i="5"/>
  <c r="E229" i="5"/>
  <c r="F229" i="5"/>
  <c r="G229" i="5"/>
  <c r="H229" i="5"/>
  <c r="I229" i="5"/>
  <c r="J229" i="5"/>
  <c r="K229" i="5"/>
  <c r="L229" i="5"/>
  <c r="M229" i="5"/>
  <c r="N229" i="5"/>
  <c r="O229" i="5"/>
  <c r="P229" i="5"/>
  <c r="Q229" i="5"/>
  <c r="R229" i="5"/>
  <c r="S229" i="5"/>
  <c r="T229" i="5"/>
  <c r="U229" i="5"/>
  <c r="V229" i="5"/>
  <c r="W229" i="5"/>
  <c r="X229" i="5"/>
  <c r="Y229" i="5"/>
  <c r="Z229" i="5"/>
  <c r="AA229" i="5"/>
  <c r="AB229" i="5"/>
  <c r="AC229" i="5"/>
  <c r="AD229" i="5"/>
  <c r="AE229" i="5"/>
  <c r="AF229" i="5"/>
  <c r="AG229" i="5"/>
  <c r="AH229" i="5"/>
  <c r="D232" i="5"/>
  <c r="E232" i="5"/>
  <c r="F232" i="5"/>
  <c r="G232" i="5"/>
  <c r="H232" i="5"/>
  <c r="I232" i="5"/>
  <c r="J232" i="5"/>
  <c r="K232" i="5"/>
  <c r="L232" i="5"/>
  <c r="M232" i="5"/>
  <c r="N232" i="5"/>
  <c r="O232" i="5"/>
  <c r="P232" i="5"/>
  <c r="Q232" i="5"/>
  <c r="R232" i="5"/>
  <c r="S232" i="5"/>
  <c r="T232" i="5"/>
  <c r="U232" i="5"/>
  <c r="V232" i="5"/>
  <c r="W232" i="5"/>
  <c r="X232" i="5"/>
  <c r="Y232" i="5"/>
  <c r="Z232" i="5"/>
  <c r="AA232" i="5"/>
  <c r="AB232" i="5"/>
  <c r="AC232" i="5"/>
  <c r="AD232" i="5"/>
  <c r="AE232" i="5"/>
  <c r="AF232" i="5"/>
  <c r="AG232" i="5"/>
  <c r="AH232" i="5"/>
  <c r="D235" i="5"/>
  <c r="E235" i="5"/>
  <c r="F235" i="5"/>
  <c r="G235" i="5"/>
  <c r="H235" i="5"/>
  <c r="I235" i="5"/>
  <c r="J235" i="5"/>
  <c r="K235" i="5"/>
  <c r="L235" i="5"/>
  <c r="M235" i="5"/>
  <c r="N235" i="5"/>
  <c r="O235" i="5"/>
  <c r="P235" i="5"/>
  <c r="Q235" i="5"/>
  <c r="R235" i="5"/>
  <c r="S235" i="5"/>
  <c r="T235" i="5"/>
  <c r="U235" i="5"/>
  <c r="V235" i="5"/>
  <c r="W235" i="5"/>
  <c r="X235" i="5"/>
  <c r="Y235" i="5"/>
  <c r="Z235" i="5"/>
  <c r="AA235" i="5"/>
  <c r="AB235" i="5"/>
  <c r="AC235" i="5"/>
  <c r="AD235" i="5"/>
  <c r="AE235" i="5"/>
  <c r="AF235" i="5"/>
  <c r="AG235" i="5"/>
  <c r="AH235" i="5"/>
  <c r="D238" i="5"/>
  <c r="E238" i="5"/>
  <c r="F238" i="5"/>
  <c r="G238" i="5"/>
  <c r="H238" i="5"/>
  <c r="I238" i="5"/>
  <c r="J238" i="5"/>
  <c r="K238" i="5"/>
  <c r="L238" i="5"/>
  <c r="M238" i="5"/>
  <c r="N238" i="5"/>
  <c r="O238" i="5"/>
  <c r="P238" i="5"/>
  <c r="Q238" i="5"/>
  <c r="R238" i="5"/>
  <c r="S238" i="5"/>
  <c r="T238" i="5"/>
  <c r="U238" i="5"/>
  <c r="V238" i="5"/>
  <c r="W238" i="5"/>
  <c r="X238" i="5"/>
  <c r="Y238" i="5"/>
  <c r="Z238" i="5"/>
  <c r="AA238" i="5"/>
  <c r="AB238" i="5"/>
  <c r="AC238" i="5"/>
  <c r="AD238" i="5"/>
  <c r="AE238" i="5"/>
  <c r="AF238" i="5"/>
  <c r="AG238" i="5"/>
  <c r="AH238" i="5"/>
  <c r="D241" i="5"/>
  <c r="E241" i="5"/>
  <c r="F241" i="5"/>
  <c r="G241" i="5"/>
  <c r="H241" i="5"/>
  <c r="I241" i="5"/>
  <c r="J241" i="5"/>
  <c r="K241" i="5"/>
  <c r="L241" i="5"/>
  <c r="M241" i="5"/>
  <c r="N241" i="5"/>
  <c r="O241" i="5"/>
  <c r="P241" i="5"/>
  <c r="Q241" i="5"/>
  <c r="R241" i="5"/>
  <c r="S241" i="5"/>
  <c r="T241" i="5"/>
  <c r="U241" i="5"/>
  <c r="V241" i="5"/>
  <c r="W241" i="5"/>
  <c r="X241" i="5"/>
  <c r="Y241" i="5"/>
  <c r="Z241" i="5"/>
  <c r="AA241" i="5"/>
  <c r="AB241" i="5"/>
  <c r="AC241" i="5"/>
  <c r="AD241" i="5"/>
  <c r="AE241" i="5"/>
  <c r="AF241" i="5"/>
  <c r="AG241" i="5"/>
  <c r="AH241" i="5"/>
  <c r="D244" i="5"/>
  <c r="E244" i="5"/>
  <c r="F244" i="5"/>
  <c r="G244" i="5"/>
  <c r="H244" i="5"/>
  <c r="I244" i="5"/>
  <c r="J244" i="5"/>
  <c r="K244" i="5"/>
  <c r="L244" i="5"/>
  <c r="M244" i="5"/>
  <c r="N244" i="5"/>
  <c r="O244" i="5"/>
  <c r="P244" i="5"/>
  <c r="Q244" i="5"/>
  <c r="R244" i="5"/>
  <c r="S244" i="5"/>
  <c r="T244" i="5"/>
  <c r="U244" i="5"/>
  <c r="V244" i="5"/>
  <c r="W244" i="5"/>
  <c r="X244" i="5"/>
  <c r="Y244" i="5"/>
  <c r="Z244" i="5"/>
  <c r="AA244" i="5"/>
  <c r="AB244" i="5"/>
  <c r="AC244" i="5"/>
  <c r="AD244" i="5"/>
  <c r="AF244" i="5"/>
  <c r="AG244" i="5"/>
  <c r="AH244" i="5"/>
  <c r="D247" i="5"/>
  <c r="E247" i="5"/>
  <c r="F247" i="5"/>
  <c r="G247" i="5"/>
  <c r="H247" i="5"/>
  <c r="I247" i="5"/>
  <c r="J247" i="5"/>
  <c r="K247" i="5"/>
  <c r="L247" i="5"/>
  <c r="M247" i="5"/>
  <c r="N247" i="5"/>
  <c r="O247" i="5"/>
  <c r="P247" i="5"/>
  <c r="Q247" i="5"/>
  <c r="R247" i="5"/>
  <c r="S247" i="5"/>
  <c r="T247" i="5"/>
  <c r="U247" i="5"/>
  <c r="V247" i="5"/>
  <c r="W247" i="5"/>
  <c r="X247" i="5"/>
  <c r="Y247" i="5"/>
  <c r="Z247" i="5"/>
  <c r="AA247" i="5"/>
  <c r="AB247" i="5"/>
  <c r="AC247" i="5"/>
  <c r="AD247" i="5"/>
  <c r="AE247" i="5"/>
  <c r="AF247" i="5"/>
  <c r="AG247" i="5"/>
  <c r="AH247" i="5"/>
  <c r="D250" i="5"/>
  <c r="E250" i="5"/>
  <c r="F250" i="5"/>
  <c r="G250" i="5"/>
  <c r="H250" i="5"/>
  <c r="I250" i="5"/>
  <c r="J250" i="5"/>
  <c r="K250" i="5"/>
  <c r="L250" i="5"/>
  <c r="M250" i="5"/>
  <c r="N250" i="5"/>
  <c r="O250" i="5"/>
  <c r="P250" i="5"/>
  <c r="Q250" i="5"/>
  <c r="R250" i="5"/>
  <c r="S250" i="5"/>
  <c r="T250" i="5"/>
  <c r="U250" i="5"/>
  <c r="V250" i="5"/>
  <c r="W250" i="5"/>
  <c r="X250" i="5"/>
  <c r="Y250" i="5"/>
  <c r="Z250" i="5"/>
  <c r="AA250" i="5"/>
  <c r="AB250" i="5"/>
  <c r="AC250" i="5"/>
  <c r="AD250" i="5"/>
  <c r="AE250" i="5"/>
  <c r="AF250" i="5"/>
  <c r="AG250" i="5"/>
  <c r="AH250" i="5"/>
  <c r="D253" i="5"/>
  <c r="E253" i="5"/>
  <c r="F253" i="5"/>
  <c r="G253" i="5"/>
  <c r="H253" i="5"/>
  <c r="I253" i="5"/>
  <c r="J253" i="5"/>
  <c r="K253" i="5"/>
  <c r="L253" i="5"/>
  <c r="M253" i="5"/>
  <c r="N253" i="5"/>
  <c r="O253" i="5"/>
  <c r="P253" i="5"/>
  <c r="Q253" i="5"/>
  <c r="R253" i="5"/>
  <c r="S253" i="5"/>
  <c r="T253" i="5"/>
  <c r="U253" i="5"/>
  <c r="V253" i="5"/>
  <c r="W253" i="5"/>
  <c r="X253" i="5"/>
  <c r="Y253" i="5"/>
  <c r="Z253" i="5"/>
  <c r="AA253" i="5"/>
  <c r="AB253" i="5"/>
  <c r="AC253" i="5"/>
  <c r="AD253" i="5"/>
  <c r="AE253" i="5"/>
  <c r="AF253" i="5"/>
  <c r="AG253" i="5"/>
  <c r="AH253" i="5"/>
  <c r="D256" i="5"/>
  <c r="E256" i="5"/>
  <c r="F256" i="5"/>
  <c r="G256" i="5"/>
  <c r="H256" i="5"/>
  <c r="I256" i="5"/>
  <c r="J256" i="5"/>
  <c r="K256" i="5"/>
  <c r="L256" i="5"/>
  <c r="M256" i="5"/>
  <c r="N256" i="5"/>
  <c r="O256" i="5"/>
  <c r="P256" i="5"/>
  <c r="Q256" i="5"/>
  <c r="R256" i="5"/>
  <c r="S256" i="5"/>
  <c r="T256" i="5"/>
  <c r="U256" i="5"/>
  <c r="V256" i="5"/>
  <c r="W256" i="5"/>
  <c r="X256" i="5"/>
  <c r="Y256" i="5"/>
  <c r="Z256" i="5"/>
  <c r="AA256" i="5"/>
  <c r="AB256" i="5"/>
  <c r="AC256" i="5"/>
  <c r="AD256" i="5"/>
  <c r="AE256" i="5"/>
  <c r="AF256" i="5"/>
  <c r="AG256" i="5"/>
  <c r="AH256" i="5"/>
  <c r="D259" i="5"/>
  <c r="E259" i="5"/>
  <c r="F259" i="5"/>
  <c r="G259" i="5"/>
  <c r="H259" i="5"/>
  <c r="I259" i="5"/>
  <c r="J259" i="5"/>
  <c r="K259" i="5"/>
  <c r="L259" i="5"/>
  <c r="M259" i="5"/>
  <c r="N259" i="5"/>
  <c r="O259" i="5"/>
  <c r="P259" i="5"/>
  <c r="Q259" i="5"/>
  <c r="R259" i="5"/>
  <c r="S259" i="5"/>
  <c r="T259" i="5"/>
  <c r="U259" i="5"/>
  <c r="V259" i="5"/>
  <c r="W259" i="5"/>
  <c r="X259" i="5"/>
  <c r="Y259" i="5"/>
  <c r="Z259" i="5"/>
  <c r="AA259" i="5"/>
  <c r="AB259" i="5"/>
  <c r="AC259" i="5"/>
  <c r="AD259" i="5"/>
  <c r="AE259" i="5"/>
  <c r="AF259" i="5"/>
  <c r="AG259" i="5"/>
  <c r="AH259" i="5"/>
  <c r="D262" i="5"/>
  <c r="E262" i="5"/>
  <c r="F262" i="5"/>
  <c r="G262" i="5"/>
  <c r="H262" i="5"/>
  <c r="I262" i="5"/>
  <c r="J262" i="5"/>
  <c r="K262" i="5"/>
  <c r="L262" i="5"/>
  <c r="M262" i="5"/>
  <c r="N262" i="5"/>
  <c r="O262" i="5"/>
  <c r="P262" i="5"/>
  <c r="Q262" i="5"/>
  <c r="R262" i="5"/>
  <c r="S262" i="5"/>
  <c r="T262" i="5"/>
  <c r="U262" i="5"/>
  <c r="V262" i="5"/>
  <c r="W262" i="5"/>
  <c r="X262" i="5"/>
  <c r="Y262" i="5"/>
  <c r="Z262" i="5"/>
  <c r="AA262" i="5"/>
  <c r="AB262" i="5"/>
  <c r="AC262" i="5"/>
  <c r="AD262" i="5"/>
  <c r="AE262" i="5"/>
  <c r="AF262" i="5"/>
  <c r="AG262" i="5"/>
  <c r="AH262" i="5"/>
  <c r="D268" i="5"/>
  <c r="E268" i="5"/>
  <c r="F268" i="5"/>
  <c r="G268" i="5"/>
  <c r="H268" i="5"/>
  <c r="I268" i="5"/>
  <c r="J268" i="5"/>
  <c r="K268" i="5"/>
  <c r="L268" i="5"/>
  <c r="M268" i="5"/>
  <c r="N268" i="5"/>
  <c r="O268" i="5"/>
  <c r="P268" i="5"/>
  <c r="Q268" i="5"/>
  <c r="R268" i="5"/>
  <c r="S268" i="5"/>
  <c r="T268" i="5"/>
  <c r="U268" i="5"/>
  <c r="V268" i="5"/>
  <c r="W268" i="5"/>
  <c r="X268" i="5"/>
  <c r="Y268" i="5"/>
  <c r="Z268" i="5"/>
  <c r="AA268" i="5"/>
  <c r="AB268" i="5"/>
  <c r="AC268" i="5"/>
  <c r="AD268" i="5"/>
  <c r="AE268" i="5"/>
  <c r="AF268" i="5"/>
  <c r="AG268" i="5"/>
  <c r="AH268" i="5"/>
  <c r="D271" i="5"/>
  <c r="E271" i="5"/>
  <c r="F271" i="5"/>
  <c r="G271" i="5"/>
  <c r="H271" i="5"/>
  <c r="I271" i="5"/>
  <c r="J271" i="5"/>
  <c r="K271" i="5"/>
  <c r="L271" i="5"/>
  <c r="M271" i="5"/>
  <c r="N271" i="5"/>
  <c r="O271" i="5"/>
  <c r="P271" i="5"/>
  <c r="Q271" i="5"/>
  <c r="R271" i="5"/>
  <c r="S271" i="5"/>
  <c r="T271" i="5"/>
  <c r="U271" i="5"/>
  <c r="V271" i="5"/>
  <c r="W271" i="5"/>
  <c r="X271" i="5"/>
  <c r="Y271" i="5"/>
  <c r="Z271" i="5"/>
  <c r="AA271" i="5"/>
  <c r="AB271" i="5"/>
  <c r="AC271" i="5"/>
  <c r="AD271" i="5"/>
  <c r="AE271" i="5"/>
  <c r="AF271" i="5"/>
  <c r="AG271" i="5"/>
  <c r="AH271" i="5"/>
  <c r="D274" i="5"/>
  <c r="E274" i="5"/>
  <c r="F274" i="5"/>
  <c r="G274" i="5"/>
  <c r="H274" i="5"/>
  <c r="I274" i="5"/>
  <c r="J274" i="5"/>
  <c r="K274" i="5"/>
  <c r="L274" i="5"/>
  <c r="M274" i="5"/>
  <c r="N274" i="5"/>
  <c r="O274" i="5"/>
  <c r="P274" i="5"/>
  <c r="Q274" i="5"/>
  <c r="R274" i="5"/>
  <c r="S274" i="5"/>
  <c r="T274" i="5"/>
  <c r="U274" i="5"/>
  <c r="V274" i="5"/>
  <c r="W274" i="5"/>
  <c r="X274" i="5"/>
  <c r="Y274" i="5"/>
  <c r="Z274" i="5"/>
  <c r="AA274" i="5"/>
  <c r="AB274" i="5"/>
  <c r="AC274" i="5"/>
  <c r="AD274" i="5"/>
  <c r="AE274" i="5"/>
  <c r="AF274" i="5"/>
  <c r="AG274" i="5"/>
  <c r="AH274" i="5"/>
  <c r="D277" i="5"/>
  <c r="E277" i="5"/>
  <c r="F277" i="5"/>
  <c r="G277" i="5"/>
  <c r="H277" i="5"/>
  <c r="I277" i="5"/>
  <c r="J277" i="5"/>
  <c r="K277" i="5"/>
  <c r="L277" i="5"/>
  <c r="M277" i="5"/>
  <c r="N277" i="5"/>
  <c r="O277" i="5"/>
  <c r="P277" i="5"/>
  <c r="Q277" i="5"/>
  <c r="R277" i="5"/>
  <c r="S277" i="5"/>
  <c r="T277" i="5"/>
  <c r="U277" i="5"/>
  <c r="V277" i="5"/>
  <c r="W277" i="5"/>
  <c r="X277" i="5"/>
  <c r="Y277" i="5"/>
  <c r="Z277" i="5"/>
  <c r="AA277" i="5"/>
  <c r="AB277" i="5"/>
  <c r="AC277" i="5"/>
  <c r="AD277" i="5"/>
  <c r="AE277" i="5"/>
  <c r="AF277" i="5"/>
  <c r="AG277" i="5"/>
  <c r="AH277" i="5"/>
  <c r="D280" i="5"/>
  <c r="E280" i="5"/>
  <c r="F280" i="5"/>
  <c r="G280" i="5"/>
  <c r="H280" i="5"/>
  <c r="I280" i="5"/>
  <c r="J280" i="5"/>
  <c r="K280" i="5"/>
  <c r="L280" i="5"/>
  <c r="M280" i="5"/>
  <c r="N280" i="5"/>
  <c r="O280" i="5"/>
  <c r="P280" i="5"/>
  <c r="Q280" i="5"/>
  <c r="R280" i="5"/>
  <c r="S280" i="5"/>
  <c r="T280" i="5"/>
  <c r="U280" i="5"/>
  <c r="V280" i="5"/>
  <c r="W280" i="5"/>
  <c r="X280" i="5"/>
  <c r="Y280" i="5"/>
  <c r="Z280" i="5"/>
  <c r="AA280" i="5"/>
  <c r="AB280" i="5"/>
  <c r="AC280" i="5"/>
  <c r="AD280" i="5"/>
  <c r="AE280" i="5"/>
  <c r="AF280" i="5"/>
  <c r="AG280" i="5"/>
  <c r="AH280" i="5"/>
  <c r="D283" i="5"/>
  <c r="E283" i="5"/>
  <c r="F283" i="5"/>
  <c r="G283" i="5"/>
  <c r="H283" i="5"/>
  <c r="I283" i="5"/>
  <c r="J283" i="5"/>
  <c r="K283" i="5"/>
  <c r="L283" i="5"/>
  <c r="M283" i="5"/>
  <c r="N283" i="5"/>
  <c r="O283" i="5"/>
  <c r="P283" i="5"/>
  <c r="Q283" i="5"/>
  <c r="R283" i="5"/>
  <c r="S283" i="5"/>
  <c r="T283" i="5"/>
  <c r="U283" i="5"/>
  <c r="V283" i="5"/>
  <c r="W283" i="5"/>
  <c r="X283" i="5"/>
  <c r="Y283" i="5"/>
  <c r="Z283" i="5"/>
  <c r="AA283" i="5"/>
  <c r="AB283" i="5"/>
  <c r="AC283" i="5"/>
  <c r="AD283" i="5"/>
  <c r="AE283" i="5"/>
  <c r="AF283" i="5"/>
  <c r="AG283" i="5"/>
  <c r="AH283" i="5"/>
  <c r="CZ4" i="10"/>
  <c r="AP10" i="11" l="1"/>
  <c r="N10" i="10" s="1"/>
  <c r="AE9" i="11"/>
  <c r="C9" i="10" s="1"/>
  <c r="AW34" i="11"/>
  <c r="U34" i="10" s="1"/>
  <c r="BJ36" i="11"/>
  <c r="AH36" i="10" s="1"/>
  <c r="BD12" i="11"/>
  <c r="AB12" i="10" s="1"/>
  <c r="AI37" i="11"/>
  <c r="G37" i="10" s="1"/>
  <c r="AY51" i="11"/>
  <c r="W51" i="10" s="1"/>
  <c r="BJ99" i="11"/>
  <c r="AH99" i="10" s="1"/>
  <c r="BG96" i="11"/>
  <c r="AE96" i="10" s="1"/>
  <c r="AG91" i="11"/>
  <c r="E91" i="10" s="1"/>
  <c r="AZ84" i="11"/>
  <c r="X84" i="10" s="1"/>
  <c r="AY78" i="11"/>
  <c r="W78" i="10" s="1"/>
  <c r="AY62" i="11"/>
  <c r="W62" i="10" s="1"/>
  <c r="AD61" i="11"/>
  <c r="B61" i="10" s="1"/>
  <c r="BE57" i="11"/>
  <c r="AC57" i="10" s="1"/>
  <c r="AK54" i="11"/>
  <c r="I54" i="10" s="1"/>
  <c r="AM51" i="11"/>
  <c r="K51" i="10" s="1"/>
  <c r="AR50" i="11"/>
  <c r="P50" i="10" s="1"/>
  <c r="BK43" i="11"/>
  <c r="AI43" i="10" s="1"/>
  <c r="AV41" i="11"/>
  <c r="T41" i="10" s="1"/>
  <c r="AM40" i="11"/>
  <c r="K40" i="10" s="1"/>
  <c r="AH37" i="11"/>
  <c r="F37" i="10" s="1"/>
  <c r="BI36" i="11"/>
  <c r="AG36" i="10" s="1"/>
  <c r="AF34" i="11"/>
  <c r="D34" i="10" s="1"/>
  <c r="BD33" i="11"/>
  <c r="AB33" i="10" s="1"/>
  <c r="AG28" i="11"/>
  <c r="E28" i="10" s="1"/>
  <c r="BJ26" i="11"/>
  <c r="AH26" i="10" s="1"/>
  <c r="BJ19" i="11"/>
  <c r="AH19" i="10" s="1"/>
  <c r="AR14" i="11"/>
  <c r="P14" i="10" s="1"/>
  <c r="AM13" i="11"/>
  <c r="K13" i="10" s="1"/>
  <c r="AD12" i="11"/>
  <c r="B12" i="10" s="1"/>
  <c r="AQ9" i="11"/>
  <c r="O9" i="10" s="1"/>
  <c r="BG8" i="11"/>
  <c r="AE8" i="10" s="1"/>
  <c r="BI6" i="11"/>
  <c r="AG6" i="10" s="1"/>
  <c r="AS10" i="11"/>
  <c r="Q10" i="10" s="1"/>
  <c r="AW52" i="11"/>
  <c r="U52" i="10" s="1"/>
  <c r="BG66" i="11"/>
  <c r="AE66" i="10" s="1"/>
  <c r="AV95" i="11"/>
  <c r="T95" i="10" s="1"/>
  <c r="BH36" i="11"/>
  <c r="AF36" i="10" s="1"/>
  <c r="AL34" i="11"/>
  <c r="J34" i="10" s="1"/>
  <c r="BF62" i="11"/>
  <c r="AD62" i="10" s="1"/>
  <c r="AD14" i="11"/>
  <c r="B14" i="10" s="1"/>
  <c r="AR66" i="11"/>
  <c r="P66" i="10" s="1"/>
  <c r="AW36" i="11"/>
  <c r="U36" i="10" s="1"/>
  <c r="AS9" i="11"/>
  <c r="Q9" i="10" s="1"/>
  <c r="BJ14" i="11"/>
  <c r="AH14" i="10" s="1"/>
  <c r="AF10" i="11"/>
  <c r="D10" i="10" s="1"/>
  <c r="AT34" i="11"/>
  <c r="R34" i="10" s="1"/>
  <c r="AF9" i="11"/>
  <c r="D9" i="10" s="1"/>
  <c r="AY12" i="11"/>
  <c r="W12" i="10" s="1"/>
  <c r="AP14" i="11"/>
  <c r="N14" i="10" s="1"/>
  <c r="AK36" i="11"/>
  <c r="I36" i="10" s="1"/>
  <c r="AS36" i="11"/>
  <c r="Q36" i="10" s="1"/>
  <c r="BB36" i="11"/>
  <c r="Z36" i="10" s="1"/>
  <c r="AQ34" i="11"/>
  <c r="O34" i="10" s="1"/>
  <c r="AM34" i="11"/>
  <c r="K34" i="10" s="1"/>
  <c r="BF34" i="11"/>
  <c r="AD34" i="10" s="1"/>
  <c r="AR9" i="11"/>
  <c r="P9" i="10" s="1"/>
  <c r="AN9" i="11"/>
  <c r="L9" i="10" s="1"/>
  <c r="AP9" i="11"/>
  <c r="N9" i="10" s="1"/>
  <c r="AK12" i="11"/>
  <c r="I12" i="10" s="1"/>
  <c r="AI12" i="11"/>
  <c r="G12" i="10" s="1"/>
  <c r="AL14" i="11"/>
  <c r="J14" i="10" s="1"/>
  <c r="AI14" i="11"/>
  <c r="G14" i="10" s="1"/>
  <c r="AK10" i="11"/>
  <c r="I10" i="10" s="1"/>
  <c r="AS66" i="11"/>
  <c r="Q66" i="10" s="1"/>
  <c r="AG43" i="11"/>
  <c r="E43" i="10" s="1"/>
  <c r="AV36" i="11"/>
  <c r="T36" i="10" s="1"/>
  <c r="AY36" i="11"/>
  <c r="W36" i="10" s="1"/>
  <c r="AZ36" i="11"/>
  <c r="X36" i="10" s="1"/>
  <c r="AP34" i="11"/>
  <c r="N34" i="10" s="1"/>
  <c r="AU34" i="11"/>
  <c r="S34" i="10" s="1"/>
  <c r="AD9" i="11"/>
  <c r="B9" i="10" s="1"/>
  <c r="BF9" i="11"/>
  <c r="AD9" i="10" s="1"/>
  <c r="AU9" i="11"/>
  <c r="S9" i="10" s="1"/>
  <c r="BD62" i="11"/>
  <c r="AB62" i="10" s="1"/>
  <c r="BE50" i="11"/>
  <c r="AC50" i="10" s="1"/>
  <c r="AM12" i="11"/>
  <c r="K12" i="10" s="1"/>
  <c r="AJ12" i="11"/>
  <c r="H12" i="10" s="1"/>
  <c r="AO14" i="11"/>
  <c r="M14" i="10" s="1"/>
  <c r="AE14" i="11"/>
  <c r="C14" i="10" s="1"/>
  <c r="AV10" i="11"/>
  <c r="T10" i="10" s="1"/>
  <c r="AL66" i="11"/>
  <c r="J66" i="10" s="1"/>
  <c r="AH36" i="11"/>
  <c r="F36" i="10" s="1"/>
  <c r="AF36" i="11"/>
  <c r="D36" i="10" s="1"/>
  <c r="AO34" i="11"/>
  <c r="M34" i="10" s="1"/>
  <c r="BH34" i="11"/>
  <c r="AF34" i="10" s="1"/>
  <c r="BI9" i="11"/>
  <c r="AG9" i="10" s="1"/>
  <c r="AM9" i="11"/>
  <c r="K9" i="10" s="1"/>
  <c r="AV62" i="11"/>
  <c r="T62" i="10" s="1"/>
  <c r="BB14" i="11"/>
  <c r="Z14" i="10" s="1"/>
  <c r="AJ14" i="11"/>
  <c r="H14" i="10" s="1"/>
  <c r="BG10" i="11"/>
  <c r="AE10" i="10" s="1"/>
  <c r="BJ50" i="11"/>
  <c r="AH50" i="10" s="1"/>
  <c r="AJ50" i="11"/>
  <c r="H50" i="10" s="1"/>
  <c r="BF50" i="11"/>
  <c r="AD50" i="10" s="1"/>
  <c r="AL50" i="11"/>
  <c r="J50" i="10" s="1"/>
  <c r="AT50" i="11"/>
  <c r="R50" i="10" s="1"/>
  <c r="AE50" i="11"/>
  <c r="C50" i="10" s="1"/>
  <c r="AO50" i="11"/>
  <c r="M50" i="10" s="1"/>
  <c r="BC50" i="11"/>
  <c r="AA50" i="10" s="1"/>
  <c r="AU50" i="11"/>
  <c r="S50" i="10" s="1"/>
  <c r="BG50" i="11"/>
  <c r="AE50" i="10" s="1"/>
  <c r="AH43" i="11"/>
  <c r="F43" i="10" s="1"/>
  <c r="AR43" i="11"/>
  <c r="P43" i="10" s="1"/>
  <c r="AX43" i="11"/>
  <c r="V43" i="10" s="1"/>
  <c r="AZ43" i="11"/>
  <c r="X43" i="10" s="1"/>
  <c r="AN43" i="11"/>
  <c r="L43" i="10" s="1"/>
  <c r="BI43" i="11"/>
  <c r="AG43" i="10" s="1"/>
  <c r="BG43" i="11"/>
  <c r="AE43" i="10" s="1"/>
  <c r="AJ41" i="11"/>
  <c r="H41" i="10" s="1"/>
  <c r="AW41" i="11"/>
  <c r="U41" i="10" s="1"/>
  <c r="AR41" i="11"/>
  <c r="P41" i="10" s="1"/>
  <c r="BJ41" i="11"/>
  <c r="AH41" i="10" s="1"/>
  <c r="AP41" i="11"/>
  <c r="N41" i="10" s="1"/>
  <c r="BD41" i="11"/>
  <c r="AB41" i="10" s="1"/>
  <c r="AL36" i="11"/>
  <c r="J36" i="10" s="1"/>
  <c r="AI36" i="11"/>
  <c r="G36" i="10" s="1"/>
  <c r="AM36" i="11"/>
  <c r="K36" i="10" s="1"/>
  <c r="AJ36" i="11"/>
  <c r="H36" i="10" s="1"/>
  <c r="AO36" i="11"/>
  <c r="M36" i="10" s="1"/>
  <c r="AT36" i="11"/>
  <c r="R36" i="10" s="1"/>
  <c r="AR36" i="11"/>
  <c r="P36" i="10" s="1"/>
  <c r="BD36" i="11"/>
  <c r="AB36" i="10" s="1"/>
  <c r="BE36" i="11"/>
  <c r="AC36" i="10" s="1"/>
  <c r="AX36" i="11"/>
  <c r="V36" i="10" s="1"/>
  <c r="BG36" i="11"/>
  <c r="AE36" i="10" s="1"/>
  <c r="AQ36" i="11"/>
  <c r="O36" i="10" s="1"/>
  <c r="AH34" i="11"/>
  <c r="F34" i="10" s="1"/>
  <c r="AV34" i="11"/>
  <c r="T34" i="10" s="1"/>
  <c r="AX34" i="11"/>
  <c r="V34" i="10" s="1"/>
  <c r="AD34" i="11"/>
  <c r="B34" i="10" s="1"/>
  <c r="AI34" i="11"/>
  <c r="G34" i="10" s="1"/>
  <c r="BJ34" i="11"/>
  <c r="AH34" i="10" s="1"/>
  <c r="BG34" i="11"/>
  <c r="AE34" i="10" s="1"/>
  <c r="AE34" i="11"/>
  <c r="C34" i="10" s="1"/>
  <c r="BK34" i="11"/>
  <c r="AI34" i="10" s="1"/>
  <c r="BA34" i="11"/>
  <c r="Y34" i="10" s="1"/>
  <c r="AJ34" i="11"/>
  <c r="H34" i="10" s="1"/>
  <c r="AK34" i="11"/>
  <c r="I34" i="10" s="1"/>
  <c r="AZ34" i="11"/>
  <c r="X34" i="10" s="1"/>
  <c r="BG29" i="11"/>
  <c r="AE29" i="10" s="1"/>
  <c r="BA29" i="11"/>
  <c r="Y29" i="10" s="1"/>
  <c r="AZ29" i="11"/>
  <c r="X29" i="10" s="1"/>
  <c r="AF29" i="11"/>
  <c r="D29" i="10" s="1"/>
  <c r="AL29" i="11"/>
  <c r="J29" i="10" s="1"/>
  <c r="BC29" i="11"/>
  <c r="AA29" i="10" s="1"/>
  <c r="AW29" i="11"/>
  <c r="U29" i="10" s="1"/>
  <c r="AU29" i="11"/>
  <c r="S29" i="10" s="1"/>
  <c r="AR29" i="11"/>
  <c r="P29" i="10" s="1"/>
  <c r="AS14" i="11"/>
  <c r="Q14" i="10" s="1"/>
  <c r="BK14" i="11"/>
  <c r="AI14" i="10" s="1"/>
  <c r="BG14" i="11"/>
  <c r="AE14" i="10" s="1"/>
  <c r="AM14" i="11"/>
  <c r="K14" i="10" s="1"/>
  <c r="AF14" i="11"/>
  <c r="D14" i="10" s="1"/>
  <c r="AU14" i="11"/>
  <c r="S14" i="10" s="1"/>
  <c r="AG14" i="11"/>
  <c r="E14" i="10" s="1"/>
  <c r="AZ14" i="11"/>
  <c r="X14" i="10" s="1"/>
  <c r="AZ12" i="11"/>
  <c r="X12" i="10" s="1"/>
  <c r="AF12" i="11"/>
  <c r="D12" i="10" s="1"/>
  <c r="BH12" i="11"/>
  <c r="AF12" i="10" s="1"/>
  <c r="AE12" i="11"/>
  <c r="C12" i="10" s="1"/>
  <c r="AH12" i="11"/>
  <c r="F12" i="10" s="1"/>
  <c r="BB12" i="11"/>
  <c r="Z12" i="10" s="1"/>
  <c r="BC12" i="11"/>
  <c r="AA12" i="10" s="1"/>
  <c r="BI12" i="11"/>
  <c r="AG12" i="10" s="1"/>
  <c r="AO9" i="11"/>
  <c r="M9" i="10" s="1"/>
  <c r="BG9" i="11"/>
  <c r="AE9" i="10" s="1"/>
  <c r="BB9" i="11"/>
  <c r="Z9" i="10" s="1"/>
  <c r="BC9" i="11"/>
  <c r="AA9" i="10" s="1"/>
  <c r="BD9" i="11"/>
  <c r="AB9" i="10" s="1"/>
  <c r="AL9" i="11"/>
  <c r="J9" i="10" s="1"/>
  <c r="AY9" i="11"/>
  <c r="W9" i="10" s="1"/>
  <c r="BA9" i="11"/>
  <c r="Y9" i="10" s="1"/>
  <c r="AI9" i="11"/>
  <c r="G9" i="10" s="1"/>
  <c r="AV9" i="11"/>
  <c r="T9" i="10" s="1"/>
  <c r="AJ9" i="11"/>
  <c r="H9" i="10" s="1"/>
  <c r="AK9" i="11"/>
  <c r="I9" i="10" s="1"/>
  <c r="AG9" i="11"/>
  <c r="E9" i="10" s="1"/>
  <c r="AX10" i="11"/>
  <c r="V10" i="10" s="1"/>
  <c r="BC10" i="11"/>
  <c r="AA10" i="10" s="1"/>
  <c r="AQ10" i="11"/>
  <c r="O10" i="10" s="1"/>
  <c r="AZ10" i="11"/>
  <c r="X10" i="10" s="1"/>
  <c r="AI66" i="11"/>
  <c r="G66" i="10" s="1"/>
  <c r="AO66" i="11"/>
  <c r="M66" i="10" s="1"/>
  <c r="BJ66" i="11"/>
  <c r="AH66" i="10" s="1"/>
  <c r="AW66" i="11"/>
  <c r="U66" i="10" s="1"/>
  <c r="BB66" i="11"/>
  <c r="Z66" i="10" s="1"/>
  <c r="AS55" i="11"/>
  <c r="Q55" i="10" s="1"/>
  <c r="AJ55" i="11"/>
  <c r="H55" i="10" s="1"/>
  <c r="BE62" i="11"/>
  <c r="AC62" i="10" s="1"/>
  <c r="AU62" i="11"/>
  <c r="S62" i="10" s="1"/>
  <c r="BI50" i="11"/>
  <c r="AG50" i="10" s="1"/>
  <c r="AX50" i="11"/>
  <c r="V50" i="10" s="1"/>
  <c r="AU43" i="11"/>
  <c r="S43" i="10" s="1"/>
  <c r="AY43" i="11"/>
  <c r="W43" i="10" s="1"/>
  <c r="AH29" i="11"/>
  <c r="F29" i="10" s="1"/>
  <c r="BI41" i="11"/>
  <c r="AG41" i="10" s="1"/>
  <c r="AG62" i="11"/>
  <c r="E62" i="10" s="1"/>
  <c r="AT62" i="11"/>
  <c r="R62" i="10" s="1"/>
  <c r="AQ62" i="11"/>
  <c r="O62" i="10" s="1"/>
  <c r="BJ62" i="11"/>
  <c r="AH62" i="10" s="1"/>
  <c r="AM62" i="11"/>
  <c r="K62" i="10" s="1"/>
  <c r="AR62" i="11"/>
  <c r="P62" i="10" s="1"/>
  <c r="AZ62" i="11"/>
  <c r="X62" i="10" s="1"/>
  <c r="BA62" i="11"/>
  <c r="Y62" i="10" s="1"/>
  <c r="AX62" i="11"/>
  <c r="V62" i="10" s="1"/>
  <c r="AE57" i="11"/>
  <c r="C57" i="10" s="1"/>
  <c r="AF57" i="11"/>
  <c r="D57" i="10" s="1"/>
  <c r="BB57" i="11"/>
  <c r="Z57" i="10" s="1"/>
  <c r="AI62" i="11"/>
  <c r="G62" i="10" s="1"/>
  <c r="AO62" i="11"/>
  <c r="M62" i="10" s="1"/>
  <c r="AH50" i="11"/>
  <c r="F50" i="10" s="1"/>
  <c r="BB50" i="11"/>
  <c r="Z50" i="10" s="1"/>
  <c r="AD43" i="11"/>
  <c r="B43" i="10" s="1"/>
  <c r="BE43" i="11"/>
  <c r="AC43" i="10" s="1"/>
  <c r="AN29" i="11"/>
  <c r="L29" i="10" s="1"/>
  <c r="BE55" i="11"/>
  <c r="AC55" i="10" s="1"/>
  <c r="AS34" i="11"/>
  <c r="Q34" i="10" s="1"/>
  <c r="AF62" i="11"/>
  <c r="D62" i="10" s="1"/>
  <c r="BC62" i="11"/>
  <c r="AA62" i="10" s="1"/>
  <c r="AP50" i="11"/>
  <c r="N50" i="10" s="1"/>
  <c r="BD50" i="11"/>
  <c r="AB50" i="10" s="1"/>
  <c r="AM50" i="11"/>
  <c r="K50" i="10" s="1"/>
  <c r="AF43" i="11"/>
  <c r="D43" i="10" s="1"/>
  <c r="AK43" i="11"/>
  <c r="I43" i="10" s="1"/>
  <c r="AU57" i="11"/>
  <c r="S57" i="10" s="1"/>
  <c r="AK29" i="11"/>
  <c r="I29" i="10" s="1"/>
  <c r="BC99" i="11"/>
  <c r="AA99" i="10" s="1"/>
  <c r="AX80" i="11"/>
  <c r="V80" i="10" s="1"/>
  <c r="AE94" i="11"/>
  <c r="C94" i="10" s="1"/>
  <c r="BE90" i="11"/>
  <c r="AC90" i="10" s="1"/>
  <c r="BI86" i="11"/>
  <c r="AG86" i="10" s="1"/>
  <c r="BK77" i="11"/>
  <c r="AI77" i="10" s="1"/>
  <c r="BF99" i="11"/>
  <c r="AD99" i="10" s="1"/>
  <c r="AS65" i="11"/>
  <c r="Q65" i="10" s="1"/>
  <c r="AT24" i="11"/>
  <c r="R24" i="10" s="1"/>
  <c r="BE84" i="11"/>
  <c r="AC84" i="10" s="1"/>
  <c r="AH84" i="11"/>
  <c r="F84" i="10" s="1"/>
  <c r="AZ99" i="11"/>
  <c r="X99" i="10" s="1"/>
  <c r="AP24" i="11"/>
  <c r="N24" i="10" s="1"/>
  <c r="AN99" i="11"/>
  <c r="L99" i="10" s="1"/>
  <c r="AP86" i="11"/>
  <c r="N86" i="10" s="1"/>
  <c r="BB62" i="11"/>
  <c r="Z62" i="10" s="1"/>
  <c r="AW62" i="11"/>
  <c r="U62" i="10" s="1"/>
  <c r="AJ62" i="11"/>
  <c r="H62" i="10" s="1"/>
  <c r="AL62" i="11"/>
  <c r="J62" i="10" s="1"/>
  <c r="BI62" i="11"/>
  <c r="AG62" i="10" s="1"/>
  <c r="AP62" i="11"/>
  <c r="N62" i="10" s="1"/>
  <c r="AS62" i="11"/>
  <c r="Q62" i="10" s="1"/>
  <c r="AD62" i="11"/>
  <c r="B62" i="10" s="1"/>
  <c r="AQ57" i="11"/>
  <c r="O57" i="10" s="1"/>
  <c r="BC57" i="11"/>
  <c r="AA57" i="10" s="1"/>
  <c r="BH57" i="11"/>
  <c r="AF57" i="10" s="1"/>
  <c r="AH55" i="11"/>
  <c r="F55" i="10" s="1"/>
  <c r="AM55" i="11"/>
  <c r="K55" i="10" s="1"/>
  <c r="BJ55" i="11"/>
  <c r="AH55" i="10" s="1"/>
  <c r="AZ50" i="11"/>
  <c r="X50" i="10" s="1"/>
  <c r="AD50" i="11"/>
  <c r="B50" i="10" s="1"/>
  <c r="AV50" i="11"/>
  <c r="T50" i="10" s="1"/>
  <c r="AI50" i="11"/>
  <c r="G50" i="10" s="1"/>
  <c r="BK50" i="11"/>
  <c r="AI50" i="10" s="1"/>
  <c r="BF43" i="11"/>
  <c r="AD43" i="10" s="1"/>
  <c r="BD43" i="11"/>
  <c r="AB43" i="10" s="1"/>
  <c r="AM43" i="11"/>
  <c r="K43" i="10" s="1"/>
  <c r="AO43" i="11"/>
  <c r="M43" i="10" s="1"/>
  <c r="AQ43" i="11"/>
  <c r="O43" i="10" s="1"/>
  <c r="AQ41" i="11"/>
  <c r="O41" i="10" s="1"/>
  <c r="BE41" i="11"/>
  <c r="AC41" i="10" s="1"/>
  <c r="BC41" i="11"/>
  <c r="AA41" i="10" s="1"/>
  <c r="BG41" i="11"/>
  <c r="AE41" i="10" s="1"/>
  <c r="AY41" i="11"/>
  <c r="W41" i="10" s="1"/>
  <c r="AE41" i="11"/>
  <c r="C41" i="10" s="1"/>
  <c r="AO41" i="11"/>
  <c r="M41" i="10" s="1"/>
  <c r="AS41" i="11"/>
  <c r="Q41" i="10" s="1"/>
  <c r="BK36" i="11"/>
  <c r="AI36" i="10" s="1"/>
  <c r="BA36" i="11"/>
  <c r="Y36" i="10" s="1"/>
  <c r="AU36" i="11"/>
  <c r="S36" i="10" s="1"/>
  <c r="BC36" i="11"/>
  <c r="AA36" i="10" s="1"/>
  <c r="AN36" i="11"/>
  <c r="L36" i="10" s="1"/>
  <c r="AP36" i="11"/>
  <c r="N36" i="10" s="1"/>
  <c r="AG36" i="11"/>
  <c r="E36" i="10" s="1"/>
  <c r="AD36" i="11"/>
  <c r="B36" i="10" s="1"/>
  <c r="BC34" i="11"/>
  <c r="AA34" i="10" s="1"/>
  <c r="BB34" i="11"/>
  <c r="Z34" i="10" s="1"/>
  <c r="BD34" i="11"/>
  <c r="AB34" i="10" s="1"/>
  <c r="AN34" i="11"/>
  <c r="L34" i="10" s="1"/>
  <c r="AR34" i="11"/>
  <c r="P34" i="10" s="1"/>
  <c r="AG34" i="11"/>
  <c r="E34" i="10" s="1"/>
  <c r="BE34" i="11"/>
  <c r="AC34" i="10" s="1"/>
  <c r="AY34" i="11"/>
  <c r="W34" i="10" s="1"/>
  <c r="BE29" i="11"/>
  <c r="AC29" i="10" s="1"/>
  <c r="AS29" i="11"/>
  <c r="Q29" i="10" s="1"/>
  <c r="BI29" i="11"/>
  <c r="AG29" i="10" s="1"/>
  <c r="AQ29" i="11"/>
  <c r="O29" i="10" s="1"/>
  <c r="AM29" i="11"/>
  <c r="K29" i="10" s="1"/>
  <c r="AX29" i="11"/>
  <c r="V29" i="10" s="1"/>
  <c r="AI29" i="11"/>
  <c r="G29" i="10" s="1"/>
  <c r="BD14" i="11"/>
  <c r="AB14" i="10" s="1"/>
  <c r="BE14" i="11"/>
  <c r="AC14" i="10" s="1"/>
  <c r="BC14" i="11"/>
  <c r="AA14" i="10" s="1"/>
  <c r="AX14" i="11"/>
  <c r="V14" i="10" s="1"/>
  <c r="BF14" i="11"/>
  <c r="AD14" i="10" s="1"/>
  <c r="BG12" i="11"/>
  <c r="AE12" i="10" s="1"/>
  <c r="BK12" i="11"/>
  <c r="AI12" i="10" s="1"/>
  <c r="AG12" i="11"/>
  <c r="E12" i="10" s="1"/>
  <c r="AR12" i="11"/>
  <c r="P12" i="10" s="1"/>
  <c r="AS12" i="11"/>
  <c r="Q12" i="10" s="1"/>
  <c r="BA12" i="11"/>
  <c r="Y12" i="10" s="1"/>
  <c r="AX9" i="11"/>
  <c r="V9" i="10" s="1"/>
  <c r="BK9" i="11"/>
  <c r="AI9" i="10" s="1"/>
  <c r="AZ9" i="11"/>
  <c r="X9" i="10" s="1"/>
  <c r="AW9" i="11"/>
  <c r="U9" i="10" s="1"/>
  <c r="AT9" i="11"/>
  <c r="R9" i="10" s="1"/>
  <c r="BE9" i="11"/>
  <c r="AC9" i="10" s="1"/>
  <c r="AH9" i="11"/>
  <c r="F9" i="10" s="1"/>
  <c r="BJ9" i="11"/>
  <c r="AH9" i="10" s="1"/>
  <c r="AH10" i="11"/>
  <c r="F10" i="10" s="1"/>
  <c r="AE10" i="11"/>
  <c r="C10" i="10" s="1"/>
  <c r="AI10" i="11"/>
  <c r="G10" i="10" s="1"/>
  <c r="BD10" i="11"/>
  <c r="AB10" i="10" s="1"/>
  <c r="AK66" i="11"/>
  <c r="I66" i="10" s="1"/>
  <c r="AJ66" i="11"/>
  <c r="H66" i="10" s="1"/>
  <c r="BE66" i="11"/>
  <c r="AC66" i="10" s="1"/>
  <c r="AD66" i="11"/>
  <c r="B66" i="10" s="1"/>
  <c r="AM68" i="11"/>
  <c r="K68" i="10" s="1"/>
  <c r="BG68" i="11"/>
  <c r="AE68" i="10" s="1"/>
  <c r="BH90" i="11"/>
  <c r="AF90" i="10" s="1"/>
  <c r="AI80" i="11"/>
  <c r="G80" i="10" s="1"/>
  <c r="AW77" i="11"/>
  <c r="U77" i="10" s="1"/>
  <c r="AQ80" i="11"/>
  <c r="O80" i="10" s="1"/>
  <c r="BF92" i="11"/>
  <c r="AD92" i="10" s="1"/>
  <c r="AF92" i="11"/>
  <c r="D92" i="10" s="1"/>
  <c r="AQ24" i="11"/>
  <c r="O24" i="10" s="1"/>
  <c r="AX24" i="11"/>
  <c r="V24" i="10" s="1"/>
  <c r="BF80" i="11"/>
  <c r="AD80" i="10" s="1"/>
  <c r="AX99" i="11"/>
  <c r="V99" i="10" s="1"/>
  <c r="BD24" i="11"/>
  <c r="AB24" i="10" s="1"/>
  <c r="AP80" i="11"/>
  <c r="N80" i="10" s="1"/>
  <c r="AG99" i="11"/>
  <c r="E99" i="10" s="1"/>
  <c r="AH99" i="11"/>
  <c r="F99" i="10" s="1"/>
  <c r="AQ99" i="11"/>
  <c r="O99" i="10" s="1"/>
  <c r="AY99" i="11"/>
  <c r="W99" i="10" s="1"/>
  <c r="AP99" i="11"/>
  <c r="N99" i="10" s="1"/>
  <c r="BI68" i="11"/>
  <c r="AG68" i="10" s="1"/>
  <c r="AO90" i="11"/>
  <c r="M90" i="10" s="1"/>
  <c r="AL84" i="11"/>
  <c r="J84" i="10" s="1"/>
  <c r="BG99" i="11"/>
  <c r="AE99" i="10" s="1"/>
  <c r="BH99" i="11"/>
  <c r="AF99" i="10" s="1"/>
  <c r="BB99" i="11"/>
  <c r="Z99" i="10" s="1"/>
  <c r="AN24" i="11"/>
  <c r="L24" i="10" s="1"/>
  <c r="BI24" i="11"/>
  <c r="AG24" i="10" s="1"/>
  <c r="BF24" i="11"/>
  <c r="AD24" i="10" s="1"/>
  <c r="BH24" i="11"/>
  <c r="AF24" i="10" s="1"/>
  <c r="AK24" i="11"/>
  <c r="I24" i="10" s="1"/>
  <c r="AS84" i="11"/>
  <c r="Q84" i="10" s="1"/>
  <c r="AN84" i="11"/>
  <c r="L84" i="10" s="1"/>
  <c r="AN80" i="11"/>
  <c r="L80" i="10" s="1"/>
  <c r="AS80" i="11"/>
  <c r="Q80" i="10" s="1"/>
  <c r="AK90" i="11"/>
  <c r="I90" i="10" s="1"/>
  <c r="AG92" i="11"/>
  <c r="E92" i="10" s="1"/>
  <c r="AG77" i="11"/>
  <c r="E77" i="10" s="1"/>
  <c r="AK99" i="11"/>
  <c r="I99" i="10" s="1"/>
  <c r="AI92" i="11"/>
  <c r="G92" i="10" s="1"/>
  <c r="AJ90" i="11"/>
  <c r="H90" i="10" s="1"/>
  <c r="BJ86" i="11"/>
  <c r="AH86" i="10" s="1"/>
  <c r="BH84" i="11"/>
  <c r="AF84" i="10" s="1"/>
  <c r="AF77" i="11"/>
  <c r="D77" i="10" s="1"/>
  <c r="AK68" i="11"/>
  <c r="I68" i="10" s="1"/>
  <c r="BG62" i="11"/>
  <c r="AE62" i="10" s="1"/>
  <c r="BK62" i="11"/>
  <c r="AI62" i="10" s="1"/>
  <c r="AN62" i="11"/>
  <c r="L62" i="10" s="1"/>
  <c r="AE62" i="11"/>
  <c r="C62" i="10" s="1"/>
  <c r="AY55" i="11"/>
  <c r="W55" i="10" s="1"/>
  <c r="BB55" i="11"/>
  <c r="Z55" i="10" s="1"/>
  <c r="BH50" i="11"/>
  <c r="AF50" i="10" s="1"/>
  <c r="AS50" i="11"/>
  <c r="Q50" i="10" s="1"/>
  <c r="AN50" i="11"/>
  <c r="L50" i="10" s="1"/>
  <c r="AY50" i="11"/>
  <c r="W50" i="10" s="1"/>
  <c r="AK50" i="11"/>
  <c r="I50" i="10" s="1"/>
  <c r="AF50" i="11"/>
  <c r="D50" i="10" s="1"/>
  <c r="AQ50" i="11"/>
  <c r="O50" i="10" s="1"/>
  <c r="BA50" i="11"/>
  <c r="Y50" i="10" s="1"/>
  <c r="AG50" i="11"/>
  <c r="E50" i="10" s="1"/>
  <c r="AS43" i="11"/>
  <c r="Q43" i="10" s="1"/>
  <c r="BC43" i="11"/>
  <c r="AA43" i="10" s="1"/>
  <c r="AE43" i="11"/>
  <c r="C43" i="10" s="1"/>
  <c r="AP43" i="11"/>
  <c r="N43" i="10" s="1"/>
  <c r="BH43" i="11"/>
  <c r="AF43" i="10" s="1"/>
  <c r="AT43" i="11"/>
  <c r="R43" i="10" s="1"/>
  <c r="AL41" i="11"/>
  <c r="J41" i="10" s="1"/>
  <c r="AD41" i="11"/>
  <c r="B41" i="10" s="1"/>
  <c r="AM41" i="11"/>
  <c r="K41" i="10" s="1"/>
  <c r="AK41" i="11"/>
  <c r="I41" i="10" s="1"/>
  <c r="BB41" i="11"/>
  <c r="Z41" i="10" s="1"/>
  <c r="AZ41" i="11"/>
  <c r="X41" i="10" s="1"/>
  <c r="AG41" i="11"/>
  <c r="E41" i="10" s="1"/>
  <c r="BK29" i="11"/>
  <c r="AI29" i="10" s="1"/>
  <c r="AT29" i="11"/>
  <c r="R29" i="10" s="1"/>
  <c r="AJ29" i="11"/>
  <c r="H29" i="10" s="1"/>
  <c r="AP29" i="11"/>
  <c r="N29" i="10" s="1"/>
  <c r="BB29" i="11"/>
  <c r="Z29" i="10" s="1"/>
  <c r="AE29" i="11"/>
  <c r="C29" i="10" s="1"/>
  <c r="AD15" i="11"/>
  <c r="B15" i="10" s="1"/>
  <c r="AY14" i="11"/>
  <c r="W14" i="10" s="1"/>
  <c r="AT14" i="11"/>
  <c r="R14" i="10" s="1"/>
  <c r="AK14" i="11"/>
  <c r="I14" i="10" s="1"/>
  <c r="BI14" i="11"/>
  <c r="AG14" i="10" s="1"/>
  <c r="AQ14" i="11"/>
  <c r="O14" i="10" s="1"/>
  <c r="BA14" i="11"/>
  <c r="Y14" i="10" s="1"/>
  <c r="AV14" i="11"/>
  <c r="T14" i="10" s="1"/>
  <c r="AU12" i="11"/>
  <c r="S12" i="10" s="1"/>
  <c r="AV12" i="11"/>
  <c r="T12" i="10" s="1"/>
  <c r="AX12" i="11"/>
  <c r="V12" i="10" s="1"/>
  <c r="AP12" i="11"/>
  <c r="N12" i="10" s="1"/>
  <c r="AO12" i="11"/>
  <c r="M12" i="10" s="1"/>
  <c r="AW12" i="11"/>
  <c r="U12" i="10" s="1"/>
  <c r="AQ12" i="11"/>
  <c r="O12" i="10" s="1"/>
  <c r="AN12" i="11"/>
  <c r="L12" i="10" s="1"/>
  <c r="BA10" i="11"/>
  <c r="Y10" i="10" s="1"/>
  <c r="BI10" i="11"/>
  <c r="AG10" i="10" s="1"/>
  <c r="AT10" i="11"/>
  <c r="R10" i="10" s="1"/>
  <c r="AR10" i="11"/>
  <c r="P10" i="10" s="1"/>
  <c r="AY10" i="11"/>
  <c r="W10" i="10" s="1"/>
  <c r="AO24" i="11"/>
  <c r="M24" i="10" s="1"/>
  <c r="AT66" i="11"/>
  <c r="R66" i="10" s="1"/>
  <c r="BK66" i="11"/>
  <c r="AI66" i="10" s="1"/>
  <c r="AZ66" i="11"/>
  <c r="X66" i="10" s="1"/>
  <c r="BI66" i="11"/>
  <c r="AG66" i="10" s="1"/>
  <c r="AD80" i="11"/>
  <c r="B80" i="10" s="1"/>
  <c r="BE80" i="11"/>
  <c r="AC80" i="10" s="1"/>
  <c r="AJ80" i="11"/>
  <c r="H80" i="10" s="1"/>
  <c r="AW80" i="11"/>
  <c r="U80" i="10" s="1"/>
  <c r="AF80" i="11"/>
  <c r="D80" i="10" s="1"/>
  <c r="AK80" i="11"/>
  <c r="I80" i="10" s="1"/>
  <c r="AF99" i="11"/>
  <c r="D99" i="10" s="1"/>
  <c r="AT90" i="11"/>
  <c r="R90" i="10" s="1"/>
  <c r="BE99" i="11"/>
  <c r="AC99" i="10" s="1"/>
  <c r="BD99" i="11"/>
  <c r="AB99" i="10" s="1"/>
  <c r="BI99" i="11"/>
  <c r="AG99" i="10" s="1"/>
  <c r="AY24" i="11"/>
  <c r="W24" i="10" s="1"/>
  <c r="AE24" i="11"/>
  <c r="C24" i="10" s="1"/>
  <c r="BG24" i="11"/>
  <c r="AE24" i="10" s="1"/>
  <c r="AS24" i="11"/>
  <c r="Q24" i="10" s="1"/>
  <c r="AM84" i="11"/>
  <c r="K84" i="10" s="1"/>
  <c r="AR80" i="11"/>
  <c r="P80" i="10" s="1"/>
  <c r="BC80" i="11"/>
  <c r="AA80" i="10" s="1"/>
  <c r="BK92" i="11"/>
  <c r="AI92" i="10" s="1"/>
  <c r="AM77" i="11"/>
  <c r="K77" i="10" s="1"/>
  <c r="AF84" i="11"/>
  <c r="D84" i="10" s="1"/>
  <c r="AP84" i="11"/>
  <c r="N84" i="10" s="1"/>
  <c r="AE84" i="11"/>
  <c r="C84" i="10" s="1"/>
  <c r="AK84" i="11"/>
  <c r="I84" i="10" s="1"/>
  <c r="BJ68" i="11"/>
  <c r="AH68" i="10" s="1"/>
  <c r="AG68" i="11"/>
  <c r="E68" i="10" s="1"/>
  <c r="AH68" i="11"/>
  <c r="F68" i="10" s="1"/>
  <c r="AZ24" i="11"/>
  <c r="X24" i="10" s="1"/>
  <c r="BC24" i="11"/>
  <c r="AA24" i="10" s="1"/>
  <c r="BK24" i="11"/>
  <c r="AI24" i="10" s="1"/>
  <c r="AM24" i="11"/>
  <c r="K24" i="10" s="1"/>
  <c r="AG24" i="11"/>
  <c r="E24" i="10" s="1"/>
  <c r="AW24" i="11"/>
  <c r="U24" i="10" s="1"/>
  <c r="AD24" i="11"/>
  <c r="B24" i="10" s="1"/>
  <c r="BD68" i="11"/>
  <c r="AB68" i="10" s="1"/>
  <c r="AL80" i="11"/>
  <c r="J80" i="10" s="1"/>
  <c r="AE99" i="11"/>
  <c r="C99" i="10" s="1"/>
  <c r="AL99" i="11"/>
  <c r="J99" i="10" s="1"/>
  <c r="AW99" i="11"/>
  <c r="U99" i="10" s="1"/>
  <c r="AR99" i="11"/>
  <c r="P99" i="10" s="1"/>
  <c r="BB24" i="11"/>
  <c r="Z24" i="10" s="1"/>
  <c r="BA24" i="11"/>
  <c r="Y24" i="10" s="1"/>
  <c r="AV24" i="11"/>
  <c r="T24" i="10" s="1"/>
  <c r="AI24" i="11"/>
  <c r="G24" i="10" s="1"/>
  <c r="AH24" i="11"/>
  <c r="F24" i="10" s="1"/>
  <c r="BG84" i="11"/>
  <c r="AE84" i="10" s="1"/>
  <c r="AT84" i="11"/>
  <c r="R84" i="10" s="1"/>
  <c r="AO80" i="11"/>
  <c r="M80" i="10" s="1"/>
  <c r="BB80" i="11"/>
  <c r="Z80" i="10" s="1"/>
  <c r="AT92" i="11"/>
  <c r="R92" i="10" s="1"/>
  <c r="AX77" i="11"/>
  <c r="V77" i="10" s="1"/>
  <c r="AO40" i="11"/>
  <c r="M40" i="10" s="1"/>
  <c r="AG37" i="11"/>
  <c r="E37" i="10" s="1"/>
  <c r="BA54" i="11"/>
  <c r="Y54" i="10" s="1"/>
  <c r="AZ13" i="11"/>
  <c r="X13" i="10" s="1"/>
  <c r="BK37" i="11"/>
  <c r="AI37" i="10" s="1"/>
  <c r="AF54" i="11"/>
  <c r="D54" i="10" s="1"/>
  <c r="BE61" i="11"/>
  <c r="AC61" i="10" s="1"/>
  <c r="BI54" i="11"/>
  <c r="AG54" i="10" s="1"/>
  <c r="AT33" i="11"/>
  <c r="R33" i="10" s="1"/>
  <c r="BG54" i="11"/>
  <c r="AE54" i="10" s="1"/>
  <c r="BG51" i="11"/>
  <c r="AE51" i="10" s="1"/>
  <c r="AI61" i="11"/>
  <c r="G61" i="10" s="1"/>
  <c r="AS30" i="11"/>
  <c r="Q30" i="10" s="1"/>
  <c r="AM30" i="11"/>
  <c r="K30" i="10" s="1"/>
  <c r="BI30" i="11"/>
  <c r="AG30" i="10" s="1"/>
  <c r="BE30" i="11"/>
  <c r="AC30" i="10" s="1"/>
  <c r="AX30" i="11"/>
  <c r="V30" i="10" s="1"/>
  <c r="AM37" i="11"/>
  <c r="K37" i="10" s="1"/>
  <c r="AO37" i="11"/>
  <c r="M37" i="10" s="1"/>
  <c r="AL54" i="11"/>
  <c r="J54" i="10" s="1"/>
  <c r="AN54" i="11"/>
  <c r="L54" i="10" s="1"/>
  <c r="AD54" i="11"/>
  <c r="B54" i="10" s="1"/>
  <c r="AE61" i="11"/>
  <c r="C61" i="10" s="1"/>
  <c r="BC61" i="11"/>
  <c r="AA61" i="10" s="1"/>
  <c r="BA51" i="11"/>
  <c r="Y51" i="10" s="1"/>
  <c r="AL51" i="11"/>
  <c r="J51" i="10" s="1"/>
  <c r="AO95" i="11"/>
  <c r="M95" i="10" s="1"/>
  <c r="BF30" i="11"/>
  <c r="AD30" i="10" s="1"/>
  <c r="AR95" i="11"/>
  <c r="P95" i="10" s="1"/>
  <c r="BC40" i="11"/>
  <c r="AA40" i="10" s="1"/>
  <c r="AU61" i="11"/>
  <c r="S61" i="10" s="1"/>
  <c r="AG54" i="11"/>
  <c r="E54" i="10" s="1"/>
  <c r="BJ51" i="11"/>
  <c r="AH51" i="10" s="1"/>
  <c r="AU44" i="11"/>
  <c r="S44" i="10" s="1"/>
  <c r="AN40" i="11"/>
  <c r="L40" i="10" s="1"/>
  <c r="AU33" i="11"/>
  <c r="S33" i="10" s="1"/>
  <c r="AI30" i="11"/>
  <c r="G30" i="10" s="1"/>
  <c r="AD13" i="11"/>
  <c r="B13" i="10" s="1"/>
  <c r="AK6" i="11"/>
  <c r="I6" i="10" s="1"/>
  <c r="BC95" i="11"/>
  <c r="AA95" i="10" s="1"/>
  <c r="BH28" i="11"/>
  <c r="AF28" i="10" s="1"/>
  <c r="BB28" i="11"/>
  <c r="Z28" i="10" s="1"/>
  <c r="AS13" i="11"/>
  <c r="Q13" i="10" s="1"/>
  <c r="AQ13" i="11"/>
  <c r="O13" i="10" s="1"/>
  <c r="AI13" i="11"/>
  <c r="G13" i="10" s="1"/>
  <c r="BJ13" i="11"/>
  <c r="AH13" i="10" s="1"/>
  <c r="BI95" i="11"/>
  <c r="AG95" i="10" s="1"/>
  <c r="AZ95" i="11"/>
  <c r="X95" i="10" s="1"/>
  <c r="AI95" i="11"/>
  <c r="G95" i="10" s="1"/>
  <c r="AU95" i="11"/>
  <c r="S95" i="10" s="1"/>
  <c r="BJ95" i="11"/>
  <c r="AH95" i="10" s="1"/>
  <c r="AU37" i="11"/>
  <c r="S37" i="10" s="1"/>
  <c r="AX37" i="11"/>
  <c r="V37" i="10" s="1"/>
  <c r="AV37" i="11"/>
  <c r="T37" i="10" s="1"/>
  <c r="AQ37" i="11"/>
  <c r="O37" i="10" s="1"/>
  <c r="AM54" i="11"/>
  <c r="K54" i="10" s="1"/>
  <c r="AV54" i="11"/>
  <c r="T54" i="10" s="1"/>
  <c r="AZ61" i="11"/>
  <c r="X61" i="10" s="1"/>
  <c r="BA61" i="11"/>
  <c r="Y61" i="10" s="1"/>
  <c r="AO61" i="11"/>
  <c r="M61" i="10" s="1"/>
  <c r="AO13" i="11"/>
  <c r="M13" i="10" s="1"/>
  <c r="BB13" i="11"/>
  <c r="Z13" i="10" s="1"/>
  <c r="AF30" i="11"/>
  <c r="D30" i="10" s="1"/>
  <c r="AR78" i="11"/>
  <c r="P78" i="10" s="1"/>
  <c r="AX6" i="11"/>
  <c r="V6" i="10" s="1"/>
  <c r="AJ95" i="11"/>
  <c r="H95" i="10" s="1"/>
  <c r="AE51" i="11"/>
  <c r="C51" i="10" s="1"/>
  <c r="BC51" i="11"/>
  <c r="AA51" i="10" s="1"/>
  <c r="AJ51" i="11"/>
  <c r="H51" i="10" s="1"/>
  <c r="AQ51" i="11"/>
  <c r="O51" i="10" s="1"/>
  <c r="AT40" i="11"/>
  <c r="R40" i="10" s="1"/>
  <c r="BK40" i="11"/>
  <c r="AI40" i="10" s="1"/>
  <c r="AU40" i="11"/>
  <c r="S40" i="10" s="1"/>
  <c r="BA40" i="11"/>
  <c r="Y40" i="10" s="1"/>
  <c r="AP40" i="11"/>
  <c r="N40" i="10" s="1"/>
  <c r="AL40" i="11"/>
  <c r="J40" i="10" s="1"/>
  <c r="AO33" i="11"/>
  <c r="M33" i="10" s="1"/>
  <c r="AD33" i="11"/>
  <c r="B33" i="10" s="1"/>
  <c r="AL33" i="11"/>
  <c r="J33" i="10" s="1"/>
  <c r="BD37" i="11"/>
  <c r="AB37" i="10" s="1"/>
  <c r="AN37" i="11"/>
  <c r="L37" i="10" s="1"/>
  <c r="AX54" i="11"/>
  <c r="V54" i="10" s="1"/>
  <c r="BH54" i="11"/>
  <c r="AF54" i="10" s="1"/>
  <c r="BG61" i="11"/>
  <c r="AE61" i="10" s="1"/>
  <c r="AW61" i="11"/>
  <c r="U61" i="10" s="1"/>
  <c r="BE51" i="11"/>
  <c r="AC51" i="10" s="1"/>
  <c r="AW13" i="11"/>
  <c r="U13" i="10" s="1"/>
  <c r="AJ30" i="11"/>
  <c r="H30" i="10" s="1"/>
  <c r="AU28" i="11"/>
  <c r="S28" i="10" s="1"/>
  <c r="AG33" i="11"/>
  <c r="E33" i="10" s="1"/>
  <c r="AG58" i="11"/>
  <c r="E58" i="10" s="1"/>
  <c r="BE47" i="11"/>
  <c r="AC47" i="10" s="1"/>
  <c r="AK37" i="11"/>
  <c r="I37" i="10" s="1"/>
  <c r="AI28" i="11"/>
  <c r="G28" i="10" s="1"/>
  <c r="AZ8" i="11"/>
  <c r="X8" i="10" s="1"/>
  <c r="AL38" i="11"/>
  <c r="J38" i="10" s="1"/>
  <c r="AT37" i="11"/>
  <c r="R37" i="10" s="1"/>
  <c r="AY37" i="11"/>
  <c r="W37" i="10" s="1"/>
  <c r="AR37" i="11"/>
  <c r="P37" i="10" s="1"/>
  <c r="AP37" i="11"/>
  <c r="N37" i="10" s="1"/>
  <c r="AE54" i="11"/>
  <c r="C54" i="10" s="1"/>
  <c r="BD54" i="11"/>
  <c r="AB54" i="10" s="1"/>
  <c r="AU54" i="11"/>
  <c r="S54" i="10" s="1"/>
  <c r="AM61" i="11"/>
  <c r="K61" i="10" s="1"/>
  <c r="AT61" i="11"/>
  <c r="R61" i="10" s="1"/>
  <c r="AF51" i="11"/>
  <c r="D51" i="10" s="1"/>
  <c r="AS51" i="11"/>
  <c r="Q51" i="10" s="1"/>
  <c r="AH51" i="11"/>
  <c r="F51" i="10" s="1"/>
  <c r="AY13" i="11"/>
  <c r="W13" i="10" s="1"/>
  <c r="BI80" i="11"/>
  <c r="AG80" i="10" s="1"/>
  <c r="BJ80" i="11"/>
  <c r="AH80" i="10" s="1"/>
  <c r="AT99" i="11"/>
  <c r="R99" i="10" s="1"/>
  <c r="BH95" i="11"/>
  <c r="AF95" i="10" s="1"/>
  <c r="AU99" i="11"/>
  <c r="S99" i="10" s="1"/>
  <c r="BK95" i="11"/>
  <c r="AI95" i="10" s="1"/>
  <c r="AT30" i="11"/>
  <c r="R30" i="10" s="1"/>
  <c r="BG95" i="11"/>
  <c r="AE95" i="10" s="1"/>
  <c r="AZ30" i="11"/>
  <c r="X30" i="10" s="1"/>
  <c r="AS99" i="11"/>
  <c r="Q99" i="10" s="1"/>
  <c r="BK99" i="11"/>
  <c r="AI99" i="10" s="1"/>
  <c r="AV99" i="11"/>
  <c r="T99" i="10" s="1"/>
  <c r="AD99" i="11"/>
  <c r="B99" i="10" s="1"/>
  <c r="AM99" i="11"/>
  <c r="K99" i="10" s="1"/>
  <c r="AD40" i="11"/>
  <c r="B40" i="10" s="1"/>
  <c r="AE40" i="11"/>
  <c r="C40" i="10" s="1"/>
  <c r="AL24" i="11"/>
  <c r="J24" i="10" s="1"/>
  <c r="BJ24" i="11"/>
  <c r="AH24" i="10" s="1"/>
  <c r="AJ24" i="11"/>
  <c r="H24" i="10" s="1"/>
  <c r="AF24" i="11"/>
  <c r="D24" i="10" s="1"/>
  <c r="BE24" i="11"/>
  <c r="AC24" i="10" s="1"/>
  <c r="AU24" i="11"/>
  <c r="S24" i="10" s="1"/>
  <c r="AR24" i="11"/>
  <c r="P24" i="10" s="1"/>
  <c r="BJ84" i="11"/>
  <c r="AH84" i="10" s="1"/>
  <c r="AR84" i="11"/>
  <c r="P84" i="10" s="1"/>
  <c r="AY84" i="11"/>
  <c r="W84" i="10" s="1"/>
  <c r="AU80" i="11"/>
  <c r="S80" i="10" s="1"/>
  <c r="AE80" i="11"/>
  <c r="C80" i="10" s="1"/>
  <c r="AM80" i="11"/>
  <c r="K80" i="10" s="1"/>
  <c r="AH80" i="11"/>
  <c r="F80" i="10" s="1"/>
  <c r="BI58" i="11"/>
  <c r="AG58" i="10" s="1"/>
  <c r="AD44" i="11"/>
  <c r="B44" i="10" s="1"/>
  <c r="AS58" i="11"/>
  <c r="Q58" i="10" s="1"/>
  <c r="BB33" i="11"/>
  <c r="Z33" i="10" s="1"/>
  <c r="AZ33" i="11"/>
  <c r="X33" i="10" s="1"/>
  <c r="AH33" i="11"/>
  <c r="F33" i="10" s="1"/>
  <c r="AT95" i="11"/>
  <c r="R95" i="10" s="1"/>
  <c r="AY80" i="11"/>
  <c r="W80" i="10" s="1"/>
  <c r="AG80" i="11"/>
  <c r="E80" i="10" s="1"/>
  <c r="AJ28" i="11"/>
  <c r="H28" i="10" s="1"/>
  <c r="AT58" i="11"/>
  <c r="R58" i="10" s="1"/>
  <c r="AK33" i="11"/>
  <c r="I33" i="10" s="1"/>
  <c r="BJ33" i="11"/>
  <c r="AH33" i="10" s="1"/>
  <c r="BG100" i="11"/>
  <c r="AE100" i="10" s="1"/>
  <c r="BI100" i="11"/>
  <c r="AG100" i="10" s="1"/>
  <c r="AF100" i="11"/>
  <c r="D100" i="10" s="1"/>
  <c r="AI100" i="11"/>
  <c r="G100" i="10" s="1"/>
  <c r="AO83" i="11"/>
  <c r="M83" i="10" s="1"/>
  <c r="AL83" i="11"/>
  <c r="J83" i="10" s="1"/>
  <c r="BA69" i="11"/>
  <c r="Y69" i="10" s="1"/>
  <c r="BD69" i="11"/>
  <c r="AB69" i="10" s="1"/>
  <c r="AI69" i="11"/>
  <c r="G69" i="10" s="1"/>
  <c r="AL69" i="11"/>
  <c r="J69" i="10" s="1"/>
  <c r="AZ69" i="11"/>
  <c r="X69" i="10" s="1"/>
  <c r="AZ52" i="11"/>
  <c r="X52" i="10" s="1"/>
  <c r="AU52" i="11"/>
  <c r="S52" i="10" s="1"/>
  <c r="BK52" i="11"/>
  <c r="AI52" i="10" s="1"/>
  <c r="BB52" i="11"/>
  <c r="Z52" i="10" s="1"/>
  <c r="BD52" i="11"/>
  <c r="AB52" i="10" s="1"/>
  <c r="AV52" i="11"/>
  <c r="T52" i="10" s="1"/>
  <c r="AH52" i="11"/>
  <c r="F52" i="10" s="1"/>
  <c r="AY52" i="11"/>
  <c r="W52" i="10" s="1"/>
  <c r="AM52" i="11"/>
  <c r="K52" i="10" s="1"/>
  <c r="AF52" i="11"/>
  <c r="D52" i="10" s="1"/>
  <c r="BH52" i="11"/>
  <c r="AF52" i="10" s="1"/>
  <c r="AK52" i="11"/>
  <c r="I52" i="10" s="1"/>
  <c r="AI52" i="11"/>
  <c r="G52" i="10" s="1"/>
  <c r="BJ52" i="11"/>
  <c r="AH52" i="10" s="1"/>
  <c r="AS52" i="11"/>
  <c r="Q52" i="10" s="1"/>
  <c r="AX52" i="11"/>
  <c r="V52" i="10" s="1"/>
  <c r="AT52" i="11"/>
  <c r="R52" i="10" s="1"/>
  <c r="BA52" i="11"/>
  <c r="Y52" i="10" s="1"/>
  <c r="AL52" i="11"/>
  <c r="J52" i="10" s="1"/>
  <c r="AG52" i="11"/>
  <c r="E52" i="10" s="1"/>
  <c r="BF52" i="11"/>
  <c r="AD52" i="10" s="1"/>
  <c r="AR52" i="11"/>
  <c r="P52" i="10" s="1"/>
  <c r="AE52" i="11"/>
  <c r="C52" i="10" s="1"/>
  <c r="BG52" i="11"/>
  <c r="AE52" i="10" s="1"/>
  <c r="AH69" i="11"/>
  <c r="F69" i="10" s="1"/>
  <c r="BE52" i="11"/>
  <c r="AC52" i="10" s="1"/>
  <c r="AP52" i="11"/>
  <c r="N52" i="10" s="1"/>
  <c r="BC52" i="11"/>
  <c r="AA52" i="10" s="1"/>
  <c r="AD52" i="11"/>
  <c r="B52" i="10" s="1"/>
  <c r="BH91" i="11"/>
  <c r="AF91" i="10" s="1"/>
  <c r="AW91" i="11"/>
  <c r="U91" i="10" s="1"/>
  <c r="BF91" i="11"/>
  <c r="AD91" i="10" s="1"/>
  <c r="AX91" i="11"/>
  <c r="V91" i="10" s="1"/>
  <c r="AP91" i="11"/>
  <c r="N91" i="10" s="1"/>
  <c r="AM91" i="11"/>
  <c r="K91" i="10" s="1"/>
  <c r="AM85" i="11"/>
  <c r="K85" i="10" s="1"/>
  <c r="AI85" i="11"/>
  <c r="G85" i="10" s="1"/>
  <c r="BJ85" i="11"/>
  <c r="AH85" i="10" s="1"/>
  <c r="AN85" i="11"/>
  <c r="L85" i="10" s="1"/>
  <c r="AT85" i="11"/>
  <c r="R85" i="10" s="1"/>
  <c r="AY85" i="11"/>
  <c r="W85" i="10" s="1"/>
  <c r="AH85" i="11"/>
  <c r="F85" i="10" s="1"/>
  <c r="AE85" i="11"/>
  <c r="C85" i="10" s="1"/>
  <c r="AZ78" i="11"/>
  <c r="X78" i="10" s="1"/>
  <c r="AJ78" i="11"/>
  <c r="H78" i="10" s="1"/>
  <c r="BI78" i="11"/>
  <c r="AG78" i="10" s="1"/>
  <c r="AK78" i="11"/>
  <c r="I78" i="10" s="1"/>
  <c r="AX78" i="11"/>
  <c r="V78" i="10" s="1"/>
  <c r="AM78" i="11"/>
  <c r="K78" i="10" s="1"/>
  <c r="AL78" i="11"/>
  <c r="J78" i="10" s="1"/>
  <c r="AQ78" i="11"/>
  <c r="O78" i="10" s="1"/>
  <c r="AE69" i="11"/>
  <c r="C69" i="10" s="1"/>
  <c r="AJ52" i="11"/>
  <c r="H52" i="10" s="1"/>
  <c r="AQ52" i="11"/>
  <c r="O52" i="10" s="1"/>
  <c r="BC83" i="11"/>
  <c r="AA83" i="10" s="1"/>
  <c r="AR100" i="11"/>
  <c r="P100" i="10" s="1"/>
  <c r="AV91" i="11"/>
  <c r="T91" i="10" s="1"/>
  <c r="AJ85" i="11"/>
  <c r="H85" i="10" s="1"/>
  <c r="AF61" i="11"/>
  <c r="D61" i="10" s="1"/>
  <c r="AG61" i="11"/>
  <c r="E61" i="10" s="1"/>
  <c r="AL61" i="11"/>
  <c r="J61" i="10" s="1"/>
  <c r="AV61" i="11"/>
  <c r="T61" i="10" s="1"/>
  <c r="AQ61" i="11"/>
  <c r="O61" i="10" s="1"/>
  <c r="AD51" i="11"/>
  <c r="B51" i="10" s="1"/>
  <c r="BF51" i="11"/>
  <c r="AD51" i="10" s="1"/>
  <c r="AP51" i="11"/>
  <c r="N51" i="10" s="1"/>
  <c r="AN51" i="11"/>
  <c r="L51" i="10" s="1"/>
  <c r="BI51" i="11"/>
  <c r="AG51" i="10" s="1"/>
  <c r="AU51" i="11"/>
  <c r="S51" i="10" s="1"/>
  <c r="AK51" i="11"/>
  <c r="I51" i="10" s="1"/>
  <c r="BF54" i="11"/>
  <c r="AD54" i="10" s="1"/>
  <c r="BB54" i="11"/>
  <c r="Z54" i="10" s="1"/>
  <c r="AG44" i="11"/>
  <c r="E44" i="10" s="1"/>
  <c r="BK44" i="11"/>
  <c r="AI44" i="10" s="1"/>
  <c r="BI44" i="11"/>
  <c r="AG44" i="10" s="1"/>
  <c r="AJ40" i="11"/>
  <c r="H40" i="10" s="1"/>
  <c r="BH40" i="11"/>
  <c r="AF40" i="10" s="1"/>
  <c r="BF40" i="11"/>
  <c r="AD40" i="10" s="1"/>
  <c r="BD40" i="11"/>
  <c r="AB40" i="10" s="1"/>
  <c r="BB40" i="11"/>
  <c r="Z40" i="10" s="1"/>
  <c r="BJ40" i="11"/>
  <c r="AH40" i="10" s="1"/>
  <c r="AS40" i="11"/>
  <c r="Q40" i="10" s="1"/>
  <c r="AF40" i="11"/>
  <c r="D40" i="10" s="1"/>
  <c r="AR33" i="11"/>
  <c r="P33" i="10" s="1"/>
  <c r="BC33" i="11"/>
  <c r="AA33" i="10" s="1"/>
  <c r="AV33" i="11"/>
  <c r="T33" i="10" s="1"/>
  <c r="AS33" i="11"/>
  <c r="Q33" i="10" s="1"/>
  <c r="AQ33" i="11"/>
  <c r="O33" i="10" s="1"/>
  <c r="AF33" i="11"/>
  <c r="D33" i="10" s="1"/>
  <c r="AY33" i="11"/>
  <c r="W33" i="10" s="1"/>
  <c r="AP33" i="11"/>
  <c r="N33" i="10" s="1"/>
  <c r="AR30" i="11"/>
  <c r="P30" i="10" s="1"/>
  <c r="AE30" i="11"/>
  <c r="C30" i="10" s="1"/>
  <c r="BH30" i="11"/>
  <c r="AF30" i="10" s="1"/>
  <c r="AW30" i="11"/>
  <c r="U30" i="10" s="1"/>
  <c r="BD30" i="11"/>
  <c r="AB30" i="10" s="1"/>
  <c r="AN30" i="11"/>
  <c r="L30" i="10" s="1"/>
  <c r="AO30" i="11"/>
  <c r="M30" i="10" s="1"/>
  <c r="AU30" i="11"/>
  <c r="S30" i="10" s="1"/>
  <c r="AY30" i="11"/>
  <c r="W30" i="10" s="1"/>
  <c r="BB30" i="11"/>
  <c r="Z30" i="10" s="1"/>
  <c r="AH30" i="11"/>
  <c r="F30" i="10" s="1"/>
  <c r="AV30" i="11"/>
  <c r="T30" i="10" s="1"/>
  <c r="BB26" i="11"/>
  <c r="Z26" i="10" s="1"/>
  <c r="AG26" i="11"/>
  <c r="E26" i="10" s="1"/>
  <c r="BD13" i="11"/>
  <c r="AB13" i="10" s="1"/>
  <c r="AK13" i="11"/>
  <c r="I13" i="10" s="1"/>
  <c r="AH13" i="11"/>
  <c r="F13" i="10" s="1"/>
  <c r="BC13" i="11"/>
  <c r="AA13" i="10" s="1"/>
  <c r="BK13" i="11"/>
  <c r="AI13" i="10" s="1"/>
  <c r="AR13" i="11"/>
  <c r="P13" i="10" s="1"/>
  <c r="AF13" i="11"/>
  <c r="D13" i="10" s="1"/>
  <c r="AG6" i="11"/>
  <c r="E6" i="10" s="1"/>
  <c r="AL6" i="11"/>
  <c r="J6" i="10" s="1"/>
  <c r="BK6" i="11"/>
  <c r="AI6" i="10" s="1"/>
  <c r="AP95" i="11"/>
  <c r="N95" i="10" s="1"/>
  <c r="AE95" i="11"/>
  <c r="C95" i="10" s="1"/>
  <c r="AK95" i="11"/>
  <c r="I95" i="10" s="1"/>
  <c r="BF95" i="11"/>
  <c r="AD95" i="10" s="1"/>
  <c r="AD95" i="11"/>
  <c r="B95" i="10" s="1"/>
  <c r="AG95" i="11"/>
  <c r="E95" i="10" s="1"/>
  <c r="AY95" i="11"/>
  <c r="W95" i="10" s="1"/>
  <c r="BB95" i="11"/>
  <c r="Z95" i="10" s="1"/>
  <c r="BG37" i="11"/>
  <c r="AE37" i="10" s="1"/>
  <c r="AS37" i="11"/>
  <c r="Q37" i="10" s="1"/>
  <c r="BE37" i="11"/>
  <c r="AC37" i="10" s="1"/>
  <c r="AF37" i="11"/>
  <c r="D37" i="10" s="1"/>
  <c r="BC37" i="11"/>
  <c r="AA37" i="10" s="1"/>
  <c r="BI37" i="11"/>
  <c r="AG37" i="10" s="1"/>
  <c r="AJ37" i="11"/>
  <c r="H37" i="10" s="1"/>
  <c r="BJ37" i="11"/>
  <c r="AH37" i="10" s="1"/>
  <c r="AQ54" i="11"/>
  <c r="O54" i="10" s="1"/>
  <c r="AW54" i="11"/>
  <c r="U54" i="10" s="1"/>
  <c r="AJ54" i="11"/>
  <c r="H54" i="10" s="1"/>
  <c r="BJ54" i="11"/>
  <c r="AH54" i="10" s="1"/>
  <c r="AR54" i="11"/>
  <c r="P54" i="10" s="1"/>
  <c r="BK54" i="11"/>
  <c r="AI54" i="10" s="1"/>
  <c r="AR61" i="11"/>
  <c r="P61" i="10" s="1"/>
  <c r="AJ61" i="11"/>
  <c r="H61" i="10" s="1"/>
  <c r="AX61" i="11"/>
  <c r="V61" i="10" s="1"/>
  <c r="AY61" i="11"/>
  <c r="W61" i="10" s="1"/>
  <c r="BD61" i="11"/>
  <c r="AB61" i="10" s="1"/>
  <c r="BI61" i="11"/>
  <c r="AG61" i="10" s="1"/>
  <c r="AP61" i="11"/>
  <c r="N61" i="10" s="1"/>
  <c r="BB61" i="11"/>
  <c r="Z61" i="10" s="1"/>
  <c r="BB51" i="11"/>
  <c r="Z51" i="10" s="1"/>
  <c r="AO51" i="11"/>
  <c r="M51" i="10" s="1"/>
  <c r="AT51" i="11"/>
  <c r="R51" i="10" s="1"/>
  <c r="AG51" i="11"/>
  <c r="E51" i="10" s="1"/>
  <c r="AZ51" i="11"/>
  <c r="X51" i="10" s="1"/>
  <c r="BD51" i="11"/>
  <c r="AB51" i="10" s="1"/>
  <c r="BI13" i="11"/>
  <c r="AG13" i="10" s="1"/>
  <c r="AJ13" i="11"/>
  <c r="H13" i="10" s="1"/>
  <c r="AE13" i="11"/>
  <c r="C13" i="10" s="1"/>
  <c r="AG13" i="11"/>
  <c r="E13" i="10" s="1"/>
  <c r="BE13" i="11"/>
  <c r="AC13" i="10" s="1"/>
  <c r="BE95" i="11"/>
  <c r="AC95" i="10" s="1"/>
  <c r="AL95" i="11"/>
  <c r="J95" i="10" s="1"/>
  <c r="AL30" i="11"/>
  <c r="J30" i="10" s="1"/>
  <c r="AM95" i="11"/>
  <c r="K95" i="10" s="1"/>
  <c r="BG30" i="11"/>
  <c r="AE30" i="10" s="1"/>
  <c r="BK30" i="11"/>
  <c r="AI30" i="10" s="1"/>
  <c r="AG30" i="11"/>
  <c r="E30" i="10" s="1"/>
  <c r="AX40" i="11"/>
  <c r="V40" i="10" s="1"/>
  <c r="AQ40" i="11"/>
  <c r="O40" i="10" s="1"/>
  <c r="AK40" i="11"/>
  <c r="I40" i="10" s="1"/>
  <c r="AI40" i="11"/>
  <c r="G40" i="10" s="1"/>
  <c r="AQ30" i="11"/>
  <c r="O30" i="10" s="1"/>
  <c r="AH54" i="11"/>
  <c r="F54" i="10" s="1"/>
  <c r="AW51" i="11"/>
  <c r="U51" i="10" s="1"/>
  <c r="AW40" i="11"/>
  <c r="U40" i="10" s="1"/>
  <c r="BC44" i="11"/>
  <c r="AA44" i="10" s="1"/>
  <c r="AD6" i="11"/>
  <c r="B6" i="10" s="1"/>
  <c r="AY6" i="11"/>
  <c r="W6" i="10" s="1"/>
  <c r="AL28" i="11"/>
  <c r="J28" i="10" s="1"/>
  <c r="AO6" i="11"/>
  <c r="M6" i="10" s="1"/>
  <c r="BI8" i="11"/>
  <c r="AG8" i="10" s="1"/>
  <c r="BG40" i="11"/>
  <c r="AE40" i="10" s="1"/>
  <c r="BB58" i="11"/>
  <c r="Z58" i="10" s="1"/>
  <c r="BF33" i="11"/>
  <c r="AD33" i="10" s="1"/>
  <c r="AJ33" i="11"/>
  <c r="H33" i="10" s="1"/>
  <c r="AW33" i="11"/>
  <c r="U33" i="10" s="1"/>
  <c r="AN33" i="11"/>
  <c r="L33" i="10" s="1"/>
  <c r="AM33" i="11"/>
  <c r="K33" i="10" s="1"/>
  <c r="BK33" i="11"/>
  <c r="AI33" i="10" s="1"/>
  <c r="BG38" i="11"/>
  <c r="AE38" i="10" s="1"/>
  <c r="AN95" i="11"/>
  <c r="L95" i="10" s="1"/>
  <c r="AF95" i="11"/>
  <c r="D95" i="10" s="1"/>
  <c r="AL37" i="11"/>
  <c r="J37" i="10" s="1"/>
  <c r="BA37" i="11"/>
  <c r="Y37" i="10" s="1"/>
  <c r="BH37" i="11"/>
  <c r="AF37" i="10" s="1"/>
  <c r="AZ37" i="11"/>
  <c r="X37" i="10" s="1"/>
  <c r="AW37" i="11"/>
  <c r="U37" i="10" s="1"/>
  <c r="BB37" i="11"/>
  <c r="Z37" i="10" s="1"/>
  <c r="AD37" i="11"/>
  <c r="B37" i="10" s="1"/>
  <c r="AZ54" i="11"/>
  <c r="X54" i="10" s="1"/>
  <c r="AT54" i="11"/>
  <c r="R54" i="10" s="1"/>
  <c r="AO54" i="11"/>
  <c r="M54" i="10" s="1"/>
  <c r="AP54" i="11"/>
  <c r="N54" i="10" s="1"/>
  <c r="BC54" i="11"/>
  <c r="AA54" i="10" s="1"/>
  <c r="AY54" i="11"/>
  <c r="W54" i="10" s="1"/>
  <c r="AI54" i="11"/>
  <c r="G54" i="10" s="1"/>
  <c r="BK61" i="11"/>
  <c r="AI61" i="10" s="1"/>
  <c r="BJ61" i="11"/>
  <c r="AH61" i="10" s="1"/>
  <c r="AN61" i="11"/>
  <c r="L61" i="10" s="1"/>
  <c r="BF61" i="11"/>
  <c r="AD61" i="10" s="1"/>
  <c r="AS61" i="11"/>
  <c r="Q61" i="10" s="1"/>
  <c r="AX51" i="11"/>
  <c r="V51" i="10" s="1"/>
  <c r="AV51" i="11"/>
  <c r="T51" i="10" s="1"/>
  <c r="BK51" i="11"/>
  <c r="AI51" i="10" s="1"/>
  <c r="AR51" i="11"/>
  <c r="P51" i="10" s="1"/>
  <c r="AI51" i="11"/>
  <c r="G51" i="10" s="1"/>
  <c r="AP13" i="11"/>
  <c r="N13" i="10" s="1"/>
  <c r="BH13" i="11"/>
  <c r="AF13" i="10" s="1"/>
  <c r="AN13" i="11"/>
  <c r="L13" i="10" s="1"/>
  <c r="BA13" i="11"/>
  <c r="Y13" i="10" s="1"/>
  <c r="AX13" i="11"/>
  <c r="V13" i="10" s="1"/>
  <c r="AV13" i="11"/>
  <c r="T13" i="10" s="1"/>
  <c r="AD30" i="11"/>
  <c r="B30" i="10" s="1"/>
  <c r="BA95" i="11"/>
  <c r="Y95" i="10" s="1"/>
  <c r="AQ95" i="11"/>
  <c r="O95" i="10" s="1"/>
  <c r="BD95" i="11"/>
  <c r="AB95" i="10" s="1"/>
  <c r="AS95" i="11"/>
  <c r="Q95" i="10" s="1"/>
  <c r="AW95" i="11"/>
  <c r="U95" i="10" s="1"/>
  <c r="AP30" i="11"/>
  <c r="N30" i="10" s="1"/>
  <c r="BC30" i="11"/>
  <c r="AA30" i="10" s="1"/>
  <c r="BA30" i="11"/>
  <c r="Y30" i="10" s="1"/>
  <c r="AY40" i="11"/>
  <c r="W40" i="10" s="1"/>
  <c r="AV40" i="11"/>
  <c r="T40" i="10" s="1"/>
  <c r="AH40" i="11"/>
  <c r="F40" i="10" s="1"/>
  <c r="AZ40" i="11"/>
  <c r="X40" i="10" s="1"/>
  <c r="AK30" i="11"/>
  <c r="I30" i="10" s="1"/>
  <c r="AS54" i="11"/>
  <c r="Q54" i="10" s="1"/>
  <c r="BH26" i="11"/>
  <c r="AF26" i="10" s="1"/>
  <c r="BI40" i="11"/>
  <c r="AG40" i="10" s="1"/>
  <c r="AJ6" i="11"/>
  <c r="H6" i="10" s="1"/>
  <c r="AI6" i="11"/>
  <c r="G6" i="10" s="1"/>
  <c r="AQ44" i="11"/>
  <c r="O44" i="10" s="1"/>
  <c r="AF28" i="11"/>
  <c r="D28" i="10" s="1"/>
  <c r="BG6" i="11"/>
  <c r="AE6" i="10" s="1"/>
  <c r="BE40" i="11"/>
  <c r="AC40" i="10" s="1"/>
  <c r="AR40" i="11"/>
  <c r="P40" i="10" s="1"/>
  <c r="BH61" i="11"/>
  <c r="AF61" i="10" s="1"/>
  <c r="BG33" i="11"/>
  <c r="AE33" i="10" s="1"/>
  <c r="AX33" i="11"/>
  <c r="V33" i="10" s="1"/>
  <c r="AI33" i="11"/>
  <c r="G33" i="10" s="1"/>
  <c r="BA33" i="11"/>
  <c r="Y33" i="10" s="1"/>
  <c r="AE33" i="11"/>
  <c r="C33" i="10" s="1"/>
  <c r="AH61" i="11"/>
  <c r="F61" i="10" s="1"/>
  <c r="AH95" i="11"/>
  <c r="F95" i="10" s="1"/>
  <c r="AX95" i="11"/>
  <c r="V95" i="10" s="1"/>
  <c r="AR64" i="11"/>
  <c r="P64" i="10" s="1"/>
  <c r="AN64" i="11"/>
  <c r="L64" i="10" s="1"/>
  <c r="BC64" i="11"/>
  <c r="AA64" i="10" s="1"/>
  <c r="BD64" i="11"/>
  <c r="AB64" i="10" s="1"/>
  <c r="AE64" i="11"/>
  <c r="C64" i="10" s="1"/>
  <c r="BJ64" i="11"/>
  <c r="AH64" i="10" s="1"/>
  <c r="AI64" i="11"/>
  <c r="G64" i="10" s="1"/>
  <c r="AT64" i="11"/>
  <c r="R64" i="10" s="1"/>
  <c r="AL64" i="11"/>
  <c r="J64" i="10" s="1"/>
  <c r="AM64" i="11"/>
  <c r="K64" i="10" s="1"/>
  <c r="AS64" i="11"/>
  <c r="Q64" i="10" s="1"/>
  <c r="AJ64" i="11"/>
  <c r="H64" i="10" s="1"/>
  <c r="AD64" i="11"/>
  <c r="B64" i="10" s="1"/>
  <c r="AF64" i="11"/>
  <c r="D64" i="10" s="1"/>
  <c r="AO64" i="11"/>
  <c r="M64" i="10" s="1"/>
  <c r="AZ64" i="11"/>
  <c r="X64" i="10" s="1"/>
  <c r="AY64" i="11"/>
  <c r="W64" i="10" s="1"/>
  <c r="BA64" i="11"/>
  <c r="Y64" i="10" s="1"/>
  <c r="AH64" i="11"/>
  <c r="F64" i="10" s="1"/>
  <c r="BB64" i="11"/>
  <c r="Z64" i="10" s="1"/>
  <c r="AU64" i="11"/>
  <c r="S64" i="10" s="1"/>
  <c r="AW64" i="11"/>
  <c r="U64" i="10" s="1"/>
  <c r="AP64" i="11"/>
  <c r="N64" i="10" s="1"/>
  <c r="AX64" i="11"/>
  <c r="V64" i="10" s="1"/>
  <c r="AK98" i="11"/>
  <c r="I98" i="10" s="1"/>
  <c r="AF93" i="11"/>
  <c r="D93" i="10" s="1"/>
  <c r="AZ15" i="11"/>
  <c r="X15" i="10" s="1"/>
  <c r="BI34" i="11"/>
  <c r="AG34" i="10" s="1"/>
  <c r="BE72" i="11"/>
  <c r="AC72" i="10" s="1"/>
  <c r="BF15" i="11"/>
  <c r="AD15" i="10" s="1"/>
  <c r="AW50" i="11"/>
  <c r="U50" i="10" s="1"/>
  <c r="BE54" i="11"/>
  <c r="AC54" i="10" s="1"/>
  <c r="AK19" i="11"/>
  <c r="I19" i="10" s="1"/>
  <c r="AZ94" i="11"/>
  <c r="X94" i="10" s="1"/>
  <c r="AT94" i="11"/>
  <c r="R94" i="10" s="1"/>
  <c r="BD94" i="11"/>
  <c r="AB94" i="10" s="1"/>
  <c r="AM93" i="11"/>
  <c r="K93" i="10" s="1"/>
  <c r="AD93" i="11"/>
  <c r="B93" i="10" s="1"/>
  <c r="AP92" i="11"/>
  <c r="N92" i="10" s="1"/>
  <c r="AS92" i="11"/>
  <c r="Q92" i="10" s="1"/>
  <c r="AR92" i="11"/>
  <c r="P92" i="10" s="1"/>
  <c r="AE92" i="11"/>
  <c r="C92" i="10" s="1"/>
  <c r="AZ92" i="11"/>
  <c r="X92" i="10" s="1"/>
  <c r="BH92" i="11"/>
  <c r="AF92" i="10" s="1"/>
  <c r="BA92" i="11"/>
  <c r="Y92" i="10" s="1"/>
  <c r="BI92" i="11"/>
  <c r="AG92" i="10" s="1"/>
  <c r="AX92" i="11"/>
  <c r="V92" i="10" s="1"/>
  <c r="AM92" i="11"/>
  <c r="K92" i="10" s="1"/>
  <c r="BC92" i="11"/>
  <c r="AA92" i="10" s="1"/>
  <c r="AE91" i="11"/>
  <c r="C91" i="10" s="1"/>
  <c r="AI91" i="11"/>
  <c r="G91" i="10" s="1"/>
  <c r="BI91" i="11"/>
  <c r="AG91" i="10" s="1"/>
  <c r="AD91" i="11"/>
  <c r="B91" i="10" s="1"/>
  <c r="BA91" i="11"/>
  <c r="Y91" i="10" s="1"/>
  <c r="AZ91" i="11"/>
  <c r="X91" i="10" s="1"/>
  <c r="BJ91" i="11"/>
  <c r="AH91" i="10" s="1"/>
  <c r="BG91" i="11"/>
  <c r="AE91" i="10" s="1"/>
  <c r="AS91" i="11"/>
  <c r="Q91" i="10" s="1"/>
  <c r="BC91" i="11"/>
  <c r="AA91" i="10" s="1"/>
  <c r="AT91" i="11"/>
  <c r="R91" i="10" s="1"/>
  <c r="BD91" i="11"/>
  <c r="AB91" i="10" s="1"/>
  <c r="AN91" i="11"/>
  <c r="L91" i="10" s="1"/>
  <c r="AU91" i="11"/>
  <c r="S91" i="10" s="1"/>
  <c r="AF91" i="11"/>
  <c r="D91" i="10" s="1"/>
  <c r="BK91" i="11"/>
  <c r="AI91" i="10" s="1"/>
  <c r="BE91" i="11"/>
  <c r="AC91" i="10" s="1"/>
  <c r="AH91" i="11"/>
  <c r="F91" i="10" s="1"/>
  <c r="AK91" i="11"/>
  <c r="I91" i="10" s="1"/>
  <c r="AE90" i="11"/>
  <c r="C90" i="10" s="1"/>
  <c r="BJ90" i="11"/>
  <c r="AH90" i="10" s="1"/>
  <c r="AH90" i="11"/>
  <c r="F90" i="10" s="1"/>
  <c r="BA90" i="11"/>
  <c r="Y90" i="10" s="1"/>
  <c r="AY90" i="11"/>
  <c r="W90" i="10" s="1"/>
  <c r="AV90" i="11"/>
  <c r="T90" i="10" s="1"/>
  <c r="BK86" i="11"/>
  <c r="AI86" i="10" s="1"/>
  <c r="AO86" i="11"/>
  <c r="M86" i="10" s="1"/>
  <c r="AZ86" i="11"/>
  <c r="X86" i="10" s="1"/>
  <c r="AE86" i="11"/>
  <c r="C86" i="10" s="1"/>
  <c r="AJ86" i="11"/>
  <c r="H86" i="10" s="1"/>
  <c r="BD86" i="11"/>
  <c r="AB86" i="10" s="1"/>
  <c r="AR86" i="11"/>
  <c r="P86" i="10" s="1"/>
  <c r="AL86" i="11"/>
  <c r="J86" i="10" s="1"/>
  <c r="AQ86" i="11"/>
  <c r="O86" i="10" s="1"/>
  <c r="AH86" i="11"/>
  <c r="F86" i="10" s="1"/>
  <c r="BK85" i="11"/>
  <c r="AI85" i="10" s="1"/>
  <c r="AP85" i="11"/>
  <c r="N85" i="10" s="1"/>
  <c r="BB85" i="11"/>
  <c r="Z85" i="10" s="1"/>
  <c r="AX85" i="11"/>
  <c r="V85" i="10" s="1"/>
  <c r="AL85" i="11"/>
  <c r="J85" i="10" s="1"/>
  <c r="AQ85" i="11"/>
  <c r="O85" i="10" s="1"/>
  <c r="AK85" i="11"/>
  <c r="I85" i="10" s="1"/>
  <c r="AV85" i="11"/>
  <c r="T85" i="10" s="1"/>
  <c r="AS85" i="11"/>
  <c r="Q85" i="10" s="1"/>
  <c r="BG85" i="11"/>
  <c r="AE85" i="10" s="1"/>
  <c r="AW85" i="11"/>
  <c r="U85" i="10" s="1"/>
  <c r="BD85" i="11"/>
  <c r="AB85" i="10" s="1"/>
  <c r="AO85" i="11"/>
  <c r="M85" i="10" s="1"/>
  <c r="BA85" i="11"/>
  <c r="Y85" i="10" s="1"/>
  <c r="BF85" i="11"/>
  <c r="AD85" i="10" s="1"/>
  <c r="AR85" i="11"/>
  <c r="P85" i="10" s="1"/>
  <c r="BH85" i="11"/>
  <c r="AF85" i="10" s="1"/>
  <c r="AG85" i="11"/>
  <c r="E85" i="10" s="1"/>
  <c r="BI85" i="11"/>
  <c r="AG85" i="10" s="1"/>
  <c r="AZ85" i="11"/>
  <c r="X85" i="10" s="1"/>
  <c r="BE85" i="11"/>
  <c r="AC85" i="10" s="1"/>
  <c r="BC85" i="11"/>
  <c r="AA85" i="10" s="1"/>
  <c r="AF85" i="11"/>
  <c r="D85" i="10" s="1"/>
  <c r="AO84" i="11"/>
  <c r="M84" i="10" s="1"/>
  <c r="BB84" i="11"/>
  <c r="Z84" i="10" s="1"/>
  <c r="BD84" i="11"/>
  <c r="AB84" i="10" s="1"/>
  <c r="BA84" i="11"/>
  <c r="Y84" i="10" s="1"/>
  <c r="BF84" i="11"/>
  <c r="AD84" i="10" s="1"/>
  <c r="AJ84" i="11"/>
  <c r="H84" i="10" s="1"/>
  <c r="BI84" i="11"/>
  <c r="AG84" i="10" s="1"/>
  <c r="BK84" i="11"/>
  <c r="AI84" i="10" s="1"/>
  <c r="AI84" i="11"/>
  <c r="G84" i="10" s="1"/>
  <c r="AW84" i="11"/>
  <c r="U84" i="10" s="1"/>
  <c r="AU84" i="11"/>
  <c r="S84" i="10" s="1"/>
  <c r="AQ84" i="11"/>
  <c r="O84" i="10" s="1"/>
  <c r="AG84" i="11"/>
  <c r="E84" i="10" s="1"/>
  <c r="AD84" i="11"/>
  <c r="B84" i="10" s="1"/>
  <c r="BC84" i="11"/>
  <c r="AA84" i="10" s="1"/>
  <c r="AX84" i="11"/>
  <c r="V84" i="10" s="1"/>
  <c r="BG83" i="11"/>
  <c r="AE83" i="10" s="1"/>
  <c r="AJ83" i="11"/>
  <c r="H83" i="10" s="1"/>
  <c r="BH83" i="11"/>
  <c r="AF83" i="10" s="1"/>
  <c r="AL82" i="11"/>
  <c r="J82" i="10" s="1"/>
  <c r="AI82" i="11"/>
  <c r="G82" i="10" s="1"/>
  <c r="AG82" i="11"/>
  <c r="E82" i="10" s="1"/>
  <c r="BA78" i="11"/>
  <c r="Y78" i="10" s="1"/>
  <c r="AU78" i="11"/>
  <c r="S78" i="10" s="1"/>
  <c r="BB78" i="11"/>
  <c r="Z78" i="10" s="1"/>
  <c r="BK78" i="11"/>
  <c r="AI78" i="10" s="1"/>
  <c r="BF78" i="11"/>
  <c r="AD78" i="10" s="1"/>
  <c r="AN78" i="11"/>
  <c r="L78" i="10" s="1"/>
  <c r="BD78" i="11"/>
  <c r="AB78" i="10" s="1"/>
  <c r="BH78" i="11"/>
  <c r="AF78" i="10" s="1"/>
  <c r="BC78" i="11"/>
  <c r="AA78" i="10" s="1"/>
  <c r="AO78" i="11"/>
  <c r="M78" i="10" s="1"/>
  <c r="AW78" i="11"/>
  <c r="U78" i="10" s="1"/>
  <c r="AD78" i="11"/>
  <c r="B78" i="10" s="1"/>
  <c r="AS78" i="11"/>
  <c r="Q78" i="10" s="1"/>
  <c r="AH78" i="11"/>
  <c r="F78" i="10" s="1"/>
  <c r="BG78" i="11"/>
  <c r="AE78" i="10" s="1"/>
  <c r="AV78" i="11"/>
  <c r="T78" i="10" s="1"/>
  <c r="AF78" i="11"/>
  <c r="D78" i="10" s="1"/>
  <c r="BJ78" i="11"/>
  <c r="AH78" i="10" s="1"/>
  <c r="BE78" i="11"/>
  <c r="AC78" i="10" s="1"/>
  <c r="AE78" i="11"/>
  <c r="C78" i="10" s="1"/>
  <c r="AJ77" i="11"/>
  <c r="H77" i="10" s="1"/>
  <c r="AO77" i="11"/>
  <c r="M77" i="10" s="1"/>
  <c r="AL77" i="11"/>
  <c r="J77" i="10" s="1"/>
  <c r="BI77" i="11"/>
  <c r="AG77" i="10" s="1"/>
  <c r="AH77" i="11"/>
  <c r="F77" i="10" s="1"/>
  <c r="BF77" i="11"/>
  <c r="AD77" i="10" s="1"/>
  <c r="AK77" i="11"/>
  <c r="I77" i="10" s="1"/>
  <c r="BA77" i="11"/>
  <c r="Y77" i="10" s="1"/>
  <c r="AS77" i="11"/>
  <c r="Q77" i="10" s="1"/>
  <c r="AN77" i="11"/>
  <c r="L77" i="10" s="1"/>
  <c r="AD77" i="11"/>
  <c r="B77" i="10" s="1"/>
  <c r="AU77" i="11"/>
  <c r="S77" i="10" s="1"/>
  <c r="AP77" i="11"/>
  <c r="N77" i="10" s="1"/>
  <c r="AE77" i="11"/>
  <c r="C77" i="10" s="1"/>
  <c r="BG77" i="11"/>
  <c r="AE77" i="10" s="1"/>
  <c r="BE77" i="11"/>
  <c r="AC77" i="10" s="1"/>
  <c r="AY77" i="11"/>
  <c r="W77" i="10" s="1"/>
  <c r="AT77" i="11"/>
  <c r="R77" i="10" s="1"/>
  <c r="BH69" i="11"/>
  <c r="AF69" i="10" s="1"/>
  <c r="AQ69" i="11"/>
  <c r="O69" i="10" s="1"/>
  <c r="AM69" i="11"/>
  <c r="K69" i="10" s="1"/>
  <c r="AO69" i="11"/>
  <c r="M69" i="10" s="1"/>
  <c r="BB69" i="11"/>
  <c r="Z69" i="10" s="1"/>
  <c r="AT69" i="11"/>
  <c r="R69" i="10" s="1"/>
  <c r="BJ69" i="11"/>
  <c r="AH69" i="10" s="1"/>
  <c r="AJ69" i="11"/>
  <c r="H69" i="10" s="1"/>
  <c r="AW68" i="11"/>
  <c r="U68" i="10" s="1"/>
  <c r="AT68" i="11"/>
  <c r="R68" i="10" s="1"/>
  <c r="AL68" i="11"/>
  <c r="J68" i="10" s="1"/>
  <c r="AZ68" i="11"/>
  <c r="X68" i="10" s="1"/>
  <c r="AV68" i="11"/>
  <c r="T68" i="10" s="1"/>
  <c r="AY68" i="11"/>
  <c r="W68" i="10" s="1"/>
  <c r="AF68" i="11"/>
  <c r="D68" i="10" s="1"/>
  <c r="AY65" i="11"/>
  <c r="W65" i="10" s="1"/>
  <c r="BA65" i="11"/>
  <c r="Y65" i="10" s="1"/>
  <c r="BE65" i="11"/>
  <c r="AC65" i="10" s="1"/>
  <c r="BK65" i="11"/>
  <c r="AI65" i="10" s="1"/>
  <c r="BF64" i="11"/>
  <c r="AD64" i="10" s="1"/>
  <c r="BE64" i="11"/>
  <c r="AC64" i="10" s="1"/>
  <c r="AK64" i="11"/>
  <c r="I64" i="10" s="1"/>
  <c r="AN52" i="11"/>
  <c r="L52" i="10" s="1"/>
  <c r="BI52" i="11"/>
  <c r="AG52" i="10" s="1"/>
  <c r="AO52" i="11"/>
  <c r="M52" i="10" s="1"/>
  <c r="BA80" i="11"/>
  <c r="Y80" i="10" s="1"/>
  <c r="AT80" i="11"/>
  <c r="R80" i="10" s="1"/>
  <c r="BH80" i="11"/>
  <c r="AF80" i="10" s="1"/>
  <c r="AZ80" i="11"/>
  <c r="X80" i="10" s="1"/>
  <c r="AV80" i="11"/>
  <c r="T80" i="10" s="1"/>
  <c r="BK80" i="11"/>
  <c r="AI80" i="10" s="1"/>
  <c r="AN41" i="11"/>
  <c r="L41" i="10" s="1"/>
  <c r="BH41" i="11"/>
  <c r="AF41" i="10" s="1"/>
  <c r="BK41" i="11"/>
  <c r="AI41" i="10" s="1"/>
  <c r="AU41" i="11"/>
  <c r="S41" i="10" s="1"/>
  <c r="AF41" i="11"/>
  <c r="D41" i="10" s="1"/>
  <c r="BF41" i="11"/>
  <c r="AD41" i="10" s="1"/>
  <c r="AH41" i="11"/>
  <c r="F41" i="10" s="1"/>
  <c r="BA41" i="11"/>
  <c r="Y41" i="10" s="1"/>
  <c r="AI41" i="11"/>
  <c r="G41" i="10" s="1"/>
  <c r="AX41" i="11"/>
  <c r="V41" i="10" s="1"/>
  <c r="AT41" i="11"/>
  <c r="R41" i="10" s="1"/>
  <c r="BA55" i="11"/>
  <c r="Y55" i="10" s="1"/>
  <c r="AE55" i="11"/>
  <c r="C55" i="10" s="1"/>
  <c r="AV55" i="11"/>
  <c r="T55" i="10" s="1"/>
  <c r="BC55" i="11"/>
  <c r="AA55" i="10" s="1"/>
  <c r="BF55" i="11"/>
  <c r="AD55" i="10" s="1"/>
  <c r="AI55" i="11"/>
  <c r="G55" i="10" s="1"/>
  <c r="AD55" i="11"/>
  <c r="B55" i="10" s="1"/>
  <c r="AT55" i="11"/>
  <c r="R55" i="10" s="1"/>
  <c r="AG57" i="11"/>
  <c r="E57" i="10" s="1"/>
  <c r="AL57" i="11"/>
  <c r="J57" i="10" s="1"/>
  <c r="BG64" i="11"/>
  <c r="AE64" i="10" s="1"/>
  <c r="BH64" i="11"/>
  <c r="AF64" i="10" s="1"/>
  <c r="AQ64" i="11"/>
  <c r="O64" i="10" s="1"/>
  <c r="AG64" i="11"/>
  <c r="E64" i="10" s="1"/>
  <c r="BK64" i="11"/>
  <c r="AI64" i="10" s="1"/>
  <c r="BI64" i="11"/>
  <c r="AG64" i="10" s="1"/>
  <c r="AV64" i="11"/>
  <c r="T64" i="10" s="1"/>
  <c r="AJ99" i="11"/>
  <c r="H99" i="10" s="1"/>
  <c r="AR65" i="11"/>
  <c r="P65" i="10" s="1"/>
  <c r="AH65" i="11"/>
  <c r="F65" i="10" s="1"/>
  <c r="AK65" i="11"/>
  <c r="I65" i="10" s="1"/>
  <c r="AE65" i="11"/>
  <c r="C65" i="10" s="1"/>
  <c r="AK61" i="11"/>
  <c r="I61" i="10" s="1"/>
  <c r="AE58" i="11"/>
  <c r="C58" i="10" s="1"/>
  <c r="AY58" i="11"/>
  <c r="W58" i="10" s="1"/>
  <c r="AD58" i="11"/>
  <c r="B58" i="10" s="1"/>
  <c r="AK58" i="11"/>
  <c r="I58" i="10" s="1"/>
  <c r="BH9" i="11"/>
  <c r="AF9" i="10" s="1"/>
  <c r="BH14" i="11"/>
  <c r="AF14" i="10" s="1"/>
  <c r="BI26" i="11"/>
  <c r="AG26" i="10" s="1"/>
  <c r="AM28" i="11"/>
  <c r="K28" i="10" s="1"/>
  <c r="BJ30" i="11"/>
  <c r="AH30" i="10" s="1"/>
  <c r="AE37" i="11"/>
  <c r="C37" i="10" s="1"/>
  <c r="AG40" i="11"/>
  <c r="E40" i="10" s="1"/>
  <c r="BH51" i="11"/>
  <c r="AF51" i="10" s="1"/>
  <c r="AT78" i="11"/>
  <c r="R78" i="10" s="1"/>
  <c r="AI78" i="11"/>
  <c r="G78" i="10" s="1"/>
  <c r="AG78" i="11"/>
  <c r="E78" i="10" s="1"/>
  <c r="BC48" i="11"/>
  <c r="AA48" i="10" s="1"/>
  <c r="AM48" i="11"/>
  <c r="K48" i="10" s="1"/>
  <c r="AV48" i="11"/>
  <c r="T48" i="10" s="1"/>
  <c r="AO48" i="11"/>
  <c r="M48" i="10" s="1"/>
  <c r="BH48" i="11"/>
  <c r="AF48" i="10" s="1"/>
  <c r="AF48" i="11"/>
  <c r="D48" i="10" s="1"/>
  <c r="AU48" i="11"/>
  <c r="S48" i="10" s="1"/>
  <c r="AP78" i="11"/>
  <c r="N78" i="10" s="1"/>
  <c r="AJ100" i="11"/>
  <c r="H100" i="10" s="1"/>
  <c r="AO100" i="11"/>
  <c r="M100" i="10" s="1"/>
  <c r="AK100" i="11"/>
  <c r="I100" i="10" s="1"/>
  <c r="AV100" i="11"/>
  <c r="T100" i="10" s="1"/>
  <c r="BA100" i="11"/>
  <c r="Y100" i="10" s="1"/>
  <c r="AW100" i="11"/>
  <c r="U100" i="10" s="1"/>
  <c r="BD100" i="11"/>
  <c r="AB100" i="10" s="1"/>
  <c r="AL100" i="11"/>
  <c r="J100" i="10" s="1"/>
  <c r="AQ100" i="11"/>
  <c r="O100" i="10" s="1"/>
  <c r="BF100" i="11"/>
  <c r="AD100" i="10" s="1"/>
  <c r="AE100" i="11"/>
  <c r="C100" i="10" s="1"/>
  <c r="BK100" i="11"/>
  <c r="AI100" i="10" s="1"/>
  <c r="AT100" i="11"/>
  <c r="R100" i="10" s="1"/>
  <c r="BB100" i="11"/>
  <c r="Z100" i="10" s="1"/>
  <c r="AZ100" i="11"/>
  <c r="X100" i="10" s="1"/>
  <c r="AN100" i="11"/>
  <c r="L100" i="10" s="1"/>
  <c r="BJ100" i="11"/>
  <c r="AH100" i="10" s="1"/>
  <c r="BH100" i="11"/>
  <c r="AF100" i="10" s="1"/>
  <c r="AU100" i="11"/>
  <c r="S100" i="10" s="1"/>
  <c r="AK71" i="11"/>
  <c r="I71" i="10" s="1"/>
  <c r="AO71" i="11"/>
  <c r="M71" i="10" s="1"/>
  <c r="BD71" i="11"/>
  <c r="AB71" i="10" s="1"/>
  <c r="AS71" i="11"/>
  <c r="Q71" i="10" s="1"/>
  <c r="BG98" i="11"/>
  <c r="AE98" i="10" s="1"/>
  <c r="BK97" i="11"/>
  <c r="AI97" i="10" s="1"/>
  <c r="AN96" i="11"/>
  <c r="L96" i="10" s="1"/>
  <c r="AU94" i="11"/>
  <c r="S94" i="10" s="1"/>
  <c r="BE86" i="11"/>
  <c r="AC86" i="10" s="1"/>
  <c r="AJ79" i="11"/>
  <c r="H79" i="10" s="1"/>
  <c r="AJ71" i="11"/>
  <c r="H71" i="10" s="1"/>
  <c r="AV69" i="11"/>
  <c r="T69" i="10" s="1"/>
  <c r="BF68" i="11"/>
  <c r="AD68" i="10" s="1"/>
  <c r="AK55" i="11"/>
  <c r="I55" i="10" s="1"/>
  <c r="BF37" i="11"/>
  <c r="AD37" i="10" s="1"/>
  <c r="BF36" i="11"/>
  <c r="AD36" i="10" s="1"/>
  <c r="AH23" i="11"/>
  <c r="F23" i="10" s="1"/>
  <c r="AJ22" i="11"/>
  <c r="H22" i="10" s="1"/>
  <c r="AX20" i="11"/>
  <c r="V20" i="10" s="1"/>
  <c r="AD5" i="11"/>
  <c r="B5" i="10" s="1"/>
  <c r="AN10" i="11"/>
  <c r="L10" i="10" s="1"/>
  <c r="AH66" i="11"/>
  <c r="F66" i="10" s="1"/>
  <c r="BE101" i="11"/>
  <c r="AC101" i="10" s="1"/>
  <c r="AR101" i="11"/>
  <c r="P101" i="10" s="1"/>
  <c r="BJ101" i="11"/>
  <c r="AH101" i="10" s="1"/>
  <c r="BC101" i="11"/>
  <c r="AA101" i="10" s="1"/>
  <c r="AK101" i="11"/>
  <c r="I101" i="10" s="1"/>
  <c r="AN101" i="11"/>
  <c r="L101" i="10" s="1"/>
  <c r="BB101" i="11"/>
  <c r="Z101" i="10" s="1"/>
  <c r="AG101" i="11"/>
  <c r="E101" i="10" s="1"/>
  <c r="AT101" i="11"/>
  <c r="R101" i="10" s="1"/>
  <c r="BG101" i="11"/>
  <c r="AE101" i="10" s="1"/>
  <c r="BF101" i="11"/>
  <c r="AD101" i="10" s="1"/>
  <c r="AD101" i="11"/>
  <c r="B101" i="10" s="1"/>
  <c r="AW65" i="11"/>
  <c r="U65" i="10" s="1"/>
  <c r="BD65" i="11"/>
  <c r="AB65" i="10" s="1"/>
  <c r="AI65" i="11"/>
  <c r="G65" i="10" s="1"/>
  <c r="AF65" i="11"/>
  <c r="D65" i="10" s="1"/>
  <c r="BH65" i="11"/>
  <c r="AF65" i="10" s="1"/>
  <c r="AN65" i="11"/>
  <c r="L65" i="10" s="1"/>
  <c r="AZ65" i="11"/>
  <c r="X65" i="10" s="1"/>
  <c r="AL65" i="11"/>
  <c r="J65" i="10" s="1"/>
  <c r="AJ65" i="11"/>
  <c r="H65" i="10" s="1"/>
  <c r="AG65" i="11"/>
  <c r="E65" i="10" s="1"/>
  <c r="AU65" i="11"/>
  <c r="S65" i="10" s="1"/>
  <c r="AO65" i="11"/>
  <c r="M65" i="10" s="1"/>
  <c r="AV65" i="11"/>
  <c r="T65" i="10" s="1"/>
  <c r="BC65" i="11"/>
  <c r="AA65" i="10" s="1"/>
  <c r="AP65" i="11"/>
  <c r="N65" i="10" s="1"/>
  <c r="BJ65" i="11"/>
  <c r="AH65" i="10" s="1"/>
  <c r="AH58" i="11"/>
  <c r="F58" i="10" s="1"/>
  <c r="BJ58" i="11"/>
  <c r="AH58" i="10" s="1"/>
  <c r="AL58" i="11"/>
  <c r="J58" i="10" s="1"/>
  <c r="BE58" i="11"/>
  <c r="AC58" i="10" s="1"/>
  <c r="BH58" i="11"/>
  <c r="AF58" i="10" s="1"/>
  <c r="AR58" i="11"/>
  <c r="P58" i="10" s="1"/>
  <c r="AW58" i="11"/>
  <c r="U58" i="10" s="1"/>
  <c r="AF58" i="11"/>
  <c r="D58" i="10" s="1"/>
  <c r="AQ58" i="11"/>
  <c r="O58" i="10" s="1"/>
  <c r="AX58" i="11"/>
  <c r="V58" i="10" s="1"/>
  <c r="AO58" i="11"/>
  <c r="M58" i="10" s="1"/>
  <c r="BK58" i="11"/>
  <c r="AI58" i="10" s="1"/>
  <c r="AJ58" i="11"/>
  <c r="H58" i="10" s="1"/>
  <c r="BA58" i="11"/>
  <c r="Y58" i="10" s="1"/>
  <c r="AZ58" i="11"/>
  <c r="X58" i="10" s="1"/>
  <c r="AS57" i="11"/>
  <c r="Q57" i="10" s="1"/>
  <c r="AH57" i="11"/>
  <c r="F57" i="10" s="1"/>
  <c r="BA57" i="11"/>
  <c r="Y57" i="10" s="1"/>
  <c r="BI57" i="11"/>
  <c r="AG57" i="10" s="1"/>
  <c r="AY57" i="11"/>
  <c r="W57" i="10" s="1"/>
  <c r="BJ57" i="11"/>
  <c r="AH57" i="10" s="1"/>
  <c r="AN57" i="11"/>
  <c r="L57" i="10" s="1"/>
  <c r="AR57" i="11"/>
  <c r="P57" i="10" s="1"/>
  <c r="AO57" i="11"/>
  <c r="M57" i="10" s="1"/>
  <c r="AV57" i="11"/>
  <c r="T57" i="10" s="1"/>
  <c r="AW57" i="11"/>
  <c r="U57" i="10" s="1"/>
  <c r="AM57" i="11"/>
  <c r="K57" i="10" s="1"/>
  <c r="AI57" i="11"/>
  <c r="G57" i="10" s="1"/>
  <c r="AP57" i="11"/>
  <c r="N57" i="10" s="1"/>
  <c r="AT57" i="11"/>
  <c r="R57" i="10" s="1"/>
  <c r="AH48" i="11"/>
  <c r="F48" i="10" s="1"/>
  <c r="AK48" i="11"/>
  <c r="I48" i="10" s="1"/>
  <c r="AI48" i="11"/>
  <c r="G48" i="10" s="1"/>
  <c r="AX48" i="11"/>
  <c r="V48" i="10" s="1"/>
  <c r="AE48" i="11"/>
  <c r="C48" i="10" s="1"/>
  <c r="BA48" i="11"/>
  <c r="Y48" i="10" s="1"/>
  <c r="AP48" i="11"/>
  <c r="N48" i="10" s="1"/>
  <c r="AY48" i="11"/>
  <c r="W48" i="10" s="1"/>
  <c r="AL48" i="11"/>
  <c r="J48" i="10" s="1"/>
  <c r="BD48" i="11"/>
  <c r="AB48" i="10" s="1"/>
  <c r="BB48" i="11"/>
  <c r="Z48" i="10" s="1"/>
  <c r="AT48" i="11"/>
  <c r="R48" i="10" s="1"/>
  <c r="AN48" i="11"/>
  <c r="L48" i="10" s="1"/>
  <c r="AZ48" i="11"/>
  <c r="X48" i="10" s="1"/>
  <c r="BK48" i="11"/>
  <c r="AI48" i="10" s="1"/>
  <c r="AJ48" i="11"/>
  <c r="H48" i="10" s="1"/>
  <c r="AQ48" i="11"/>
  <c r="O48" i="10" s="1"/>
  <c r="AX47" i="11"/>
  <c r="V47" i="10" s="1"/>
  <c r="BB47" i="11"/>
  <c r="Z47" i="10" s="1"/>
  <c r="BK47" i="11"/>
  <c r="AI47" i="10" s="1"/>
  <c r="AL47" i="11"/>
  <c r="J47" i="10" s="1"/>
  <c r="AJ47" i="11"/>
  <c r="H47" i="10" s="1"/>
  <c r="BD47" i="11"/>
  <c r="AB47" i="10" s="1"/>
  <c r="BI47" i="11"/>
  <c r="AG47" i="10" s="1"/>
  <c r="AP47" i="11"/>
  <c r="N47" i="10" s="1"/>
  <c r="AF47" i="11"/>
  <c r="D47" i="10" s="1"/>
  <c r="AZ47" i="11"/>
  <c r="X47" i="10" s="1"/>
  <c r="BA47" i="11"/>
  <c r="Y47" i="10" s="1"/>
  <c r="AO47" i="11"/>
  <c r="M47" i="10" s="1"/>
  <c r="AI47" i="11"/>
  <c r="G47" i="10" s="1"/>
  <c r="BC47" i="11"/>
  <c r="AA47" i="10" s="1"/>
  <c r="BJ47" i="11"/>
  <c r="AH47" i="10" s="1"/>
  <c r="BH47" i="11"/>
  <c r="AF47" i="10" s="1"/>
  <c r="AN47" i="11"/>
  <c r="L47" i="10" s="1"/>
  <c r="AQ47" i="11"/>
  <c r="O47" i="10" s="1"/>
  <c r="AM47" i="11"/>
  <c r="K47" i="10" s="1"/>
  <c r="AW47" i="11"/>
  <c r="U47" i="10" s="1"/>
  <c r="AG47" i="11"/>
  <c r="E47" i="10" s="1"/>
  <c r="AK47" i="11"/>
  <c r="I47" i="10" s="1"/>
  <c r="AU47" i="11"/>
  <c r="S47" i="10" s="1"/>
  <c r="AY47" i="11"/>
  <c r="W47" i="10" s="1"/>
  <c r="AE47" i="11"/>
  <c r="C47" i="10" s="1"/>
  <c r="AS47" i="11"/>
  <c r="Q47" i="10" s="1"/>
  <c r="AV47" i="11"/>
  <c r="T47" i="10" s="1"/>
  <c r="BG47" i="11"/>
  <c r="AE47" i="10" s="1"/>
  <c r="AT47" i="11"/>
  <c r="R47" i="10" s="1"/>
  <c r="AR47" i="11"/>
  <c r="P47" i="10" s="1"/>
  <c r="BF47" i="11"/>
  <c r="AD47" i="10" s="1"/>
  <c r="AD47" i="11"/>
  <c r="B47" i="10" s="1"/>
  <c r="AY44" i="11"/>
  <c r="W44" i="10" s="1"/>
  <c r="AI44" i="11"/>
  <c r="G44" i="10" s="1"/>
  <c r="AP44" i="11"/>
  <c r="N44" i="10" s="1"/>
  <c r="AH44" i="11"/>
  <c r="F44" i="10" s="1"/>
  <c r="BA44" i="11"/>
  <c r="Y44" i="10" s="1"/>
  <c r="BH44" i="11"/>
  <c r="AF44" i="10" s="1"/>
  <c r="AR44" i="11"/>
  <c r="P44" i="10" s="1"/>
  <c r="AN44" i="11"/>
  <c r="L44" i="10" s="1"/>
  <c r="AW44" i="11"/>
  <c r="U44" i="10" s="1"/>
  <c r="AO44" i="11"/>
  <c r="M44" i="10" s="1"/>
  <c r="AX44" i="11"/>
  <c r="V44" i="10" s="1"/>
  <c r="BB44" i="11"/>
  <c r="Z44" i="10" s="1"/>
  <c r="BJ44" i="11"/>
  <c r="AH44" i="10" s="1"/>
  <c r="AV19" i="11"/>
  <c r="T19" i="10" s="1"/>
  <c r="BE19" i="11"/>
  <c r="AC19" i="10" s="1"/>
  <c r="BG19" i="11"/>
  <c r="AE19" i="10" s="1"/>
  <c r="BK15" i="11"/>
  <c r="AI15" i="10" s="1"/>
  <c r="AR15" i="11"/>
  <c r="P15" i="10" s="1"/>
  <c r="AX15" i="11"/>
  <c r="V15" i="10" s="1"/>
  <c r="BI15" i="11"/>
  <c r="AG15" i="10" s="1"/>
  <c r="AF15" i="11"/>
  <c r="D15" i="10" s="1"/>
  <c r="AG15" i="11"/>
  <c r="E15" i="10" s="1"/>
  <c r="AP15" i="11"/>
  <c r="N15" i="10" s="1"/>
  <c r="AJ15" i="11"/>
  <c r="H15" i="10" s="1"/>
  <c r="AU15" i="11"/>
  <c r="S15" i="10" s="1"/>
  <c r="AS15" i="11"/>
  <c r="Q15" i="10" s="1"/>
  <c r="BG15" i="11"/>
  <c r="AE15" i="10" s="1"/>
  <c r="BC15" i="11"/>
  <c r="AA15" i="10" s="1"/>
  <c r="AK15" i="11"/>
  <c r="I15" i="10" s="1"/>
  <c r="AV15" i="11"/>
  <c r="T15" i="10" s="1"/>
  <c r="AI15" i="11"/>
  <c r="G15" i="10" s="1"/>
  <c r="AL15" i="11"/>
  <c r="J15" i="10" s="1"/>
  <c r="AN15" i="11"/>
  <c r="L15" i="10" s="1"/>
  <c r="AQ15" i="11"/>
  <c r="O15" i="10" s="1"/>
  <c r="AK8" i="11"/>
  <c r="I8" i="10" s="1"/>
  <c r="AM8" i="11"/>
  <c r="K8" i="10" s="1"/>
  <c r="BF6" i="11"/>
  <c r="AD6" i="10" s="1"/>
  <c r="AW6" i="11"/>
  <c r="U6" i="10" s="1"/>
  <c r="AT6" i="11"/>
  <c r="R6" i="10" s="1"/>
  <c r="AR6" i="11"/>
  <c r="P6" i="10" s="1"/>
  <c r="AQ6" i="11"/>
  <c r="O6" i="10" s="1"/>
  <c r="AF6" i="11"/>
  <c r="D6" i="10" s="1"/>
  <c r="BE6" i="11"/>
  <c r="AC6" i="10" s="1"/>
  <c r="AM6" i="11"/>
  <c r="K6" i="10" s="1"/>
  <c r="AV6" i="11"/>
  <c r="T6" i="10" s="1"/>
  <c r="AU6" i="11"/>
  <c r="S6" i="10" s="1"/>
  <c r="AN6" i="11"/>
  <c r="L6" i="10" s="1"/>
  <c r="AP6" i="11"/>
  <c r="N6" i="10" s="1"/>
  <c r="AS38" i="11"/>
  <c r="Q38" i="10" s="1"/>
  <c r="AO38" i="11"/>
  <c r="M38" i="10" s="1"/>
  <c r="BD38" i="11"/>
  <c r="AB38" i="10" s="1"/>
  <c r="AP38" i="11"/>
  <c r="N38" i="10" s="1"/>
  <c r="AN38" i="11"/>
  <c r="L38" i="10" s="1"/>
  <c r="AU38" i="11"/>
  <c r="S38" i="10" s="1"/>
  <c r="AD38" i="11"/>
  <c r="B38" i="10" s="1"/>
  <c r="BC38" i="11"/>
  <c r="AA38" i="10" s="1"/>
  <c r="BK38" i="11"/>
  <c r="AI38" i="10" s="1"/>
  <c r="AF38" i="11"/>
  <c r="D38" i="10" s="1"/>
  <c r="BF38" i="11"/>
  <c r="AD38" i="10" s="1"/>
  <c r="AJ38" i="11"/>
  <c r="H38" i="10" s="1"/>
  <c r="BE38" i="11"/>
  <c r="AC38" i="10" s="1"/>
  <c r="AK38" i="11"/>
  <c r="I38" i="10" s="1"/>
  <c r="BJ38" i="11"/>
  <c r="AH38" i="10" s="1"/>
  <c r="AM38" i="11"/>
  <c r="K38" i="10" s="1"/>
  <c r="BI38" i="11"/>
  <c r="AG38" i="10" s="1"/>
  <c r="AR38" i="11"/>
  <c r="P38" i="10" s="1"/>
  <c r="AV38" i="11"/>
  <c r="T38" i="10" s="1"/>
  <c r="BB38" i="11"/>
  <c r="Z38" i="10" s="1"/>
  <c r="AT38" i="11"/>
  <c r="R38" i="10" s="1"/>
  <c r="AE38" i="11"/>
  <c r="C38" i="10" s="1"/>
  <c r="AQ38" i="11"/>
  <c r="O38" i="10" s="1"/>
  <c r="AX38" i="11"/>
  <c r="V38" i="10" s="1"/>
  <c r="BH38" i="11"/>
  <c r="AF38" i="10" s="1"/>
  <c r="AZ38" i="11"/>
  <c r="X38" i="10" s="1"/>
  <c r="BA38" i="11"/>
  <c r="Y38" i="10" s="1"/>
  <c r="AW38" i="11"/>
  <c r="U38" i="10" s="1"/>
  <c r="AP69" i="11"/>
  <c r="N69" i="10" s="1"/>
  <c r="BE69" i="11"/>
  <c r="AC69" i="10" s="1"/>
  <c r="AD69" i="11"/>
  <c r="B69" i="10" s="1"/>
  <c r="AG69" i="11"/>
  <c r="E69" i="10" s="1"/>
  <c r="AW69" i="11"/>
  <c r="U69" i="10" s="1"/>
  <c r="BF69" i="11"/>
  <c r="AD69" i="10" s="1"/>
  <c r="BC69" i="11"/>
  <c r="AA69" i="10" s="1"/>
  <c r="AY69" i="11"/>
  <c r="W69" i="10" s="1"/>
  <c r="BI69" i="11"/>
  <c r="AG69" i="10" s="1"/>
  <c r="AF69" i="11"/>
  <c r="D69" i="10" s="1"/>
  <c r="AR69" i="11"/>
  <c r="P69" i="10" s="1"/>
  <c r="AK69" i="11"/>
  <c r="I69" i="10" s="1"/>
  <c r="AX69" i="11"/>
  <c r="V69" i="10" s="1"/>
  <c r="AS69" i="11"/>
  <c r="Q69" i="10" s="1"/>
  <c r="BG69" i="11"/>
  <c r="AE69" i="10" s="1"/>
  <c r="AX68" i="11"/>
  <c r="V68" i="10" s="1"/>
  <c r="AQ68" i="11"/>
  <c r="O68" i="10" s="1"/>
  <c r="AI68" i="11"/>
  <c r="G68" i="10" s="1"/>
  <c r="AR68" i="11"/>
  <c r="P68" i="10" s="1"/>
  <c r="BB68" i="11"/>
  <c r="Z68" i="10" s="1"/>
  <c r="AE68" i="11"/>
  <c r="C68" i="10" s="1"/>
  <c r="BA68" i="11"/>
  <c r="Y68" i="10" s="1"/>
  <c r="AD68" i="11"/>
  <c r="B68" i="10" s="1"/>
  <c r="AP68" i="11"/>
  <c r="N68" i="10" s="1"/>
  <c r="BC68" i="11"/>
  <c r="AA68" i="10" s="1"/>
  <c r="AJ68" i="11"/>
  <c r="H68" i="10" s="1"/>
  <c r="BE68" i="11"/>
  <c r="AC68" i="10" s="1"/>
  <c r="AO68" i="11"/>
  <c r="M68" i="10" s="1"/>
  <c r="AS68" i="11"/>
  <c r="Q68" i="10" s="1"/>
  <c r="AU10" i="11"/>
  <c r="S10" i="10" s="1"/>
  <c r="BB10" i="11"/>
  <c r="Z10" i="10" s="1"/>
  <c r="BF10" i="11"/>
  <c r="AD10" i="10" s="1"/>
  <c r="BH10" i="11"/>
  <c r="AF10" i="10" s="1"/>
  <c r="AO10" i="11"/>
  <c r="M10" i="10" s="1"/>
  <c r="AW10" i="11"/>
  <c r="U10" i="10" s="1"/>
  <c r="AD10" i="11"/>
  <c r="B10" i="10" s="1"/>
  <c r="AM10" i="11"/>
  <c r="K10" i="10" s="1"/>
  <c r="BK10" i="11"/>
  <c r="AI10" i="10" s="1"/>
  <c r="AG10" i="11"/>
  <c r="E10" i="10" s="1"/>
  <c r="AJ10" i="11"/>
  <c r="H10" i="10" s="1"/>
  <c r="AL10" i="11"/>
  <c r="J10" i="10" s="1"/>
  <c r="AG98" i="11"/>
  <c r="E98" i="10" s="1"/>
  <c r="AM66" i="11"/>
  <c r="K66" i="10" s="1"/>
  <c r="BC66" i="11"/>
  <c r="AA66" i="10" s="1"/>
  <c r="AU66" i="11"/>
  <c r="S66" i="10" s="1"/>
  <c r="AV66" i="11"/>
  <c r="T66" i="10" s="1"/>
  <c r="AX66" i="11"/>
  <c r="V66" i="10" s="1"/>
  <c r="BF66" i="11"/>
  <c r="AD66" i="10" s="1"/>
  <c r="AQ66" i="11"/>
  <c r="O66" i="10" s="1"/>
  <c r="AE66" i="11"/>
  <c r="C66" i="10" s="1"/>
  <c r="AF66" i="11"/>
  <c r="D66" i="10" s="1"/>
  <c r="BA66" i="11"/>
  <c r="Y66" i="10" s="1"/>
  <c r="BD66" i="11"/>
  <c r="AB66" i="10" s="1"/>
  <c r="AY66" i="11"/>
  <c r="W66" i="10" s="1"/>
  <c r="AG66" i="11"/>
  <c r="E66" i="10" s="1"/>
  <c r="AP66" i="11"/>
  <c r="N66" i="10" s="1"/>
  <c r="BH66" i="11"/>
  <c r="AF66" i="10" s="1"/>
  <c r="AN66" i="11"/>
  <c r="L66" i="10" s="1"/>
  <c r="AQ94" i="11"/>
  <c r="O94" i="10" s="1"/>
  <c r="AY94" i="11"/>
  <c r="W94" i="10" s="1"/>
  <c r="AS94" i="11"/>
  <c r="Q94" i="10" s="1"/>
  <c r="BI94" i="11"/>
  <c r="AG94" i="10" s="1"/>
  <c r="AR94" i="11"/>
  <c r="P94" i="10" s="1"/>
  <c r="AV94" i="11"/>
  <c r="T94" i="10" s="1"/>
  <c r="AJ94" i="11"/>
  <c r="H94" i="10" s="1"/>
  <c r="AM94" i="11"/>
  <c r="K94" i="10" s="1"/>
  <c r="AX94" i="11"/>
  <c r="V94" i="10" s="1"/>
  <c r="BH94" i="11"/>
  <c r="AF94" i="10" s="1"/>
  <c r="BG94" i="11"/>
  <c r="AE94" i="10" s="1"/>
  <c r="AK94" i="11"/>
  <c r="I94" i="10" s="1"/>
  <c r="AW94" i="11"/>
  <c r="U94" i="10" s="1"/>
  <c r="AL94" i="11"/>
  <c r="J94" i="10" s="1"/>
  <c r="AN94" i="11"/>
  <c r="L94" i="10" s="1"/>
  <c r="AD94" i="11"/>
  <c r="B94" i="10" s="1"/>
  <c r="BF94" i="11"/>
  <c r="AD94" i="10" s="1"/>
  <c r="AF94" i="11"/>
  <c r="D94" i="10" s="1"/>
  <c r="BB94" i="11"/>
  <c r="Z94" i="10" s="1"/>
  <c r="BK94" i="11"/>
  <c r="AI94" i="10" s="1"/>
  <c r="BC94" i="11"/>
  <c r="AA94" i="10" s="1"/>
  <c r="AI94" i="11"/>
  <c r="G94" i="10" s="1"/>
  <c r="AO94" i="11"/>
  <c r="M94" i="10" s="1"/>
  <c r="BE94" i="11"/>
  <c r="AC94" i="10" s="1"/>
  <c r="BA94" i="11"/>
  <c r="Y94" i="10" s="1"/>
  <c r="AP94" i="11"/>
  <c r="N94" i="10" s="1"/>
  <c r="AG94" i="11"/>
  <c r="E94" i="10" s="1"/>
  <c r="BJ94" i="11"/>
  <c r="AH94" i="10" s="1"/>
  <c r="AG38" i="11"/>
  <c r="E38" i="10" s="1"/>
  <c r="AY38" i="11"/>
  <c r="W38" i="10" s="1"/>
  <c r="BD5" i="11"/>
  <c r="AB5" i="10" s="1"/>
  <c r="AE5" i="11"/>
  <c r="C5" i="10" s="1"/>
  <c r="AX5" i="11"/>
  <c r="V5" i="10" s="1"/>
  <c r="AM5" i="11"/>
  <c r="K5" i="10" s="1"/>
  <c r="AV5" i="11"/>
  <c r="T5" i="10" s="1"/>
  <c r="AY5" i="11"/>
  <c r="W5" i="10" s="1"/>
  <c r="AR5" i="11"/>
  <c r="P5" i="10" s="1"/>
  <c r="AO5" i="11"/>
  <c r="M5" i="10" s="1"/>
  <c r="AZ5" i="11"/>
  <c r="X5" i="10" s="1"/>
  <c r="BC5" i="11"/>
  <c r="AA5" i="10" s="1"/>
  <c r="BK5" i="11"/>
  <c r="AI5" i="10" s="1"/>
  <c r="AK5" i="11"/>
  <c r="I5" i="10" s="1"/>
  <c r="AW5" i="11"/>
  <c r="U5" i="10" s="1"/>
  <c r="BA5" i="11"/>
  <c r="Y5" i="10" s="1"/>
  <c r="AS5" i="11"/>
  <c r="Q5" i="10" s="1"/>
  <c r="AF5" i="11"/>
  <c r="D5" i="10" s="1"/>
  <c r="BB5" i="11"/>
  <c r="Z5" i="10" s="1"/>
  <c r="AG5" i="11"/>
  <c r="E5" i="10" s="1"/>
  <c r="BJ8" i="11"/>
  <c r="AH8" i="10" s="1"/>
  <c r="AL8" i="11"/>
  <c r="J8" i="10" s="1"/>
  <c r="AN8" i="11"/>
  <c r="L8" i="10" s="1"/>
  <c r="AS8" i="11"/>
  <c r="Q8" i="10" s="1"/>
  <c r="AX8" i="11"/>
  <c r="V8" i="10" s="1"/>
  <c r="BC8" i="11"/>
  <c r="AA8" i="10" s="1"/>
  <c r="AQ8" i="11"/>
  <c r="O8" i="10" s="1"/>
  <c r="AR8" i="11"/>
  <c r="P8" i="10" s="1"/>
  <c r="BK8" i="11"/>
  <c r="AI8" i="10" s="1"/>
  <c r="AY8" i="11"/>
  <c r="W8" i="10" s="1"/>
  <c r="AG8" i="11"/>
  <c r="E8" i="10" s="1"/>
  <c r="AV8" i="11"/>
  <c r="T8" i="10" s="1"/>
  <c r="BD8" i="11"/>
  <c r="AB8" i="10" s="1"/>
  <c r="AI8" i="11"/>
  <c r="G8" i="10" s="1"/>
  <c r="BF8" i="11"/>
  <c r="AD8" i="10" s="1"/>
  <c r="AT8" i="11"/>
  <c r="R8" i="10" s="1"/>
  <c r="AH8" i="11"/>
  <c r="F8" i="10" s="1"/>
  <c r="BB8" i="11"/>
  <c r="Z8" i="10" s="1"/>
  <c r="BE8" i="11"/>
  <c r="AC8" i="10" s="1"/>
  <c r="AO8" i="11"/>
  <c r="M8" i="10" s="1"/>
  <c r="BA8" i="11"/>
  <c r="Y8" i="10" s="1"/>
  <c r="AW8" i="11"/>
  <c r="U8" i="10" s="1"/>
  <c r="AP8" i="11"/>
  <c r="N8" i="10" s="1"/>
  <c r="AZ22" i="11"/>
  <c r="X22" i="10" s="1"/>
  <c r="AW22" i="11"/>
  <c r="U22" i="10" s="1"/>
  <c r="BD22" i="11"/>
  <c r="AB22" i="10" s="1"/>
  <c r="AX22" i="11"/>
  <c r="V22" i="10" s="1"/>
  <c r="AF22" i="11"/>
  <c r="D22" i="10" s="1"/>
  <c r="AE22" i="11"/>
  <c r="C22" i="10" s="1"/>
  <c r="AO22" i="11"/>
  <c r="M22" i="10" s="1"/>
  <c r="AT22" i="11"/>
  <c r="R22" i="10" s="1"/>
  <c r="AU22" i="11"/>
  <c r="S22" i="10" s="1"/>
  <c r="BB22" i="11"/>
  <c r="Z22" i="10" s="1"/>
  <c r="AM22" i="11"/>
  <c r="K22" i="10" s="1"/>
  <c r="AN22" i="11"/>
  <c r="L22" i="10" s="1"/>
  <c r="AK22" i="11"/>
  <c r="I22" i="10" s="1"/>
  <c r="AS22" i="11"/>
  <c r="Q22" i="10" s="1"/>
  <c r="BK22" i="11"/>
  <c r="AI22" i="10" s="1"/>
  <c r="AR22" i="11"/>
  <c r="P22" i="10" s="1"/>
  <c r="BC22" i="11"/>
  <c r="AA22" i="10" s="1"/>
  <c r="BJ22" i="11"/>
  <c r="AH22" i="10" s="1"/>
  <c r="AY22" i="11"/>
  <c r="W22" i="10" s="1"/>
  <c r="AD22" i="11"/>
  <c r="B22" i="10" s="1"/>
  <c r="AI22" i="11"/>
  <c r="G22" i="10" s="1"/>
  <c r="AH22" i="11"/>
  <c r="F22" i="10" s="1"/>
  <c r="BA22" i="11"/>
  <c r="Y22" i="10" s="1"/>
  <c r="BH22" i="11"/>
  <c r="AF22" i="10" s="1"/>
  <c r="AP22" i="11"/>
  <c r="N22" i="10" s="1"/>
  <c r="AL22" i="11"/>
  <c r="J22" i="10" s="1"/>
  <c r="BE22" i="11"/>
  <c r="AC22" i="10" s="1"/>
  <c r="AQ22" i="11"/>
  <c r="O22" i="10" s="1"/>
  <c r="AV22" i="11"/>
  <c r="T22" i="10" s="1"/>
  <c r="BI22" i="11"/>
  <c r="AG22" i="10" s="1"/>
  <c r="BF22" i="11"/>
  <c r="AD22" i="10" s="1"/>
  <c r="AG22" i="11"/>
  <c r="E22" i="10" s="1"/>
  <c r="BC20" i="11"/>
  <c r="AA20" i="10" s="1"/>
  <c r="AR20" i="11"/>
  <c r="P20" i="10" s="1"/>
  <c r="BJ20" i="11"/>
  <c r="AH20" i="10" s="1"/>
  <c r="AG20" i="11"/>
  <c r="E20" i="10" s="1"/>
  <c r="AQ20" i="11"/>
  <c r="O20" i="10" s="1"/>
  <c r="AW20" i="11"/>
  <c r="U20" i="10" s="1"/>
  <c r="AV20" i="11"/>
  <c r="T20" i="10" s="1"/>
  <c r="BD20" i="11"/>
  <c r="AB20" i="10" s="1"/>
  <c r="BK20" i="11"/>
  <c r="AI20" i="10" s="1"/>
  <c r="AO20" i="11"/>
  <c r="M20" i="10" s="1"/>
  <c r="BH20" i="11"/>
  <c r="AF20" i="10" s="1"/>
  <c r="AY20" i="11"/>
  <c r="W20" i="10" s="1"/>
  <c r="AM20" i="11"/>
  <c r="K20" i="10" s="1"/>
  <c r="BG20" i="11"/>
  <c r="AE20" i="10" s="1"/>
  <c r="BB20" i="11"/>
  <c r="Z20" i="10" s="1"/>
  <c r="AE20" i="11"/>
  <c r="C20" i="10" s="1"/>
  <c r="AF20" i="11"/>
  <c r="D20" i="10" s="1"/>
  <c r="AL20" i="11"/>
  <c r="J20" i="10" s="1"/>
  <c r="AD20" i="11"/>
  <c r="B20" i="10" s="1"/>
  <c r="AI20" i="11"/>
  <c r="G20" i="10" s="1"/>
  <c r="AP20" i="11"/>
  <c r="N20" i="10" s="1"/>
  <c r="BF20" i="11"/>
  <c r="AD20" i="10" s="1"/>
  <c r="AK20" i="11"/>
  <c r="I20" i="10" s="1"/>
  <c r="AH20" i="11"/>
  <c r="F20" i="10" s="1"/>
  <c r="BA20" i="11"/>
  <c r="Y20" i="10" s="1"/>
  <c r="BI20" i="11"/>
  <c r="AG20" i="10" s="1"/>
  <c r="AN20" i="11"/>
  <c r="L20" i="10" s="1"/>
  <c r="AT20" i="11"/>
  <c r="R20" i="10" s="1"/>
  <c r="BE20" i="11"/>
  <c r="AC20" i="10" s="1"/>
  <c r="AS20" i="11"/>
  <c r="Q20" i="10" s="1"/>
  <c r="AJ20" i="11"/>
  <c r="H20" i="10" s="1"/>
  <c r="AZ20" i="11"/>
  <c r="X20" i="10" s="1"/>
  <c r="AD23" i="11"/>
  <c r="B23" i="10" s="1"/>
  <c r="AW23" i="11"/>
  <c r="U23" i="10" s="1"/>
  <c r="AE23" i="11"/>
  <c r="C23" i="10" s="1"/>
  <c r="BF23" i="11"/>
  <c r="AD23" i="10" s="1"/>
  <c r="AX23" i="11"/>
  <c r="V23" i="10" s="1"/>
  <c r="AS23" i="11"/>
  <c r="Q23" i="10" s="1"/>
  <c r="BG23" i="11"/>
  <c r="AE23" i="10" s="1"/>
  <c r="AJ23" i="11"/>
  <c r="H23" i="10" s="1"/>
  <c r="AN23" i="11"/>
  <c r="L23" i="10" s="1"/>
  <c r="AF23" i="11"/>
  <c r="D23" i="10" s="1"/>
  <c r="BA23" i="11"/>
  <c r="Y23" i="10" s="1"/>
  <c r="AR23" i="11"/>
  <c r="P23" i="10" s="1"/>
  <c r="AI23" i="11"/>
  <c r="G23" i="10" s="1"/>
  <c r="AV23" i="11"/>
  <c r="T23" i="10" s="1"/>
  <c r="BH23" i="11"/>
  <c r="AF23" i="10" s="1"/>
  <c r="AL23" i="11"/>
  <c r="J23" i="10" s="1"/>
  <c r="AP23" i="11"/>
  <c r="N23" i="10" s="1"/>
  <c r="BJ23" i="11"/>
  <c r="AH23" i="10" s="1"/>
  <c r="BK23" i="11"/>
  <c r="AI23" i="10" s="1"/>
  <c r="BI23" i="11"/>
  <c r="AG23" i="10" s="1"/>
  <c r="BC23" i="11"/>
  <c r="AA23" i="10" s="1"/>
  <c r="AM23" i="11"/>
  <c r="K23" i="10" s="1"/>
  <c r="AO23" i="11"/>
  <c r="M23" i="10" s="1"/>
  <c r="BD23" i="11"/>
  <c r="AB23" i="10" s="1"/>
  <c r="BB23" i="11"/>
  <c r="Z23" i="10" s="1"/>
  <c r="AT23" i="11"/>
  <c r="R23" i="10" s="1"/>
  <c r="AY23" i="11"/>
  <c r="W23" i="10" s="1"/>
  <c r="AK23" i="11"/>
  <c r="I23" i="10" s="1"/>
  <c r="AQ23" i="11"/>
  <c r="O23" i="10" s="1"/>
  <c r="AU23" i="11"/>
  <c r="S23" i="10" s="1"/>
  <c r="AZ23" i="11"/>
  <c r="X23" i="10" s="1"/>
  <c r="AG23" i="11"/>
  <c r="E23" i="10" s="1"/>
  <c r="BE23" i="11"/>
  <c r="AC23" i="10" s="1"/>
  <c r="AM96" i="11"/>
  <c r="K96" i="10" s="1"/>
  <c r="AZ96" i="11"/>
  <c r="X96" i="10" s="1"/>
  <c r="AW96" i="11"/>
  <c r="U96" i="10" s="1"/>
  <c r="AH96" i="11"/>
  <c r="F96" i="10" s="1"/>
  <c r="AL96" i="11"/>
  <c r="J96" i="10" s="1"/>
  <c r="AI96" i="11"/>
  <c r="G96" i="10" s="1"/>
  <c r="BE96" i="11"/>
  <c r="AC96" i="10" s="1"/>
  <c r="AK96" i="11"/>
  <c r="I96" i="10" s="1"/>
  <c r="BC96" i="11"/>
  <c r="AA96" i="10" s="1"/>
  <c r="BD96" i="11"/>
  <c r="AB96" i="10" s="1"/>
  <c r="AD96" i="11"/>
  <c r="B96" i="10" s="1"/>
  <c r="AX96" i="11"/>
  <c r="V96" i="10" s="1"/>
  <c r="AG96" i="11"/>
  <c r="E96" i="10" s="1"/>
  <c r="AQ96" i="11"/>
  <c r="O96" i="10" s="1"/>
  <c r="BF96" i="11"/>
  <c r="AD96" i="10" s="1"/>
  <c r="AU96" i="11"/>
  <c r="S96" i="10" s="1"/>
  <c r="AV96" i="11"/>
  <c r="T96" i="10" s="1"/>
  <c r="AF96" i="11"/>
  <c r="D96" i="10" s="1"/>
  <c r="BA96" i="11"/>
  <c r="Y96" i="10" s="1"/>
  <c r="BH96" i="11"/>
  <c r="AF96" i="10" s="1"/>
  <c r="BK96" i="11"/>
  <c r="AI96" i="10" s="1"/>
  <c r="AO96" i="11"/>
  <c r="M96" i="10" s="1"/>
  <c r="BI96" i="11"/>
  <c r="AG96" i="10" s="1"/>
  <c r="AT96" i="11"/>
  <c r="R96" i="10" s="1"/>
  <c r="BJ96" i="11"/>
  <c r="AH96" i="10" s="1"/>
  <c r="BB96" i="11"/>
  <c r="Z96" i="10" s="1"/>
  <c r="AJ96" i="11"/>
  <c r="H96" i="10" s="1"/>
  <c r="AS96" i="11"/>
  <c r="Q96" i="10" s="1"/>
  <c r="AP96" i="11"/>
  <c r="N96" i="10" s="1"/>
  <c r="AE96" i="11"/>
  <c r="C96" i="10" s="1"/>
  <c r="AR96" i="11"/>
  <c r="P96" i="10" s="1"/>
  <c r="AY96" i="11"/>
  <c r="W96" i="10" s="1"/>
  <c r="AN97" i="11"/>
  <c r="L97" i="10" s="1"/>
  <c r="BA97" i="11"/>
  <c r="Y97" i="10" s="1"/>
  <c r="AY97" i="11"/>
  <c r="W97" i="10" s="1"/>
  <c r="BE97" i="11"/>
  <c r="AC97" i="10" s="1"/>
  <c r="AM97" i="11"/>
  <c r="K97" i="10" s="1"/>
  <c r="AF97" i="11"/>
  <c r="D97" i="10" s="1"/>
  <c r="BI97" i="11"/>
  <c r="AG97" i="10" s="1"/>
  <c r="AP97" i="11"/>
  <c r="N97" i="10" s="1"/>
  <c r="AJ97" i="11"/>
  <c r="H97" i="10" s="1"/>
  <c r="BD97" i="11"/>
  <c r="AB97" i="10" s="1"/>
  <c r="AE97" i="11"/>
  <c r="C97" i="10" s="1"/>
  <c r="BH97" i="11"/>
  <c r="AF97" i="10" s="1"/>
  <c r="AR97" i="11"/>
  <c r="P97" i="10" s="1"/>
  <c r="BJ97" i="11"/>
  <c r="AH97" i="10" s="1"/>
  <c r="AS97" i="11"/>
  <c r="Q97" i="10" s="1"/>
  <c r="AO97" i="11"/>
  <c r="M97" i="10" s="1"/>
  <c r="AZ97" i="11"/>
  <c r="X97" i="10" s="1"/>
  <c r="AG97" i="11"/>
  <c r="E97" i="10" s="1"/>
  <c r="AD97" i="11"/>
  <c r="B97" i="10" s="1"/>
  <c r="AI97" i="11"/>
  <c r="G97" i="10" s="1"/>
  <c r="BB97" i="11"/>
  <c r="Z97" i="10" s="1"/>
  <c r="AU97" i="11"/>
  <c r="S97" i="10" s="1"/>
  <c r="AL97" i="11"/>
  <c r="J97" i="10" s="1"/>
  <c r="AW97" i="11"/>
  <c r="U97" i="10" s="1"/>
  <c r="AK97" i="11"/>
  <c r="I97" i="10" s="1"/>
  <c r="BG97" i="11"/>
  <c r="AE97" i="10" s="1"/>
  <c r="BF97" i="11"/>
  <c r="AD97" i="10" s="1"/>
  <c r="AT97" i="11"/>
  <c r="R97" i="10" s="1"/>
  <c r="AV97" i="11"/>
  <c r="T97" i="10" s="1"/>
  <c r="AX97" i="11"/>
  <c r="V97" i="10" s="1"/>
  <c r="AH97" i="11"/>
  <c r="F97" i="10" s="1"/>
  <c r="AQ97" i="11"/>
  <c r="O97" i="10" s="1"/>
  <c r="BC97" i="11"/>
  <c r="AA97" i="10" s="1"/>
  <c r="AH98" i="11"/>
  <c r="F98" i="10" s="1"/>
  <c r="AD98" i="11"/>
  <c r="B98" i="10" s="1"/>
  <c r="AY98" i="11"/>
  <c r="W98" i="10" s="1"/>
  <c r="AJ98" i="11"/>
  <c r="H98" i="10" s="1"/>
  <c r="AR98" i="11"/>
  <c r="P98" i="10" s="1"/>
  <c r="BB98" i="11"/>
  <c r="Z98" i="10" s="1"/>
  <c r="BK98" i="11"/>
  <c r="AI98" i="10" s="1"/>
  <c r="AW98" i="11"/>
  <c r="U98" i="10" s="1"/>
  <c r="AT98" i="11"/>
  <c r="R98" i="10" s="1"/>
  <c r="AV98" i="11"/>
  <c r="T98" i="10" s="1"/>
  <c r="AU98" i="11"/>
  <c r="S98" i="10" s="1"/>
  <c r="BI98" i="11"/>
  <c r="AG98" i="10" s="1"/>
  <c r="BE98" i="11"/>
  <c r="AC98" i="10" s="1"/>
  <c r="AS98" i="11"/>
  <c r="Q98" i="10" s="1"/>
  <c r="AZ98" i="11"/>
  <c r="X98" i="10" s="1"/>
  <c r="AQ98" i="11"/>
  <c r="O98" i="10" s="1"/>
  <c r="AN98" i="11"/>
  <c r="L98" i="10" s="1"/>
  <c r="AX98" i="11"/>
  <c r="V98" i="10" s="1"/>
  <c r="BF98" i="11"/>
  <c r="AD98" i="10" s="1"/>
  <c r="BD98" i="11"/>
  <c r="AB98" i="10" s="1"/>
  <c r="AO98" i="11"/>
  <c r="M98" i="10" s="1"/>
  <c r="AE98" i="11"/>
  <c r="C98" i="10" s="1"/>
  <c r="AM98" i="11"/>
  <c r="K98" i="10" s="1"/>
  <c r="AI98" i="11"/>
  <c r="G98" i="10" s="1"/>
  <c r="BA98" i="11"/>
  <c r="Y98" i="10" s="1"/>
  <c r="AL98" i="11"/>
  <c r="J98" i="10" s="1"/>
  <c r="AP98" i="11"/>
  <c r="N98" i="10" s="1"/>
  <c r="BH98" i="11"/>
  <c r="AF98" i="10" s="1"/>
  <c r="BC98" i="11"/>
  <c r="AA98" i="10" s="1"/>
  <c r="AF98" i="11"/>
  <c r="D98" i="10" s="1"/>
  <c r="BJ98" i="11"/>
  <c r="AH98" i="10" s="1"/>
  <c r="AF8" i="11"/>
  <c r="D8" i="10" s="1"/>
  <c r="AZ44" i="11"/>
  <c r="X44" i="10" s="1"/>
  <c r="AK86" i="11"/>
  <c r="I86" i="10" s="1"/>
  <c r="AG79" i="11"/>
  <c r="E79" i="10" s="1"/>
  <c r="AW101" i="11"/>
  <c r="U101" i="10" s="1"/>
  <c r="AU101" i="11"/>
  <c r="S101" i="10" s="1"/>
  <c r="AP101" i="11"/>
  <c r="N101" i="10" s="1"/>
  <c r="AJ101" i="11"/>
  <c r="H101" i="10" s="1"/>
  <c r="AY101" i="11"/>
  <c r="W101" i="10" s="1"/>
  <c r="AO101" i="11"/>
  <c r="M101" i="10" s="1"/>
  <c r="AQ101" i="11"/>
  <c r="O101" i="10" s="1"/>
  <c r="BH101" i="11"/>
  <c r="AF101" i="10" s="1"/>
  <c r="BA101" i="11"/>
  <c r="Y101" i="10" s="1"/>
  <c r="AE101" i="11"/>
  <c r="C101" i="10" s="1"/>
  <c r="AL101" i="11"/>
  <c r="J101" i="10" s="1"/>
  <c r="BI101" i="11"/>
  <c r="AG101" i="10" s="1"/>
  <c r="AZ101" i="11"/>
  <c r="X101" i="10" s="1"/>
  <c r="AI101" i="11"/>
  <c r="G101" i="10" s="1"/>
  <c r="AV101" i="11"/>
  <c r="T101" i="10" s="1"/>
  <c r="AF101" i="11"/>
  <c r="D101" i="10" s="1"/>
  <c r="AH101" i="11"/>
  <c r="F101" i="10" s="1"/>
  <c r="BD101" i="11"/>
  <c r="AB101" i="10" s="1"/>
  <c r="BG44" i="11"/>
  <c r="AE44" i="10" s="1"/>
  <c r="AS44" i="11"/>
  <c r="Q44" i="10" s="1"/>
  <c r="BD44" i="11"/>
  <c r="AB44" i="10" s="1"/>
  <c r="AJ44" i="11"/>
  <c r="H44" i="10" s="1"/>
  <c r="BE44" i="11"/>
  <c r="AC44" i="10" s="1"/>
  <c r="AN86" i="11"/>
  <c r="L86" i="10" s="1"/>
  <c r="BH86" i="11"/>
  <c r="AF86" i="10" s="1"/>
  <c r="BA86" i="11"/>
  <c r="Y86" i="10" s="1"/>
  <c r="AV86" i="11"/>
  <c r="T86" i="10" s="1"/>
  <c r="BC86" i="11"/>
  <c r="AA86" i="10" s="1"/>
  <c r="AX86" i="11"/>
  <c r="V86" i="10" s="1"/>
  <c r="BF86" i="11"/>
  <c r="AD86" i="10" s="1"/>
  <c r="AW86" i="11"/>
  <c r="U86" i="10" s="1"/>
  <c r="BG86" i="11"/>
  <c r="AE86" i="10" s="1"/>
  <c r="AT86" i="11"/>
  <c r="R86" i="10" s="1"/>
  <c r="AG86" i="11"/>
  <c r="E86" i="10" s="1"/>
  <c r="BA71" i="11"/>
  <c r="Y71" i="10" s="1"/>
  <c r="AQ71" i="11"/>
  <c r="O71" i="10" s="1"/>
  <c r="BE71" i="11"/>
  <c r="AC71" i="10" s="1"/>
  <c r="AM58" i="11"/>
  <c r="K58" i="10" s="1"/>
  <c r="BF58" i="11"/>
  <c r="AD58" i="10" s="1"/>
  <c r="AH47" i="11"/>
  <c r="F47" i="10" s="1"/>
  <c r="AH94" i="11"/>
  <c r="F94" i="10" s="1"/>
  <c r="BJ10" i="11"/>
  <c r="AH10" i="10" s="1"/>
  <c r="BE10" i="11"/>
  <c r="AC10" i="10" s="1"/>
  <c r="BF65" i="11"/>
  <c r="AD65" i="10" s="1"/>
  <c r="AM44" i="11"/>
  <c r="K44" i="10" s="1"/>
  <c r="AK44" i="11"/>
  <c r="I44" i="10" s="1"/>
  <c r="AV44" i="11"/>
  <c r="T44" i="10" s="1"/>
  <c r="BC6" i="11"/>
  <c r="AA6" i="10" s="1"/>
  <c r="AH6" i="11"/>
  <c r="F6" i="10" s="1"/>
  <c r="AZ57" i="11"/>
  <c r="X57" i="10" s="1"/>
  <c r="AX57" i="11"/>
  <c r="V57" i="10" s="1"/>
  <c r="AJ57" i="11"/>
  <c r="H57" i="10" s="1"/>
  <c r="AK57" i="11"/>
  <c r="I57" i="10" s="1"/>
  <c r="BG57" i="11"/>
  <c r="AE57" i="10" s="1"/>
  <c r="BF57" i="11"/>
  <c r="AD57" i="10" s="1"/>
  <c r="AL19" i="11"/>
  <c r="J19" i="10" s="1"/>
  <c r="BD6" i="11"/>
  <c r="AB6" i="10" s="1"/>
  <c r="AE6" i="11"/>
  <c r="C6" i="10" s="1"/>
  <c r="AF44" i="11"/>
  <c r="D44" i="10" s="1"/>
  <c r="BJ6" i="11"/>
  <c r="AH6" i="10" s="1"/>
  <c r="BB6" i="11"/>
  <c r="Z6" i="10" s="1"/>
  <c r="AE44" i="11"/>
  <c r="C44" i="10" s="1"/>
  <c r="AT44" i="11"/>
  <c r="R44" i="10" s="1"/>
  <c r="BF44" i="11"/>
  <c r="AD44" i="10" s="1"/>
  <c r="AL44" i="11"/>
  <c r="J44" i="10" s="1"/>
  <c r="BH6" i="11"/>
  <c r="AF6" i="10" s="1"/>
  <c r="AZ6" i="11"/>
  <c r="X6" i="10" s="1"/>
  <c r="AS6" i="11"/>
  <c r="Q6" i="10" s="1"/>
  <c r="BA6" i="11"/>
  <c r="Y6" i="10" s="1"/>
  <c r="AJ8" i="11"/>
  <c r="H8" i="10" s="1"/>
  <c r="AU8" i="11"/>
  <c r="S8" i="10" s="1"/>
  <c r="AE8" i="11"/>
  <c r="C8" i="10" s="1"/>
  <c r="AP55" i="11"/>
  <c r="N55" i="10" s="1"/>
  <c r="AG55" i="11"/>
  <c r="E55" i="10" s="1"/>
  <c r="AQ55" i="11"/>
  <c r="O55" i="10" s="1"/>
  <c r="BD55" i="11"/>
  <c r="AB55" i="10" s="1"/>
  <c r="AN55" i="11"/>
  <c r="L55" i="10" s="1"/>
  <c r="AF55" i="11"/>
  <c r="D55" i="10" s="1"/>
  <c r="AL55" i="11"/>
  <c r="J55" i="10" s="1"/>
  <c r="BK55" i="11"/>
  <c r="AI55" i="10" s="1"/>
  <c r="AW55" i="11"/>
  <c r="U55" i="10" s="1"/>
  <c r="BH55" i="11"/>
  <c r="AF55" i="10" s="1"/>
  <c r="AZ55" i="11"/>
  <c r="X55" i="10" s="1"/>
  <c r="BG55" i="11"/>
  <c r="AE55" i="10" s="1"/>
  <c r="AX55" i="11"/>
  <c r="V55" i="10" s="1"/>
  <c r="AU55" i="11"/>
  <c r="S55" i="10" s="1"/>
  <c r="AO55" i="11"/>
  <c r="M55" i="10" s="1"/>
  <c r="AR55" i="11"/>
  <c r="P55" i="10" s="1"/>
  <c r="BK57" i="11"/>
  <c r="AI57" i="10" s="1"/>
  <c r="AD57" i="11"/>
  <c r="B57" i="10" s="1"/>
  <c r="BD57" i="11"/>
  <c r="AB57" i="10" s="1"/>
  <c r="BG58" i="11"/>
  <c r="AE58" i="10" s="1"/>
  <c r="AV58" i="11"/>
  <c r="T58" i="10" s="1"/>
  <c r="BD58" i="11"/>
  <c r="AB58" i="10" s="1"/>
  <c r="AN58" i="11"/>
  <c r="L58" i="10" s="1"/>
  <c r="BC58" i="11"/>
  <c r="AA58" i="10" s="1"/>
  <c r="AI58" i="11"/>
  <c r="G58" i="10" s="1"/>
  <c r="AU58" i="11"/>
  <c r="S58" i="10" s="1"/>
  <c r="AP58" i="11"/>
  <c r="N58" i="10" s="1"/>
  <c r="AD8" i="11"/>
  <c r="B8" i="10" s="1"/>
  <c r="AW48" i="11"/>
  <c r="U48" i="10" s="1"/>
  <c r="BI48" i="11"/>
  <c r="AG48" i="10" s="1"/>
  <c r="AR48" i="11"/>
  <c r="P48" i="10" s="1"/>
  <c r="BJ48" i="11"/>
  <c r="AH48" i="10" s="1"/>
  <c r="AG48" i="11"/>
  <c r="E48" i="10" s="1"/>
  <c r="AD48" i="11"/>
  <c r="B48" i="10" s="1"/>
  <c r="AS48" i="11"/>
  <c r="Q48" i="10" s="1"/>
  <c r="AD65" i="11"/>
  <c r="B65" i="10" s="1"/>
  <c r="AT65" i="11"/>
  <c r="R65" i="10" s="1"/>
  <c r="AX65" i="11"/>
  <c r="V65" i="10" s="1"/>
  <c r="BB65" i="11"/>
  <c r="Z65" i="10" s="1"/>
  <c r="AM65" i="11"/>
  <c r="K65" i="10" s="1"/>
  <c r="BI65" i="11"/>
  <c r="AG65" i="10" s="1"/>
  <c r="AQ65" i="11"/>
  <c r="O65" i="10" s="1"/>
  <c r="BG65" i="11"/>
  <c r="AE65" i="10" s="1"/>
  <c r="AT15" i="11"/>
  <c r="R15" i="10" s="1"/>
  <c r="BE15" i="11"/>
  <c r="AC15" i="10" s="1"/>
  <c r="BA15" i="11"/>
  <c r="Y15" i="10" s="1"/>
  <c r="BB15" i="11"/>
  <c r="Z15" i="10" s="1"/>
  <c r="AH38" i="11"/>
  <c r="F38" i="10" s="1"/>
  <c r="AI38" i="11"/>
  <c r="G38" i="10" s="1"/>
  <c r="BH8" i="11"/>
  <c r="AF8" i="10" s="1"/>
  <c r="AU20" i="11"/>
  <c r="S20" i="10" s="1"/>
  <c r="AE36" i="11"/>
  <c r="C36" i="10" s="1"/>
  <c r="BI55" i="11"/>
  <c r="AG55" i="10" s="1"/>
  <c r="BK28" i="11"/>
  <c r="AI28" i="10" s="1"/>
  <c r="BG28" i="11"/>
  <c r="AE28" i="10" s="1"/>
  <c r="AD28" i="11"/>
  <c r="B28" i="10" s="1"/>
  <c r="AT28" i="11"/>
  <c r="R28" i="10" s="1"/>
  <c r="AW28" i="11"/>
  <c r="U28" i="10" s="1"/>
  <c r="AX28" i="11"/>
  <c r="V28" i="10" s="1"/>
  <c r="AV28" i="11"/>
  <c r="T28" i="10" s="1"/>
  <c r="AQ28" i="11"/>
  <c r="O28" i="10" s="1"/>
  <c r="AV74" i="11"/>
  <c r="T74" i="10" s="1"/>
  <c r="AN74" i="11"/>
  <c r="L74" i="10" s="1"/>
  <c r="AP74" i="11"/>
  <c r="N74" i="10" s="1"/>
  <c r="BE74" i="11"/>
  <c r="AC74" i="10" s="1"/>
  <c r="BC74" i="11"/>
  <c r="AA74" i="10" s="1"/>
  <c r="BI74" i="11"/>
  <c r="AG74" i="10" s="1"/>
  <c r="AI74" i="11"/>
  <c r="G74" i="10" s="1"/>
  <c r="BJ74" i="11"/>
  <c r="AH74" i="10" s="1"/>
  <c r="BF74" i="11"/>
  <c r="AD74" i="10" s="1"/>
  <c r="BK74" i="11"/>
  <c r="AI74" i="10" s="1"/>
  <c r="AW74" i="11"/>
  <c r="U74" i="10" s="1"/>
  <c r="AH74" i="11"/>
  <c r="F74" i="10" s="1"/>
  <c r="AF74" i="11"/>
  <c r="D74" i="10" s="1"/>
  <c r="AL74" i="11"/>
  <c r="J74" i="10" s="1"/>
  <c r="AQ74" i="11"/>
  <c r="O74" i="10" s="1"/>
  <c r="AK74" i="11"/>
  <c r="I74" i="10" s="1"/>
  <c r="AD74" i="11"/>
  <c r="B74" i="10" s="1"/>
  <c r="BA74" i="11"/>
  <c r="Y74" i="10" s="1"/>
  <c r="AS74" i="11"/>
  <c r="Q74" i="10" s="1"/>
  <c r="AT74" i="11"/>
  <c r="R74" i="10" s="1"/>
  <c r="AR74" i="11"/>
  <c r="P74" i="10" s="1"/>
  <c r="AX74" i="11"/>
  <c r="V74" i="10" s="1"/>
  <c r="AY74" i="11"/>
  <c r="W74" i="10" s="1"/>
  <c r="BH74" i="11"/>
  <c r="AF74" i="10" s="1"/>
  <c r="AO74" i="11"/>
  <c r="M74" i="10" s="1"/>
  <c r="BD74" i="11"/>
  <c r="AB74" i="10" s="1"/>
  <c r="AZ74" i="11"/>
  <c r="X74" i="10" s="1"/>
  <c r="AU74" i="11"/>
  <c r="S74" i="10" s="1"/>
  <c r="AJ74" i="11"/>
  <c r="H74" i="10" s="1"/>
  <c r="AM74" i="11"/>
  <c r="K74" i="10" s="1"/>
  <c r="AG74" i="11"/>
  <c r="E74" i="10" s="1"/>
  <c r="AE74" i="11"/>
  <c r="C74" i="10" s="1"/>
  <c r="BG74" i="11"/>
  <c r="AE74" i="10" s="1"/>
  <c r="BB74" i="11"/>
  <c r="Z74" i="10" s="1"/>
  <c r="AX81" i="11"/>
  <c r="V81" i="10" s="1"/>
  <c r="AW81" i="11"/>
  <c r="U81" i="10" s="1"/>
  <c r="AN81" i="11"/>
  <c r="L81" i="10" s="1"/>
  <c r="AF81" i="11"/>
  <c r="D81" i="10" s="1"/>
  <c r="AQ81" i="11"/>
  <c r="O81" i="10" s="1"/>
  <c r="AM81" i="11"/>
  <c r="K81" i="10" s="1"/>
  <c r="BJ81" i="11"/>
  <c r="AH81" i="10" s="1"/>
  <c r="BI81" i="11"/>
  <c r="AG81" i="10" s="1"/>
  <c r="AR81" i="11"/>
  <c r="P81" i="10" s="1"/>
  <c r="BC81" i="11"/>
  <c r="AA81" i="10" s="1"/>
  <c r="AU81" i="11"/>
  <c r="S81" i="10" s="1"/>
  <c r="AH81" i="11"/>
  <c r="F81" i="10" s="1"/>
  <c r="AD81" i="11"/>
  <c r="B81" i="10" s="1"/>
  <c r="AJ81" i="11"/>
  <c r="H81" i="10" s="1"/>
  <c r="BE81" i="11"/>
  <c r="AC81" i="10" s="1"/>
  <c r="BF81" i="11"/>
  <c r="AD81" i="10" s="1"/>
  <c r="AT81" i="11"/>
  <c r="R81" i="10" s="1"/>
  <c r="AE81" i="11"/>
  <c r="C81" i="10" s="1"/>
  <c r="BG81" i="11"/>
  <c r="AE81" i="10" s="1"/>
  <c r="AS81" i="11"/>
  <c r="Q81" i="10" s="1"/>
  <c r="BH81" i="11"/>
  <c r="AF81" i="10" s="1"/>
  <c r="AV81" i="11"/>
  <c r="T81" i="10" s="1"/>
  <c r="AL81" i="11"/>
  <c r="J81" i="10" s="1"/>
  <c r="BA81" i="11"/>
  <c r="Y81" i="10" s="1"/>
  <c r="AG81" i="11"/>
  <c r="E81" i="10" s="1"/>
  <c r="AI81" i="11"/>
  <c r="G81" i="10" s="1"/>
  <c r="AP81" i="11"/>
  <c r="N81" i="10" s="1"/>
  <c r="BB81" i="11"/>
  <c r="Z81" i="10" s="1"/>
  <c r="BK81" i="11"/>
  <c r="AI81" i="10" s="1"/>
  <c r="AO81" i="11"/>
  <c r="M81" i="10" s="1"/>
  <c r="AZ81" i="11"/>
  <c r="X81" i="10" s="1"/>
  <c r="AK81" i="11"/>
  <c r="I81" i="10" s="1"/>
  <c r="AE89" i="11"/>
  <c r="C89" i="10" s="1"/>
  <c r="BC89" i="11"/>
  <c r="AA89" i="10" s="1"/>
  <c r="AR89" i="11"/>
  <c r="P89" i="10" s="1"/>
  <c r="AI89" i="11"/>
  <c r="G89" i="10" s="1"/>
  <c r="AV89" i="11"/>
  <c r="T89" i="10" s="1"/>
  <c r="BE89" i="11"/>
  <c r="AC89" i="10" s="1"/>
  <c r="BK89" i="11"/>
  <c r="AI89" i="10" s="1"/>
  <c r="AU89" i="11"/>
  <c r="S89" i="10" s="1"/>
  <c r="AP89" i="11"/>
  <c r="N89" i="10" s="1"/>
  <c r="AF89" i="11"/>
  <c r="D89" i="10" s="1"/>
  <c r="BB89" i="11"/>
  <c r="Z89" i="10" s="1"/>
  <c r="AG89" i="11"/>
  <c r="E89" i="10" s="1"/>
  <c r="AH89" i="11"/>
  <c r="F89" i="10" s="1"/>
  <c r="BJ89" i="11"/>
  <c r="AH89" i="10" s="1"/>
  <c r="BF89" i="11"/>
  <c r="AD89" i="10" s="1"/>
  <c r="AK89" i="11"/>
  <c r="I89" i="10" s="1"/>
  <c r="BI89" i="11"/>
  <c r="AG89" i="10" s="1"/>
  <c r="AZ89" i="11"/>
  <c r="X89" i="10" s="1"/>
  <c r="AT89" i="11"/>
  <c r="R89" i="10" s="1"/>
  <c r="AL89" i="11"/>
  <c r="J89" i="10" s="1"/>
  <c r="AQ89" i="11"/>
  <c r="O89" i="10" s="1"/>
  <c r="AY89" i="11"/>
  <c r="W89" i="10" s="1"/>
  <c r="BD89" i="11"/>
  <c r="AB89" i="10" s="1"/>
  <c r="AS89" i="11"/>
  <c r="Q89" i="10" s="1"/>
  <c r="AJ89" i="11"/>
  <c r="H89" i="10" s="1"/>
  <c r="AX89" i="11"/>
  <c r="V89" i="10" s="1"/>
  <c r="AO89" i="11"/>
  <c r="M89" i="10" s="1"/>
  <c r="BG89" i="11"/>
  <c r="AE89" i="10" s="1"/>
  <c r="BA89" i="11"/>
  <c r="Y89" i="10" s="1"/>
  <c r="AD89" i="11"/>
  <c r="B89" i="10" s="1"/>
  <c r="AN89" i="11"/>
  <c r="L89" i="10" s="1"/>
  <c r="AM89" i="11"/>
  <c r="K89" i="10" s="1"/>
  <c r="BH89" i="11"/>
  <c r="AF89" i="10" s="1"/>
  <c r="AW89" i="11"/>
  <c r="U89" i="10" s="1"/>
  <c r="BH5" i="11"/>
  <c r="AF5" i="10" s="1"/>
  <c r="AL5" i="11"/>
  <c r="J5" i="10" s="1"/>
  <c r="BI5" i="11"/>
  <c r="AG5" i="10" s="1"/>
  <c r="BF12" i="11"/>
  <c r="AD12" i="10" s="1"/>
  <c r="BE12" i="11"/>
  <c r="AC12" i="10" s="1"/>
  <c r="BJ12" i="11"/>
  <c r="AH12" i="10" s="1"/>
  <c r="AT12" i="11"/>
  <c r="R12" i="10" s="1"/>
  <c r="AU19" i="11"/>
  <c r="S19" i="10" s="1"/>
  <c r="BF19" i="11"/>
  <c r="AD19" i="10" s="1"/>
  <c r="AJ19" i="11"/>
  <c r="H19" i="10" s="1"/>
  <c r="BH19" i="11"/>
  <c r="AF19" i="10" s="1"/>
  <c r="BE33" i="11"/>
  <c r="AC33" i="10" s="1"/>
  <c r="BI33" i="11"/>
  <c r="AG33" i="10" s="1"/>
  <c r="BH33" i="11"/>
  <c r="AF33" i="10" s="1"/>
  <c r="BH42" i="11"/>
  <c r="AF42" i="10" s="1"/>
  <c r="AK42" i="11"/>
  <c r="I42" i="10" s="1"/>
  <c r="AL42" i="11"/>
  <c r="J42" i="10" s="1"/>
  <c r="AY42" i="11"/>
  <c r="W42" i="10" s="1"/>
  <c r="BB42" i="11"/>
  <c r="Z42" i="10" s="1"/>
  <c r="AD42" i="11"/>
  <c r="B42" i="10" s="1"/>
  <c r="AW42" i="11"/>
  <c r="U42" i="10" s="1"/>
  <c r="AN42" i="11"/>
  <c r="L42" i="10" s="1"/>
  <c r="BK68" i="11"/>
  <c r="AI68" i="10" s="1"/>
  <c r="AN68" i="11"/>
  <c r="L68" i="10" s="1"/>
  <c r="BH68" i="11"/>
  <c r="AF68" i="10" s="1"/>
  <c r="AR70" i="11"/>
  <c r="P70" i="10" s="1"/>
  <c r="AP70" i="11"/>
  <c r="N70" i="10" s="1"/>
  <c r="BE70" i="11"/>
  <c r="AC70" i="10" s="1"/>
  <c r="BG70" i="11"/>
  <c r="AE70" i="10" s="1"/>
  <c r="BD70" i="11"/>
  <c r="AB70" i="10" s="1"/>
  <c r="AS70" i="11"/>
  <c r="Q70" i="10" s="1"/>
  <c r="AV70" i="11"/>
  <c r="T70" i="10" s="1"/>
  <c r="BB70" i="11"/>
  <c r="Z70" i="10" s="1"/>
  <c r="AQ70" i="11"/>
  <c r="O70" i="10" s="1"/>
  <c r="AG70" i="11"/>
  <c r="E70" i="10" s="1"/>
  <c r="BK70" i="11"/>
  <c r="AI70" i="10" s="1"/>
  <c r="AE70" i="11"/>
  <c r="C70" i="10" s="1"/>
  <c r="AO70" i="11"/>
  <c r="M70" i="10" s="1"/>
  <c r="AK70" i="11"/>
  <c r="I70" i="10" s="1"/>
  <c r="BH70" i="11"/>
  <c r="AF70" i="10" s="1"/>
  <c r="AD70" i="11"/>
  <c r="B70" i="10" s="1"/>
  <c r="AI70" i="11"/>
  <c r="G70" i="10" s="1"/>
  <c r="BF70" i="11"/>
  <c r="AD70" i="10" s="1"/>
  <c r="BA70" i="11"/>
  <c r="Y70" i="10" s="1"/>
  <c r="AX70" i="11"/>
  <c r="V70" i="10" s="1"/>
  <c r="BC70" i="11"/>
  <c r="AA70" i="10" s="1"/>
  <c r="AL70" i="11"/>
  <c r="J70" i="10" s="1"/>
  <c r="BJ70" i="11"/>
  <c r="AH70" i="10" s="1"/>
  <c r="AN70" i="11"/>
  <c r="L70" i="10" s="1"/>
  <c r="AJ70" i="11"/>
  <c r="H70" i="10" s="1"/>
  <c r="AF70" i="11"/>
  <c r="D70" i="10" s="1"/>
  <c r="AH70" i="11"/>
  <c r="F70" i="10" s="1"/>
  <c r="AT70" i="11"/>
  <c r="R70" i="10" s="1"/>
  <c r="AU70" i="11"/>
  <c r="S70" i="10" s="1"/>
  <c r="AY70" i="11"/>
  <c r="W70" i="10" s="1"/>
  <c r="AM70" i="11"/>
  <c r="K70" i="10" s="1"/>
  <c r="AZ70" i="11"/>
  <c r="X70" i="10" s="1"/>
  <c r="BI70" i="11"/>
  <c r="AG70" i="10" s="1"/>
  <c r="AW70" i="11"/>
  <c r="U70" i="10" s="1"/>
  <c r="AU72" i="11"/>
  <c r="S72" i="10" s="1"/>
  <c r="AV72" i="11"/>
  <c r="T72" i="10" s="1"/>
  <c r="AI72" i="11"/>
  <c r="G72" i="10" s="1"/>
  <c r="AR72" i="11"/>
  <c r="P72" i="10" s="1"/>
  <c r="BC72" i="11"/>
  <c r="AA72" i="10" s="1"/>
  <c r="BK72" i="11"/>
  <c r="AI72" i="10" s="1"/>
  <c r="AX72" i="11"/>
  <c r="V72" i="10" s="1"/>
  <c r="BD72" i="11"/>
  <c r="AB72" i="10" s="1"/>
  <c r="AS72" i="11"/>
  <c r="Q72" i="10" s="1"/>
  <c r="AF72" i="11"/>
  <c r="D72" i="10" s="1"/>
  <c r="BH72" i="11"/>
  <c r="AF72" i="10" s="1"/>
  <c r="AL72" i="11"/>
  <c r="J72" i="10" s="1"/>
  <c r="AW72" i="11"/>
  <c r="U72" i="10" s="1"/>
  <c r="BJ72" i="11"/>
  <c r="AH72" i="10" s="1"/>
  <c r="BF72" i="11"/>
  <c r="AD72" i="10" s="1"/>
  <c r="AD72" i="11"/>
  <c r="B72" i="10" s="1"/>
  <c r="BG72" i="11"/>
  <c r="AE72" i="10" s="1"/>
  <c r="AM72" i="11"/>
  <c r="K72" i="10" s="1"/>
  <c r="AZ72" i="11"/>
  <c r="X72" i="10" s="1"/>
  <c r="BA72" i="11"/>
  <c r="Y72" i="10" s="1"/>
  <c r="BB72" i="11"/>
  <c r="Z72" i="10" s="1"/>
  <c r="BI72" i="11"/>
  <c r="AG72" i="10" s="1"/>
  <c r="AJ72" i="11"/>
  <c r="H72" i="10" s="1"/>
  <c r="AT72" i="11"/>
  <c r="R72" i="10" s="1"/>
  <c r="AG72" i="11"/>
  <c r="E72" i="10" s="1"/>
  <c r="AN72" i="11"/>
  <c r="L72" i="10" s="1"/>
  <c r="AY72" i="11"/>
  <c r="W72" i="10" s="1"/>
  <c r="AO72" i="11"/>
  <c r="M72" i="10" s="1"/>
  <c r="AQ72" i="11"/>
  <c r="O72" i="10" s="1"/>
  <c r="AP72" i="11"/>
  <c r="N72" i="10" s="1"/>
  <c r="AK72" i="11"/>
  <c r="I72" i="10" s="1"/>
  <c r="AH72" i="11"/>
  <c r="F72" i="10" s="1"/>
  <c r="AE72" i="11"/>
  <c r="C72" i="10" s="1"/>
  <c r="BF75" i="11"/>
  <c r="AD75" i="10" s="1"/>
  <c r="BG75" i="11"/>
  <c r="AE75" i="10" s="1"/>
  <c r="AE75" i="11"/>
  <c r="C75" i="10" s="1"/>
  <c r="AN75" i="11"/>
  <c r="L75" i="10" s="1"/>
  <c r="AO75" i="11"/>
  <c r="M75" i="10" s="1"/>
  <c r="AK75" i="11"/>
  <c r="I75" i="10" s="1"/>
  <c r="BJ75" i="11"/>
  <c r="AH75" i="10" s="1"/>
  <c r="AI75" i="11"/>
  <c r="G75" i="10" s="1"/>
  <c r="BD75" i="11"/>
  <c r="AB75" i="10" s="1"/>
  <c r="AZ75" i="11"/>
  <c r="X75" i="10" s="1"/>
  <c r="AM75" i="11"/>
  <c r="K75" i="10" s="1"/>
  <c r="AX75" i="11"/>
  <c r="V75" i="10" s="1"/>
  <c r="AU75" i="11"/>
  <c r="S75" i="10" s="1"/>
  <c r="AG75" i="11"/>
  <c r="E75" i="10" s="1"/>
  <c r="AP75" i="11"/>
  <c r="N75" i="10" s="1"/>
  <c r="AW75" i="11"/>
  <c r="U75" i="10" s="1"/>
  <c r="BC75" i="11"/>
  <c r="AA75" i="10" s="1"/>
  <c r="AF75" i="11"/>
  <c r="D75" i="10" s="1"/>
  <c r="AH75" i="11"/>
  <c r="F75" i="10" s="1"/>
  <c r="BK75" i="11"/>
  <c r="AI75" i="10" s="1"/>
  <c r="AL75" i="11"/>
  <c r="J75" i="10" s="1"/>
  <c r="AQ75" i="11"/>
  <c r="O75" i="10" s="1"/>
  <c r="AJ75" i="11"/>
  <c r="H75" i="10" s="1"/>
  <c r="BE75" i="11"/>
  <c r="AC75" i="10" s="1"/>
  <c r="AS75" i="11"/>
  <c r="Q75" i="10" s="1"/>
  <c r="BH75" i="11"/>
  <c r="AF75" i="10" s="1"/>
  <c r="AY75" i="11"/>
  <c r="W75" i="10" s="1"/>
  <c r="AD75" i="11"/>
  <c r="B75" i="10" s="1"/>
  <c r="BB75" i="11"/>
  <c r="Z75" i="10" s="1"/>
  <c r="BA75" i="11"/>
  <c r="Y75" i="10" s="1"/>
  <c r="BI75" i="11"/>
  <c r="AG75" i="10" s="1"/>
  <c r="AV75" i="11"/>
  <c r="T75" i="10" s="1"/>
  <c r="AT75" i="11"/>
  <c r="R75" i="10" s="1"/>
  <c r="AR75" i="11"/>
  <c r="P75" i="10" s="1"/>
  <c r="BC77" i="11"/>
  <c r="AA77" i="10" s="1"/>
  <c r="BJ77" i="11"/>
  <c r="AH77" i="10" s="1"/>
  <c r="AR77" i="11"/>
  <c r="P77" i="10" s="1"/>
  <c r="AV77" i="11"/>
  <c r="T77" i="10" s="1"/>
  <c r="AQ77" i="11"/>
  <c r="O77" i="10" s="1"/>
  <c r="BD77" i="11"/>
  <c r="AB77" i="10" s="1"/>
  <c r="AI77" i="11"/>
  <c r="G77" i="10" s="1"/>
  <c r="AZ77" i="11"/>
  <c r="X77" i="10" s="1"/>
  <c r="BH77" i="11"/>
  <c r="AF77" i="10" s="1"/>
  <c r="BB77" i="11"/>
  <c r="Z77" i="10" s="1"/>
  <c r="AE79" i="11"/>
  <c r="C79" i="10" s="1"/>
  <c r="BK79" i="11"/>
  <c r="AI79" i="10" s="1"/>
  <c r="BC79" i="11"/>
  <c r="AA79" i="10" s="1"/>
  <c r="AU79" i="11"/>
  <c r="S79" i="10" s="1"/>
  <c r="AZ79" i="11"/>
  <c r="X79" i="10" s="1"/>
  <c r="AV79" i="11"/>
  <c r="T79" i="10" s="1"/>
  <c r="AK79" i="11"/>
  <c r="I79" i="10" s="1"/>
  <c r="AN79" i="11"/>
  <c r="L79" i="10" s="1"/>
  <c r="BJ79" i="11"/>
  <c r="AH79" i="10" s="1"/>
  <c r="BI79" i="11"/>
  <c r="AG79" i="10" s="1"/>
  <c r="AR79" i="11"/>
  <c r="P79" i="10" s="1"/>
  <c r="BA79" i="11"/>
  <c r="Y79" i="10" s="1"/>
  <c r="BG79" i="11"/>
  <c r="AE79" i="10" s="1"/>
  <c r="AX79" i="11"/>
  <c r="V79" i="10" s="1"/>
  <c r="AW79" i="11"/>
  <c r="U79" i="10" s="1"/>
  <c r="BD79" i="11"/>
  <c r="AB79" i="10" s="1"/>
  <c r="AQ79" i="11"/>
  <c r="O79" i="10" s="1"/>
  <c r="BB79" i="11"/>
  <c r="Z79" i="10" s="1"/>
  <c r="AP79" i="11"/>
  <c r="N79" i="10" s="1"/>
  <c r="BH79" i="11"/>
  <c r="AF79" i="10" s="1"/>
  <c r="AS79" i="11"/>
  <c r="Q79" i="10" s="1"/>
  <c r="BE79" i="11"/>
  <c r="AC79" i="10" s="1"/>
  <c r="AI79" i="11"/>
  <c r="G79" i="10" s="1"/>
  <c r="AT79" i="11"/>
  <c r="R79" i="10" s="1"/>
  <c r="AH79" i="11"/>
  <c r="F79" i="10" s="1"/>
  <c r="AF79" i="11"/>
  <c r="D79" i="10" s="1"/>
  <c r="AY79" i="11"/>
  <c r="W79" i="10" s="1"/>
  <c r="AD79" i="11"/>
  <c r="B79" i="10" s="1"/>
  <c r="BF79" i="11"/>
  <c r="AD79" i="10" s="1"/>
  <c r="AO79" i="11"/>
  <c r="M79" i="10" s="1"/>
  <c r="AL79" i="11"/>
  <c r="J79" i="10" s="1"/>
  <c r="AM79" i="11"/>
  <c r="K79" i="10" s="1"/>
  <c r="AJ82" i="11"/>
  <c r="H82" i="10" s="1"/>
  <c r="AY82" i="11"/>
  <c r="W82" i="10" s="1"/>
  <c r="AZ82" i="11"/>
  <c r="X82" i="10" s="1"/>
  <c r="BC82" i="11"/>
  <c r="AA82" i="10" s="1"/>
  <c r="AP82" i="11"/>
  <c r="N82" i="10" s="1"/>
  <c r="AH82" i="11"/>
  <c r="F82" i="10" s="1"/>
  <c r="AN82" i="11"/>
  <c r="L82" i="10" s="1"/>
  <c r="AV82" i="11"/>
  <c r="T82" i="10" s="1"/>
  <c r="BB82" i="11"/>
  <c r="Z82" i="10" s="1"/>
  <c r="AS82" i="11"/>
  <c r="Q82" i="10" s="1"/>
  <c r="BF82" i="11"/>
  <c r="AD82" i="10" s="1"/>
  <c r="AT82" i="11"/>
  <c r="R82" i="10" s="1"/>
  <c r="BH82" i="11"/>
  <c r="AF82" i="10" s="1"/>
  <c r="AK82" i="11"/>
  <c r="I82" i="10" s="1"/>
  <c r="BJ82" i="11"/>
  <c r="AH82" i="10" s="1"/>
  <c r="AM82" i="11"/>
  <c r="K82" i="10" s="1"/>
  <c r="BA82" i="11"/>
  <c r="Y82" i="10" s="1"/>
  <c r="BG82" i="11"/>
  <c r="AE82" i="10" s="1"/>
  <c r="AX82" i="11"/>
  <c r="V82" i="10" s="1"/>
  <c r="AF82" i="11"/>
  <c r="D82" i="10" s="1"/>
  <c r="BK82" i="11"/>
  <c r="AI82" i="10" s="1"/>
  <c r="AQ82" i="11"/>
  <c r="O82" i="10" s="1"/>
  <c r="BE82" i="11"/>
  <c r="AC82" i="10" s="1"/>
  <c r="AO82" i="11"/>
  <c r="M82" i="10" s="1"/>
  <c r="AU82" i="11"/>
  <c r="S82" i="10" s="1"/>
  <c r="AD82" i="11"/>
  <c r="B82" i="10" s="1"/>
  <c r="BI82" i="11"/>
  <c r="AG82" i="10" s="1"/>
  <c r="AR82" i="11"/>
  <c r="P82" i="10" s="1"/>
  <c r="AW82" i="11"/>
  <c r="U82" i="10" s="1"/>
  <c r="AE82" i="11"/>
  <c r="C82" i="10" s="1"/>
  <c r="BD82" i="11"/>
  <c r="AB82" i="10" s="1"/>
  <c r="AV84" i="11"/>
  <c r="T84" i="10" s="1"/>
  <c r="BB86" i="11"/>
  <c r="Z86" i="10" s="1"/>
  <c r="AY86" i="11"/>
  <c r="W86" i="10" s="1"/>
  <c r="AM86" i="11"/>
  <c r="K86" i="10" s="1"/>
  <c r="AI86" i="11"/>
  <c r="G86" i="10" s="1"/>
  <c r="AF86" i="11"/>
  <c r="D86" i="10" s="1"/>
  <c r="AS86" i="11"/>
  <c r="Q86" i="10" s="1"/>
  <c r="AD86" i="11"/>
  <c r="B86" i="10" s="1"/>
  <c r="AU86" i="11"/>
  <c r="S86" i="10" s="1"/>
  <c r="AS90" i="11"/>
  <c r="Q90" i="10" s="1"/>
  <c r="AX90" i="11"/>
  <c r="V90" i="10" s="1"/>
  <c r="AZ90" i="11"/>
  <c r="X90" i="10" s="1"/>
  <c r="AI90" i="11"/>
  <c r="G90" i="10" s="1"/>
  <c r="AF90" i="11"/>
  <c r="D90" i="10" s="1"/>
  <c r="AL90" i="11"/>
  <c r="J90" i="10" s="1"/>
  <c r="AN90" i="11"/>
  <c r="L90" i="10" s="1"/>
  <c r="AM90" i="11"/>
  <c r="K90" i="10" s="1"/>
  <c r="AU90" i="11"/>
  <c r="S90" i="10" s="1"/>
  <c r="AP90" i="11"/>
  <c r="N90" i="10" s="1"/>
  <c r="BF90" i="11"/>
  <c r="AD90" i="10" s="1"/>
  <c r="BB90" i="11"/>
  <c r="Z90" i="10" s="1"/>
  <c r="BC90" i="11"/>
  <c r="AA90" i="10" s="1"/>
  <c r="AR90" i="11"/>
  <c r="P90" i="10" s="1"/>
  <c r="AD90" i="11"/>
  <c r="B90" i="10" s="1"/>
  <c r="BD90" i="11"/>
  <c r="AB90" i="10" s="1"/>
  <c r="BG90" i="11"/>
  <c r="AE90" i="10" s="1"/>
  <c r="BI90" i="11"/>
  <c r="AG90" i="10" s="1"/>
  <c r="AG90" i="11"/>
  <c r="E90" i="10" s="1"/>
  <c r="AQ90" i="11"/>
  <c r="O90" i="10" s="1"/>
  <c r="BK90" i="11"/>
  <c r="AI90" i="10" s="1"/>
  <c r="BE92" i="11"/>
  <c r="AC92" i="10" s="1"/>
  <c r="AU92" i="11"/>
  <c r="S92" i="10" s="1"/>
  <c r="AW92" i="11"/>
  <c r="U92" i="10" s="1"/>
  <c r="BB92" i="11"/>
  <c r="Z92" i="10" s="1"/>
  <c r="BJ92" i="11"/>
  <c r="AH92" i="10" s="1"/>
  <c r="BG92" i="11"/>
  <c r="AE92" i="10" s="1"/>
  <c r="AV92" i="11"/>
  <c r="T92" i="10" s="1"/>
  <c r="AO92" i="11"/>
  <c r="M92" i="10" s="1"/>
  <c r="AY92" i="11"/>
  <c r="W92" i="10" s="1"/>
  <c r="AN92" i="11"/>
  <c r="L92" i="10" s="1"/>
  <c r="AK92" i="11"/>
  <c r="I92" i="10" s="1"/>
  <c r="AL92" i="11"/>
  <c r="J92" i="10" s="1"/>
  <c r="BD92" i="11"/>
  <c r="AB92" i="10" s="1"/>
  <c r="AD92" i="11"/>
  <c r="B92" i="10" s="1"/>
  <c r="AJ92" i="11"/>
  <c r="H92" i="10" s="1"/>
  <c r="AH92" i="11"/>
  <c r="F92" i="10" s="1"/>
  <c r="AQ92" i="11"/>
  <c r="O92" i="10" s="1"/>
  <c r="BA99" i="11"/>
  <c r="Y99" i="10" s="1"/>
  <c r="AO99" i="11"/>
  <c r="M99" i="10" s="1"/>
  <c r="AI99" i="11"/>
  <c r="G99" i="10" s="1"/>
  <c r="BK101" i="11"/>
  <c r="AI101" i="10" s="1"/>
  <c r="AM101" i="11"/>
  <c r="K101" i="10" s="1"/>
  <c r="AX101" i="11"/>
  <c r="V101" i="10" s="1"/>
  <c r="AS101" i="11"/>
  <c r="Q101" i="10" s="1"/>
  <c r="BE5" i="11"/>
  <c r="AC5" i="10" s="1"/>
  <c r="AH5" i="11"/>
  <c r="F5" i="10" s="1"/>
  <c r="BJ5" i="11"/>
  <c r="AH5" i="10" s="1"/>
  <c r="AQ5" i="11"/>
  <c r="O5" i="10" s="1"/>
  <c r="AN5" i="11"/>
  <c r="L5" i="10" s="1"/>
  <c r="AJ5" i="11"/>
  <c r="H5" i="10" s="1"/>
  <c r="AU5" i="11"/>
  <c r="S5" i="10" s="1"/>
  <c r="AP5" i="11"/>
  <c r="N5" i="10" s="1"/>
  <c r="BD26" i="11"/>
  <c r="AB26" i="10" s="1"/>
  <c r="BC26" i="11"/>
  <c r="AA26" i="10" s="1"/>
  <c r="AH26" i="11"/>
  <c r="F26" i="10" s="1"/>
  <c r="AT26" i="11"/>
  <c r="R26" i="10" s="1"/>
  <c r="AW26" i="11"/>
  <c r="U26" i="10" s="1"/>
  <c r="AD26" i="11"/>
  <c r="B26" i="10" s="1"/>
  <c r="BK26" i="11"/>
  <c r="AI26" i="10" s="1"/>
  <c r="BG26" i="11"/>
  <c r="AE26" i="10" s="1"/>
  <c r="AN26" i="11"/>
  <c r="L26" i="10" s="1"/>
  <c r="BA26" i="11"/>
  <c r="Y26" i="10" s="1"/>
  <c r="AL26" i="11"/>
  <c r="J26" i="10" s="1"/>
  <c r="AS26" i="11"/>
  <c r="Q26" i="10" s="1"/>
  <c r="AM26" i="11"/>
  <c r="K26" i="10" s="1"/>
  <c r="AU26" i="11"/>
  <c r="S26" i="10" s="1"/>
  <c r="BE26" i="11"/>
  <c r="AC26" i="10" s="1"/>
  <c r="AI26" i="11"/>
  <c r="G26" i="10" s="1"/>
  <c r="AO26" i="11"/>
  <c r="M26" i="10" s="1"/>
  <c r="AZ26" i="11"/>
  <c r="X26" i="10" s="1"/>
  <c r="AV26" i="11"/>
  <c r="T26" i="10" s="1"/>
  <c r="AJ26" i="11"/>
  <c r="H26" i="10" s="1"/>
  <c r="AX26" i="11"/>
  <c r="V26" i="10" s="1"/>
  <c r="AF26" i="11"/>
  <c r="D26" i="10" s="1"/>
  <c r="AE26" i="11"/>
  <c r="C26" i="10" s="1"/>
  <c r="BF26" i="11"/>
  <c r="AD26" i="10" s="1"/>
  <c r="AR26" i="11"/>
  <c r="P26" i="10" s="1"/>
  <c r="AY26" i="11"/>
  <c r="W26" i="10" s="1"/>
  <c r="AK26" i="11"/>
  <c r="I26" i="10" s="1"/>
  <c r="AQ26" i="11"/>
  <c r="O26" i="10" s="1"/>
  <c r="AP26" i="11"/>
  <c r="N26" i="10" s="1"/>
  <c r="BI19" i="11"/>
  <c r="AG19" i="10" s="1"/>
  <c r="AR19" i="11"/>
  <c r="P19" i="10" s="1"/>
  <c r="AM19" i="11"/>
  <c r="K19" i="10" s="1"/>
  <c r="AP19" i="11"/>
  <c r="N19" i="10" s="1"/>
  <c r="AD19" i="11"/>
  <c r="B19" i="10" s="1"/>
  <c r="AQ19" i="11"/>
  <c r="O19" i="10" s="1"/>
  <c r="BA19" i="11"/>
  <c r="Y19" i="10" s="1"/>
  <c r="BD19" i="11"/>
  <c r="AB19" i="10" s="1"/>
  <c r="BK19" i="11"/>
  <c r="AI19" i="10" s="1"/>
  <c r="AS19" i="11"/>
  <c r="Q19" i="10" s="1"/>
  <c r="AT19" i="11"/>
  <c r="R19" i="10" s="1"/>
  <c r="AY19" i="11"/>
  <c r="W19" i="10" s="1"/>
  <c r="AN19" i="11"/>
  <c r="L19" i="10" s="1"/>
  <c r="AO19" i="11"/>
  <c r="M19" i="10" s="1"/>
  <c r="BC19" i="11"/>
  <c r="AA19" i="10" s="1"/>
  <c r="AE19" i="11"/>
  <c r="C19" i="10" s="1"/>
  <c r="AF19" i="11"/>
  <c r="D19" i="10" s="1"/>
  <c r="AG19" i="11"/>
  <c r="E19" i="10" s="1"/>
  <c r="AW19" i="11"/>
  <c r="U19" i="10" s="1"/>
  <c r="AX19" i="11"/>
  <c r="V19" i="10" s="1"/>
  <c r="AH19" i="11"/>
  <c r="F19" i="10" s="1"/>
  <c r="BB19" i="11"/>
  <c r="Z19" i="10" s="1"/>
  <c r="AI19" i="11"/>
  <c r="G19" i="10" s="1"/>
  <c r="AZ19" i="11"/>
  <c r="X19" i="10" s="1"/>
  <c r="AN14" i="11"/>
  <c r="L14" i="10" s="1"/>
  <c r="AW14" i="11"/>
  <c r="U14" i="10" s="1"/>
  <c r="AH14" i="11"/>
  <c r="F14" i="10" s="1"/>
  <c r="BG5" i="11"/>
  <c r="AE5" i="10" s="1"/>
  <c r="AT5" i="11"/>
  <c r="R5" i="10" s="1"/>
  <c r="BF5" i="11"/>
  <c r="AD5" i="10" s="1"/>
  <c r="AL12" i="11"/>
  <c r="J12" i="10" s="1"/>
  <c r="AT13" i="11"/>
  <c r="R13" i="10" s="1"/>
  <c r="BG13" i="11"/>
  <c r="AE13" i="10" s="1"/>
  <c r="AL13" i="11"/>
  <c r="J13" i="10" s="1"/>
  <c r="BF13" i="11"/>
  <c r="AD13" i="10" s="1"/>
  <c r="AU13" i="11"/>
  <c r="S13" i="10" s="1"/>
  <c r="AW15" i="11"/>
  <c r="U15" i="10" s="1"/>
  <c r="BJ15" i="11"/>
  <c r="AH15" i="10" s="1"/>
  <c r="AE15" i="11"/>
  <c r="C15" i="10" s="1"/>
  <c r="AO15" i="11"/>
  <c r="M15" i="10" s="1"/>
  <c r="BH15" i="11"/>
  <c r="AF15" i="10" s="1"/>
  <c r="AH15" i="11"/>
  <c r="F15" i="10" s="1"/>
  <c r="BD15" i="11"/>
  <c r="AB15" i="10" s="1"/>
  <c r="AY15" i="11"/>
  <c r="W15" i="10" s="1"/>
  <c r="AM15" i="11"/>
  <c r="K15" i="10" s="1"/>
  <c r="AX27" i="11"/>
  <c r="V27" i="10" s="1"/>
  <c r="BG27" i="11"/>
  <c r="AE27" i="10" s="1"/>
  <c r="AG27" i="11"/>
  <c r="E27" i="10" s="1"/>
  <c r="AQ27" i="11"/>
  <c r="O27" i="10" s="1"/>
  <c r="AS27" i="11"/>
  <c r="Q27" i="10" s="1"/>
  <c r="BD27" i="11"/>
  <c r="AB27" i="10" s="1"/>
  <c r="AZ27" i="11"/>
  <c r="X27" i="10" s="1"/>
  <c r="AI27" i="11"/>
  <c r="G27" i="10" s="1"/>
  <c r="BJ27" i="11"/>
  <c r="AH27" i="10" s="1"/>
  <c r="AK27" i="11"/>
  <c r="I27" i="10" s="1"/>
  <c r="AJ27" i="11"/>
  <c r="H27" i="10" s="1"/>
  <c r="AT27" i="11"/>
  <c r="R27" i="10" s="1"/>
  <c r="BC27" i="11"/>
  <c r="AA27" i="10" s="1"/>
  <c r="AP27" i="11"/>
  <c r="N27" i="10" s="1"/>
  <c r="AV27" i="11"/>
  <c r="T27" i="10" s="1"/>
  <c r="AF27" i="11"/>
  <c r="D27" i="10" s="1"/>
  <c r="BA27" i="11"/>
  <c r="Y27" i="10" s="1"/>
  <c r="AH27" i="11"/>
  <c r="F27" i="10" s="1"/>
  <c r="AL27" i="11"/>
  <c r="J27" i="10" s="1"/>
  <c r="BK27" i="11"/>
  <c r="AI27" i="10" s="1"/>
  <c r="AR27" i="11"/>
  <c r="P27" i="10" s="1"/>
  <c r="AE27" i="11"/>
  <c r="C27" i="10" s="1"/>
  <c r="AN27" i="11"/>
  <c r="L27" i="10" s="1"/>
  <c r="AU27" i="11"/>
  <c r="S27" i="10" s="1"/>
  <c r="BH27" i="11"/>
  <c r="AF27" i="10" s="1"/>
  <c r="BB27" i="11"/>
  <c r="Z27" i="10" s="1"/>
  <c r="AY27" i="11"/>
  <c r="W27" i="10" s="1"/>
  <c r="AD27" i="11"/>
  <c r="B27" i="10" s="1"/>
  <c r="BE27" i="11"/>
  <c r="AC27" i="10" s="1"/>
  <c r="BI27" i="11"/>
  <c r="AG27" i="10" s="1"/>
  <c r="AW27" i="11"/>
  <c r="U27" i="10" s="1"/>
  <c r="AO27" i="11"/>
  <c r="M27" i="10" s="1"/>
  <c r="BF27" i="11"/>
  <c r="AD27" i="10" s="1"/>
  <c r="AM27" i="11"/>
  <c r="K27" i="10" s="1"/>
  <c r="BD29" i="11"/>
  <c r="AB29" i="10" s="1"/>
  <c r="AY29" i="11"/>
  <c r="W29" i="10" s="1"/>
  <c r="BH29" i="11"/>
  <c r="AF29" i="10" s="1"/>
  <c r="AO29" i="11"/>
  <c r="M29" i="10" s="1"/>
  <c r="BF29" i="11"/>
  <c r="AD29" i="10" s="1"/>
  <c r="AD29" i="11"/>
  <c r="B29" i="10" s="1"/>
  <c r="BJ29" i="11"/>
  <c r="AH29" i="10" s="1"/>
  <c r="AG29" i="11"/>
  <c r="E29" i="10" s="1"/>
  <c r="AV29" i="11"/>
  <c r="T29" i="10" s="1"/>
  <c r="BJ43" i="11"/>
  <c r="AH43" i="10" s="1"/>
  <c r="AW43" i="11"/>
  <c r="U43" i="10" s="1"/>
  <c r="AV43" i="11"/>
  <c r="T43" i="10" s="1"/>
  <c r="AL43" i="11"/>
  <c r="J43" i="10" s="1"/>
  <c r="BB43" i="11"/>
  <c r="Z43" i="10" s="1"/>
  <c r="AI43" i="11"/>
  <c r="G43" i="10" s="1"/>
  <c r="BA43" i="11"/>
  <c r="Y43" i="10" s="1"/>
  <c r="AJ43" i="11"/>
  <c r="H43" i="10" s="1"/>
  <c r="BG48" i="11"/>
  <c r="AE48" i="10" s="1"/>
  <c r="BE48" i="11"/>
  <c r="AC48" i="10" s="1"/>
  <c r="BF48" i="11"/>
  <c r="AD48" i="10" s="1"/>
  <c r="AH62" i="11"/>
  <c r="F62" i="10" s="1"/>
  <c r="AK62" i="11"/>
  <c r="I62" i="10" s="1"/>
  <c r="BH62" i="11"/>
  <c r="AF62" i="10" s="1"/>
  <c r="AU69" i="11"/>
  <c r="S69" i="10" s="1"/>
  <c r="AN69" i="11"/>
  <c r="L69" i="10" s="1"/>
  <c r="BK69" i="11"/>
  <c r="AI69" i="10" s="1"/>
  <c r="AZ71" i="11"/>
  <c r="X71" i="10" s="1"/>
  <c r="BF71" i="11"/>
  <c r="AD71" i="10" s="1"/>
  <c r="BH71" i="11"/>
  <c r="AF71" i="10" s="1"/>
  <c r="AT71" i="11"/>
  <c r="R71" i="10" s="1"/>
  <c r="AU71" i="11"/>
  <c r="S71" i="10" s="1"/>
  <c r="AH71" i="11"/>
  <c r="F71" i="10" s="1"/>
  <c r="BK71" i="11"/>
  <c r="AI71" i="10" s="1"/>
  <c r="BG71" i="11"/>
  <c r="AE71" i="10" s="1"/>
  <c r="AL71" i="11"/>
  <c r="J71" i="10" s="1"/>
  <c r="AE71" i="11"/>
  <c r="C71" i="10" s="1"/>
  <c r="AX71" i="11"/>
  <c r="V71" i="10" s="1"/>
  <c r="AY71" i="11"/>
  <c r="W71" i="10" s="1"/>
  <c r="AN71" i="11"/>
  <c r="L71" i="10" s="1"/>
  <c r="AI71" i="11"/>
  <c r="G71" i="10" s="1"/>
  <c r="AF71" i="11"/>
  <c r="D71" i="10" s="1"/>
  <c r="AV71" i="11"/>
  <c r="T71" i="10" s="1"/>
  <c r="BJ71" i="11"/>
  <c r="AH71" i="10" s="1"/>
  <c r="BB71" i="11"/>
  <c r="Z71" i="10" s="1"/>
  <c r="AD71" i="11"/>
  <c r="B71" i="10" s="1"/>
  <c r="AG71" i="11"/>
  <c r="E71" i="10" s="1"/>
  <c r="AM71" i="11"/>
  <c r="K71" i="10" s="1"/>
  <c r="BC71" i="11"/>
  <c r="AA71" i="10" s="1"/>
  <c r="AP71" i="11"/>
  <c r="N71" i="10" s="1"/>
  <c r="AR71" i="11"/>
  <c r="P71" i="10" s="1"/>
  <c r="BI71" i="11"/>
  <c r="AG71" i="10" s="1"/>
  <c r="AW71" i="11"/>
  <c r="U71" i="10" s="1"/>
  <c r="BD76" i="11"/>
  <c r="AB76" i="10" s="1"/>
  <c r="AE76" i="11"/>
  <c r="C76" i="10" s="1"/>
  <c r="AT76" i="11"/>
  <c r="R76" i="10" s="1"/>
  <c r="AY76" i="11"/>
  <c r="W76" i="10" s="1"/>
  <c r="AM76" i="11"/>
  <c r="K76" i="10" s="1"/>
  <c r="AD76" i="11"/>
  <c r="B76" i="10" s="1"/>
  <c r="AO76" i="11"/>
  <c r="M76" i="10" s="1"/>
  <c r="AR76" i="11"/>
  <c r="P76" i="10" s="1"/>
  <c r="BJ76" i="11"/>
  <c r="AH76" i="10" s="1"/>
  <c r="AG76" i="11"/>
  <c r="E76" i="10" s="1"/>
  <c r="AW76" i="11"/>
  <c r="U76" i="10" s="1"/>
  <c r="BB76" i="11"/>
  <c r="Z76" i="10" s="1"/>
  <c r="AK76" i="11"/>
  <c r="I76" i="10" s="1"/>
  <c r="AP76" i="11"/>
  <c r="N76" i="10" s="1"/>
  <c r="BG76" i="11"/>
  <c r="AE76" i="10" s="1"/>
  <c r="BF76" i="11"/>
  <c r="AD76" i="10" s="1"/>
  <c r="AL76" i="11"/>
  <c r="J76" i="10" s="1"/>
  <c r="AI76" i="11"/>
  <c r="G76" i="10" s="1"/>
  <c r="BH76" i="11"/>
  <c r="AF76" i="10" s="1"/>
  <c r="AQ76" i="11"/>
  <c r="O76" i="10" s="1"/>
  <c r="AS76" i="11"/>
  <c r="Q76" i="10" s="1"/>
  <c r="BE76" i="11"/>
  <c r="AC76" i="10" s="1"/>
  <c r="AV76" i="11"/>
  <c r="T76" i="10" s="1"/>
  <c r="AZ76" i="11"/>
  <c r="X76" i="10" s="1"/>
  <c r="AH76" i="11"/>
  <c r="F76" i="10" s="1"/>
  <c r="BC76" i="11"/>
  <c r="AA76" i="10" s="1"/>
  <c r="AU76" i="11"/>
  <c r="S76" i="10" s="1"/>
  <c r="AX76" i="11"/>
  <c r="V76" i="10" s="1"/>
  <c r="AF76" i="11"/>
  <c r="D76" i="10" s="1"/>
  <c r="BI76" i="11"/>
  <c r="AG76" i="10" s="1"/>
  <c r="BK76" i="11"/>
  <c r="AI76" i="10" s="1"/>
  <c r="AN76" i="11"/>
  <c r="L76" i="10" s="1"/>
  <c r="AJ76" i="11"/>
  <c r="H76" i="10" s="1"/>
  <c r="BA76" i="11"/>
  <c r="Y76" i="10" s="1"/>
  <c r="BD81" i="11"/>
  <c r="AB81" i="10" s="1"/>
  <c r="AY81" i="11"/>
  <c r="W81" i="10" s="1"/>
  <c r="BJ83" i="11"/>
  <c r="AH83" i="10" s="1"/>
  <c r="AU83" i="11"/>
  <c r="S83" i="10" s="1"/>
  <c r="AY83" i="11"/>
  <c r="W83" i="10" s="1"/>
  <c r="AK83" i="11"/>
  <c r="I83" i="10" s="1"/>
  <c r="BA83" i="11"/>
  <c r="Y83" i="10" s="1"/>
  <c r="AQ83" i="11"/>
  <c r="O83" i="10" s="1"/>
  <c r="AD83" i="11"/>
  <c r="B83" i="10" s="1"/>
  <c r="BK83" i="11"/>
  <c r="AI83" i="10" s="1"/>
  <c r="AF83" i="11"/>
  <c r="D83" i="10" s="1"/>
  <c r="AM83" i="11"/>
  <c r="K83" i="10" s="1"/>
  <c r="BB83" i="11"/>
  <c r="Z83" i="10" s="1"/>
  <c r="AW83" i="11"/>
  <c r="U83" i="10" s="1"/>
  <c r="AP83" i="11"/>
  <c r="N83" i="10" s="1"/>
  <c r="AE83" i="11"/>
  <c r="C83" i="10" s="1"/>
  <c r="AH83" i="11"/>
  <c r="F83" i="10" s="1"/>
  <c r="AN83" i="11"/>
  <c r="L83" i="10" s="1"/>
  <c r="AG83" i="11"/>
  <c r="E83" i="10" s="1"/>
  <c r="BI83" i="11"/>
  <c r="AG83" i="10" s="1"/>
  <c r="BD83" i="11"/>
  <c r="AB83" i="10" s="1"/>
  <c r="AX83" i="11"/>
  <c r="V83" i="10" s="1"/>
  <c r="AZ83" i="11"/>
  <c r="X83" i="10" s="1"/>
  <c r="BF83" i="11"/>
  <c r="AD83" i="10" s="1"/>
  <c r="AS83" i="11"/>
  <c r="Q83" i="10" s="1"/>
  <c r="AT83" i="11"/>
  <c r="R83" i="10" s="1"/>
  <c r="AV83" i="11"/>
  <c r="T83" i="10" s="1"/>
  <c r="AR83" i="11"/>
  <c r="P83" i="10" s="1"/>
  <c r="BE83" i="11"/>
  <c r="AC83" i="10" s="1"/>
  <c r="AI83" i="11"/>
  <c r="G83" i="10" s="1"/>
  <c r="AU85" i="11"/>
  <c r="S85" i="10" s="1"/>
  <c r="AD85" i="11"/>
  <c r="B85" i="10" s="1"/>
  <c r="AY91" i="11"/>
  <c r="W91" i="10" s="1"/>
  <c r="AO91" i="11"/>
  <c r="M91" i="10" s="1"/>
  <c r="AQ91" i="11"/>
  <c r="O91" i="10" s="1"/>
  <c r="AR91" i="11"/>
  <c r="P91" i="10" s="1"/>
  <c r="AL91" i="11"/>
  <c r="J91" i="10" s="1"/>
  <c r="BB91" i="11"/>
  <c r="Z91" i="10" s="1"/>
  <c r="AJ91" i="11"/>
  <c r="H91" i="10" s="1"/>
  <c r="AQ93" i="11"/>
  <c r="O93" i="10" s="1"/>
  <c r="AE93" i="11"/>
  <c r="C93" i="10" s="1"/>
  <c r="AS93" i="11"/>
  <c r="Q93" i="10" s="1"/>
  <c r="AV93" i="11"/>
  <c r="T93" i="10" s="1"/>
  <c r="BB93" i="11"/>
  <c r="Z93" i="10" s="1"/>
  <c r="AU93" i="11"/>
  <c r="S93" i="10" s="1"/>
  <c r="AK93" i="11"/>
  <c r="I93" i="10" s="1"/>
  <c r="BD93" i="11"/>
  <c r="AB93" i="10" s="1"/>
  <c r="AY93" i="11"/>
  <c r="W93" i="10" s="1"/>
  <c r="AT93" i="11"/>
  <c r="R93" i="10" s="1"/>
  <c r="AP93" i="11"/>
  <c r="N93" i="10" s="1"/>
  <c r="BE93" i="11"/>
  <c r="AC93" i="10" s="1"/>
  <c r="AJ93" i="11"/>
  <c r="H93" i="10" s="1"/>
  <c r="AO93" i="11"/>
  <c r="M93" i="10" s="1"/>
  <c r="BF93" i="11"/>
  <c r="AD93" i="10" s="1"/>
  <c r="AZ93" i="11"/>
  <c r="X93" i="10" s="1"/>
  <c r="AH93" i="11"/>
  <c r="F93" i="10" s="1"/>
  <c r="AI93" i="11"/>
  <c r="G93" i="10" s="1"/>
  <c r="AL93" i="11"/>
  <c r="J93" i="10" s="1"/>
  <c r="AX93" i="11"/>
  <c r="V93" i="10" s="1"/>
  <c r="BJ93" i="11"/>
  <c r="AH93" i="10" s="1"/>
  <c r="BC93" i="11"/>
  <c r="AA93" i="10" s="1"/>
  <c r="AN93" i="11"/>
  <c r="L93" i="10" s="1"/>
  <c r="AR93" i="11"/>
  <c r="P93" i="10" s="1"/>
  <c r="BG93" i="11"/>
  <c r="AE93" i="10" s="1"/>
  <c r="AG93" i="11"/>
  <c r="E93" i="10" s="1"/>
  <c r="BH93" i="11"/>
  <c r="AF93" i="10" s="1"/>
  <c r="BI93" i="11"/>
  <c r="AG93" i="10" s="1"/>
  <c r="AW93" i="11"/>
  <c r="U93" i="10" s="1"/>
  <c r="BK93" i="11"/>
  <c r="AI93" i="10" s="1"/>
  <c r="BA93" i="11"/>
  <c r="Y93" i="10" s="1"/>
  <c r="AY100" i="11"/>
  <c r="W100" i="10" s="1"/>
  <c r="AX100" i="11"/>
  <c r="V100" i="10" s="1"/>
  <c r="BC100" i="11"/>
  <c r="AA100" i="10" s="1"/>
  <c r="AD100" i="11"/>
  <c r="B100" i="10" s="1"/>
  <c r="BE100" i="11"/>
  <c r="AC100" i="10" s="1"/>
  <c r="AM100" i="11"/>
  <c r="K100" i="10" s="1"/>
  <c r="AS100" i="11"/>
  <c r="Q100" i="10" s="1"/>
  <c r="AP100" i="11"/>
  <c r="N100" i="10" s="1"/>
  <c r="AH100" i="11"/>
  <c r="F100" i="10" s="1"/>
  <c r="AG100" i="11"/>
  <c r="E100" i="10" s="1"/>
  <c r="AU68" i="11"/>
  <c r="S68" i="10" s="1"/>
  <c r="AW90" i="11"/>
  <c r="U90" i="10" s="1"/>
  <c r="AN28" i="11"/>
  <c r="L28" i="10" s="1"/>
  <c r="BG22" i="11"/>
  <c r="AE22" i="10" s="1"/>
  <c r="BG18" i="11"/>
  <c r="AE18" i="10" s="1"/>
  <c r="AI5" i="11"/>
  <c r="G5" i="10" s="1"/>
  <c r="BF11" i="11"/>
  <c r="AD11" i="10" s="1"/>
  <c r="BE11" i="11"/>
  <c r="AC11" i="10" s="1"/>
  <c r="BG11" i="11"/>
  <c r="AE11" i="10" s="1"/>
  <c r="AL11" i="11"/>
  <c r="J11" i="10" s="1"/>
  <c r="BJ11" i="11"/>
  <c r="AH11" i="10" s="1"/>
  <c r="AT11" i="11"/>
  <c r="R11" i="10" s="1"/>
  <c r="AU11" i="11"/>
  <c r="S11" i="10" s="1"/>
  <c r="BI11" i="11"/>
  <c r="AG11" i="10" s="1"/>
  <c r="AO11" i="11"/>
  <c r="M11" i="10" s="1"/>
  <c r="BC11" i="11"/>
  <c r="AA11" i="10" s="1"/>
  <c r="AP11" i="11"/>
  <c r="N11" i="10" s="1"/>
  <c r="AR11" i="11"/>
  <c r="P11" i="10" s="1"/>
  <c r="AW11" i="11"/>
  <c r="U11" i="10" s="1"/>
  <c r="AN11" i="11"/>
  <c r="L11" i="10" s="1"/>
  <c r="AI11" i="11"/>
  <c r="G11" i="10" s="1"/>
  <c r="AX11" i="11"/>
  <c r="V11" i="10" s="1"/>
  <c r="AH11" i="11"/>
  <c r="F11" i="10" s="1"/>
  <c r="BA11" i="11"/>
  <c r="Y11" i="10" s="1"/>
  <c r="BD11" i="11"/>
  <c r="AB11" i="10" s="1"/>
  <c r="AF11" i="11"/>
  <c r="D11" i="10" s="1"/>
  <c r="AK11" i="11"/>
  <c r="I11" i="10" s="1"/>
  <c r="AQ11" i="11"/>
  <c r="O11" i="10" s="1"/>
  <c r="AM11" i="11"/>
  <c r="K11" i="10" s="1"/>
  <c r="AZ11" i="11"/>
  <c r="X11" i="10" s="1"/>
  <c r="BB11" i="11"/>
  <c r="Z11" i="10" s="1"/>
  <c r="BH11" i="11"/>
  <c r="AF11" i="10" s="1"/>
  <c r="AS11" i="11"/>
  <c r="Q11" i="10" s="1"/>
  <c r="AY11" i="11"/>
  <c r="W11" i="10" s="1"/>
  <c r="AG11" i="11"/>
  <c r="E11" i="10" s="1"/>
  <c r="AE11" i="11"/>
  <c r="C11" i="10" s="1"/>
  <c r="AJ11" i="11"/>
  <c r="H11" i="10" s="1"/>
  <c r="AV11" i="11"/>
  <c r="T11" i="10" s="1"/>
  <c r="AD11" i="11"/>
  <c r="B11" i="10" s="1"/>
  <c r="BK11" i="11"/>
  <c r="AI11" i="10" s="1"/>
  <c r="AU16" i="11"/>
  <c r="S16" i="10" s="1"/>
  <c r="AD16" i="11"/>
  <c r="B16" i="10" s="1"/>
  <c r="AW16" i="11"/>
  <c r="U16" i="10" s="1"/>
  <c r="AX16" i="11"/>
  <c r="V16" i="10" s="1"/>
  <c r="AE16" i="11"/>
  <c r="C16" i="10" s="1"/>
  <c r="AJ16" i="11"/>
  <c r="H16" i="10" s="1"/>
  <c r="BD16" i="11"/>
  <c r="AB16" i="10" s="1"/>
  <c r="BK16" i="11"/>
  <c r="AI16" i="10" s="1"/>
  <c r="AT16" i="11"/>
  <c r="R16" i="10" s="1"/>
  <c r="AK16" i="11"/>
  <c r="I16" i="10" s="1"/>
  <c r="BE16" i="11"/>
  <c r="AC16" i="10" s="1"/>
  <c r="AQ16" i="11"/>
  <c r="O16" i="10" s="1"/>
  <c r="BH16" i="11"/>
  <c r="AF16" i="10" s="1"/>
  <c r="AR16" i="11"/>
  <c r="P16" i="10" s="1"/>
  <c r="AO16" i="11"/>
  <c r="M16" i="10" s="1"/>
  <c r="AY16" i="11"/>
  <c r="W16" i="10" s="1"/>
  <c r="AZ16" i="11"/>
  <c r="X16" i="10" s="1"/>
  <c r="BB16" i="11"/>
  <c r="Z16" i="10" s="1"/>
  <c r="AV16" i="11"/>
  <c r="T16" i="10" s="1"/>
  <c r="BJ16" i="11"/>
  <c r="AH16" i="10" s="1"/>
  <c r="AH16" i="11"/>
  <c r="F16" i="10" s="1"/>
  <c r="BA16" i="11"/>
  <c r="Y16" i="10" s="1"/>
  <c r="AP16" i="11"/>
  <c r="N16" i="10" s="1"/>
  <c r="BI16" i="11"/>
  <c r="AG16" i="10" s="1"/>
  <c r="BC16" i="11"/>
  <c r="AA16" i="10" s="1"/>
  <c r="AG16" i="11"/>
  <c r="E16" i="10" s="1"/>
  <c r="AM16" i="11"/>
  <c r="K16" i="10" s="1"/>
  <c r="AN16" i="11"/>
  <c r="L16" i="10" s="1"/>
  <c r="AF16" i="11"/>
  <c r="D16" i="10" s="1"/>
  <c r="AS16" i="11"/>
  <c r="Q16" i="10" s="1"/>
  <c r="BG16" i="11"/>
  <c r="AE16" i="10" s="1"/>
  <c r="AL16" i="11"/>
  <c r="J16" i="10" s="1"/>
  <c r="AI16" i="11"/>
  <c r="G16" i="10" s="1"/>
  <c r="BF16" i="11"/>
  <c r="AD16" i="10" s="1"/>
  <c r="AH42" i="11"/>
  <c r="F42" i="10" s="1"/>
  <c r="BD39" i="11"/>
  <c r="AB39" i="10" s="1"/>
  <c r="AP39" i="11"/>
  <c r="N39" i="10" s="1"/>
  <c r="AR39" i="11"/>
  <c r="P39" i="10" s="1"/>
  <c r="AD39" i="11"/>
  <c r="B39" i="10" s="1"/>
  <c r="AF39" i="11"/>
  <c r="D39" i="10" s="1"/>
  <c r="AM39" i="11"/>
  <c r="K39" i="10" s="1"/>
  <c r="AE39" i="11"/>
  <c r="C39" i="10" s="1"/>
  <c r="BF39" i="11"/>
  <c r="AD39" i="10" s="1"/>
  <c r="AK39" i="11"/>
  <c r="I39" i="10" s="1"/>
  <c r="BE39" i="11"/>
  <c r="AC39" i="10" s="1"/>
  <c r="AO39" i="11"/>
  <c r="M39" i="10" s="1"/>
  <c r="AI39" i="11"/>
  <c r="G39" i="10" s="1"/>
  <c r="AQ39" i="11"/>
  <c r="O39" i="10" s="1"/>
  <c r="AN39" i="11"/>
  <c r="L39" i="10" s="1"/>
  <c r="BB39" i="11"/>
  <c r="Z39" i="10" s="1"/>
  <c r="BI39" i="11"/>
  <c r="AG39" i="10" s="1"/>
  <c r="AW39" i="11"/>
  <c r="U39" i="10" s="1"/>
  <c r="AL39" i="11"/>
  <c r="J39" i="10" s="1"/>
  <c r="AG39" i="11"/>
  <c r="E39" i="10" s="1"/>
  <c r="BK39" i="11"/>
  <c r="AI39" i="10" s="1"/>
  <c r="AH39" i="11"/>
  <c r="F39" i="10" s="1"/>
  <c r="AX39" i="11"/>
  <c r="V39" i="10" s="1"/>
  <c r="AJ39" i="11"/>
  <c r="H39" i="10" s="1"/>
  <c r="BG39" i="11"/>
  <c r="AE39" i="10" s="1"/>
  <c r="AZ39" i="11"/>
  <c r="X39" i="10" s="1"/>
  <c r="BJ39" i="11"/>
  <c r="AH39" i="10" s="1"/>
  <c r="AY39" i="11"/>
  <c r="W39" i="10" s="1"/>
  <c r="AS39" i="11"/>
  <c r="Q39" i="10" s="1"/>
  <c r="BH39" i="11"/>
  <c r="AF39" i="10" s="1"/>
  <c r="AU39" i="11"/>
  <c r="S39" i="10" s="1"/>
  <c r="BA39" i="11"/>
  <c r="Y39" i="10" s="1"/>
  <c r="BC39" i="11"/>
  <c r="AA39" i="10" s="1"/>
  <c r="AV39" i="11"/>
  <c r="T39" i="10" s="1"/>
  <c r="AT39" i="11"/>
  <c r="R39" i="10" s="1"/>
  <c r="AW49" i="11"/>
  <c r="U49" i="10" s="1"/>
  <c r="BJ49" i="11"/>
  <c r="AH49" i="10" s="1"/>
  <c r="AE49" i="11"/>
  <c r="C49" i="10" s="1"/>
  <c r="AD49" i="11"/>
  <c r="B49" i="10" s="1"/>
  <c r="AH49" i="11"/>
  <c r="F49" i="10" s="1"/>
  <c r="AT49" i="11"/>
  <c r="R49" i="10" s="1"/>
  <c r="AL49" i="11"/>
  <c r="J49" i="10" s="1"/>
  <c r="BE49" i="11"/>
  <c r="AC49" i="10" s="1"/>
  <c r="AJ49" i="11"/>
  <c r="H49" i="10" s="1"/>
  <c r="BI49" i="11"/>
  <c r="AG49" i="10" s="1"/>
  <c r="AF49" i="11"/>
  <c r="D49" i="10" s="1"/>
  <c r="BC49" i="11"/>
  <c r="AA49" i="10" s="1"/>
  <c r="BA49" i="11"/>
  <c r="Y49" i="10" s="1"/>
  <c r="AK49" i="11"/>
  <c r="I49" i="10" s="1"/>
  <c r="AN49" i="11"/>
  <c r="L49" i="10" s="1"/>
  <c r="AU49" i="11"/>
  <c r="S49" i="10" s="1"/>
  <c r="AZ49" i="11"/>
  <c r="X49" i="10" s="1"/>
  <c r="AX49" i="11"/>
  <c r="V49" i="10" s="1"/>
  <c r="BD49" i="11"/>
  <c r="AB49" i="10" s="1"/>
  <c r="AS49" i="11"/>
  <c r="Q49" i="10" s="1"/>
  <c r="BG49" i="11"/>
  <c r="AE49" i="10" s="1"/>
  <c r="AR49" i="11"/>
  <c r="P49" i="10" s="1"/>
  <c r="AV49" i="11"/>
  <c r="T49" i="10" s="1"/>
  <c r="AM49" i="11"/>
  <c r="K49" i="10" s="1"/>
  <c r="AQ49" i="11"/>
  <c r="O49" i="10" s="1"/>
  <c r="BH49" i="11"/>
  <c r="AF49" i="10" s="1"/>
  <c r="AI49" i="11"/>
  <c r="G49" i="10" s="1"/>
  <c r="BK49" i="11"/>
  <c r="AI49" i="10" s="1"/>
  <c r="AO49" i="11"/>
  <c r="M49" i="10" s="1"/>
  <c r="AG49" i="11"/>
  <c r="E49" i="10" s="1"/>
  <c r="AY49" i="11"/>
  <c r="W49" i="10" s="1"/>
  <c r="BF49" i="11"/>
  <c r="AD49" i="10" s="1"/>
  <c r="AP49" i="11"/>
  <c r="N49" i="10" s="1"/>
  <c r="BB49" i="11"/>
  <c r="Z49" i="10" s="1"/>
  <c r="BI53" i="11"/>
  <c r="AG53" i="10" s="1"/>
  <c r="AM46" i="11"/>
  <c r="K46" i="10" s="1"/>
  <c r="BD46" i="11"/>
  <c r="AB46" i="10" s="1"/>
  <c r="AS46" i="11"/>
  <c r="Q46" i="10" s="1"/>
  <c r="AZ46" i="11"/>
  <c r="X46" i="10" s="1"/>
  <c r="AJ46" i="11"/>
  <c r="H46" i="10" s="1"/>
  <c r="BB46" i="11"/>
  <c r="Z46" i="10" s="1"/>
  <c r="BH46" i="11"/>
  <c r="AF46" i="10" s="1"/>
  <c r="AL46" i="11"/>
  <c r="J46" i="10" s="1"/>
  <c r="BJ46" i="11"/>
  <c r="AH46" i="10" s="1"/>
  <c r="AR46" i="11"/>
  <c r="P46" i="10" s="1"/>
  <c r="AO46" i="11"/>
  <c r="M46" i="10" s="1"/>
  <c r="AU46" i="11"/>
  <c r="S46" i="10" s="1"/>
  <c r="AQ46" i="11"/>
  <c r="O46" i="10" s="1"/>
  <c r="AN46" i="11"/>
  <c r="L46" i="10" s="1"/>
  <c r="AF46" i="11"/>
  <c r="D46" i="10" s="1"/>
  <c r="BK46" i="11"/>
  <c r="AI46" i="10" s="1"/>
  <c r="AW46" i="11"/>
  <c r="U46" i="10" s="1"/>
  <c r="AV46" i="11"/>
  <c r="T46" i="10" s="1"/>
  <c r="BC46" i="11"/>
  <c r="AA46" i="10" s="1"/>
  <c r="AD46" i="11"/>
  <c r="B46" i="10" s="1"/>
  <c r="BE46" i="11"/>
  <c r="AC46" i="10" s="1"/>
  <c r="AY46" i="11"/>
  <c r="W46" i="10" s="1"/>
  <c r="AX46" i="11"/>
  <c r="V46" i="10" s="1"/>
  <c r="AG46" i="11"/>
  <c r="E46" i="10" s="1"/>
  <c r="BI46" i="11"/>
  <c r="AG46" i="10" s="1"/>
  <c r="BA46" i="11"/>
  <c r="Y46" i="10" s="1"/>
  <c r="AP46" i="11"/>
  <c r="N46" i="10" s="1"/>
  <c r="AE46" i="11"/>
  <c r="C46" i="10" s="1"/>
  <c r="AT46" i="11"/>
  <c r="R46" i="10" s="1"/>
  <c r="AI46" i="11"/>
  <c r="G46" i="10" s="1"/>
  <c r="AK46" i="11"/>
  <c r="I46" i="10" s="1"/>
  <c r="BF46" i="11"/>
  <c r="AD46" i="10" s="1"/>
  <c r="BG46" i="11"/>
  <c r="AE46" i="10" s="1"/>
  <c r="AH46" i="11"/>
  <c r="F46" i="10" s="1"/>
  <c r="BK67" i="11"/>
  <c r="AI67" i="10" s="1"/>
  <c r="AI42" i="11"/>
  <c r="G42" i="10" s="1"/>
  <c r="AE42" i="11"/>
  <c r="C42" i="10" s="1"/>
  <c r="BA42" i="11"/>
  <c r="Y42" i="10" s="1"/>
  <c r="BD42" i="11"/>
  <c r="AB42" i="10" s="1"/>
  <c r="AP42" i="11"/>
  <c r="N42" i="10" s="1"/>
  <c r="BE42" i="11"/>
  <c r="AC42" i="10" s="1"/>
  <c r="AV42" i="11"/>
  <c r="T42" i="10" s="1"/>
  <c r="AF42" i="11"/>
  <c r="D42" i="10" s="1"/>
  <c r="BC42" i="11"/>
  <c r="AA42" i="10" s="1"/>
  <c r="AO42" i="11"/>
  <c r="M42" i="10" s="1"/>
  <c r="AQ42" i="11"/>
  <c r="O42" i="10" s="1"/>
  <c r="AR42" i="11"/>
  <c r="P42" i="10" s="1"/>
  <c r="BI42" i="11"/>
  <c r="AG42" i="10" s="1"/>
  <c r="AU42" i="11"/>
  <c r="S42" i="10" s="1"/>
  <c r="AS42" i="11"/>
  <c r="Q42" i="10" s="1"/>
  <c r="AT42" i="11"/>
  <c r="R42" i="10" s="1"/>
  <c r="AG42" i="11"/>
  <c r="E42" i="10" s="1"/>
  <c r="AJ42" i="11"/>
  <c r="H42" i="10" s="1"/>
  <c r="BK42" i="11"/>
  <c r="AI42" i="10" s="1"/>
  <c r="AX42" i="11"/>
  <c r="V42" i="10" s="1"/>
  <c r="BJ42" i="11"/>
  <c r="AH42" i="10" s="1"/>
  <c r="BG42" i="11"/>
  <c r="AE42" i="10" s="1"/>
  <c r="AZ42" i="11"/>
  <c r="X42" i="10" s="1"/>
  <c r="BF42" i="11"/>
  <c r="AD42" i="10" s="1"/>
  <c r="AM42" i="11"/>
  <c r="K42" i="10" s="1"/>
  <c r="BH25" i="11"/>
  <c r="AF25" i="10" s="1"/>
  <c r="AG25" i="11"/>
  <c r="E25" i="10" s="1"/>
  <c r="AL25" i="11"/>
  <c r="J25" i="10" s="1"/>
  <c r="BI25" i="11"/>
  <c r="AG25" i="10" s="1"/>
  <c r="BG25" i="11"/>
  <c r="AE25" i="10" s="1"/>
  <c r="BJ25" i="11"/>
  <c r="AH25" i="10" s="1"/>
  <c r="AD25" i="11"/>
  <c r="B25" i="10" s="1"/>
  <c r="AR25" i="11"/>
  <c r="P25" i="10" s="1"/>
  <c r="AU25" i="11"/>
  <c r="S25" i="10" s="1"/>
  <c r="BB25" i="11"/>
  <c r="Z25" i="10" s="1"/>
  <c r="BC25" i="11"/>
  <c r="AA25" i="10" s="1"/>
  <c r="AI25" i="11"/>
  <c r="G25" i="10" s="1"/>
  <c r="AN25" i="11"/>
  <c r="L25" i="10" s="1"/>
  <c r="AX25" i="11"/>
  <c r="V25" i="10" s="1"/>
  <c r="AJ25" i="11"/>
  <c r="H25" i="10" s="1"/>
  <c r="AH25" i="11"/>
  <c r="F25" i="10" s="1"/>
  <c r="AT25" i="11"/>
  <c r="R25" i="10" s="1"/>
  <c r="AO25" i="11"/>
  <c r="M25" i="10" s="1"/>
  <c r="AF25" i="11"/>
  <c r="D25" i="10" s="1"/>
  <c r="AW25" i="11"/>
  <c r="U25" i="10" s="1"/>
  <c r="BE25" i="11"/>
  <c r="AC25" i="10" s="1"/>
  <c r="BF25" i="11"/>
  <c r="AD25" i="10" s="1"/>
  <c r="BA25" i="11"/>
  <c r="Y25" i="10" s="1"/>
  <c r="AS25" i="11"/>
  <c r="Q25" i="10" s="1"/>
  <c r="AZ25" i="11"/>
  <c r="X25" i="10" s="1"/>
  <c r="AE25" i="11"/>
  <c r="C25" i="10" s="1"/>
  <c r="AK25" i="11"/>
  <c r="I25" i="10" s="1"/>
  <c r="AQ25" i="11"/>
  <c r="O25" i="10" s="1"/>
  <c r="AY25" i="11"/>
  <c r="W25" i="10" s="1"/>
  <c r="BD25" i="11"/>
  <c r="AB25" i="10" s="1"/>
  <c r="AV25" i="11"/>
  <c r="T25" i="10" s="1"/>
  <c r="AM25" i="11"/>
  <c r="K25" i="10" s="1"/>
  <c r="BK25" i="11"/>
  <c r="AI25" i="10" s="1"/>
  <c r="AP25" i="11"/>
  <c r="N25" i="10" s="1"/>
  <c r="AJ60" i="11"/>
  <c r="H60" i="10" s="1"/>
  <c r="AZ60" i="11"/>
  <c r="X60" i="10" s="1"/>
  <c r="AV60" i="11"/>
  <c r="T60" i="10" s="1"/>
  <c r="AS60" i="11"/>
  <c r="Q60" i="10" s="1"/>
  <c r="BF60" i="11"/>
  <c r="AD60" i="10" s="1"/>
  <c r="AO60" i="11"/>
  <c r="M60" i="10" s="1"/>
  <c r="AT60" i="11"/>
  <c r="R60" i="10" s="1"/>
  <c r="AE60" i="11"/>
  <c r="C60" i="10" s="1"/>
  <c r="AQ60" i="11"/>
  <c r="O60" i="10" s="1"/>
  <c r="AG60" i="11"/>
  <c r="E60" i="10" s="1"/>
  <c r="BB60" i="11"/>
  <c r="Z60" i="10" s="1"/>
  <c r="AN60" i="11"/>
  <c r="L60" i="10" s="1"/>
  <c r="AM60" i="11"/>
  <c r="K60" i="10" s="1"/>
  <c r="BA60" i="11"/>
  <c r="Y60" i="10" s="1"/>
  <c r="BI60" i="11"/>
  <c r="AG60" i="10" s="1"/>
  <c r="AL60" i="11"/>
  <c r="J60" i="10" s="1"/>
  <c r="BG60" i="11"/>
  <c r="AE60" i="10" s="1"/>
  <c r="BC60" i="11"/>
  <c r="AA60" i="10" s="1"/>
  <c r="AU60" i="11"/>
  <c r="S60" i="10" s="1"/>
  <c r="BE60" i="11"/>
  <c r="AC60" i="10" s="1"/>
  <c r="AR60" i="11"/>
  <c r="P60" i="10" s="1"/>
  <c r="AW60" i="11"/>
  <c r="U60" i="10" s="1"/>
  <c r="AD60" i="11"/>
  <c r="B60" i="10" s="1"/>
  <c r="BK60" i="11"/>
  <c r="AI60" i="10" s="1"/>
  <c r="AI60" i="11"/>
  <c r="G60" i="10" s="1"/>
  <c r="AY60" i="11"/>
  <c r="W60" i="10" s="1"/>
  <c r="AX60" i="11"/>
  <c r="V60" i="10" s="1"/>
  <c r="BD60" i="11"/>
  <c r="AB60" i="10" s="1"/>
  <c r="AP60" i="11"/>
  <c r="N60" i="10" s="1"/>
  <c r="BJ60" i="11"/>
  <c r="AH60" i="10" s="1"/>
  <c r="AF60" i="11"/>
  <c r="D60" i="10" s="1"/>
  <c r="AK60" i="11"/>
  <c r="I60" i="10" s="1"/>
  <c r="AH60" i="11"/>
  <c r="F60" i="10" s="1"/>
  <c r="BH60" i="11"/>
  <c r="AF60" i="10" s="1"/>
  <c r="BH67" i="11"/>
  <c r="AF67" i="10" s="1"/>
  <c r="AQ67" i="11"/>
  <c r="O67" i="10" s="1"/>
  <c r="AL67" i="11"/>
  <c r="J67" i="10" s="1"/>
  <c r="AP67" i="11"/>
  <c r="N67" i="10" s="1"/>
  <c r="AF67" i="11"/>
  <c r="D67" i="10" s="1"/>
  <c r="AW67" i="11"/>
  <c r="U67" i="10" s="1"/>
  <c r="AZ67" i="11"/>
  <c r="X67" i="10" s="1"/>
  <c r="AG67" i="11"/>
  <c r="E67" i="10" s="1"/>
  <c r="BC67" i="11"/>
  <c r="AA67" i="10" s="1"/>
  <c r="AJ67" i="11"/>
  <c r="H67" i="10" s="1"/>
  <c r="AI67" i="11"/>
  <c r="G67" i="10" s="1"/>
  <c r="BB67" i="11"/>
  <c r="Z67" i="10" s="1"/>
  <c r="AX67" i="11"/>
  <c r="V67" i="10" s="1"/>
  <c r="AS67" i="11"/>
  <c r="Q67" i="10" s="1"/>
  <c r="AV67" i="11"/>
  <c r="T67" i="10" s="1"/>
  <c r="AY67" i="11"/>
  <c r="W67" i="10" s="1"/>
  <c r="AR67" i="11"/>
  <c r="P67" i="10" s="1"/>
  <c r="AE67" i="11"/>
  <c r="C67" i="10" s="1"/>
  <c r="BA67" i="11"/>
  <c r="Y67" i="10" s="1"/>
  <c r="AH67" i="11"/>
  <c r="F67" i="10" s="1"/>
  <c r="AT67" i="11"/>
  <c r="R67" i="10" s="1"/>
  <c r="BE67" i="11"/>
  <c r="AC67" i="10" s="1"/>
  <c r="AK67" i="11"/>
  <c r="I67" i="10" s="1"/>
  <c r="AM67" i="11"/>
  <c r="K67" i="10" s="1"/>
  <c r="BG67" i="11"/>
  <c r="AE67" i="10" s="1"/>
  <c r="BD67" i="11"/>
  <c r="AB67" i="10" s="1"/>
  <c r="AO67" i="11"/>
  <c r="M67" i="10" s="1"/>
  <c r="BI67" i="11"/>
  <c r="AG67" i="10" s="1"/>
  <c r="AD67" i="11"/>
  <c r="B67" i="10" s="1"/>
  <c r="BF67" i="11"/>
  <c r="AD67" i="10" s="1"/>
  <c r="AU67" i="11"/>
  <c r="S67" i="10" s="1"/>
  <c r="AN67" i="11"/>
  <c r="L67" i="10" s="1"/>
  <c r="BJ67" i="11"/>
  <c r="AH67" i="10" s="1"/>
  <c r="AI4" i="11"/>
  <c r="G4" i="10" s="1"/>
  <c r="BI4" i="11"/>
  <c r="AG4" i="10" s="1"/>
  <c r="AN4" i="11"/>
  <c r="L4" i="10" s="1"/>
  <c r="BJ4" i="11"/>
  <c r="AH4" i="10" s="1"/>
  <c r="AL4" i="11"/>
  <c r="J4" i="10" s="1"/>
  <c r="BH4" i="11"/>
  <c r="AF4" i="10" s="1"/>
  <c r="BE4" i="11"/>
  <c r="AC4" i="10" s="1"/>
  <c r="AT4" i="11"/>
  <c r="R4" i="10" s="1"/>
  <c r="BF4" i="11"/>
  <c r="AD4" i="10" s="1"/>
  <c r="AG4" i="11"/>
  <c r="E4" i="10" s="1"/>
  <c r="AO4" i="11"/>
  <c r="M4" i="10" s="1"/>
  <c r="AU4" i="11"/>
  <c r="S4" i="10" s="1"/>
  <c r="AV4" i="11"/>
  <c r="T4" i="10" s="1"/>
  <c r="AH4" i="11"/>
  <c r="F4" i="10" s="1"/>
  <c r="AQ4" i="11"/>
  <c r="O4" i="10" s="1"/>
  <c r="AE4" i="11"/>
  <c r="C4" i="10" s="1"/>
  <c r="AK4" i="11"/>
  <c r="I4" i="10" s="1"/>
  <c r="AY4" i="11"/>
  <c r="W4" i="10" s="1"/>
  <c r="AX4" i="11"/>
  <c r="V4" i="10" s="1"/>
  <c r="BB4" i="11"/>
  <c r="Z4" i="10" s="1"/>
  <c r="AM4" i="11"/>
  <c r="K4" i="10" s="1"/>
  <c r="AD4" i="11"/>
  <c r="B4" i="10" s="1"/>
  <c r="AR4" i="11"/>
  <c r="P4" i="10" s="1"/>
  <c r="BK4" i="11"/>
  <c r="AI4" i="10" s="1"/>
  <c r="BG4" i="11"/>
  <c r="AE4" i="10" s="1"/>
  <c r="AJ4" i="11"/>
  <c r="H4" i="10" s="1"/>
  <c r="AF4" i="11"/>
  <c r="D4" i="10" s="1"/>
  <c r="AS4" i="11"/>
  <c r="Q4" i="10" s="1"/>
  <c r="BD4" i="11"/>
  <c r="AB4" i="10" s="1"/>
  <c r="AP4" i="11"/>
  <c r="N4" i="10" s="1"/>
  <c r="BC4" i="11"/>
  <c r="AA4" i="10" s="1"/>
  <c r="AZ4" i="11"/>
  <c r="X4" i="10" s="1"/>
  <c r="BA4" i="11"/>
  <c r="Y4" i="10" s="1"/>
  <c r="AW4" i="11"/>
  <c r="U4" i="10" s="1"/>
  <c r="BI56" i="11"/>
  <c r="AG56" i="10" s="1"/>
  <c r="BF56" i="11"/>
  <c r="AD56" i="10" s="1"/>
  <c r="AV56" i="11"/>
  <c r="T56" i="10" s="1"/>
  <c r="AO56" i="11"/>
  <c r="M56" i="10" s="1"/>
  <c r="AZ56" i="11"/>
  <c r="X56" i="10" s="1"/>
  <c r="BB56" i="11"/>
  <c r="Z56" i="10" s="1"/>
  <c r="AS56" i="11"/>
  <c r="Q56" i="10" s="1"/>
  <c r="AX56" i="11"/>
  <c r="V56" i="10" s="1"/>
  <c r="AQ56" i="11"/>
  <c r="O56" i="10" s="1"/>
  <c r="AY56" i="11"/>
  <c r="W56" i="10" s="1"/>
  <c r="AU56" i="11"/>
  <c r="S56" i="10" s="1"/>
  <c r="AI56" i="11"/>
  <c r="G56" i="10" s="1"/>
  <c r="AT56" i="11"/>
  <c r="R56" i="10" s="1"/>
  <c r="BE56" i="11"/>
  <c r="AC56" i="10" s="1"/>
  <c r="BK56" i="11"/>
  <c r="AI56" i="10" s="1"/>
  <c r="AG56" i="11"/>
  <c r="E56" i="10" s="1"/>
  <c r="AW56" i="11"/>
  <c r="U56" i="10" s="1"/>
  <c r="AH56" i="11"/>
  <c r="F56" i="10" s="1"/>
  <c r="AL56" i="11"/>
  <c r="J56" i="10" s="1"/>
  <c r="AM56" i="11"/>
  <c r="K56" i="10" s="1"/>
  <c r="BD56" i="11"/>
  <c r="AB56" i="10" s="1"/>
  <c r="AN56" i="11"/>
  <c r="L56" i="10" s="1"/>
  <c r="BH56" i="11"/>
  <c r="AF56" i="10" s="1"/>
  <c r="BG56" i="11"/>
  <c r="AE56" i="10" s="1"/>
  <c r="AR56" i="11"/>
  <c r="P56" i="10" s="1"/>
  <c r="AP56" i="11"/>
  <c r="N56" i="10" s="1"/>
  <c r="AD56" i="11"/>
  <c r="B56" i="10" s="1"/>
  <c r="BC56" i="11"/>
  <c r="AA56" i="10" s="1"/>
  <c r="AK56" i="11"/>
  <c r="I56" i="10" s="1"/>
  <c r="AJ56" i="11"/>
  <c r="H56" i="10" s="1"/>
  <c r="BJ56" i="11"/>
  <c r="AH56" i="10" s="1"/>
  <c r="BA56" i="11"/>
  <c r="Y56" i="10" s="1"/>
  <c r="AE56" i="11"/>
  <c r="C56" i="10" s="1"/>
  <c r="AF56" i="11"/>
  <c r="D56" i="10" s="1"/>
  <c r="BG21" i="11"/>
  <c r="AE21" i="10" s="1"/>
  <c r="AL18" i="11"/>
  <c r="J18" i="10" s="1"/>
  <c r="AJ18" i="11"/>
  <c r="H18" i="10" s="1"/>
  <c r="AZ18" i="11"/>
  <c r="X18" i="10" s="1"/>
  <c r="AY18" i="11"/>
  <c r="W18" i="10" s="1"/>
  <c r="AT18" i="11"/>
  <c r="R18" i="10" s="1"/>
  <c r="AO18" i="11"/>
  <c r="M18" i="10" s="1"/>
  <c r="AD18" i="11"/>
  <c r="B18" i="10" s="1"/>
  <c r="BK18" i="11"/>
  <c r="AI18" i="10" s="1"/>
  <c r="BC18" i="11"/>
  <c r="AA18" i="10" s="1"/>
  <c r="BD18" i="11"/>
  <c r="AB18" i="10" s="1"/>
  <c r="BA18" i="11"/>
  <c r="Y18" i="10" s="1"/>
  <c r="AG18" i="11"/>
  <c r="E18" i="10" s="1"/>
  <c r="AF18" i="11"/>
  <c r="D18" i="10" s="1"/>
  <c r="BH18" i="11"/>
  <c r="AF18" i="10" s="1"/>
  <c r="AR18" i="11"/>
  <c r="P18" i="10" s="1"/>
  <c r="AQ18" i="11"/>
  <c r="O18" i="10" s="1"/>
  <c r="AM18" i="11"/>
  <c r="K18" i="10" s="1"/>
  <c r="AN18" i="11"/>
  <c r="L18" i="10" s="1"/>
  <c r="AI18" i="11"/>
  <c r="G18" i="10" s="1"/>
  <c r="AS18" i="11"/>
  <c r="Q18" i="10" s="1"/>
  <c r="AK18" i="11"/>
  <c r="I18" i="10" s="1"/>
  <c r="BE18" i="11"/>
  <c r="AC18" i="10" s="1"/>
  <c r="BB18" i="11"/>
  <c r="Z18" i="10" s="1"/>
  <c r="AE18" i="11"/>
  <c r="C18" i="10" s="1"/>
  <c r="AX18" i="11"/>
  <c r="V18" i="10" s="1"/>
  <c r="AW18" i="11"/>
  <c r="U18" i="10" s="1"/>
  <c r="AH18" i="11"/>
  <c r="F18" i="10" s="1"/>
  <c r="AP18" i="11"/>
  <c r="N18" i="10" s="1"/>
  <c r="BI18" i="11"/>
  <c r="AG18" i="10" s="1"/>
  <c r="BJ18" i="11"/>
  <c r="AH18" i="10" s="1"/>
  <c r="AU18" i="11"/>
  <c r="S18" i="10" s="1"/>
  <c r="AV18" i="11"/>
  <c r="T18" i="10" s="1"/>
  <c r="BF18" i="11"/>
  <c r="AD18" i="10" s="1"/>
  <c r="AZ21" i="11"/>
  <c r="X21" i="10" s="1"/>
  <c r="AM21" i="11"/>
  <c r="K21" i="10" s="1"/>
  <c r="AI21" i="11"/>
  <c r="G21" i="10" s="1"/>
  <c r="AU21" i="11"/>
  <c r="S21" i="10" s="1"/>
  <c r="BA21" i="11"/>
  <c r="Y21" i="10" s="1"/>
  <c r="BB21" i="11"/>
  <c r="Z21" i="10" s="1"/>
  <c r="BF21" i="11"/>
  <c r="AD21" i="10" s="1"/>
  <c r="BK21" i="11"/>
  <c r="AI21" i="10" s="1"/>
  <c r="AT21" i="11"/>
  <c r="R21" i="10" s="1"/>
  <c r="AE21" i="11"/>
  <c r="C21" i="10" s="1"/>
  <c r="AR21" i="11"/>
  <c r="P21" i="10" s="1"/>
  <c r="AK21" i="11"/>
  <c r="I21" i="10" s="1"/>
  <c r="AX21" i="11"/>
  <c r="V21" i="10" s="1"/>
  <c r="BD21" i="11"/>
  <c r="AB21" i="10" s="1"/>
  <c r="AN21" i="11"/>
  <c r="L21" i="10" s="1"/>
  <c r="AL21" i="11"/>
  <c r="J21" i="10" s="1"/>
  <c r="AJ21" i="11"/>
  <c r="H21" i="10" s="1"/>
  <c r="BJ21" i="11"/>
  <c r="AH21" i="10" s="1"/>
  <c r="AH21" i="11"/>
  <c r="F21" i="10" s="1"/>
  <c r="AQ21" i="11"/>
  <c r="O21" i="10" s="1"/>
  <c r="AY21" i="11"/>
  <c r="W21" i="10" s="1"/>
  <c r="AD21" i="11"/>
  <c r="B21" i="10" s="1"/>
  <c r="AS21" i="11"/>
  <c r="Q21" i="10" s="1"/>
  <c r="BC21" i="11"/>
  <c r="AA21" i="10" s="1"/>
  <c r="AO21" i="11"/>
  <c r="M21" i="10" s="1"/>
  <c r="AW21" i="11"/>
  <c r="U21" i="10" s="1"/>
  <c r="AP21" i="11"/>
  <c r="N21" i="10" s="1"/>
  <c r="BH21" i="11"/>
  <c r="AF21" i="10" s="1"/>
  <c r="AV21" i="11"/>
  <c r="T21" i="10" s="1"/>
  <c r="AF21" i="11"/>
  <c r="D21" i="10" s="1"/>
  <c r="AG21" i="11"/>
  <c r="E21" i="10" s="1"/>
  <c r="BE21" i="11"/>
  <c r="AC21" i="10" s="1"/>
  <c r="BI21" i="11"/>
  <c r="AG21" i="10" s="1"/>
  <c r="BH63" i="11"/>
  <c r="AF63" i="10" s="1"/>
  <c r="BG63" i="11"/>
  <c r="AE63" i="10" s="1"/>
  <c r="AH63" i="11"/>
  <c r="F63" i="10" s="1"/>
  <c r="AR63" i="11"/>
  <c r="P63" i="10" s="1"/>
  <c r="BK63" i="11"/>
  <c r="AI63" i="10" s="1"/>
  <c r="AT63" i="11"/>
  <c r="R63" i="10" s="1"/>
  <c r="AU63" i="11"/>
  <c r="S63" i="10" s="1"/>
  <c r="AJ63" i="11"/>
  <c r="H63" i="10" s="1"/>
  <c r="AP63" i="11"/>
  <c r="N63" i="10" s="1"/>
  <c r="BJ63" i="11"/>
  <c r="AH63" i="10" s="1"/>
  <c r="BB63" i="11"/>
  <c r="Z63" i="10" s="1"/>
  <c r="AF63" i="11"/>
  <c r="D63" i="10" s="1"/>
  <c r="AL63" i="11"/>
  <c r="J63" i="10" s="1"/>
  <c r="AW63" i="11"/>
  <c r="U63" i="10" s="1"/>
  <c r="AM63" i="11"/>
  <c r="K63" i="10" s="1"/>
  <c r="BA63" i="11"/>
  <c r="Y63" i="10" s="1"/>
  <c r="AN63" i="11"/>
  <c r="L63" i="10" s="1"/>
  <c r="BF63" i="11"/>
  <c r="AD63" i="10" s="1"/>
  <c r="AD63" i="11"/>
  <c r="B63" i="10" s="1"/>
  <c r="AG63" i="11"/>
  <c r="E63" i="10" s="1"/>
  <c r="BE63" i="11"/>
  <c r="AC63" i="10" s="1"/>
  <c r="AO63" i="11"/>
  <c r="M63" i="10" s="1"/>
  <c r="AE63" i="11"/>
  <c r="C63" i="10" s="1"/>
  <c r="BC63" i="11"/>
  <c r="AA63" i="10" s="1"/>
  <c r="AS63" i="11"/>
  <c r="Q63" i="10" s="1"/>
  <c r="AX63" i="11"/>
  <c r="V63" i="10" s="1"/>
  <c r="AQ63" i="11"/>
  <c r="O63" i="10" s="1"/>
  <c r="AY63" i="11"/>
  <c r="W63" i="10" s="1"/>
  <c r="AZ63" i="11"/>
  <c r="X63" i="10" s="1"/>
  <c r="AV63" i="11"/>
  <c r="T63" i="10" s="1"/>
  <c r="AI63" i="11"/>
  <c r="G63" i="10" s="1"/>
  <c r="BI63" i="11"/>
  <c r="AG63" i="10" s="1"/>
  <c r="BD63" i="11"/>
  <c r="AB63" i="10" s="1"/>
  <c r="AK63" i="11"/>
  <c r="I63" i="10" s="1"/>
  <c r="BF7" i="11"/>
  <c r="AD7" i="10" s="1"/>
  <c r="AG7" i="11"/>
  <c r="E7" i="10" s="1"/>
  <c r="AV7" i="11"/>
  <c r="T7" i="10" s="1"/>
  <c r="BK7" i="11"/>
  <c r="AI7" i="10" s="1"/>
  <c r="AM7" i="11"/>
  <c r="K7" i="10" s="1"/>
  <c r="AW7" i="11"/>
  <c r="U7" i="10" s="1"/>
  <c r="AO7" i="11"/>
  <c r="M7" i="10" s="1"/>
  <c r="AL7" i="11"/>
  <c r="J7" i="10" s="1"/>
  <c r="AE7" i="11"/>
  <c r="C7" i="10" s="1"/>
  <c r="BE7" i="11"/>
  <c r="AC7" i="10" s="1"/>
  <c r="BJ7" i="11"/>
  <c r="AH7" i="10" s="1"/>
  <c r="AK7" i="11"/>
  <c r="I7" i="10" s="1"/>
  <c r="AS7" i="11"/>
  <c r="Q7" i="10" s="1"/>
  <c r="BC7" i="11"/>
  <c r="AA7" i="10" s="1"/>
  <c r="AP7" i="11"/>
  <c r="N7" i="10" s="1"/>
  <c r="BI7" i="11"/>
  <c r="AG7" i="10" s="1"/>
  <c r="AN7" i="11"/>
  <c r="L7" i="10" s="1"/>
  <c r="AQ7" i="11"/>
  <c r="O7" i="10" s="1"/>
  <c r="AX7" i="11"/>
  <c r="V7" i="10" s="1"/>
  <c r="AY7" i="11"/>
  <c r="W7" i="10" s="1"/>
  <c r="BA7" i="11"/>
  <c r="Y7" i="10" s="1"/>
  <c r="BD7" i="11"/>
  <c r="AB7" i="10" s="1"/>
  <c r="AF7" i="11"/>
  <c r="D7" i="10" s="1"/>
  <c r="BB7" i="11"/>
  <c r="Z7" i="10" s="1"/>
  <c r="AR7" i="11"/>
  <c r="P7" i="10" s="1"/>
  <c r="AI7" i="11"/>
  <c r="G7" i="10" s="1"/>
  <c r="BH7" i="11"/>
  <c r="AF7" i="10" s="1"/>
  <c r="AU7" i="11"/>
  <c r="S7" i="10" s="1"/>
  <c r="BG7" i="11"/>
  <c r="AE7" i="10" s="1"/>
  <c r="AT7" i="11"/>
  <c r="R7" i="10" s="1"/>
  <c r="AJ7" i="11"/>
  <c r="H7" i="10" s="1"/>
  <c r="AZ7" i="11"/>
  <c r="X7" i="10" s="1"/>
  <c r="AD7" i="11"/>
  <c r="B7" i="10" s="1"/>
  <c r="AH7" i="11"/>
  <c r="F7" i="10" s="1"/>
  <c r="AE28" i="11"/>
  <c r="C28" i="10" s="1"/>
  <c r="BE28" i="11"/>
  <c r="AC28" i="10" s="1"/>
  <c r="BC28" i="11"/>
  <c r="AA28" i="10" s="1"/>
  <c r="AH28" i="11"/>
  <c r="F28" i="10" s="1"/>
  <c r="AS28" i="11"/>
  <c r="Q28" i="10" s="1"/>
  <c r="AK28" i="11"/>
  <c r="I28" i="10" s="1"/>
  <c r="AR28" i="11"/>
  <c r="P28" i="10" s="1"/>
  <c r="AZ28" i="11"/>
  <c r="X28" i="10" s="1"/>
  <c r="BI28" i="11"/>
  <c r="AG28" i="10" s="1"/>
  <c r="BJ28" i="11"/>
  <c r="AH28" i="10" s="1"/>
  <c r="BA28" i="11"/>
  <c r="Y28" i="10" s="1"/>
  <c r="AO28" i="11"/>
  <c r="M28" i="10" s="1"/>
  <c r="AY28" i="11"/>
  <c r="W28" i="10" s="1"/>
  <c r="BF28" i="11"/>
  <c r="AD28" i="10" s="1"/>
  <c r="BD28" i="11"/>
  <c r="AB28" i="10" s="1"/>
  <c r="AP28" i="11"/>
  <c r="N28" i="10" s="1"/>
  <c r="BG80" i="11"/>
  <c r="AE80" i="10" s="1"/>
  <c r="BD80" i="11"/>
  <c r="AB80" i="10" s="1"/>
  <c r="BE53" i="11"/>
  <c r="AC53" i="10" s="1"/>
  <c r="AE35" i="11"/>
  <c r="C35" i="10" s="1"/>
  <c r="BD35" i="11"/>
  <c r="AB35" i="10" s="1"/>
  <c r="AU35" i="11"/>
  <c r="S35" i="10" s="1"/>
  <c r="AX35" i="11"/>
  <c r="V35" i="10" s="1"/>
  <c r="AM35" i="11"/>
  <c r="K35" i="10" s="1"/>
  <c r="AI35" i="11"/>
  <c r="G35" i="10" s="1"/>
  <c r="BJ35" i="11"/>
  <c r="AH35" i="10" s="1"/>
  <c r="AS35" i="11"/>
  <c r="Q35" i="10" s="1"/>
  <c r="AT35" i="11"/>
  <c r="R35" i="10" s="1"/>
  <c r="AL35" i="11"/>
  <c r="J35" i="10" s="1"/>
  <c r="AO35" i="11"/>
  <c r="M35" i="10" s="1"/>
  <c r="BB35" i="11"/>
  <c r="Z35" i="10" s="1"/>
  <c r="AN35" i="11"/>
  <c r="L35" i="10" s="1"/>
  <c r="AY35" i="11"/>
  <c r="W35" i="10" s="1"/>
  <c r="AQ35" i="11"/>
  <c r="O35" i="10" s="1"/>
  <c r="AJ35" i="11"/>
  <c r="H35" i="10" s="1"/>
  <c r="AR35" i="11"/>
  <c r="P35" i="10" s="1"/>
  <c r="AV35" i="11"/>
  <c r="T35" i="10" s="1"/>
  <c r="AH35" i="11"/>
  <c r="F35" i="10" s="1"/>
  <c r="AD35" i="11"/>
  <c r="B35" i="10" s="1"/>
  <c r="BK35" i="11"/>
  <c r="AI35" i="10" s="1"/>
  <c r="AP35" i="11"/>
  <c r="N35" i="10" s="1"/>
  <c r="BH35" i="11"/>
  <c r="AF35" i="10" s="1"/>
  <c r="BE35" i="11"/>
  <c r="AC35" i="10" s="1"/>
  <c r="AW35" i="11"/>
  <c r="U35" i="10" s="1"/>
  <c r="AG35" i="11"/>
  <c r="E35" i="10" s="1"/>
  <c r="BC35" i="11"/>
  <c r="AA35" i="10" s="1"/>
  <c r="BA35" i="11"/>
  <c r="Y35" i="10" s="1"/>
  <c r="BI35" i="11"/>
  <c r="AG35" i="10" s="1"/>
  <c r="AK35" i="11"/>
  <c r="I35" i="10" s="1"/>
  <c r="AZ35" i="11"/>
  <c r="X35" i="10" s="1"/>
  <c r="BG35" i="11"/>
  <c r="AE35" i="10" s="1"/>
  <c r="AF35" i="11"/>
  <c r="D35" i="10" s="1"/>
  <c r="BF35" i="11"/>
  <c r="AD35" i="10" s="1"/>
  <c r="AP53" i="11"/>
  <c r="N53" i="10" s="1"/>
  <c r="AK53" i="11"/>
  <c r="I53" i="10" s="1"/>
  <c r="AL53" i="11"/>
  <c r="J53" i="10" s="1"/>
  <c r="AT53" i="11"/>
  <c r="R53" i="10" s="1"/>
  <c r="AV53" i="11"/>
  <c r="T53" i="10" s="1"/>
  <c r="AG53" i="11"/>
  <c r="E53" i="10" s="1"/>
  <c r="BH53" i="11"/>
  <c r="AF53" i="10" s="1"/>
  <c r="AS53" i="11"/>
  <c r="Q53" i="10" s="1"/>
  <c r="BG53" i="11"/>
  <c r="AE53" i="10" s="1"/>
  <c r="AI53" i="11"/>
  <c r="G53" i="10" s="1"/>
  <c r="AJ53" i="11"/>
  <c r="H53" i="10" s="1"/>
  <c r="BC53" i="11"/>
  <c r="AA53" i="10" s="1"/>
  <c r="AF53" i="11"/>
  <c r="D53" i="10" s="1"/>
  <c r="BB53" i="11"/>
  <c r="Z53" i="10" s="1"/>
  <c r="BJ53" i="11"/>
  <c r="AH53" i="10" s="1"/>
  <c r="BD53" i="11"/>
  <c r="AB53" i="10" s="1"/>
  <c r="BK53" i="11"/>
  <c r="AI53" i="10" s="1"/>
  <c r="AR53" i="11"/>
  <c r="P53" i="10" s="1"/>
  <c r="AW53" i="11"/>
  <c r="U53" i="10" s="1"/>
  <c r="AH53" i="11"/>
  <c r="F53" i="10" s="1"/>
  <c r="AO53" i="11"/>
  <c r="M53" i="10" s="1"/>
  <c r="BA53" i="11"/>
  <c r="Y53" i="10" s="1"/>
  <c r="AM53" i="11"/>
  <c r="K53" i="10" s="1"/>
  <c r="AQ53" i="11"/>
  <c r="O53" i="10" s="1"/>
  <c r="AD53" i="11"/>
  <c r="B53" i="10" s="1"/>
  <c r="AX53" i="11"/>
  <c r="V53" i="10" s="1"/>
  <c r="AY53" i="11"/>
  <c r="W53" i="10" s="1"/>
  <c r="AU53" i="11"/>
  <c r="S53" i="10" s="1"/>
  <c r="AZ53" i="11"/>
  <c r="X53" i="10" s="1"/>
  <c r="AN53" i="11"/>
  <c r="L53" i="10" s="1"/>
  <c r="AE53" i="11"/>
  <c r="C53" i="10" s="1"/>
  <c r="BF53" i="11"/>
  <c r="AD53" i="10" s="1"/>
  <c r="AR32" i="11"/>
  <c r="P32" i="10" s="1"/>
  <c r="BC32" i="11"/>
  <c r="AA32" i="10" s="1"/>
  <c r="AE32" i="11"/>
  <c r="C32" i="10" s="1"/>
  <c r="BG32" i="11"/>
  <c r="AE32" i="10" s="1"/>
  <c r="AS32" i="11"/>
  <c r="Q32" i="10" s="1"/>
  <c r="AL32" i="11"/>
  <c r="J32" i="10" s="1"/>
  <c r="AU32" i="11"/>
  <c r="S32" i="10" s="1"/>
  <c r="BK32" i="11"/>
  <c r="AI32" i="10" s="1"/>
  <c r="AZ32" i="11"/>
  <c r="X32" i="10" s="1"/>
  <c r="AO32" i="11"/>
  <c r="M32" i="10" s="1"/>
  <c r="BI32" i="11"/>
  <c r="AG32" i="10" s="1"/>
  <c r="BF32" i="11"/>
  <c r="AD32" i="10" s="1"/>
  <c r="AN32" i="11"/>
  <c r="L32" i="10" s="1"/>
  <c r="AI32" i="11"/>
  <c r="G32" i="10" s="1"/>
  <c r="BJ32" i="11"/>
  <c r="AH32" i="10" s="1"/>
  <c r="AG32" i="11"/>
  <c r="E32" i="10" s="1"/>
  <c r="BB32" i="11"/>
  <c r="Z32" i="10" s="1"/>
  <c r="AJ32" i="11"/>
  <c r="H32" i="10" s="1"/>
  <c r="AV32" i="11"/>
  <c r="T32" i="10" s="1"/>
  <c r="BD32" i="11"/>
  <c r="AB32" i="10" s="1"/>
  <c r="AK32" i="11"/>
  <c r="I32" i="10" s="1"/>
  <c r="AW32" i="11"/>
  <c r="U32" i="10" s="1"/>
  <c r="BA32" i="11"/>
  <c r="Y32" i="10" s="1"/>
  <c r="AQ32" i="11"/>
  <c r="O32" i="10" s="1"/>
  <c r="AY32" i="11"/>
  <c r="W32" i="10" s="1"/>
  <c r="AM32" i="11"/>
  <c r="K32" i="10" s="1"/>
  <c r="AD32" i="11"/>
  <c r="B32" i="10" s="1"/>
  <c r="AX32" i="11"/>
  <c r="V32" i="10" s="1"/>
  <c r="AF32" i="11"/>
  <c r="D32" i="10" s="1"/>
  <c r="AT32" i="11"/>
  <c r="R32" i="10" s="1"/>
  <c r="BH32" i="11"/>
  <c r="AF32" i="10" s="1"/>
  <c r="AH32" i="11"/>
  <c r="F32" i="10" s="1"/>
  <c r="BE32" i="11"/>
  <c r="AC32" i="10" s="1"/>
  <c r="AP32" i="11"/>
  <c r="N32" i="10" s="1"/>
</calcChain>
</file>

<file path=xl/sharedStrings.xml><?xml version="1.0" encoding="utf-8"?>
<sst xmlns="http://schemas.openxmlformats.org/spreadsheetml/2006/main" count="1950" uniqueCount="785">
  <si>
    <t xml:space="preserve"> </t>
  </si>
  <si>
    <t>CLASS-&gt;</t>
  </si>
  <si>
    <t>DAY</t>
  </si>
  <si>
    <t>TIME-</t>
  </si>
  <si>
    <t>EA105</t>
  </si>
  <si>
    <t>EB007</t>
  </si>
  <si>
    <t>EB105</t>
  </si>
  <si>
    <t xml:space="preserve">T U E S D A Y </t>
  </si>
  <si>
    <t>W E D N E S D A Y</t>
  </si>
  <si>
    <t>T H U R S D A Y</t>
  </si>
  <si>
    <t xml:space="preserve">S A T U R D A Y </t>
  </si>
  <si>
    <t>MONDAY</t>
  </si>
  <si>
    <t>FRIDAY</t>
  </si>
  <si>
    <t>EA107</t>
  </si>
  <si>
    <t>EB107</t>
  </si>
  <si>
    <t>EB104</t>
  </si>
  <si>
    <t>EB110</t>
  </si>
  <si>
    <t>MA209</t>
  </si>
  <si>
    <t>MA111</t>
  </si>
  <si>
    <t>EA015</t>
  </si>
  <si>
    <t>EA108</t>
  </si>
  <si>
    <t>EA009/10</t>
  </si>
  <si>
    <t>DO3</t>
  </si>
  <si>
    <t>MA212</t>
  </si>
  <si>
    <t>EA012</t>
  </si>
  <si>
    <t>EA005</t>
  </si>
  <si>
    <t>EB013</t>
  </si>
  <si>
    <t>EB006</t>
  </si>
  <si>
    <t>EA006</t>
  </si>
  <si>
    <t>EA104</t>
  </si>
  <si>
    <t>MZ01</t>
  </si>
  <si>
    <t>EL. POWER LAB</t>
  </si>
  <si>
    <t>EL. MACH. LAB</t>
  </si>
  <si>
    <t>EL. PRINC. LAB</t>
  </si>
  <si>
    <t>DAT. COM. LAB</t>
  </si>
  <si>
    <t>EL. POWER W/SH.</t>
  </si>
  <si>
    <t>COMP. LAB</t>
  </si>
  <si>
    <t>MICRO. P. LAB</t>
  </si>
  <si>
    <t>ELECTR. LAB</t>
  </si>
  <si>
    <t>CLASSROOM 2</t>
  </si>
  <si>
    <t>CLASSROOM 1</t>
  </si>
  <si>
    <t>LECTURE HALL 1</t>
  </si>
  <si>
    <t>CLASSROOM 3</t>
  </si>
  <si>
    <t>CLASSROOM 4</t>
  </si>
  <si>
    <t>LECTURE HALL 2</t>
  </si>
  <si>
    <t>CLASSROOM 5</t>
  </si>
  <si>
    <t>EB109</t>
  </si>
  <si>
    <t>CLASSROOM 6</t>
  </si>
  <si>
    <t>LECTURE HALL 3</t>
  </si>
  <si>
    <t>CONTROL LAB</t>
  </si>
  <si>
    <t>TELECOM. LAB</t>
  </si>
  <si>
    <t>ELTRO. W/SH.</t>
  </si>
  <si>
    <t>MECH. DRA. R.</t>
  </si>
  <si>
    <t>RM2</t>
  </si>
  <si>
    <t>BUILD. DR. R.</t>
  </si>
  <si>
    <t>MAZRUI H. 1</t>
  </si>
  <si>
    <t>MAZRUI H. 2</t>
  </si>
  <si>
    <t>RM3</t>
  </si>
  <si>
    <t>BUILD. R. 3</t>
  </si>
  <si>
    <t>MZ 02</t>
  </si>
  <si>
    <t>MOMBASA POLYTECHNIC UNIVERSITY COLLEGE</t>
  </si>
  <si>
    <t>FACULTY OF ENGINEERING AND TECHNOLOGY</t>
  </si>
  <si>
    <t>DEPARTMENT OF ELECTRICAL AND ELECTRONIC ENGINEERING</t>
  </si>
  <si>
    <t>(Constituent College iof JKUAT)</t>
  </si>
  <si>
    <t>SECOND SEMESTER-SEPT - DEC 2012 ROOM ALLOCATION CHART</t>
  </si>
  <si>
    <t>AUMA</t>
  </si>
  <si>
    <t>CHARO E.</t>
  </si>
  <si>
    <t>MUTUNGI</t>
  </si>
  <si>
    <t>SWALAHA</t>
  </si>
  <si>
    <t>EEE2204</t>
  </si>
  <si>
    <t>EEE2202</t>
  </si>
  <si>
    <t>EEE2205</t>
  </si>
  <si>
    <t>EEP2201</t>
  </si>
  <si>
    <t>EEP2206</t>
  </si>
  <si>
    <t>EME2230</t>
  </si>
  <si>
    <t>CEPE2</t>
  </si>
  <si>
    <t>DO1</t>
  </si>
  <si>
    <t>EEE2206</t>
  </si>
  <si>
    <t>AMA2251</t>
  </si>
  <si>
    <t>ECI2205</t>
  </si>
  <si>
    <t>EEE2201</t>
  </si>
  <si>
    <t>SHITSUKANE</t>
  </si>
  <si>
    <t>AMA2250</t>
  </si>
  <si>
    <t>MECH LAB</t>
  </si>
  <si>
    <t>FET207</t>
  </si>
  <si>
    <t>FET205</t>
  </si>
  <si>
    <t>FET203</t>
  </si>
  <si>
    <t>FET210</t>
  </si>
  <si>
    <t>DEPE5</t>
  </si>
  <si>
    <t>BSC5A</t>
  </si>
  <si>
    <t>OTENGO</t>
  </si>
  <si>
    <t>BEN2201</t>
  </si>
  <si>
    <t>FET316</t>
  </si>
  <si>
    <t>FET209</t>
  </si>
  <si>
    <t>DEEE1</t>
  </si>
  <si>
    <t>KAHINDI</t>
  </si>
  <si>
    <t>BSC6A</t>
  </si>
  <si>
    <t>BSC3</t>
  </si>
  <si>
    <t>BSC1</t>
  </si>
  <si>
    <t>CEPE1</t>
  </si>
  <si>
    <t>DICE4</t>
  </si>
  <si>
    <t>DICE6</t>
  </si>
  <si>
    <t>ECI2304</t>
  </si>
  <si>
    <t>BEN2202</t>
  </si>
  <si>
    <t>WASAI</t>
  </si>
  <si>
    <t>ECI2204</t>
  </si>
  <si>
    <t>ECI2303</t>
  </si>
  <si>
    <t>WALALA</t>
  </si>
  <si>
    <t>MECH.W/S</t>
  </si>
  <si>
    <t>CHIDUDE/SWALAHA</t>
  </si>
  <si>
    <t>BSC9(H)</t>
  </si>
  <si>
    <t>BSC9(L)</t>
  </si>
  <si>
    <t>BSC9E(H)</t>
  </si>
  <si>
    <t>SUN D A Y</t>
  </si>
  <si>
    <t>KANYANGO/OTENGO</t>
  </si>
  <si>
    <t>NJOROGE F.</t>
  </si>
  <si>
    <t>ECI2201</t>
  </si>
  <si>
    <t>MUTUNGI/MRABU</t>
  </si>
  <si>
    <t>SUNDAY</t>
  </si>
  <si>
    <t>KAMANZA</t>
  </si>
  <si>
    <t>ECI 2203</t>
  </si>
  <si>
    <t>WASAI/ESAU</t>
  </si>
  <si>
    <t>CHARO E./MRABU</t>
  </si>
  <si>
    <t>UNGAI</t>
  </si>
  <si>
    <t>CHARO E./CHIDUDE</t>
  </si>
  <si>
    <t>ESAU/WASAI</t>
  </si>
  <si>
    <t>KINGOO/CHARO E.</t>
  </si>
  <si>
    <t>KAMANZA/MWANGANGI</t>
  </si>
  <si>
    <t>CHIDUDE/UNGAI</t>
  </si>
  <si>
    <t>TUESDAY</t>
  </si>
  <si>
    <t>WEDNESDAY</t>
  </si>
  <si>
    <t>THURSDAY</t>
  </si>
  <si>
    <t>SATURDAY</t>
  </si>
  <si>
    <t>DIPLOMA IN TECHNOLOGY ELECTRICAL AND ELECTRONIC ENGINEERING
BASE TITANIUM GROUP
YEAR TWO SEMESTER 1 UNITS   DATES: 7TH September -30TH October 2015</t>
  </si>
  <si>
    <t>DIPLOMA IN TECHNOLOGY ELECTRICAL AND ELECTRONIC ENGINEERING
BASE TITANIUM GROUP
YEAR TWO SEMESTER 2 UNITS    DATES: 2ND November -25TH December 2015</t>
  </si>
  <si>
    <t>DTIE6</t>
  </si>
  <si>
    <t>FET208</t>
  </si>
  <si>
    <t>MARINE</t>
  </si>
  <si>
    <t>BSC7(H)</t>
  </si>
  <si>
    <t>BSC7(L)</t>
  </si>
  <si>
    <t>BSC7E(H)</t>
  </si>
  <si>
    <t>BSC 9E{L}</t>
  </si>
  <si>
    <t xml:space="preserve">SUNDAY </t>
  </si>
  <si>
    <t>MUTAVA</t>
  </si>
  <si>
    <t>BSC8(H)</t>
  </si>
  <si>
    <t>BSC8(L)</t>
  </si>
  <si>
    <t>DICE6(BT)</t>
  </si>
  <si>
    <t>DICE5(BT)</t>
  </si>
  <si>
    <t>DEPE4</t>
  </si>
  <si>
    <t>C/HALL</t>
  </si>
  <si>
    <t>DEEE2</t>
  </si>
  <si>
    <t>BTEC1</t>
  </si>
  <si>
    <t>CEEE/SEP2016/S-FT</t>
  </si>
  <si>
    <t>CEEE/MAY2016/S-FT</t>
  </si>
  <si>
    <t>DTEE/SEP2016/J+S-FT</t>
  </si>
  <si>
    <t>DTEE/MAY2016/S-FT</t>
  </si>
  <si>
    <t>DTEE/SEP2015/S-FT(DICE)</t>
  </si>
  <si>
    <t>DTEE/SEP2015/S-FT(DEPE)</t>
  </si>
  <si>
    <t>DTEE/JAN2015/S-FT</t>
  </si>
  <si>
    <t>DTEE/SEP2014/S-BT1</t>
  </si>
  <si>
    <t>DTEE/SEP2014/S-BT(2)</t>
  </si>
  <si>
    <t>DTEE/SEP2014/S-FT(DICE)</t>
  </si>
  <si>
    <t>DTEE/SEP2014/S-FT(DTIE)</t>
  </si>
  <si>
    <t>BTEC/SEP2016/J+S-FT</t>
  </si>
  <si>
    <t>BSEE/SEP2016/J+S-FT</t>
  </si>
  <si>
    <t>BSEE/SEP2015/J+S-FT</t>
  </si>
  <si>
    <t>BSEE/SEP2014/J+S-FT</t>
  </si>
  <si>
    <t>BSEE/MAY2014/S-FT</t>
  </si>
  <si>
    <t>BSEE/SEP2014/S-PT</t>
  </si>
  <si>
    <t>BSEE/SEP2013/J+S-FT</t>
  </si>
  <si>
    <t>BSEE/MAY2014/S-PT</t>
  </si>
  <si>
    <t>BSC8E(H)</t>
  </si>
  <si>
    <t>S(E)EE/SEP2012/J+S-FT/BSEE/MAY2013/S-FT</t>
  </si>
  <si>
    <t>BSEE/MAY2013/S-EV(L)</t>
  </si>
  <si>
    <t>BE(S)EE/JAN2012/J+S-FT/BSEE/MAY2012/S-FT</t>
  </si>
  <si>
    <t>PHYSICS LAB</t>
  </si>
  <si>
    <t>CHEMISTRY LAB</t>
  </si>
  <si>
    <t>MEDICAL REF AIR COND. LAB</t>
  </si>
  <si>
    <t>MECHANICAL W/SHOP</t>
  </si>
  <si>
    <t>MEDICAL</t>
  </si>
  <si>
    <t>M   O   N   D   A   Y         M   O   N   D   A   Y      M   O   N   D   A   Y</t>
  </si>
  <si>
    <t>T  U  E  S  D  A  Y        T  U  E  S  D  A  Y     T  U  E  S  D  A  Y</t>
  </si>
  <si>
    <t>W  E  D  N E  S  D  A  Y        W  E  D  N  E  S  D  A  Y     W  E  D  N  E  S  D  A  Y</t>
  </si>
  <si>
    <t>T  H  U  R  S  D  A  Y        T  H  U  R  S  D  A  Y     T  H  U  R  S  D  A  Y</t>
  </si>
  <si>
    <t>F  R  I  D  A  Y         F  R  I  D  A  Y      F  R  I  D  A  Y</t>
  </si>
  <si>
    <t>S  A  T  U  R  D  A  Y         S  A  T  U  R  D  A  Y      S  A  T  U  R  D  A  Y</t>
  </si>
  <si>
    <t>S  U  N  D  A  Y         S  U  N  D  A  Y      S  U  N  D  A  Y</t>
  </si>
  <si>
    <t>BENSON</t>
  </si>
  <si>
    <t>MANGENI</t>
  </si>
  <si>
    <t>MULEWA</t>
  </si>
  <si>
    <t>MAITHA</t>
  </si>
  <si>
    <t>CLASS</t>
  </si>
  <si>
    <t>SIMULATION</t>
  </si>
  <si>
    <t>CH</t>
  </si>
  <si>
    <t>5.00PM</t>
  </si>
  <si>
    <t>8.00PM</t>
  </si>
  <si>
    <t>1.00PM</t>
  </si>
  <si>
    <t>2.00PM</t>
  </si>
  <si>
    <t>7.00AM</t>
  </si>
  <si>
    <t>10.00AM</t>
  </si>
  <si>
    <t>5,00PM</t>
  </si>
  <si>
    <t>7,00AM</t>
  </si>
  <si>
    <t>BTME 05</t>
  </si>
  <si>
    <t>BTME 03</t>
  </si>
  <si>
    <t>DMAE 3</t>
  </si>
  <si>
    <t>Y1S1  (40)</t>
  </si>
  <si>
    <t>FLUIDS I</t>
  </si>
  <si>
    <t>ELEC LAB</t>
  </si>
  <si>
    <t>MUTIE</t>
  </si>
  <si>
    <t>MATERIALS</t>
  </si>
  <si>
    <t>FET107</t>
  </si>
  <si>
    <t>SWALAH</t>
  </si>
  <si>
    <t>MACHINES I</t>
  </si>
  <si>
    <t>MANGENI/SUDI</t>
  </si>
  <si>
    <t>PL/LAB</t>
  </si>
  <si>
    <t>LAB</t>
  </si>
  <si>
    <t>FL/LAB</t>
  </si>
  <si>
    <t>AMA 4209</t>
  </si>
  <si>
    <t>CALCULUS III</t>
  </si>
  <si>
    <t>EMC 4211</t>
  </si>
  <si>
    <t>WORKSHOP/TECH</t>
  </si>
  <si>
    <t>FET108</t>
  </si>
  <si>
    <t>EMC 4213</t>
  </si>
  <si>
    <t>PRODUCTION TECHN.</t>
  </si>
  <si>
    <t>AMA 4203</t>
  </si>
  <si>
    <t>STATISTICS</t>
  </si>
  <si>
    <t>EIT 4102</t>
  </si>
  <si>
    <t>COMP PROGRAMMING</t>
  </si>
  <si>
    <t>EMC 4212</t>
  </si>
  <si>
    <t>HEALTH &amp; SAFETY</t>
  </si>
  <si>
    <t>EMC 4214</t>
  </si>
  <si>
    <t>PROFESSIONAL ETHICS</t>
  </si>
  <si>
    <t>PROF KANYUA</t>
  </si>
  <si>
    <t>AMA 4103</t>
  </si>
  <si>
    <t>CHEM LAB</t>
  </si>
  <si>
    <t>TMC 4313</t>
  </si>
  <si>
    <t>MACHINES III</t>
  </si>
  <si>
    <t>TMC 4311</t>
  </si>
  <si>
    <t>METROLOGY</t>
  </si>
  <si>
    <t>TMC 4317</t>
  </si>
  <si>
    <t>PROFESSIONAL ETHIC</t>
  </si>
  <si>
    <t>TMC 4312</t>
  </si>
  <si>
    <t>DESIGN I</t>
  </si>
  <si>
    <t>TEE 4315</t>
  </si>
  <si>
    <t>DIGITAL ELETRONIC</t>
  </si>
  <si>
    <t>TMC 4316</t>
  </si>
  <si>
    <t>SAFETY&amp; RISK TECHN.</t>
  </si>
  <si>
    <t>TMC 4315</t>
  </si>
  <si>
    <t>THERMODYNAMIC II</t>
  </si>
  <si>
    <t>AHMED</t>
  </si>
  <si>
    <t>TMC 4211</t>
  </si>
  <si>
    <t>COMP PROGRAMMM</t>
  </si>
  <si>
    <t>TMC 4214</t>
  </si>
  <si>
    <t>TMC 4213</t>
  </si>
  <si>
    <t>TMC 4212</t>
  </si>
  <si>
    <t>TCV 4215</t>
  </si>
  <si>
    <t>SOLIDS &amp;STRUCT</t>
  </si>
  <si>
    <t>AMA 4105</t>
  </si>
  <si>
    <t>CALCULUS II</t>
  </si>
  <si>
    <t>AMA 4250</t>
  </si>
  <si>
    <t>TEE 1221</t>
  </si>
  <si>
    <t>ELECTRICAL TECHN.</t>
  </si>
  <si>
    <t>FET 109</t>
  </si>
  <si>
    <t>TMC 4215</t>
  </si>
  <si>
    <t>W/SHOP TECH</t>
  </si>
  <si>
    <t>ELEC LAB.</t>
  </si>
  <si>
    <t>DRAWING</t>
  </si>
  <si>
    <t>W/SHOP</t>
  </si>
  <si>
    <t>SC/LAB</t>
  </si>
  <si>
    <t>HARRIET</t>
  </si>
  <si>
    <t>KEPHA</t>
  </si>
  <si>
    <t>MARINE ENG. KNOWLE</t>
  </si>
  <si>
    <t>MB 08</t>
  </si>
  <si>
    <t>MASEKI</t>
  </si>
  <si>
    <t>NYADERO</t>
  </si>
  <si>
    <t>EMR 2110</t>
  </si>
  <si>
    <t>MARINE COMM SKILLS</t>
  </si>
  <si>
    <t>LUIS</t>
  </si>
  <si>
    <t>EME 2104</t>
  </si>
  <si>
    <t>MATERIAL SCIENCE</t>
  </si>
  <si>
    <t>ENG MATH II</t>
  </si>
  <si>
    <t>ABIERO</t>
  </si>
  <si>
    <t>EME 2108</t>
  </si>
  <si>
    <t>ENG DRAWING II</t>
  </si>
  <si>
    <t>EME 2106</t>
  </si>
  <si>
    <t>MECHANICAL SCIENCE II</t>
  </si>
  <si>
    <t>EAU 2101</t>
  </si>
  <si>
    <t>MOTOR VEHICLE THEORY</t>
  </si>
  <si>
    <t>OYUGI</t>
  </si>
  <si>
    <t>EEP 2150</t>
  </si>
  <si>
    <t>ELECTRICAL SCIENCE</t>
  </si>
  <si>
    <t>EME 2103</t>
  </si>
  <si>
    <t>W/SHOP PRACTICE II</t>
  </si>
  <si>
    <t>MECH SCIENCE II</t>
  </si>
  <si>
    <t>SC/LAB.</t>
  </si>
  <si>
    <t>EPL 2101</t>
  </si>
  <si>
    <t>MECH PLANT THEORY</t>
  </si>
  <si>
    <t>AYAGA</t>
  </si>
  <si>
    <t>THERMODYNAMICS I</t>
  </si>
  <si>
    <t>MAKONDE</t>
  </si>
  <si>
    <t>NJERU</t>
  </si>
  <si>
    <t>EMR  2207</t>
  </si>
  <si>
    <t>THERMOFLUIDS</t>
  </si>
  <si>
    <t>EMR 2203</t>
  </si>
  <si>
    <t>EMR 2208</t>
  </si>
  <si>
    <t>BUSINESS PLAN</t>
  </si>
  <si>
    <t>EMR 2209</t>
  </si>
  <si>
    <t>APPLIED MECH I</t>
  </si>
  <si>
    <t>GATHUA</t>
  </si>
  <si>
    <t>EMR 2221</t>
  </si>
  <si>
    <t>MARINE ELECT III</t>
  </si>
  <si>
    <t>EMR 2223</t>
  </si>
  <si>
    <t>RESEARCH METHODS</t>
  </si>
  <si>
    <t>EMR 2201</t>
  </si>
  <si>
    <t>ENG MATH III</t>
  </si>
  <si>
    <t>EMR 2222</t>
  </si>
  <si>
    <t>SHP STABILITY</t>
  </si>
  <si>
    <t>BEN 2201</t>
  </si>
  <si>
    <t>ENT.  EDUC</t>
  </si>
  <si>
    <t>EME 2203</t>
  </si>
  <si>
    <t>SOLID &amp; STRUCT I</t>
  </si>
  <si>
    <t>AMA 2250</t>
  </si>
  <si>
    <t>EEE 2250</t>
  </si>
  <si>
    <t>ELECTRONICS</t>
  </si>
  <si>
    <t>EME 2201</t>
  </si>
  <si>
    <t>MV LAB</t>
  </si>
  <si>
    <t>EAU 2202</t>
  </si>
  <si>
    <t>ENGINE TECHN</t>
  </si>
  <si>
    <t>EPL2202</t>
  </si>
  <si>
    <t>EME 2204</t>
  </si>
  <si>
    <t>C.A.D</t>
  </si>
  <si>
    <t>EPL 2201</t>
  </si>
  <si>
    <t xml:space="preserve">PLANT TECH </t>
  </si>
  <si>
    <t>EAU 2201</t>
  </si>
  <si>
    <t>EMR 2202</t>
  </si>
  <si>
    <t>GEN. ENG. KNOWL. I</t>
  </si>
  <si>
    <t>LAB.</t>
  </si>
  <si>
    <t xml:space="preserve">W/SHOP </t>
  </si>
  <si>
    <t>LAB,</t>
  </si>
  <si>
    <t>HARRIET..</t>
  </si>
  <si>
    <t>LAWRENCE</t>
  </si>
  <si>
    <t>AYAGA/MWAFONDO</t>
  </si>
  <si>
    <t>MATL/LAB</t>
  </si>
  <si>
    <t>LAB,.</t>
  </si>
  <si>
    <t>MV/WSHOP</t>
  </si>
  <si>
    <t>ELEC ENG SCIENCE</t>
  </si>
  <si>
    <t>CH.</t>
  </si>
  <si>
    <t>GATHUA/LAWRENCE</t>
  </si>
  <si>
    <t>NJERU/KIKONDE</t>
  </si>
  <si>
    <t>W/SHOP I</t>
  </si>
  <si>
    <t>WORKSHOP TECH</t>
  </si>
  <si>
    <t>LAB..</t>
  </si>
  <si>
    <t>LAB A</t>
  </si>
  <si>
    <t xml:space="preserve">LAB B </t>
  </si>
  <si>
    <t>EME2202</t>
  </si>
  <si>
    <t>MECHANIC OF MACH. I</t>
  </si>
  <si>
    <t>KIMATHI</t>
  </si>
  <si>
    <t>PLANT ELECT 1</t>
  </si>
  <si>
    <t>GATHUA.</t>
  </si>
  <si>
    <t>EPR 2202</t>
  </si>
  <si>
    <t>MATERIAL PROCESS</t>
  </si>
  <si>
    <t>PL/LAB.</t>
  </si>
  <si>
    <t>MAITHA.</t>
  </si>
  <si>
    <t>EPR 2201</t>
  </si>
  <si>
    <t>PROD. TECH &amp; PRACT</t>
  </si>
  <si>
    <t>KAMANZA/MWANGAN</t>
  </si>
  <si>
    <t>W/T2</t>
  </si>
  <si>
    <t>Y2S1  (40)</t>
  </si>
  <si>
    <t>DAE 3</t>
  </si>
  <si>
    <t>DMEN 3</t>
  </si>
  <si>
    <t>FET 210</t>
  </si>
  <si>
    <t>FET 107</t>
  </si>
  <si>
    <t>FET 108</t>
  </si>
  <si>
    <t>FET 107.</t>
  </si>
  <si>
    <t>ABDILLAHI</t>
  </si>
  <si>
    <t>LAW FOR ENGINEERS</t>
  </si>
  <si>
    <t>MARITIME LAW</t>
  </si>
  <si>
    <t>WARAKAH</t>
  </si>
  <si>
    <t>BOAZ</t>
  </si>
  <si>
    <t>SOSHYO</t>
  </si>
  <si>
    <t>KAMANZA/OMONDI</t>
  </si>
  <si>
    <t>WARAKAH.</t>
  </si>
  <si>
    <t>EAU2101</t>
  </si>
  <si>
    <t>MOTOR VEHIC THEORY</t>
  </si>
  <si>
    <t>ABDILLAHI/KAINGU</t>
  </si>
  <si>
    <t>EPL2101</t>
  </si>
  <si>
    <t>PLANT THEORY</t>
  </si>
  <si>
    <t>KAMANZA/SUDI</t>
  </si>
  <si>
    <t>FET 316</t>
  </si>
  <si>
    <t>Y2S1  (46)</t>
  </si>
  <si>
    <t>MUTIE/KITI</t>
  </si>
  <si>
    <t>FET 316.</t>
  </si>
  <si>
    <t>MET/LAB</t>
  </si>
  <si>
    <t>PHY LAB</t>
  </si>
  <si>
    <t>FET 203</t>
  </si>
  <si>
    <t>FET 205</t>
  </si>
  <si>
    <t>MB 13</t>
  </si>
  <si>
    <t>WT 2</t>
  </si>
  <si>
    <t>MB 13A</t>
  </si>
  <si>
    <t>BEN 4401</t>
  </si>
  <si>
    <t>ENTREPRENEURSHIP</t>
  </si>
  <si>
    <t>WANGOMBE</t>
  </si>
  <si>
    <t>ALGEBRA II</t>
  </si>
  <si>
    <t>EB 109</t>
  </si>
  <si>
    <t>EB 107</t>
  </si>
  <si>
    <t>EB 105</t>
  </si>
  <si>
    <t>EB 007.</t>
  </si>
  <si>
    <t>DPR 3</t>
  </si>
  <si>
    <t>MASEKI.</t>
  </si>
  <si>
    <t>FET 316..</t>
  </si>
  <si>
    <t>VEHICLE TECH I</t>
  </si>
  <si>
    <t>MAKONDE.</t>
  </si>
  <si>
    <t>PL/LAB..</t>
  </si>
  <si>
    <t>GIKARO</t>
  </si>
  <si>
    <t>SOLID &amp;STRUCT III</t>
  </si>
  <si>
    <t>TCV4319</t>
  </si>
  <si>
    <t>EB 107.</t>
  </si>
  <si>
    <t>ELEC LAB..</t>
  </si>
  <si>
    <t>MATL LAB.</t>
  </si>
  <si>
    <t>Y1S2  (55)</t>
  </si>
  <si>
    <t>BSME/SEP2020/J-FT</t>
  </si>
  <si>
    <t>Y2S1   (65)</t>
  </si>
  <si>
    <t>BTME 02</t>
  </si>
  <si>
    <t>BTME/SEP2020/J&amp;S-FT</t>
  </si>
  <si>
    <t>BTMA 02</t>
  </si>
  <si>
    <t>BTMA/SEP2020/J&amp;S-FT</t>
  </si>
  <si>
    <t>Y2S1  (50)</t>
  </si>
  <si>
    <t>DCE 3</t>
  </si>
  <si>
    <t>DNSC 2</t>
  </si>
  <si>
    <t>DMAE 2</t>
  </si>
  <si>
    <t>DMAE/SEP2020/J&amp;S-FT</t>
  </si>
  <si>
    <t>Y1S2   (48)</t>
  </si>
  <si>
    <t>Y1S2   (60)</t>
  </si>
  <si>
    <t>DCE 2</t>
  </si>
  <si>
    <t>Y1S2  (40)</t>
  </si>
  <si>
    <t>DCE/SEP2020/J-FT</t>
  </si>
  <si>
    <t>DAE 2</t>
  </si>
  <si>
    <t>MB 02</t>
  </si>
  <si>
    <t>OYUGI/FAUZ</t>
  </si>
  <si>
    <t>EMC 4121</t>
  </si>
  <si>
    <t>T.DRAWING II</t>
  </si>
  <si>
    <t>ACH 4151</t>
  </si>
  <si>
    <t>CHEMISTRY II</t>
  </si>
  <si>
    <t>BMG 4102</t>
  </si>
  <si>
    <t>PHYSICS II</t>
  </si>
  <si>
    <t>APS 4102</t>
  </si>
  <si>
    <t>EIT 4101</t>
  </si>
  <si>
    <t>FUNDAMENTAL OFCOMP</t>
  </si>
  <si>
    <t>COD COMPUTING</t>
  </si>
  <si>
    <t>AHMED/KITI</t>
  </si>
  <si>
    <t>SWALAH/MWAFONDO</t>
  </si>
  <si>
    <t>COD ICT</t>
  </si>
  <si>
    <t>MUTIE/ KITI</t>
  </si>
  <si>
    <t>WANGOMBE/KESSIO</t>
  </si>
  <si>
    <t>CCI 4101</t>
  </si>
  <si>
    <t>COMPUTER SYSTEMS</t>
  </si>
  <si>
    <t>ENS 4101</t>
  </si>
  <si>
    <t>MARITIME SAFETY</t>
  </si>
  <si>
    <t>TALIB</t>
  </si>
  <si>
    <t>MB 04.</t>
  </si>
  <si>
    <t>EMR 4125</t>
  </si>
  <si>
    <t>MARINE ENG. MECHANIC</t>
  </si>
  <si>
    <t>EMR 4124</t>
  </si>
  <si>
    <t>OYUGI.</t>
  </si>
  <si>
    <t>ECH 2201</t>
  </si>
  <si>
    <t>I.C.P 1</t>
  </si>
  <si>
    <t>ECH 2202</t>
  </si>
  <si>
    <t>ECH 2203</t>
  </si>
  <si>
    <t>ACH 2250</t>
  </si>
  <si>
    <t>PHYSICAL CHEM</t>
  </si>
  <si>
    <t>EME 2230</t>
  </si>
  <si>
    <t>MACHINES</t>
  </si>
  <si>
    <t>ECI 2250</t>
  </si>
  <si>
    <t>CONTROL SYSTEM</t>
  </si>
  <si>
    <t>DMEN 2</t>
  </si>
  <si>
    <t>W/SHOP.</t>
  </si>
  <si>
    <t>ABDILLAHI/KAINGU.</t>
  </si>
  <si>
    <t>AYAGA/MWAFONDO.</t>
  </si>
  <si>
    <t>MB 04</t>
  </si>
  <si>
    <t>FET205.</t>
  </si>
  <si>
    <t>KAMANZA.</t>
  </si>
  <si>
    <t>MUCHIRU/KESSIO</t>
  </si>
  <si>
    <t>AYAGA.</t>
  </si>
  <si>
    <t>MUCHIRU</t>
  </si>
  <si>
    <t>MUCHIRU.</t>
  </si>
  <si>
    <t>C.A.D.</t>
  </si>
  <si>
    <t>KAMANZA./OMONDI</t>
  </si>
  <si>
    <t>AAB 2150</t>
  </si>
  <si>
    <t>MICROBIOLOGY</t>
  </si>
  <si>
    <t>ACH</t>
  </si>
  <si>
    <t>ORGANIC CHEMISTRY</t>
  </si>
  <si>
    <t>ELECT ENG. SCIENCE</t>
  </si>
  <si>
    <t>MB 03</t>
  </si>
  <si>
    <t>ABDILLAHI/MUTUKU</t>
  </si>
  <si>
    <t>COD BUSINESS</t>
  </si>
  <si>
    <t>EMR 2131</t>
  </si>
  <si>
    <t>MOTOR ENG KNOW II</t>
  </si>
  <si>
    <t>EMR 2129</t>
  </si>
  <si>
    <t>MARINE ELECT TECH II</t>
  </si>
  <si>
    <t>EMR 2115</t>
  </si>
  <si>
    <t>W/SHOP&amp;  PRACTICE II</t>
  </si>
  <si>
    <t>EMR 2128</t>
  </si>
  <si>
    <t>APPLIED SCIENCE II</t>
  </si>
  <si>
    <t>ANS 2112</t>
  </si>
  <si>
    <t>EMR 2120</t>
  </si>
  <si>
    <t>ENT II</t>
  </si>
  <si>
    <t>EMR 2122</t>
  </si>
  <si>
    <t>BEN 2102</t>
  </si>
  <si>
    <t>EMR 2130</t>
  </si>
  <si>
    <t>EMR 2116</t>
  </si>
  <si>
    <t>DRAWING II</t>
  </si>
  <si>
    <t>EMR 2117</t>
  </si>
  <si>
    <t>EMR 2113</t>
  </si>
  <si>
    <t>I.C.T. II</t>
  </si>
  <si>
    <t>SHIP CONST. II</t>
  </si>
  <si>
    <t>BMC 2102</t>
  </si>
  <si>
    <t>MOTOR ENG KNOWL.II</t>
  </si>
  <si>
    <t>MUNIALO</t>
  </si>
  <si>
    <t>DIGITAL ELECTRONIC</t>
  </si>
  <si>
    <t>ONGAYO/DORIS</t>
  </si>
  <si>
    <t>Y1S1  (52)</t>
  </si>
  <si>
    <t>BLS 4115</t>
  </si>
  <si>
    <t>DEVELOPMENT STUDY</t>
  </si>
  <si>
    <t>TMC 4103</t>
  </si>
  <si>
    <t>TMC 4104</t>
  </si>
  <si>
    <t>W/SHOP TECH II</t>
  </si>
  <si>
    <t>COMP SYST &amp; LITERACY</t>
  </si>
  <si>
    <t>TMC 4105</t>
  </si>
  <si>
    <t>FUNDAMENTAL OF MECH</t>
  </si>
  <si>
    <t>ENG. DRAWING II</t>
  </si>
  <si>
    <t>HEALTH SAFETY</t>
  </si>
  <si>
    <t>OYUGI/FAUZ.</t>
  </si>
  <si>
    <t>MB 03.</t>
  </si>
  <si>
    <t>ANS 2116</t>
  </si>
  <si>
    <t>RULES OF ROAD</t>
  </si>
  <si>
    <t>ANS 2118</t>
  </si>
  <si>
    <t>METEOROLOGY</t>
  </si>
  <si>
    <t>ANS 2111</t>
  </si>
  <si>
    <t>SEAMANSHIP II</t>
  </si>
  <si>
    <t>ANS 2120</t>
  </si>
  <si>
    <t>TERRESTRIAL</t>
  </si>
  <si>
    <t>ECH 2204</t>
  </si>
  <si>
    <t>MB 05</t>
  </si>
  <si>
    <t>ABIERO.</t>
  </si>
  <si>
    <t>MANGENI/KITI</t>
  </si>
  <si>
    <t>MUTAVA/MWAFONDO</t>
  </si>
  <si>
    <t>ONLINE</t>
  </si>
  <si>
    <t>ONLINE.</t>
  </si>
  <si>
    <t>EME 2202</t>
  </si>
  <si>
    <t>ONLINE..</t>
  </si>
  <si>
    <t>OYUGI,</t>
  </si>
  <si>
    <t>FET 316,</t>
  </si>
  <si>
    <t>BENSON/MWANGANGI</t>
  </si>
  <si>
    <t>DO3.</t>
  </si>
  <si>
    <t>NYAMU..</t>
  </si>
  <si>
    <t>FET 108.</t>
  </si>
  <si>
    <t>EMR 4117</t>
  </si>
  <si>
    <t>MARINE ENG. KNOWLED.</t>
  </si>
  <si>
    <t>MB 01</t>
  </si>
  <si>
    <t>MB 02.</t>
  </si>
  <si>
    <t>MB O2</t>
  </si>
  <si>
    <t>FET  108</t>
  </si>
  <si>
    <t>CMEN 2</t>
  </si>
  <si>
    <t>EPL 2304</t>
  </si>
  <si>
    <t>PLANT DRAWING II</t>
  </si>
  <si>
    <t>EME 2304</t>
  </si>
  <si>
    <t>I.O.M</t>
  </si>
  <si>
    <t>MB13B</t>
  </si>
  <si>
    <t>AMA 2351</t>
  </si>
  <si>
    <t>ENG. MATH VI</t>
  </si>
  <si>
    <t>FET 207..</t>
  </si>
  <si>
    <t>EPL 2305</t>
  </si>
  <si>
    <t>PLANT TECH IV</t>
  </si>
  <si>
    <t>WT2</t>
  </si>
  <si>
    <t>EME 2305</t>
  </si>
  <si>
    <t>FLUID MECH II</t>
  </si>
  <si>
    <t>MB13A</t>
  </si>
  <si>
    <t>EPL 2306</t>
  </si>
  <si>
    <t>PLANT ELECTRICAL</t>
  </si>
  <si>
    <t>DPL 6</t>
  </si>
  <si>
    <t xml:space="preserve"> MECH TT JAN-APR 2022</t>
  </si>
  <si>
    <t>MUNIALO.</t>
  </si>
  <si>
    <t>EMR 4202</t>
  </si>
  <si>
    <t>MATERIALS &amp; ENG</t>
  </si>
  <si>
    <t>DR. BACHANI</t>
  </si>
  <si>
    <t>EMR 4201</t>
  </si>
  <si>
    <t>SHIP CONST</t>
  </si>
  <si>
    <t>ENS 4212</t>
  </si>
  <si>
    <t>EMR 4203</t>
  </si>
  <si>
    <t>MARINE PROPULSION</t>
  </si>
  <si>
    <t>TMC 4226</t>
  </si>
  <si>
    <t>ENG THERMO II</t>
  </si>
  <si>
    <t>EMR 4204</t>
  </si>
  <si>
    <t>WATCH KEEPING</t>
  </si>
  <si>
    <t>DK</t>
  </si>
  <si>
    <t>ENS 4220</t>
  </si>
  <si>
    <t>MARITIME ENGLISH</t>
  </si>
  <si>
    <t>ENS 4201</t>
  </si>
  <si>
    <t>LEADERSHIP &amp; PT</t>
  </si>
  <si>
    <t>SGT JUBA</t>
  </si>
  <si>
    <t>DR. BACHANI/SUDI</t>
  </si>
  <si>
    <t>MB 16</t>
  </si>
  <si>
    <t>COD ICI</t>
  </si>
  <si>
    <t>ALBEITY</t>
  </si>
  <si>
    <t>GEN. ELECT &amp; ENG</t>
  </si>
  <si>
    <t>SAAD</t>
  </si>
  <si>
    <t>COD APPLIED/TECH</t>
  </si>
  <si>
    <t>COD APPLIED</t>
  </si>
  <si>
    <t>NYAMU/MUTUKU</t>
  </si>
  <si>
    <t>MUTAVA /MWAFONDO</t>
  </si>
  <si>
    <t>Y3S1   (10)</t>
  </si>
  <si>
    <t>BTME/SEP2019/S-PT</t>
  </si>
  <si>
    <t>BTME/AUG2021/S-PT</t>
  </si>
  <si>
    <t>Y2S2   (10)</t>
  </si>
  <si>
    <t>BSME/AUG2021/J-FT</t>
  </si>
  <si>
    <t>BTME/AUG2021/J&amp;S-FT</t>
  </si>
  <si>
    <t>BTMA/AUG2021/J&amp;S-FT</t>
  </si>
  <si>
    <t>TCV 4223</t>
  </si>
  <si>
    <t>SOLID &amp;STRUCT II</t>
  </si>
  <si>
    <t>TMC 4224</t>
  </si>
  <si>
    <t>MATERIALS II</t>
  </si>
  <si>
    <t>TMC 4222</t>
  </si>
  <si>
    <t xml:space="preserve"> MACHINES II</t>
  </si>
  <si>
    <t>SOLID &amp; STRUCT II</t>
  </si>
  <si>
    <t>THERMO II</t>
  </si>
  <si>
    <t>TMC 4225</t>
  </si>
  <si>
    <t>FLUIDS II</t>
  </si>
  <si>
    <t>BFI 4204</t>
  </si>
  <si>
    <t>ECON &amp; ACCOUNT</t>
  </si>
  <si>
    <t>MUNIALO/KIKONDE</t>
  </si>
  <si>
    <t>DMEN/MAY2019/S-FT</t>
  </si>
  <si>
    <t>Y2S1  (60)</t>
  </si>
  <si>
    <t>DMEN/SEP2020/J&amp;S-FT</t>
  </si>
  <si>
    <t>DMEN/SEP 2020/J&amp;S-FT</t>
  </si>
  <si>
    <t>Y2S1</t>
  </si>
  <si>
    <t>DAE/SEP2020/J-FT</t>
  </si>
  <si>
    <t>DMEN/AUG2021/J-FT</t>
  </si>
  <si>
    <t>Y1S2  (60)</t>
  </si>
  <si>
    <t>Y1S2  (35)</t>
  </si>
  <si>
    <t>DMEN/AUG2021/S-FT</t>
  </si>
  <si>
    <t>DAE/SEP2021/J&amp;S-FT</t>
  </si>
  <si>
    <t>DCE/SEP2021/J-FT</t>
  </si>
  <si>
    <t>DMAE/SEP20201J&amp;S-FT</t>
  </si>
  <si>
    <t>DNSC/SEP2021/J-FT</t>
  </si>
  <si>
    <t>AMA 1151</t>
  </si>
  <si>
    <t>CMEN/AUG2021/S-FT</t>
  </si>
  <si>
    <t>Y1S2 (20)</t>
  </si>
  <si>
    <t>EME 1104</t>
  </si>
  <si>
    <t>NYANGANGA</t>
  </si>
  <si>
    <t>EME 1106</t>
  </si>
  <si>
    <t>W/SHOP II</t>
  </si>
  <si>
    <t>EPL1102</t>
  </si>
  <si>
    <t>PLANT TECH II</t>
  </si>
  <si>
    <t>EME 1105</t>
  </si>
  <si>
    <t>MECH SCIE II</t>
  </si>
  <si>
    <t>EME 1107</t>
  </si>
  <si>
    <t>MATERIAL SCIE</t>
  </si>
  <si>
    <t>MASEKI/LAWRENCE</t>
  </si>
  <si>
    <t>MUCHIRU/MWASARAI</t>
  </si>
  <si>
    <t xml:space="preserve">LAB </t>
  </si>
  <si>
    <t>KUMBA</t>
  </si>
  <si>
    <t>BRENDA</t>
  </si>
  <si>
    <t>KANANA</t>
  </si>
  <si>
    <t>KIMATHI/MUTUKU</t>
  </si>
  <si>
    <t>AMA  2114</t>
  </si>
  <si>
    <t>FAUZ</t>
  </si>
  <si>
    <t>FET 109,</t>
  </si>
  <si>
    <t>FET 109.</t>
  </si>
  <si>
    <t>ABIERO,</t>
  </si>
  <si>
    <t>DNSC 3</t>
  </si>
  <si>
    <t>DNSC/SEP2020/J&amp;S-FT</t>
  </si>
  <si>
    <t>Y2S1 (37)</t>
  </si>
  <si>
    <t>GATHUA,</t>
  </si>
  <si>
    <t>MB 16B</t>
  </si>
  <si>
    <t>MB 16B.</t>
  </si>
  <si>
    <t>ANS 2206</t>
  </si>
  <si>
    <t>CHART WORK</t>
  </si>
  <si>
    <t>ANS 2202</t>
  </si>
  <si>
    <t>CELESTIAL NAVIG</t>
  </si>
  <si>
    <t>ANS 2214</t>
  </si>
  <si>
    <t>ELECTRONIC SYST.</t>
  </si>
  <si>
    <t>ANS 2108</t>
  </si>
  <si>
    <t>KIMATHI.</t>
  </si>
  <si>
    <t>CARGO HANDLING</t>
  </si>
  <si>
    <t>EB 105.</t>
  </si>
  <si>
    <t>ANS 2213</t>
  </si>
  <si>
    <t>EMR 2124</t>
  </si>
  <si>
    <t>LIFE SKILL</t>
  </si>
  <si>
    <t>COD SOCIAL SCIE</t>
  </si>
  <si>
    <t>MV/LAB</t>
  </si>
  <si>
    <t>UNIT OPERATION I</t>
  </si>
  <si>
    <t>EMC 4122</t>
  </si>
  <si>
    <t>KEPHA/MWAFONDO</t>
  </si>
  <si>
    <t>Y1S2  (50)</t>
  </si>
  <si>
    <t>MWASHIGADI</t>
  </si>
  <si>
    <t>GATHUA/LAWRENCE.</t>
  </si>
  <si>
    <t>KARAKACHA</t>
  </si>
  <si>
    <t>NJERU.</t>
  </si>
  <si>
    <t>MB 01.</t>
  </si>
  <si>
    <t>SGT JUBA.</t>
  </si>
  <si>
    <t>ALL</t>
  </si>
  <si>
    <t>ALL.</t>
  </si>
  <si>
    <t>WANGOMBE/OMONDI</t>
  </si>
  <si>
    <t>MWANGANGI</t>
  </si>
  <si>
    <t>SAAD/SUDI</t>
  </si>
  <si>
    <t>WAGATHIGE</t>
  </si>
  <si>
    <t>WAGATHIGE/KITI</t>
  </si>
  <si>
    <t>BUYA</t>
  </si>
  <si>
    <t>MBOTHU</t>
  </si>
  <si>
    <t>DR. MWADZOGO,</t>
  </si>
  <si>
    <t>BUYA.</t>
  </si>
  <si>
    <t>BUYA,</t>
  </si>
  <si>
    <t>ONLINE,</t>
  </si>
  <si>
    <t>BUYA..</t>
  </si>
  <si>
    <t>ONLINE.,</t>
  </si>
  <si>
    <t>BUYA,.</t>
  </si>
  <si>
    <t>ONLINE.,,</t>
  </si>
  <si>
    <t>BUYA,..</t>
  </si>
  <si>
    <t>GIKARO.</t>
  </si>
  <si>
    <t>ODHIAMBO</t>
  </si>
  <si>
    <t>MB 16A.</t>
  </si>
  <si>
    <t>MWAMUNGA</t>
  </si>
  <si>
    <t>AMA 2151</t>
  </si>
  <si>
    <t>EEE 1150</t>
  </si>
  <si>
    <t>ELECT ENG. SCIE</t>
  </si>
  <si>
    <t>MUTUNGI.</t>
  </si>
  <si>
    <t>MUTAVA.</t>
  </si>
  <si>
    <t>JUMA.</t>
  </si>
  <si>
    <t>WAMBUA</t>
  </si>
  <si>
    <t>MWAMUNGA.</t>
  </si>
  <si>
    <t>DR. MUNYWOKI</t>
  </si>
  <si>
    <t>DR. OMBOGA</t>
  </si>
  <si>
    <t>DR. OMBOGA/LABAN</t>
  </si>
  <si>
    <t>BAKARI</t>
  </si>
  <si>
    <t>GATHUA..</t>
  </si>
  <si>
    <t>GATHUA/KIKONDE</t>
  </si>
  <si>
    <t>GATHUA/KIKONDE..</t>
  </si>
  <si>
    <t>ALBEITY.</t>
  </si>
  <si>
    <t>ALBEITY/MWASYA</t>
  </si>
  <si>
    <t>SOSHYO/ALLAN</t>
  </si>
  <si>
    <t>EPL 2202</t>
  </si>
  <si>
    <t>ALBEITY/MUSAU</t>
  </si>
  <si>
    <t>ALBEITY /MUSAU</t>
  </si>
  <si>
    <t>KASUKU/TECHN</t>
  </si>
  <si>
    <t>KASUKU</t>
  </si>
  <si>
    <t>MRIMA/DORIS.</t>
  </si>
  <si>
    <t>MRIMA</t>
  </si>
  <si>
    <t>MRIMA,</t>
  </si>
  <si>
    <t>MRIMA.</t>
  </si>
  <si>
    <t>MRIMA/DORIS</t>
  </si>
  <si>
    <t>DR. MUGA</t>
  </si>
  <si>
    <t>MWANYASI</t>
  </si>
  <si>
    <t>MWANYASI/ MUSAU</t>
  </si>
  <si>
    <t>DR,MVURYA</t>
  </si>
  <si>
    <t>DR. MVURYA.</t>
  </si>
  <si>
    <t>ELEC/LAB</t>
  </si>
  <si>
    <t>ALBEITY/MWASYA.</t>
  </si>
  <si>
    <t>JUSMINE</t>
  </si>
  <si>
    <t>JUSMINE.</t>
  </si>
  <si>
    <t>DR. MUGA/MATOLO</t>
  </si>
  <si>
    <t>FET 205.</t>
  </si>
  <si>
    <t>DMEN 1</t>
  </si>
  <si>
    <t>BTME 4</t>
  </si>
  <si>
    <t>BTMA 3</t>
  </si>
  <si>
    <t>BSME 2</t>
  </si>
  <si>
    <t>BSME 3</t>
  </si>
  <si>
    <t>DMEN/JAN2022/S-PT</t>
  </si>
  <si>
    <t>Y1S1 (20)</t>
  </si>
  <si>
    <t>AMA 2150</t>
  </si>
  <si>
    <t>ENG MATH I</t>
  </si>
  <si>
    <t>APS 2150</t>
  </si>
  <si>
    <t>PHYSICAL SCIE</t>
  </si>
  <si>
    <t>EME 2102</t>
  </si>
  <si>
    <t>MECH SCIENCE</t>
  </si>
  <si>
    <t>BMC 2107</t>
  </si>
  <si>
    <t>COMM SKILLS</t>
  </si>
  <si>
    <t>COD MEDIA</t>
  </si>
  <si>
    <t>EME 2101</t>
  </si>
  <si>
    <t>EIT 2101</t>
  </si>
  <si>
    <t>COMP. APPLICATION</t>
  </si>
  <si>
    <t>COD  1CI</t>
  </si>
  <si>
    <t>APH 2100</t>
  </si>
  <si>
    <t>HIV/AIDS</t>
  </si>
  <si>
    <t>COD  ENVIRONMENT</t>
  </si>
  <si>
    <t>EME 2105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</si>
</sst>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6" x14ac:knownFonts="1">
    <font>
      <sz val="12"/>
      <name val="Arial"/>
    </font>
    <font>
      <b/>
      <sz val="21"/>
      <color indexed="12"/>
      <name val="Times New Roman"/>
      <family val="1"/>
    </font>
    <font>
      <b/>
      <sz val="21"/>
      <color indexed="10"/>
      <name val="Times New Roman"/>
      <family val="1"/>
    </font>
    <font>
      <b/>
      <sz val="21"/>
      <color indexed="10"/>
      <name val="Arial"/>
      <family val="2"/>
    </font>
    <font>
      <sz val="12"/>
      <name val="Arial"/>
      <family val="2"/>
    </font>
    <font>
      <b/>
      <sz val="21"/>
      <color indexed="8"/>
      <name val="Times New Roman"/>
      <family val="1"/>
    </font>
    <font>
      <sz val="12"/>
      <name val="Arial"/>
      <family val="2"/>
    </font>
    <font>
      <b/>
      <sz val="22"/>
      <name val="Arial"/>
      <family val="2"/>
    </font>
    <font>
      <sz val="16"/>
      <name val="Arial"/>
      <family val="2"/>
    </font>
    <font>
      <b/>
      <sz val="12"/>
      <name val="Arial"/>
      <family val="2"/>
    </font>
    <font>
      <sz val="18"/>
      <name val="Arial Narrow"/>
      <family val="2"/>
    </font>
    <font>
      <b/>
      <sz val="18"/>
      <color indexed="12"/>
      <name val="Arial Narrow"/>
      <family val="2"/>
    </font>
    <font>
      <sz val="18"/>
      <color indexed="10"/>
      <name val="Arial Narrow"/>
      <family val="2"/>
    </font>
    <font>
      <b/>
      <sz val="18"/>
      <color indexed="10"/>
      <name val="Arial Narrow"/>
      <family val="2"/>
    </font>
    <font>
      <sz val="18"/>
      <color indexed="12"/>
      <name val="Arial Narrow"/>
      <family val="2"/>
    </font>
    <font>
      <b/>
      <sz val="18"/>
      <color indexed="8"/>
      <name val="Arial Narrow"/>
      <family val="2"/>
    </font>
    <font>
      <sz val="8"/>
      <name val="Arial"/>
      <family val="2"/>
    </font>
    <font>
      <sz val="72"/>
      <name val="Arial Narrow"/>
      <family val="2"/>
    </font>
    <font>
      <b/>
      <sz val="48"/>
      <name val="Arial Narrow"/>
      <family val="2"/>
    </font>
    <font>
      <b/>
      <sz val="34"/>
      <name val="Arial Narrow"/>
      <family val="2"/>
    </font>
    <font>
      <b/>
      <sz val="21"/>
      <name val="Times New Roman"/>
      <family val="1"/>
    </font>
    <font>
      <b/>
      <sz val="8"/>
      <color indexed="8"/>
      <name val="Arial Narrow"/>
      <family val="2"/>
    </font>
    <font>
      <sz val="9"/>
      <name val="Cambria"/>
      <family val="1"/>
    </font>
    <font>
      <b/>
      <sz val="9"/>
      <name val="Cambria"/>
      <family val="1"/>
    </font>
    <font>
      <b/>
      <sz val="10"/>
      <color indexed="10"/>
      <name val="Times New Roman"/>
      <family val="1"/>
    </font>
    <font>
      <b/>
      <sz val="12"/>
      <name val="Cambria"/>
      <family val="1"/>
    </font>
    <font>
      <sz val="12"/>
      <name val="Cambria"/>
      <family val="1"/>
    </font>
    <font>
      <b/>
      <sz val="8"/>
      <color indexed="12"/>
      <name val="Arial Narrow"/>
      <family val="2"/>
    </font>
    <font>
      <b/>
      <sz val="8"/>
      <color indexed="10"/>
      <name val="Arial Narrow"/>
      <family val="2"/>
    </font>
    <font>
      <sz val="11"/>
      <color rgb="FFFF0000"/>
      <name val="Calibri"/>
      <family val="2"/>
      <scheme val="minor"/>
    </font>
    <font>
      <b/>
      <sz val="21"/>
      <color theme="1"/>
      <name val="Times New Roman"/>
      <family val="1"/>
    </font>
    <font>
      <b/>
      <sz val="28"/>
      <color rgb="FFFF0000"/>
      <name val="Arial Black"/>
      <family val="2"/>
    </font>
    <font>
      <b/>
      <sz val="18"/>
      <color theme="1"/>
      <name val="Arial Narrow"/>
      <family val="2"/>
    </font>
    <font>
      <sz val="9"/>
      <color rgb="FF3333FF"/>
      <name val="Cambria"/>
      <family val="1"/>
    </font>
    <font>
      <b/>
      <i/>
      <sz val="9"/>
      <color rgb="FF00B050"/>
      <name val="Cambria"/>
      <family val="1"/>
    </font>
    <font>
      <b/>
      <sz val="18"/>
      <name val="Arial Narrow"/>
      <family val="2"/>
    </font>
  </fonts>
  <fills count="20">
    <fill>
      <patternFill patternType="none"/>
    </fill>
    <fill>
      <patternFill patternType="gray125"/>
    </fill>
    <fill>
      <patternFill patternType="solid">
        <fgColor indexed="43"/>
        <bgColor indexed="64"/>
      </patternFill>
    </fill>
    <fill>
      <patternFill patternType="solid">
        <fgColor indexed="41"/>
        <bgColor indexed="64"/>
      </patternFill>
    </fill>
    <fill>
      <patternFill patternType="solid">
        <fgColor indexed="26"/>
        <bgColor indexed="64"/>
      </patternFill>
    </fill>
    <fill>
      <patternFill patternType="solid">
        <fgColor indexed="9"/>
        <bgColor indexed="64"/>
      </patternFill>
    </fill>
    <fill>
      <patternFill patternType="solid">
        <fgColor indexed="31"/>
        <bgColor indexed="24"/>
      </patternFill>
    </fill>
    <fill>
      <patternFill patternType="solid">
        <fgColor indexed="31"/>
        <bgColor indexed="9"/>
      </patternFill>
    </fill>
    <fill>
      <patternFill patternType="solid">
        <fgColor indexed="31"/>
        <bgColor indexed="64"/>
      </patternFill>
    </fill>
    <fill>
      <patternFill patternType="solid">
        <fgColor indexed="47"/>
        <bgColor indexed="64"/>
      </patternFill>
    </fill>
    <fill>
      <patternFill patternType="solid">
        <fgColor indexed="27"/>
        <bgColor indexed="64"/>
      </patternFill>
    </fill>
    <fill>
      <patternFill patternType="solid">
        <fgColor indexed="65"/>
        <bgColor indexed="64"/>
      </patternFill>
    </fill>
    <fill>
      <patternFill patternType="solid">
        <fgColor indexed="22"/>
        <bgColor indexed="64"/>
      </patternFill>
    </fill>
    <fill>
      <patternFill patternType="solid">
        <fgColor indexed="53"/>
        <bgColor indexed="64"/>
      </patternFill>
    </fill>
    <fill>
      <patternFill patternType="solid">
        <fgColor theme="0"/>
        <bgColor indexed="64"/>
      </patternFill>
    </fill>
    <fill>
      <patternFill patternType="solid">
        <fgColor rgb="FFFFFF00"/>
        <bgColor indexed="64"/>
      </patternFill>
    </fill>
    <fill>
      <patternFill patternType="solid">
        <fgColor rgb="FFFFFF00"/>
        <bgColor indexed="24"/>
      </patternFill>
    </fill>
    <fill>
      <patternFill patternType="solid">
        <fgColor rgb="FFFFFFCC"/>
        <bgColor indexed="64"/>
      </patternFill>
    </fill>
    <fill>
      <patternFill patternType="solid">
        <fgColor rgb="FFCCFFFF"/>
        <bgColor indexed="64"/>
      </patternFill>
    </fill>
    <fill>
      <patternFill patternType="solid">
        <fgColor theme="9" tint="0.59999389629810485"/>
        <bgColor indexed="64"/>
      </patternFill>
    </fill>
  </fills>
  <borders count="58">
    <border>
      <left/>
      <right/>
      <top/>
      <bottom/>
      <diagonal/>
    </border>
    <border>
      <left style="thick">
        <color indexed="64"/>
      </left>
      <right/>
      <top style="thick">
        <color indexed="64"/>
      </top>
      <bottom/>
      <diagonal/>
    </border>
    <border>
      <left style="thick">
        <color indexed="64"/>
      </left>
      <right style="thick">
        <color indexed="64"/>
      </right>
      <top style="thick">
        <color indexed="64"/>
      </top>
      <bottom/>
      <diagonal/>
    </border>
    <border>
      <left style="thick">
        <color indexed="64"/>
      </left>
      <right/>
      <top/>
      <bottom/>
      <diagonal/>
    </border>
    <border>
      <left style="thick">
        <color indexed="64"/>
      </left>
      <right style="thick">
        <color indexed="64"/>
      </right>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top style="thick">
        <color indexed="11"/>
      </top>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top/>
      <bottom style="thick">
        <color indexed="10"/>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right/>
      <top/>
      <bottom style="medium">
        <color indexed="64"/>
      </bottom>
      <diagonal/>
    </border>
    <border>
      <left/>
      <right style="medium">
        <color indexed="64"/>
      </right>
      <top/>
      <bottom/>
      <diagonal/>
    </border>
    <border>
      <left style="thick">
        <color indexed="64"/>
      </left>
      <right style="thick">
        <color indexed="64"/>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style="thick">
        <color indexed="64"/>
      </right>
      <top style="thick">
        <color indexed="64"/>
      </top>
      <bottom/>
      <diagonal/>
    </border>
    <border>
      <left/>
      <right style="thick">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right/>
      <top style="thin">
        <color indexed="64"/>
      </top>
      <bottom/>
      <diagonal/>
    </border>
    <border>
      <left style="medium">
        <color indexed="64"/>
      </left>
      <right style="thick">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ck">
        <color indexed="64"/>
      </left>
      <right style="medium">
        <color indexed="64"/>
      </right>
      <top style="medium">
        <color indexed="64"/>
      </top>
      <bottom style="thin">
        <color indexed="64"/>
      </bottom>
      <diagonal/>
    </border>
    <border>
      <left style="thick">
        <color indexed="64"/>
      </left>
      <right style="medium">
        <color indexed="64"/>
      </right>
      <top style="thin">
        <color indexed="64"/>
      </top>
      <bottom style="thin">
        <color indexed="64"/>
      </bottom>
      <diagonal/>
    </border>
    <border>
      <left style="thick">
        <color indexed="64"/>
      </left>
      <right style="medium">
        <color indexed="64"/>
      </right>
      <top style="thin">
        <color indexed="64"/>
      </top>
      <bottom/>
      <diagonal/>
    </border>
    <border>
      <left style="medium">
        <color indexed="64"/>
      </left>
      <right style="medium">
        <color indexed="64"/>
      </right>
      <top style="thick">
        <color indexed="11"/>
      </top>
      <bottom/>
      <diagonal/>
    </border>
    <border>
      <left style="medium">
        <color indexed="64"/>
      </left>
      <right style="medium">
        <color indexed="64"/>
      </right>
      <top/>
      <bottom style="medium">
        <color indexed="11"/>
      </bottom>
      <diagonal/>
    </border>
    <border>
      <left style="medium">
        <color indexed="64"/>
      </left>
      <right style="medium">
        <color indexed="64"/>
      </right>
      <top/>
      <bottom style="thick">
        <color indexed="11"/>
      </bottom>
      <diagonal/>
    </border>
    <border>
      <left style="medium">
        <color indexed="64"/>
      </left>
      <right style="medium">
        <color indexed="64"/>
      </right>
      <top style="medium">
        <color indexed="11"/>
      </top>
      <bottom/>
      <diagonal/>
    </border>
    <border>
      <left style="thick">
        <color indexed="11"/>
      </left>
      <right style="medium">
        <color indexed="64"/>
      </right>
      <top style="thick">
        <color indexed="11"/>
      </top>
      <bottom/>
      <diagonal/>
    </border>
    <border>
      <left style="thick">
        <color indexed="11"/>
      </left>
      <right style="medium">
        <color indexed="64"/>
      </right>
      <top/>
      <bottom/>
      <diagonal/>
    </border>
    <border>
      <left style="thick">
        <color indexed="11"/>
      </left>
      <right style="medium">
        <color indexed="64"/>
      </right>
      <top/>
      <bottom style="medium">
        <color indexed="11"/>
      </bottom>
      <diagonal/>
    </border>
    <border>
      <left style="thick">
        <color indexed="64"/>
      </left>
      <right style="medium">
        <color indexed="64"/>
      </right>
      <top style="medium">
        <color indexed="11"/>
      </top>
      <bottom/>
      <diagonal/>
    </border>
    <border>
      <left style="thick">
        <color indexed="64"/>
      </left>
      <right style="medium">
        <color indexed="64"/>
      </right>
      <top/>
      <bottom/>
      <diagonal/>
    </border>
    <border>
      <left style="thick">
        <color indexed="64"/>
      </left>
      <right style="medium">
        <color indexed="64"/>
      </right>
      <top/>
      <bottom style="thick">
        <color indexed="11"/>
      </bottom>
      <diagonal/>
    </border>
    <border>
      <left style="thick">
        <color indexed="11"/>
      </left>
      <right style="medium">
        <color indexed="64"/>
      </right>
      <top/>
      <bottom style="thick">
        <color indexed="11"/>
      </bottom>
      <diagonal/>
    </border>
    <border>
      <left style="thick">
        <color indexed="64"/>
      </left>
      <right style="medium">
        <color indexed="64"/>
      </right>
      <top style="thick">
        <color indexed="11"/>
      </top>
      <bottom/>
      <diagonal/>
    </border>
    <border>
      <left style="medium">
        <color indexed="64"/>
      </left>
      <right style="medium">
        <color indexed="64"/>
      </right>
      <top/>
      <bottom style="thick">
        <color indexed="10"/>
      </bottom>
      <diagonal/>
    </border>
    <border>
      <left style="thick">
        <color indexed="64"/>
      </left>
      <right/>
      <top style="thin">
        <color indexed="64"/>
      </top>
      <bottom/>
      <diagonal/>
    </border>
    <border>
      <left style="thick">
        <color indexed="64"/>
      </left>
      <right style="thick">
        <color indexed="64"/>
      </right>
      <top/>
      <bottom style="medium">
        <color indexed="64"/>
      </bottom>
      <diagonal/>
    </border>
    <border>
      <left style="thick">
        <color indexed="64"/>
      </left>
      <right style="thick">
        <color indexed="64"/>
      </right>
      <top style="thin">
        <color indexed="64"/>
      </top>
      <bottom/>
      <diagonal/>
    </border>
  </borders>
  <cellStyleXfs count="4">
    <xf numFmtId="0" fontId="0" fillId="0" borderId="0" applyBorder="0">
      <alignment horizontal="centerContinuous"/>
    </xf>
    <xf numFmtId="0" fontId="4" fillId="0" borderId="0" applyBorder="0">
      <alignment horizontal="centerContinuous"/>
    </xf>
    <xf numFmtId="0" fontId="29" fillId="0" borderId="0" applyNumberFormat="0" applyFill="0" applyBorder="0" applyAlignment="0" applyProtection="0"/>
    <xf numFmtId="0" fontId="4" fillId="0" borderId="0" applyBorder="0">
      <alignment horizontal="centerContinuous"/>
    </xf>
  </cellStyleXfs>
  <cellXfs count="547">
    <xf numFmtId="0" fontId="0" fillId="0" borderId="0" xfId="0">
      <alignment horizontal="centerContinuous"/>
    </xf>
    <xf numFmtId="0" fontId="1" fillId="0" borderId="1" xfId="0" applyFont="1" applyFill="1" applyBorder="1" applyAlignment="1" applyProtection="1">
      <alignment horizontal="center"/>
      <protection locked="0"/>
    </xf>
    <xf numFmtId="0" fontId="1" fillId="0" borderId="2" xfId="0" applyFont="1" applyFill="1" applyBorder="1" applyAlignment="1" applyProtection="1">
      <alignment horizontal="left"/>
      <protection locked="0"/>
    </xf>
    <xf numFmtId="0" fontId="1" fillId="0" borderId="3" xfId="0" applyFont="1" applyFill="1" applyBorder="1" applyAlignment="1" applyProtection="1">
      <alignment horizontal="center"/>
      <protection locked="0"/>
    </xf>
    <xf numFmtId="0" fontId="1" fillId="0" borderId="4" xfId="0" applyFont="1" applyFill="1" applyBorder="1" applyAlignment="1" applyProtection="1">
      <alignment horizontal="center"/>
      <protection locked="0"/>
    </xf>
    <xf numFmtId="0" fontId="2" fillId="0" borderId="5" xfId="0" applyFont="1" applyFill="1" applyBorder="1" applyAlignment="1" applyProtection="1">
      <alignment horizontal="center"/>
    </xf>
    <xf numFmtId="0" fontId="1" fillId="0" borderId="5" xfId="0" applyFont="1" applyFill="1" applyBorder="1" applyAlignment="1" applyProtection="1">
      <alignment horizontal="center"/>
    </xf>
    <xf numFmtId="0" fontId="0" fillId="0" borderId="0" xfId="0" applyFill="1">
      <alignment horizontal="centerContinuous"/>
    </xf>
    <xf numFmtId="0" fontId="1" fillId="2" borderId="5" xfId="0" applyFont="1" applyFill="1" applyBorder="1" applyAlignment="1" applyProtection="1">
      <alignment horizontal="center"/>
    </xf>
    <xf numFmtId="0" fontId="2" fillId="3" borderId="5" xfId="0" applyFont="1" applyFill="1" applyBorder="1" applyAlignment="1" applyProtection="1">
      <alignment horizontal="center"/>
    </xf>
    <xf numFmtId="0" fontId="1" fillId="3" borderId="5" xfId="0" applyFont="1" applyFill="1" applyBorder="1" applyAlignment="1" applyProtection="1">
      <alignment horizontal="center"/>
    </xf>
    <xf numFmtId="2" fontId="1" fillId="2" borderId="6" xfId="0" applyNumberFormat="1" applyFont="1" applyFill="1" applyBorder="1" applyAlignment="1" applyProtection="1">
      <alignment horizontal="center"/>
    </xf>
    <xf numFmtId="0" fontId="2" fillId="4" borderId="7" xfId="0" applyFont="1" applyFill="1" applyBorder="1" applyAlignment="1" applyProtection="1">
      <alignment horizontal="center"/>
    </xf>
    <xf numFmtId="0" fontId="1" fillId="4" borderId="8" xfId="0" applyFont="1" applyFill="1" applyBorder="1" applyAlignment="1" applyProtection="1">
      <alignment horizontal="center"/>
    </xf>
    <xf numFmtId="0" fontId="1" fillId="5" borderId="5" xfId="0" applyFont="1" applyFill="1" applyBorder="1" applyAlignment="1" applyProtection="1">
      <alignment horizontal="center"/>
    </xf>
    <xf numFmtId="0" fontId="2" fillId="5" borderId="5" xfId="0" applyFont="1" applyFill="1" applyBorder="1" applyAlignment="1" applyProtection="1">
      <alignment horizontal="center"/>
    </xf>
    <xf numFmtId="2" fontId="1" fillId="2" borderId="5" xfId="0" applyNumberFormat="1" applyFont="1" applyFill="1" applyBorder="1" applyAlignment="1" applyProtection="1">
      <alignment horizontal="center"/>
    </xf>
    <xf numFmtId="0" fontId="1" fillId="6" borderId="7" xfId="0" applyFont="1" applyFill="1" applyBorder="1" applyAlignment="1" applyProtection="1">
      <alignment horizontal="center"/>
    </xf>
    <xf numFmtId="0" fontId="1" fillId="6" borderId="7" xfId="0" applyNumberFormat="1" applyFont="1" applyFill="1" applyBorder="1" applyAlignment="1" applyProtection="1">
      <alignment horizontal="center"/>
    </xf>
    <xf numFmtId="0" fontId="2" fillId="6" borderId="7" xfId="0" applyFont="1" applyFill="1" applyBorder="1" applyAlignment="1" applyProtection="1">
      <alignment horizontal="center"/>
    </xf>
    <xf numFmtId="0" fontId="1" fillId="7" borderId="7" xfId="0" applyFont="1" applyFill="1" applyBorder="1" applyAlignment="1"/>
    <xf numFmtId="0" fontId="2" fillId="7" borderId="7" xfId="0" applyFont="1" applyFill="1" applyBorder="1" applyAlignment="1" applyProtection="1">
      <alignment horizontal="center"/>
    </xf>
    <xf numFmtId="0" fontId="2" fillId="6" borderId="7" xfId="0" applyFont="1" applyFill="1" applyBorder="1" applyAlignment="1"/>
    <xf numFmtId="0" fontId="1" fillId="6" borderId="7" xfId="0" applyFont="1" applyFill="1" applyBorder="1" applyAlignment="1"/>
    <xf numFmtId="0" fontId="1" fillId="7" borderId="7" xfId="0" applyFont="1" applyFill="1" applyBorder="1" applyAlignment="1" applyProtection="1"/>
    <xf numFmtId="0" fontId="2" fillId="0" borderId="7" xfId="0" applyFont="1" applyFill="1" applyBorder="1" applyAlignment="1" applyProtection="1">
      <alignment horizontal="center"/>
      <protection locked="0"/>
    </xf>
    <xf numFmtId="0" fontId="2" fillId="6" borderId="7" xfId="0" applyFont="1" applyFill="1" applyBorder="1" applyAlignment="1" applyProtection="1">
      <alignment horizontal="center"/>
      <protection locked="0"/>
    </xf>
    <xf numFmtId="2" fontId="1" fillId="6" borderId="7" xfId="0" applyNumberFormat="1" applyFont="1" applyFill="1" applyBorder="1" applyAlignment="1" applyProtection="1">
      <alignment horizontal="center"/>
      <protection locked="0"/>
    </xf>
    <xf numFmtId="0" fontId="2" fillId="6" borderId="5" xfId="0" applyFont="1" applyFill="1" applyBorder="1" applyAlignment="1" applyProtection="1">
      <alignment horizontal="center"/>
      <protection locked="0"/>
    </xf>
    <xf numFmtId="0" fontId="2" fillId="8" borderId="7" xfId="0" applyFont="1" applyFill="1" applyBorder="1" applyAlignment="1" applyProtection="1">
      <alignment horizontal="center"/>
      <protection locked="0"/>
    </xf>
    <xf numFmtId="2" fontId="1" fillId="8" borderId="7" xfId="0" applyNumberFormat="1" applyFont="1" applyFill="1" applyBorder="1" applyAlignment="1" applyProtection="1">
      <alignment horizontal="center"/>
      <protection locked="0"/>
    </xf>
    <xf numFmtId="0" fontId="1" fillId="6" borderId="9" xfId="0" applyFont="1" applyFill="1" applyBorder="1" applyAlignment="1" applyProtection="1">
      <alignment horizontal="center"/>
      <protection locked="0"/>
    </xf>
    <xf numFmtId="0" fontId="1" fillId="6" borderId="6" xfId="0" applyFont="1" applyFill="1" applyBorder="1" applyAlignment="1" applyProtection="1">
      <alignment horizontal="center"/>
      <protection locked="0"/>
    </xf>
    <xf numFmtId="2" fontId="1" fillId="9" borderId="8" xfId="0" applyNumberFormat="1" applyFont="1" applyFill="1" applyBorder="1" applyAlignment="1" applyProtection="1">
      <alignment horizontal="center"/>
      <protection locked="0"/>
    </xf>
    <xf numFmtId="2" fontId="1" fillId="0" borderId="5" xfId="0" applyNumberFormat="1" applyFont="1" applyFill="1" applyBorder="1" applyAlignment="1" applyProtection="1">
      <alignment horizontal="center"/>
    </xf>
    <xf numFmtId="2" fontId="1" fillId="0" borderId="6" xfId="0" applyNumberFormat="1" applyFont="1" applyFill="1" applyBorder="1" applyAlignment="1" applyProtection="1">
      <alignment horizontal="center"/>
    </xf>
    <xf numFmtId="2" fontId="1" fillId="3" borderId="5" xfId="0" applyNumberFormat="1" applyFont="1" applyFill="1" applyBorder="1" applyAlignment="1" applyProtection="1">
      <alignment horizontal="center"/>
    </xf>
    <xf numFmtId="2" fontId="1" fillId="3" borderId="6" xfId="0" applyNumberFormat="1" applyFont="1" applyFill="1" applyBorder="1" applyAlignment="1" applyProtection="1">
      <alignment horizontal="center"/>
    </xf>
    <xf numFmtId="2" fontId="1" fillId="2" borderId="10" xfId="0" applyNumberFormat="1" applyFont="1" applyFill="1" applyBorder="1" applyAlignment="1" applyProtection="1">
      <alignment horizontal="center"/>
    </xf>
    <xf numFmtId="0" fontId="2" fillId="2" borderId="5" xfId="0" applyFont="1" applyFill="1" applyBorder="1" applyAlignment="1" applyProtection="1">
      <alignment horizontal="center"/>
    </xf>
    <xf numFmtId="2" fontId="2" fillId="2" borderId="5" xfId="0" applyNumberFormat="1" applyFont="1" applyFill="1" applyBorder="1" applyAlignment="1" applyProtection="1">
      <alignment horizontal="center"/>
    </xf>
    <xf numFmtId="2" fontId="1" fillId="2" borderId="9" xfId="0" applyNumberFormat="1" applyFont="1" applyFill="1" applyBorder="1" applyAlignment="1">
      <alignment horizontal="center"/>
    </xf>
    <xf numFmtId="2" fontId="1" fillId="2" borderId="5" xfId="0" applyNumberFormat="1" applyFont="1" applyFill="1" applyBorder="1">
      <alignment horizontal="centerContinuous"/>
    </xf>
    <xf numFmtId="2" fontId="1" fillId="2" borderId="11" xfId="0" applyNumberFormat="1" applyFont="1" applyFill="1" applyBorder="1">
      <alignment horizontal="centerContinuous"/>
    </xf>
    <xf numFmtId="2" fontId="1" fillId="2" borderId="12" xfId="0" applyNumberFormat="1" applyFont="1" applyFill="1" applyBorder="1">
      <alignment horizontal="centerContinuous"/>
    </xf>
    <xf numFmtId="2" fontId="1" fillId="2" borderId="13" xfId="0" applyNumberFormat="1" applyFont="1" applyFill="1" applyBorder="1">
      <alignment horizontal="centerContinuous"/>
    </xf>
    <xf numFmtId="2" fontId="1" fillId="0" borderId="10" xfId="0" applyNumberFormat="1" applyFont="1" applyFill="1" applyBorder="1" applyAlignment="1" applyProtection="1">
      <alignment horizontal="center"/>
    </xf>
    <xf numFmtId="2" fontId="2" fillId="0" borderId="5" xfId="0" applyNumberFormat="1" applyFont="1" applyFill="1" applyBorder="1" applyAlignment="1" applyProtection="1">
      <alignment horizontal="center"/>
    </xf>
    <xf numFmtId="2" fontId="1" fillId="0" borderId="9" xfId="0" applyNumberFormat="1" applyFont="1" applyFill="1" applyBorder="1" applyAlignment="1">
      <alignment horizontal="center"/>
    </xf>
    <xf numFmtId="2" fontId="1" fillId="0" borderId="5" xfId="0" applyNumberFormat="1" applyFont="1" applyFill="1" applyBorder="1">
      <alignment horizontal="centerContinuous"/>
    </xf>
    <xf numFmtId="2" fontId="1" fillId="0" borderId="11" xfId="0" applyNumberFormat="1" applyFont="1" applyFill="1" applyBorder="1">
      <alignment horizontal="centerContinuous"/>
    </xf>
    <xf numFmtId="2" fontId="1" fillId="0" borderId="12" xfId="0" applyNumberFormat="1" applyFont="1" applyFill="1" applyBorder="1">
      <alignment horizontal="centerContinuous"/>
    </xf>
    <xf numFmtId="2" fontId="1" fillId="0" borderId="13" xfId="0" applyNumberFormat="1" applyFont="1" applyFill="1" applyBorder="1">
      <alignment horizontal="centerContinuous"/>
    </xf>
    <xf numFmtId="2" fontId="1" fillId="3" borderId="10" xfId="0" applyNumberFormat="1" applyFont="1" applyFill="1" applyBorder="1" applyAlignment="1" applyProtection="1">
      <alignment horizontal="center"/>
    </xf>
    <xf numFmtId="2" fontId="2" fillId="3" borderId="5" xfId="0" applyNumberFormat="1" applyFont="1" applyFill="1" applyBorder="1" applyAlignment="1" applyProtection="1">
      <alignment horizontal="center"/>
    </xf>
    <xf numFmtId="2" fontId="1" fillId="3" borderId="9" xfId="0" applyNumberFormat="1" applyFont="1" applyFill="1" applyBorder="1" applyAlignment="1">
      <alignment horizontal="center"/>
    </xf>
    <xf numFmtId="2" fontId="1" fillId="3" borderId="5" xfId="0" applyNumberFormat="1" applyFont="1" applyFill="1" applyBorder="1">
      <alignment horizontal="centerContinuous"/>
    </xf>
    <xf numFmtId="2" fontId="1" fillId="3" borderId="11" xfId="0" applyNumberFormat="1" applyFont="1" applyFill="1" applyBorder="1">
      <alignment horizontal="centerContinuous"/>
    </xf>
    <xf numFmtId="2" fontId="1" fillId="3" borderId="12" xfId="0" applyNumberFormat="1" applyFont="1" applyFill="1" applyBorder="1">
      <alignment horizontal="centerContinuous"/>
    </xf>
    <xf numFmtId="2" fontId="1" fillId="3" borderId="13" xfId="0" applyNumberFormat="1" applyFont="1" applyFill="1" applyBorder="1">
      <alignment horizontal="centerContinuous"/>
    </xf>
    <xf numFmtId="2" fontId="1" fillId="9" borderId="5" xfId="0" applyNumberFormat="1" applyFont="1" applyFill="1" applyBorder="1">
      <alignment horizontal="centerContinuous"/>
    </xf>
    <xf numFmtId="2" fontId="1" fillId="9" borderId="11" xfId="0" applyNumberFormat="1" applyFont="1" applyFill="1" applyBorder="1">
      <alignment horizontal="centerContinuous"/>
    </xf>
    <xf numFmtId="2" fontId="1" fillId="9" borderId="9" xfId="0" applyNumberFormat="1" applyFont="1" applyFill="1" applyBorder="1" applyAlignment="1">
      <alignment horizontal="center"/>
    </xf>
    <xf numFmtId="2" fontId="1" fillId="9" borderId="13" xfId="0" applyNumberFormat="1" applyFont="1" applyFill="1" applyBorder="1">
      <alignment horizontal="centerContinuous"/>
    </xf>
    <xf numFmtId="2" fontId="1" fillId="5" borderId="5" xfId="0" applyNumberFormat="1" applyFont="1" applyFill="1" applyBorder="1" applyAlignment="1" applyProtection="1">
      <alignment horizontal="center"/>
    </xf>
    <xf numFmtId="2" fontId="1" fillId="5" borderId="6" xfId="0" applyNumberFormat="1" applyFont="1" applyFill="1" applyBorder="1" applyAlignment="1" applyProtection="1">
      <alignment horizontal="center"/>
    </xf>
    <xf numFmtId="2" fontId="1" fillId="6" borderId="9" xfId="0" applyNumberFormat="1" applyFont="1" applyFill="1" applyBorder="1" applyAlignment="1">
      <alignment horizontal="center"/>
    </xf>
    <xf numFmtId="2" fontId="1" fillId="6" borderId="5" xfId="0" applyNumberFormat="1" applyFont="1" applyFill="1" applyBorder="1">
      <alignment horizontal="centerContinuous"/>
    </xf>
    <xf numFmtId="2" fontId="1" fillId="6" borderId="5" xfId="0" applyNumberFormat="1" applyFont="1" applyFill="1" applyBorder="1" applyAlignment="1">
      <alignment horizontal="center"/>
    </xf>
    <xf numFmtId="2" fontId="1" fillId="5" borderId="9" xfId="0" applyNumberFormat="1" applyFont="1" applyFill="1" applyBorder="1" applyAlignment="1">
      <alignment horizontal="center"/>
    </xf>
    <xf numFmtId="2" fontId="1" fillId="5" borderId="5" xfId="0" applyNumberFormat="1" applyFont="1" applyFill="1" applyBorder="1">
      <alignment horizontal="centerContinuous"/>
    </xf>
    <xf numFmtId="2" fontId="1" fillId="5" borderId="6" xfId="0" applyNumberFormat="1" applyFont="1" applyFill="1" applyBorder="1">
      <alignment horizontal="centerContinuous"/>
    </xf>
    <xf numFmtId="2" fontId="1" fillId="5" borderId="5" xfId="0" applyNumberFormat="1" applyFont="1" applyFill="1" applyBorder="1" applyAlignment="1">
      <alignment horizontal="center"/>
    </xf>
    <xf numFmtId="0" fontId="1" fillId="6" borderId="7" xfId="0" applyFont="1" applyFill="1" applyBorder="1" applyAlignment="1" applyProtection="1">
      <alignment horizontal="center"/>
      <protection locked="0"/>
    </xf>
    <xf numFmtId="0" fontId="3" fillId="6" borderId="7" xfId="0" applyFont="1" applyFill="1" applyBorder="1">
      <alignment horizontal="centerContinuous"/>
    </xf>
    <xf numFmtId="0" fontId="1" fillId="6" borderId="7" xfId="0" applyFont="1" applyFill="1" applyBorder="1" applyAlignment="1">
      <alignment horizontal="center"/>
    </xf>
    <xf numFmtId="0" fontId="5" fillId="4" borderId="14" xfId="0" applyFont="1" applyFill="1" applyBorder="1" applyAlignment="1" applyProtection="1">
      <alignment horizontal="center"/>
      <protection locked="0"/>
    </xf>
    <xf numFmtId="0" fontId="5" fillId="4" borderId="14" xfId="0" applyFont="1" applyFill="1" applyBorder="1" applyAlignment="1">
      <alignment horizontal="center"/>
    </xf>
    <xf numFmtId="2" fontId="1" fillId="0" borderId="8" xfId="0" applyNumberFormat="1" applyFont="1" applyFill="1" applyBorder="1" applyAlignment="1" applyProtection="1">
      <alignment horizontal="center"/>
      <protection locked="0"/>
    </xf>
    <xf numFmtId="0" fontId="5" fillId="0" borderId="14" xfId="0" applyFont="1" applyFill="1" applyBorder="1" applyAlignment="1" applyProtection="1">
      <alignment horizontal="center"/>
      <protection locked="0"/>
    </xf>
    <xf numFmtId="0" fontId="5" fillId="9" borderId="14" xfId="0" applyFont="1" applyFill="1" applyBorder="1" applyAlignment="1" applyProtection="1">
      <alignment horizontal="center"/>
      <protection locked="0"/>
    </xf>
    <xf numFmtId="2" fontId="1" fillId="3" borderId="8" xfId="0" applyNumberFormat="1" applyFont="1" applyFill="1" applyBorder="1" applyAlignment="1" applyProtection="1">
      <alignment horizontal="center"/>
      <protection locked="0"/>
    </xf>
    <xf numFmtId="0" fontId="5" fillId="3" borderId="14" xfId="0" applyFont="1" applyFill="1" applyBorder="1" applyAlignment="1" applyProtection="1">
      <alignment horizontal="center"/>
      <protection locked="0"/>
    </xf>
    <xf numFmtId="2" fontId="1" fillId="9" borderId="10" xfId="0" applyNumberFormat="1" applyFont="1" applyFill="1" applyBorder="1" applyAlignment="1" applyProtection="1">
      <alignment horizontal="center"/>
    </xf>
    <xf numFmtId="0" fontId="2" fillId="9" borderId="5" xfId="0" applyFont="1" applyFill="1" applyBorder="1" applyAlignment="1" applyProtection="1">
      <alignment horizontal="center"/>
    </xf>
    <xf numFmtId="2" fontId="1" fillId="9" borderId="6" xfId="0" applyNumberFormat="1" applyFont="1" applyFill="1" applyBorder="1" applyAlignment="1" applyProtection="1">
      <alignment horizontal="center"/>
    </xf>
    <xf numFmtId="2" fontId="1" fillId="9" borderId="5" xfId="0" applyNumberFormat="1" applyFont="1" applyFill="1" applyBorder="1" applyAlignment="1" applyProtection="1">
      <alignment horizontal="center"/>
    </xf>
    <xf numFmtId="2" fontId="2" fillId="9" borderId="5" xfId="0" applyNumberFormat="1" applyFont="1" applyFill="1" applyBorder="1" applyAlignment="1" applyProtection="1">
      <alignment horizontal="center"/>
    </xf>
    <xf numFmtId="0" fontId="1" fillId="9" borderId="5" xfId="0" applyFont="1" applyFill="1" applyBorder="1" applyAlignment="1" applyProtection="1">
      <alignment horizontal="center"/>
    </xf>
    <xf numFmtId="2" fontId="1" fillId="9" borderId="12" xfId="0" applyNumberFormat="1" applyFont="1" applyFill="1" applyBorder="1">
      <alignment horizontal="centerContinuous"/>
    </xf>
    <xf numFmtId="0" fontId="0" fillId="0" borderId="0" xfId="0" applyFill="1" applyAlignment="1">
      <alignment horizontal="center"/>
    </xf>
    <xf numFmtId="0" fontId="2" fillId="0" borderId="8" xfId="0" applyFont="1" applyFill="1" applyBorder="1" applyAlignment="1" applyProtection="1">
      <alignment horizontal="center"/>
      <protection locked="0"/>
    </xf>
    <xf numFmtId="0" fontId="6" fillId="0" borderId="7" xfId="0" applyFont="1" applyFill="1" applyBorder="1" applyAlignment="1">
      <alignment horizontal="center"/>
    </xf>
    <xf numFmtId="0" fontId="0" fillId="0" borderId="14" xfId="0" applyFill="1" applyBorder="1" applyAlignment="1">
      <alignment horizontal="center"/>
    </xf>
    <xf numFmtId="0" fontId="1" fillId="6" borderId="8" xfId="0" applyFont="1" applyFill="1" applyBorder="1" applyAlignment="1" applyProtection="1">
      <alignment horizontal="center"/>
    </xf>
    <xf numFmtId="0" fontId="5" fillId="6" borderId="14" xfId="0" applyFont="1" applyFill="1" applyBorder="1" applyAlignment="1">
      <alignment horizontal="center"/>
    </xf>
    <xf numFmtId="0" fontId="0" fillId="0" borderId="0" xfId="0" applyAlignment="1">
      <alignment horizontal="center"/>
    </xf>
    <xf numFmtId="0" fontId="10" fillId="0" borderId="0" xfId="0" applyFont="1" applyFill="1">
      <alignment horizontal="centerContinuous"/>
    </xf>
    <xf numFmtId="0" fontId="12" fillId="0" borderId="0" xfId="0" applyFont="1" applyFill="1">
      <alignment horizontal="centerContinuous"/>
    </xf>
    <xf numFmtId="0" fontId="10" fillId="0" borderId="0" xfId="0" applyFont="1">
      <alignment horizontal="centerContinuous"/>
    </xf>
    <xf numFmtId="0" fontId="10" fillId="0" borderId="0" xfId="0" applyFont="1" applyFill="1" applyAlignment="1">
      <alignment horizontal="center"/>
    </xf>
    <xf numFmtId="0" fontId="11" fillId="0" borderId="4" xfId="0" applyFont="1" applyFill="1" applyBorder="1" applyAlignment="1" applyProtection="1">
      <alignment horizontal="center"/>
      <protection locked="0"/>
    </xf>
    <xf numFmtId="0" fontId="11" fillId="0" borderId="7" xfId="0" applyFont="1" applyFill="1" applyBorder="1" applyAlignment="1" applyProtection="1">
      <alignment horizontal="center"/>
      <protection locked="0"/>
    </xf>
    <xf numFmtId="0" fontId="11" fillId="0" borderId="5" xfId="0" applyFont="1" applyFill="1" applyBorder="1" applyAlignment="1" applyProtection="1">
      <alignment horizontal="center"/>
      <protection locked="0"/>
    </xf>
    <xf numFmtId="0" fontId="11" fillId="0" borderId="15" xfId="0" applyFont="1" applyFill="1" applyBorder="1" applyAlignment="1" applyProtection="1">
      <alignment horizontal="center"/>
      <protection locked="0"/>
    </xf>
    <xf numFmtId="0" fontId="14" fillId="0" borderId="0" xfId="0" applyFont="1" applyFill="1">
      <alignment horizontal="centerContinuous"/>
    </xf>
    <xf numFmtId="2" fontId="11" fillId="2" borderId="10" xfId="0" applyNumberFormat="1" applyFont="1" applyFill="1" applyBorder="1" applyAlignment="1" applyProtection="1">
      <alignment horizontal="center"/>
    </xf>
    <xf numFmtId="2" fontId="11" fillId="4" borderId="8" xfId="0" applyNumberFormat="1" applyFont="1" applyFill="1" applyBorder="1" applyAlignment="1" applyProtection="1">
      <alignment horizontal="center"/>
      <protection locked="0"/>
    </xf>
    <xf numFmtId="0" fontId="11" fillId="4" borderId="8" xfId="0" applyFont="1" applyFill="1" applyBorder="1" applyAlignment="1">
      <alignment horizontal="center"/>
    </xf>
    <xf numFmtId="0" fontId="11" fillId="4" borderId="8" xfId="0" applyFont="1" applyFill="1" applyBorder="1" applyAlignment="1" applyProtection="1">
      <alignment horizontal="center"/>
    </xf>
    <xf numFmtId="0" fontId="11" fillId="4" borderId="8" xfId="0" applyNumberFormat="1" applyFont="1" applyFill="1" applyBorder="1" applyAlignment="1" applyProtection="1">
      <alignment horizontal="center"/>
    </xf>
    <xf numFmtId="2" fontId="11" fillId="4" borderId="8" xfId="1" applyNumberFormat="1" applyFont="1" applyFill="1" applyBorder="1" applyAlignment="1" applyProtection="1">
      <alignment horizontal="center"/>
      <protection locked="0"/>
    </xf>
    <xf numFmtId="0" fontId="13" fillId="2" borderId="5" xfId="0" applyFont="1" applyFill="1" applyBorder="1" applyAlignment="1" applyProtection="1">
      <alignment horizontal="center"/>
    </xf>
    <xf numFmtId="0" fontId="13" fillId="4" borderId="7" xfId="0" applyFont="1" applyFill="1" applyBorder="1" applyAlignment="1" applyProtection="1">
      <alignment horizontal="center"/>
      <protection locked="0"/>
    </xf>
    <xf numFmtId="0" fontId="13" fillId="4" borderId="7" xfId="0" applyFont="1" applyFill="1" applyBorder="1" applyAlignment="1">
      <alignment horizontal="center"/>
    </xf>
    <xf numFmtId="0" fontId="13" fillId="4" borderId="7" xfId="0" applyFont="1" applyFill="1" applyBorder="1" applyAlignment="1" applyProtection="1">
      <alignment horizontal="center"/>
    </xf>
    <xf numFmtId="2" fontId="13" fillId="4" borderId="7" xfId="1" applyNumberFormat="1" applyFont="1" applyFill="1" applyBorder="1" applyAlignment="1" applyProtection="1">
      <alignment horizontal="center"/>
      <protection locked="0"/>
    </xf>
    <xf numFmtId="0" fontId="10" fillId="0" borderId="0" xfId="0" applyFont="1" applyFill="1" applyBorder="1">
      <alignment horizontal="centerContinuous"/>
    </xf>
    <xf numFmtId="2" fontId="11" fillId="2" borderId="6" xfId="0" applyNumberFormat="1" applyFont="1" applyFill="1" applyBorder="1" applyAlignment="1" applyProtection="1">
      <alignment horizontal="center"/>
    </xf>
    <xf numFmtId="0" fontId="15" fillId="4" borderId="14" xfId="0" applyFont="1" applyFill="1" applyBorder="1" applyAlignment="1" applyProtection="1">
      <alignment horizontal="center"/>
      <protection locked="0"/>
    </xf>
    <xf numFmtId="0" fontId="15" fillId="4" borderId="14" xfId="0" applyFont="1" applyFill="1" applyBorder="1" applyAlignment="1">
      <alignment horizontal="center"/>
    </xf>
    <xf numFmtId="2" fontId="11" fillId="2" borderId="5" xfId="0" applyNumberFormat="1" applyFont="1" applyFill="1" applyBorder="1" applyAlignment="1" applyProtection="1">
      <alignment horizontal="center"/>
    </xf>
    <xf numFmtId="2" fontId="13" fillId="2" borderId="5" xfId="0" applyNumberFormat="1" applyFont="1" applyFill="1" applyBorder="1" applyAlignment="1" applyProtection="1">
      <alignment horizontal="center"/>
    </xf>
    <xf numFmtId="0" fontId="11" fillId="2" borderId="5" xfId="0" applyFont="1" applyFill="1" applyBorder="1" applyAlignment="1" applyProtection="1">
      <alignment horizontal="center"/>
    </xf>
    <xf numFmtId="2" fontId="11" fillId="2" borderId="9" xfId="0" applyNumberFormat="1" applyFont="1" applyFill="1" applyBorder="1" applyAlignment="1">
      <alignment horizontal="center"/>
    </xf>
    <xf numFmtId="2" fontId="11" fillId="2" borderId="5" xfId="0" applyNumberFormat="1" applyFont="1" applyFill="1" applyBorder="1">
      <alignment horizontal="centerContinuous"/>
    </xf>
    <xf numFmtId="2" fontId="11" fillId="2" borderId="11" xfId="0" applyNumberFormat="1" applyFont="1" applyFill="1" applyBorder="1">
      <alignment horizontal="centerContinuous"/>
    </xf>
    <xf numFmtId="2" fontId="11" fillId="2" borderId="12" xfId="0" applyNumberFormat="1" applyFont="1" applyFill="1" applyBorder="1">
      <alignment horizontal="centerContinuous"/>
    </xf>
    <xf numFmtId="2" fontId="11" fillId="2" borderId="13" xfId="0" applyNumberFormat="1" applyFont="1" applyFill="1" applyBorder="1">
      <alignment horizontal="centerContinuous"/>
    </xf>
    <xf numFmtId="2" fontId="11" fillId="0" borderId="10" xfId="0" applyNumberFormat="1" applyFont="1" applyFill="1" applyBorder="1" applyAlignment="1" applyProtection="1">
      <alignment horizontal="center"/>
    </xf>
    <xf numFmtId="2" fontId="11" fillId="0" borderId="8" xfId="0" applyNumberFormat="1" applyFont="1" applyFill="1" applyBorder="1" applyAlignment="1" applyProtection="1">
      <alignment horizontal="center"/>
      <protection locked="0"/>
    </xf>
    <xf numFmtId="2" fontId="11" fillId="0" borderId="8" xfId="1" applyNumberFormat="1" applyFont="1" applyFill="1" applyBorder="1" applyAlignment="1" applyProtection="1">
      <alignment horizontal="center"/>
      <protection locked="0"/>
    </xf>
    <xf numFmtId="0" fontId="11" fillId="0" borderId="8" xfId="0" applyNumberFormat="1" applyFont="1" applyFill="1" applyBorder="1" applyAlignment="1" applyProtection="1">
      <alignment horizontal="center"/>
    </xf>
    <xf numFmtId="0" fontId="13" fillId="0" borderId="5" xfId="0" applyFont="1" applyFill="1" applyBorder="1" applyAlignment="1" applyProtection="1">
      <alignment horizontal="center"/>
    </xf>
    <xf numFmtId="0" fontId="13" fillId="0" borderId="7" xfId="0" applyFont="1" applyFill="1" applyBorder="1" applyAlignment="1" applyProtection="1">
      <alignment horizontal="center"/>
      <protection locked="0"/>
    </xf>
    <xf numFmtId="2" fontId="11" fillId="0" borderId="6" xfId="0" applyNumberFormat="1" applyFont="1" applyFill="1" applyBorder="1" applyAlignment="1" applyProtection="1">
      <alignment horizontal="center"/>
    </xf>
    <xf numFmtId="0" fontId="15" fillId="0" borderId="14" xfId="0" applyFont="1" applyFill="1" applyBorder="1" applyAlignment="1" applyProtection="1">
      <alignment horizontal="center"/>
      <protection locked="0"/>
    </xf>
    <xf numFmtId="2" fontId="11" fillId="0" borderId="5" xfId="0" applyNumberFormat="1" applyFont="1" applyFill="1" applyBorder="1" applyAlignment="1" applyProtection="1">
      <alignment horizontal="center"/>
    </xf>
    <xf numFmtId="0" fontId="11" fillId="0" borderId="8" xfId="0" applyFont="1" applyFill="1" applyBorder="1" applyAlignment="1" applyProtection="1">
      <alignment horizontal="center"/>
    </xf>
    <xf numFmtId="2" fontId="13" fillId="0" borderId="5" xfId="0" applyNumberFormat="1" applyFont="1" applyFill="1" applyBorder="1" applyAlignment="1" applyProtection="1">
      <alignment horizontal="center"/>
    </xf>
    <xf numFmtId="0" fontId="11" fillId="0" borderId="8" xfId="0" applyFont="1" applyFill="1" applyBorder="1" applyAlignment="1">
      <alignment horizontal="center"/>
    </xf>
    <xf numFmtId="0" fontId="11" fillId="0" borderId="5" xfId="0" applyFont="1" applyFill="1" applyBorder="1" applyAlignment="1" applyProtection="1">
      <alignment horizontal="center"/>
    </xf>
    <xf numFmtId="2" fontId="11" fillId="0" borderId="9" xfId="0" applyNumberFormat="1" applyFont="1" applyFill="1" applyBorder="1" applyAlignment="1">
      <alignment horizontal="center"/>
    </xf>
    <xf numFmtId="2" fontId="11" fillId="0" borderId="5" xfId="0" applyNumberFormat="1" applyFont="1" applyFill="1" applyBorder="1">
      <alignment horizontal="centerContinuous"/>
    </xf>
    <xf numFmtId="2" fontId="11" fillId="0" borderId="11" xfId="0" applyNumberFormat="1" applyFont="1" applyFill="1" applyBorder="1">
      <alignment horizontal="centerContinuous"/>
    </xf>
    <xf numFmtId="2" fontId="11" fillId="0" borderId="12" xfId="0" applyNumberFormat="1" applyFont="1" applyFill="1" applyBorder="1">
      <alignment horizontal="centerContinuous"/>
    </xf>
    <xf numFmtId="2" fontId="11" fillId="0" borderId="13" xfId="0" applyNumberFormat="1" applyFont="1" applyFill="1" applyBorder="1">
      <alignment horizontal="centerContinuous"/>
    </xf>
    <xf numFmtId="2" fontId="11" fillId="3" borderId="10" xfId="0" applyNumberFormat="1" applyFont="1" applyFill="1" applyBorder="1" applyAlignment="1" applyProtection="1">
      <alignment horizontal="center"/>
    </xf>
    <xf numFmtId="2" fontId="11" fillId="3" borderId="8" xfId="0" applyNumberFormat="1" applyFont="1" applyFill="1" applyBorder="1" applyAlignment="1" applyProtection="1">
      <alignment horizontal="center"/>
      <protection locked="0"/>
    </xf>
    <xf numFmtId="0" fontId="11" fillId="10" borderId="8" xfId="0" applyNumberFormat="1" applyFont="1" applyFill="1" applyBorder="1" applyAlignment="1" applyProtection="1">
      <alignment horizontal="center"/>
    </xf>
    <xf numFmtId="0" fontId="13" fillId="3" borderId="5" xfId="0" applyFont="1" applyFill="1" applyBorder="1" applyAlignment="1" applyProtection="1">
      <alignment horizontal="center"/>
    </xf>
    <xf numFmtId="0" fontId="13" fillId="3" borderId="7" xfId="0" applyFont="1" applyFill="1" applyBorder="1" applyAlignment="1" applyProtection="1">
      <alignment horizontal="center"/>
      <protection locked="0"/>
    </xf>
    <xf numFmtId="2" fontId="11" fillId="3" borderId="6" xfId="0" applyNumberFormat="1" applyFont="1" applyFill="1" applyBorder="1" applyAlignment="1" applyProtection="1">
      <alignment horizontal="center"/>
    </xf>
    <xf numFmtId="0" fontId="15" fillId="3" borderId="14" xfId="0" applyFont="1" applyFill="1" applyBorder="1" applyAlignment="1" applyProtection="1">
      <alignment horizontal="center"/>
      <protection locked="0"/>
    </xf>
    <xf numFmtId="2" fontId="11" fillId="3" borderId="5" xfId="0" applyNumberFormat="1" applyFont="1" applyFill="1" applyBorder="1" applyAlignment="1" applyProtection="1">
      <alignment horizontal="center"/>
    </xf>
    <xf numFmtId="2" fontId="13" fillId="3" borderId="5" xfId="0" applyNumberFormat="1" applyFont="1" applyFill="1" applyBorder="1" applyAlignment="1" applyProtection="1">
      <alignment horizontal="center"/>
    </xf>
    <xf numFmtId="0" fontId="11" fillId="3" borderId="7" xfId="0" applyFont="1" applyFill="1" applyBorder="1" applyAlignment="1" applyProtection="1">
      <alignment horizontal="center"/>
    </xf>
    <xf numFmtId="0" fontId="11" fillId="3" borderId="5" xfId="0" applyFont="1" applyFill="1" applyBorder="1" applyAlignment="1" applyProtection="1">
      <alignment horizontal="center"/>
    </xf>
    <xf numFmtId="2" fontId="11" fillId="3" borderId="9" xfId="0" applyNumberFormat="1" applyFont="1" applyFill="1" applyBorder="1" applyAlignment="1">
      <alignment horizontal="center"/>
    </xf>
    <xf numFmtId="2" fontId="11" fillId="3" borderId="5" xfId="0" applyNumberFormat="1" applyFont="1" applyFill="1" applyBorder="1">
      <alignment horizontal="centerContinuous"/>
    </xf>
    <xf numFmtId="2" fontId="11" fillId="3" borderId="11" xfId="0" applyNumberFormat="1" applyFont="1" applyFill="1" applyBorder="1">
      <alignment horizontal="centerContinuous"/>
    </xf>
    <xf numFmtId="2" fontId="11" fillId="3" borderId="12" xfId="0" applyNumberFormat="1" applyFont="1" applyFill="1" applyBorder="1">
      <alignment horizontal="centerContinuous"/>
    </xf>
    <xf numFmtId="2" fontId="11" fillId="3" borderId="7" xfId="0" applyNumberFormat="1" applyFont="1" applyFill="1" applyBorder="1" applyAlignment="1" applyProtection="1">
      <alignment horizontal="center"/>
      <protection locked="0"/>
    </xf>
    <xf numFmtId="2" fontId="11" fillId="3" borderId="13" xfId="0" applyNumberFormat="1" applyFont="1" applyFill="1" applyBorder="1">
      <alignment horizontal="centerContinuous"/>
    </xf>
    <xf numFmtId="0" fontId="12" fillId="0" borderId="0" xfId="0" applyFont="1" applyFill="1" applyBorder="1">
      <alignment horizontal="centerContinuous"/>
    </xf>
    <xf numFmtId="0" fontId="13" fillId="0" borderId="0" xfId="0" applyFont="1" applyFill="1">
      <alignment horizontal="centerContinuous"/>
    </xf>
    <xf numFmtId="2" fontId="11" fillId="9" borderId="10" xfId="0" applyNumberFormat="1" applyFont="1" applyFill="1" applyBorder="1" applyAlignment="1" applyProtection="1">
      <alignment horizontal="center"/>
    </xf>
    <xf numFmtId="2" fontId="11" fillId="9" borderId="8" xfId="0" applyNumberFormat="1" applyFont="1" applyFill="1" applyBorder="1" applyAlignment="1" applyProtection="1">
      <alignment horizontal="center"/>
      <protection locked="0"/>
    </xf>
    <xf numFmtId="0" fontId="13" fillId="9" borderId="5" xfId="0" applyFont="1" applyFill="1" applyBorder="1" applyAlignment="1" applyProtection="1">
      <alignment horizontal="center"/>
    </xf>
    <xf numFmtId="0" fontId="13" fillId="9" borderId="7" xfId="0" applyFont="1" applyFill="1" applyBorder="1" applyAlignment="1" applyProtection="1">
      <alignment horizontal="center"/>
      <protection locked="0"/>
    </xf>
    <xf numFmtId="2" fontId="11" fillId="9" borderId="6" xfId="0" applyNumberFormat="1" applyFont="1" applyFill="1" applyBorder="1" applyAlignment="1" applyProtection="1">
      <alignment horizontal="center"/>
    </xf>
    <xf numFmtId="0" fontId="15" fillId="9" borderId="14" xfId="0" applyFont="1" applyFill="1" applyBorder="1" applyAlignment="1" applyProtection="1">
      <alignment horizontal="center"/>
      <protection locked="0"/>
    </xf>
    <xf numFmtId="2" fontId="11" fillId="9" borderId="5" xfId="0" applyNumberFormat="1" applyFont="1" applyFill="1" applyBorder="1" applyAlignment="1" applyProtection="1">
      <alignment horizontal="center"/>
    </xf>
    <xf numFmtId="2" fontId="13" fillId="9" borderId="5" xfId="0" applyNumberFormat="1" applyFont="1" applyFill="1" applyBorder="1" applyAlignment="1" applyProtection="1">
      <alignment horizontal="center"/>
    </xf>
    <xf numFmtId="0" fontId="11" fillId="9" borderId="5" xfId="0" applyFont="1" applyFill="1" applyBorder="1" applyAlignment="1" applyProtection="1">
      <alignment horizontal="center"/>
    </xf>
    <xf numFmtId="0" fontId="14" fillId="0" borderId="0" xfId="0" applyFont="1" applyFill="1" applyBorder="1">
      <alignment horizontal="centerContinuous"/>
    </xf>
    <xf numFmtId="2" fontId="11" fillId="9" borderId="9" xfId="0" applyNumberFormat="1" applyFont="1" applyFill="1" applyBorder="1" applyAlignment="1">
      <alignment horizontal="center"/>
    </xf>
    <xf numFmtId="2" fontId="11" fillId="9" borderId="5" xfId="0" applyNumberFormat="1" applyFont="1" applyFill="1" applyBorder="1">
      <alignment horizontal="centerContinuous"/>
    </xf>
    <xf numFmtId="2" fontId="11" fillId="9" borderId="11" xfId="0" applyNumberFormat="1" applyFont="1" applyFill="1" applyBorder="1">
      <alignment horizontal="centerContinuous"/>
    </xf>
    <xf numFmtId="0" fontId="10" fillId="11" borderId="0" xfId="0" applyFont="1" applyFill="1">
      <alignment horizontal="centerContinuous"/>
    </xf>
    <xf numFmtId="0" fontId="10" fillId="11" borderId="0" xfId="0" applyFont="1" applyFill="1" applyBorder="1">
      <alignment horizontal="centerContinuous"/>
    </xf>
    <xf numFmtId="2" fontId="11" fillId="9" borderId="12" xfId="0" applyNumberFormat="1" applyFont="1" applyFill="1" applyBorder="1">
      <alignment horizontal="centerContinuous"/>
    </xf>
    <xf numFmtId="2" fontId="11" fillId="9" borderId="13" xfId="0" applyNumberFormat="1" applyFont="1" applyFill="1" applyBorder="1">
      <alignment horizontal="centerContinuous"/>
    </xf>
    <xf numFmtId="2" fontId="11" fillId="5" borderId="5" xfId="0" applyNumberFormat="1" applyFont="1" applyFill="1" applyBorder="1" applyAlignment="1" applyProtection="1">
      <alignment horizontal="center"/>
    </xf>
    <xf numFmtId="0" fontId="13" fillId="5" borderId="5" xfId="0" applyFont="1" applyFill="1" applyBorder="1" applyAlignment="1" applyProtection="1">
      <alignment horizontal="center"/>
    </xf>
    <xf numFmtId="2" fontId="11" fillId="5" borderId="6" xfId="0" applyNumberFormat="1" applyFont="1" applyFill="1" applyBorder="1" applyAlignment="1" applyProtection="1">
      <alignment horizontal="center"/>
    </xf>
    <xf numFmtId="0" fontId="11" fillId="5" borderId="5" xfId="0" applyFont="1" applyFill="1" applyBorder="1" applyAlignment="1" applyProtection="1">
      <alignment horizontal="center"/>
    </xf>
    <xf numFmtId="2" fontId="11" fillId="6" borderId="9" xfId="0" applyNumberFormat="1" applyFont="1" applyFill="1" applyBorder="1" applyAlignment="1">
      <alignment horizontal="center"/>
    </xf>
    <xf numFmtId="2" fontId="11" fillId="6" borderId="7" xfId="0" applyNumberFormat="1" applyFont="1" applyFill="1" applyBorder="1" applyAlignment="1" applyProtection="1">
      <alignment horizontal="center"/>
      <protection locked="0"/>
    </xf>
    <xf numFmtId="0" fontId="11" fillId="6" borderId="7" xfId="0" applyFont="1" applyFill="1" applyBorder="1" applyAlignment="1" applyProtection="1">
      <alignment horizontal="center"/>
    </xf>
    <xf numFmtId="2" fontId="11" fillId="6" borderId="5" xfId="0" applyNumberFormat="1" applyFont="1" applyFill="1" applyBorder="1">
      <alignment horizontal="centerContinuous"/>
    </xf>
    <xf numFmtId="2" fontId="11" fillId="6" borderId="7" xfId="0" applyNumberFormat="1" applyFont="1" applyFill="1" applyBorder="1" applyAlignment="1" applyProtection="1">
      <alignment horizontal="center"/>
    </xf>
    <xf numFmtId="2" fontId="11" fillId="6" borderId="5" xfId="0" applyNumberFormat="1" applyFont="1" applyFill="1" applyBorder="1" applyAlignment="1">
      <alignment horizontal="center"/>
    </xf>
    <xf numFmtId="2" fontId="11" fillId="5" borderId="9" xfId="0" applyNumberFormat="1" applyFont="1" applyFill="1" applyBorder="1" applyAlignment="1">
      <alignment horizontal="center"/>
    </xf>
    <xf numFmtId="2" fontId="11" fillId="5" borderId="5" xfId="0" applyNumberFormat="1" applyFont="1" applyFill="1" applyBorder="1">
      <alignment horizontal="centerContinuous"/>
    </xf>
    <xf numFmtId="2" fontId="11" fillId="5" borderId="6" xfId="0" applyNumberFormat="1" applyFont="1" applyFill="1" applyBorder="1">
      <alignment horizontal="centerContinuous"/>
    </xf>
    <xf numFmtId="2" fontId="11" fillId="5" borderId="5" xfId="0" applyNumberFormat="1" applyFont="1" applyFill="1" applyBorder="1" applyAlignment="1">
      <alignment horizontal="center"/>
    </xf>
    <xf numFmtId="0" fontId="11" fillId="0" borderId="0" xfId="0" applyFont="1" applyFill="1" applyBorder="1" applyAlignment="1">
      <alignment horizontal="center"/>
    </xf>
    <xf numFmtId="2" fontId="11" fillId="0" borderId="0" xfId="1" applyNumberFormat="1" applyFont="1" applyFill="1" applyBorder="1" applyAlignment="1" applyProtection="1">
      <alignment horizontal="center"/>
      <protection locked="0"/>
    </xf>
    <xf numFmtId="0" fontId="15" fillId="0" borderId="16" xfId="0" applyFont="1" applyFill="1" applyBorder="1" applyAlignment="1" applyProtection="1">
      <alignment horizontal="center"/>
      <protection locked="0"/>
    </xf>
    <xf numFmtId="0" fontId="10" fillId="0" borderId="0" xfId="0" applyFont="1" applyFill="1" applyBorder="1" applyAlignment="1">
      <alignment horizontal="center"/>
    </xf>
    <xf numFmtId="0" fontId="13" fillId="0" borderId="0" xfId="0" applyFont="1" applyFill="1" applyBorder="1">
      <alignment horizontal="centerContinuous"/>
    </xf>
    <xf numFmtId="0" fontId="10" fillId="14" borderId="0" xfId="0" applyFont="1" applyFill="1" applyBorder="1">
      <alignment horizontal="centerContinuous"/>
    </xf>
    <xf numFmtId="0" fontId="10" fillId="14" borderId="0" xfId="0" applyFont="1" applyFill="1">
      <alignment horizontal="centerContinuous"/>
    </xf>
    <xf numFmtId="0" fontId="13" fillId="0" borderId="17" xfId="0" applyFont="1" applyFill="1" applyBorder="1" applyAlignment="1" applyProtection="1">
      <alignment horizontal="center"/>
      <protection locked="0"/>
    </xf>
    <xf numFmtId="2" fontId="11" fillId="0" borderId="9" xfId="0" applyNumberFormat="1" applyFont="1" applyFill="1" applyBorder="1" applyAlignment="1" applyProtection="1">
      <alignment horizontal="center"/>
      <protection locked="0"/>
    </xf>
    <xf numFmtId="2" fontId="11" fillId="9" borderId="9" xfId="0" applyNumberFormat="1" applyFont="1" applyFill="1" applyBorder="1" applyAlignment="1" applyProtection="1">
      <alignment horizontal="center"/>
      <protection locked="0"/>
    </xf>
    <xf numFmtId="0" fontId="13" fillId="9" borderId="5" xfId="0" applyFont="1" applyFill="1" applyBorder="1" applyAlignment="1" applyProtection="1">
      <alignment horizontal="center"/>
      <protection locked="0"/>
    </xf>
    <xf numFmtId="0" fontId="15" fillId="9" borderId="6" xfId="0" applyFont="1" applyFill="1" applyBorder="1" applyAlignment="1" applyProtection="1">
      <alignment horizontal="center"/>
      <protection locked="0"/>
    </xf>
    <xf numFmtId="0" fontId="29" fillId="4" borderId="7" xfId="2" applyFill="1" applyBorder="1" applyAlignment="1" applyProtection="1">
      <alignment horizontal="center"/>
    </xf>
    <xf numFmtId="0" fontId="17" fillId="0" borderId="0" xfId="0" applyFont="1" applyFill="1" applyBorder="1" applyAlignment="1">
      <alignment horizontal="center" wrapText="1"/>
    </xf>
    <xf numFmtId="0" fontId="13" fillId="0" borderId="8" xfId="0" applyFont="1" applyFill="1" applyBorder="1" applyAlignment="1" applyProtection="1">
      <alignment horizontal="center"/>
      <protection locked="0"/>
    </xf>
    <xf numFmtId="0" fontId="11" fillId="0" borderId="14" xfId="0" applyFont="1" applyFill="1" applyBorder="1" applyAlignment="1" applyProtection="1">
      <alignment horizontal="center"/>
      <protection locked="0"/>
    </xf>
    <xf numFmtId="0" fontId="11" fillId="0" borderId="9" xfId="0" applyFont="1" applyFill="1" applyBorder="1" applyAlignment="1" applyProtection="1">
      <alignment horizontal="center"/>
      <protection locked="0"/>
    </xf>
    <xf numFmtId="0" fontId="11" fillId="0" borderId="18" xfId="0" applyFont="1" applyFill="1" applyBorder="1" applyAlignment="1" applyProtection="1">
      <alignment horizontal="left"/>
      <protection locked="0"/>
    </xf>
    <xf numFmtId="0" fontId="13" fillId="0" borderId="19" xfId="0" applyFont="1" applyFill="1" applyBorder="1" applyAlignment="1" applyProtection="1">
      <alignment horizontal="center"/>
      <protection locked="0"/>
    </xf>
    <xf numFmtId="0" fontId="13" fillId="0" borderId="19" xfId="0" applyNumberFormat="1" applyFont="1" applyFill="1" applyBorder="1" applyAlignment="1" applyProtection="1">
      <alignment horizontal="center"/>
      <protection locked="0"/>
    </xf>
    <xf numFmtId="0" fontId="13" fillId="14" borderId="19" xfId="0" applyFont="1" applyFill="1" applyBorder="1" applyAlignment="1" applyProtection="1">
      <alignment horizontal="center"/>
      <protection locked="0"/>
    </xf>
    <xf numFmtId="0" fontId="11" fillId="0" borderId="9" xfId="0" applyNumberFormat="1" applyFont="1" applyFill="1" applyBorder="1" applyAlignment="1" applyProtection="1">
      <alignment horizontal="center"/>
    </xf>
    <xf numFmtId="0" fontId="13" fillId="0" borderId="0" xfId="0" applyFont="1" applyFill="1" applyBorder="1" applyAlignment="1" applyProtection="1">
      <alignment horizontal="center"/>
      <protection locked="0"/>
    </xf>
    <xf numFmtId="0" fontId="11" fillId="6" borderId="9" xfId="0" applyFont="1" applyFill="1" applyBorder="1" applyAlignment="1" applyProtection="1">
      <alignment horizontal="center"/>
      <protection locked="0"/>
    </xf>
    <xf numFmtId="0" fontId="11" fillId="6" borderId="20" xfId="0" applyFont="1" applyFill="1" applyBorder="1" applyAlignment="1" applyProtection="1">
      <alignment horizontal="center"/>
      <protection locked="0"/>
    </xf>
    <xf numFmtId="0" fontId="11" fillId="6" borderId="5" xfId="0" applyFont="1" applyFill="1" applyBorder="1" applyAlignment="1" applyProtection="1">
      <alignment horizontal="center"/>
      <protection locked="0"/>
    </xf>
    <xf numFmtId="0" fontId="11" fillId="6" borderId="0" xfId="0" applyFont="1" applyFill="1" applyBorder="1" applyAlignment="1" applyProtection="1">
      <alignment horizontal="center"/>
      <protection locked="0"/>
    </xf>
    <xf numFmtId="0" fontId="11" fillId="6" borderId="6" xfId="0" applyFont="1" applyFill="1" applyBorder="1" applyAlignment="1" applyProtection="1">
      <alignment horizontal="center"/>
      <protection locked="0"/>
    </xf>
    <xf numFmtId="0" fontId="11" fillId="6" borderId="16" xfId="0" applyFont="1" applyFill="1" applyBorder="1" applyAlignment="1" applyProtection="1">
      <alignment horizontal="center"/>
      <protection locked="0"/>
    </xf>
    <xf numFmtId="2" fontId="11" fillId="6" borderId="9" xfId="0" applyNumberFormat="1" applyFont="1" applyFill="1" applyBorder="1" applyAlignment="1" applyProtection="1">
      <alignment horizontal="center"/>
      <protection locked="0"/>
    </xf>
    <xf numFmtId="2" fontId="11" fillId="6" borderId="5" xfId="0" applyNumberFormat="1" applyFont="1" applyFill="1" applyBorder="1" applyAlignment="1" applyProtection="1">
      <alignment horizontal="center"/>
      <protection locked="0"/>
    </xf>
    <xf numFmtId="2" fontId="11" fillId="6" borderId="6" xfId="0" applyNumberFormat="1" applyFont="1" applyFill="1" applyBorder="1" applyAlignment="1" applyProtection="1">
      <alignment horizontal="center"/>
      <protection locked="0"/>
    </xf>
    <xf numFmtId="2" fontId="11" fillId="6" borderId="8" xfId="0" applyNumberFormat="1" applyFont="1" applyFill="1" applyBorder="1" applyAlignment="1" applyProtection="1">
      <alignment horizontal="center"/>
      <protection locked="0"/>
    </xf>
    <xf numFmtId="2" fontId="11" fillId="6" borderId="14" xfId="0" applyNumberFormat="1" applyFont="1" applyFill="1" applyBorder="1" applyAlignment="1" applyProtection="1">
      <alignment horizontal="center"/>
      <protection locked="0"/>
    </xf>
    <xf numFmtId="0" fontId="11" fillId="6" borderId="9" xfId="0" applyFont="1" applyFill="1" applyBorder="1" applyAlignment="1" applyProtection="1">
      <protection locked="0"/>
    </xf>
    <xf numFmtId="0" fontId="11" fillId="6" borderId="5" xfId="0" applyFont="1" applyFill="1" applyBorder="1" applyAlignment="1" applyProtection="1">
      <protection locked="0"/>
    </xf>
    <xf numFmtId="0" fontId="11" fillId="6" borderId="6" xfId="0" applyFont="1" applyFill="1" applyBorder="1" applyAlignment="1" applyProtection="1">
      <protection locked="0"/>
    </xf>
    <xf numFmtId="0" fontId="11" fillId="6" borderId="8" xfId="0" applyFont="1" applyFill="1" applyBorder="1" applyAlignment="1" applyProtection="1">
      <protection locked="0"/>
    </xf>
    <xf numFmtId="0" fontId="11" fillId="6" borderId="7" xfId="0" applyFont="1" applyFill="1" applyBorder="1" applyAlignment="1" applyProtection="1">
      <protection locked="0"/>
    </xf>
    <xf numFmtId="0" fontId="11" fillId="6" borderId="14" xfId="0" applyFont="1" applyFill="1" applyBorder="1" applyAlignment="1" applyProtection="1">
      <protection locked="0"/>
    </xf>
    <xf numFmtId="0" fontId="13" fillId="8" borderId="9" xfId="0" applyFont="1" applyFill="1" applyBorder="1" applyAlignment="1" applyProtection="1">
      <protection locked="0"/>
    </xf>
    <xf numFmtId="0" fontId="13" fillId="8" borderId="5" xfId="0" applyFont="1" applyFill="1" applyBorder="1" applyAlignment="1" applyProtection="1">
      <protection locked="0"/>
    </xf>
    <xf numFmtId="0" fontId="13" fillId="8" borderId="6" xfId="0" applyFont="1" applyFill="1" applyBorder="1" applyAlignment="1" applyProtection="1">
      <protection locked="0"/>
    </xf>
    <xf numFmtId="0" fontId="13" fillId="8" borderId="8" xfId="0" applyFont="1" applyFill="1" applyBorder="1" applyAlignment="1" applyProtection="1">
      <protection locked="0"/>
    </xf>
    <xf numFmtId="0" fontId="13" fillId="8" borderId="7" xfId="0" applyFont="1" applyFill="1" applyBorder="1" applyAlignment="1" applyProtection="1">
      <protection locked="0"/>
    </xf>
    <xf numFmtId="0" fontId="13" fillId="8" borderId="14" xfId="0" applyFont="1" applyFill="1" applyBorder="1" applyAlignment="1" applyProtection="1">
      <protection locked="0"/>
    </xf>
    <xf numFmtId="2" fontId="11" fillId="15" borderId="8" xfId="0" applyNumberFormat="1" applyFont="1" applyFill="1" applyBorder="1" applyAlignment="1" applyProtection="1">
      <alignment horizontal="center"/>
      <protection locked="0"/>
    </xf>
    <xf numFmtId="0" fontId="13" fillId="15" borderId="7" xfId="0" applyFont="1" applyFill="1" applyBorder="1" applyAlignment="1" applyProtection="1">
      <alignment horizontal="center"/>
      <protection locked="0"/>
    </xf>
    <xf numFmtId="0" fontId="15" fillId="15" borderId="14" xfId="0" applyFont="1" applyFill="1" applyBorder="1" applyAlignment="1" applyProtection="1">
      <alignment horizontal="center"/>
      <protection locked="0"/>
    </xf>
    <xf numFmtId="0" fontId="11" fillId="0" borderId="8" xfId="0" applyFont="1" applyFill="1" applyBorder="1" applyAlignment="1" applyProtection="1">
      <alignment horizontal="center"/>
      <protection locked="0"/>
    </xf>
    <xf numFmtId="2" fontId="11" fillId="0" borderId="8" xfId="0" applyNumberFormat="1" applyFont="1" applyFill="1" applyBorder="1" applyAlignment="1" applyProtection="1">
      <alignment horizontal="center"/>
    </xf>
    <xf numFmtId="2" fontId="11" fillId="0" borderId="7" xfId="0" applyNumberFormat="1" applyFont="1" applyFill="1" applyBorder="1" applyAlignment="1" applyProtection="1">
      <alignment horizontal="center"/>
    </xf>
    <xf numFmtId="2" fontId="11" fillId="0" borderId="14" xfId="0" applyNumberFormat="1" applyFont="1" applyFill="1" applyBorder="1" applyAlignment="1" applyProtection="1">
      <alignment horizontal="center"/>
    </xf>
    <xf numFmtId="2" fontId="13" fillId="0" borderId="7" xfId="0" applyNumberFormat="1" applyFont="1" applyFill="1" applyBorder="1" applyAlignment="1" applyProtection="1">
      <alignment horizontal="center"/>
    </xf>
    <xf numFmtId="0" fontId="11" fillId="0" borderId="7" xfId="0" applyFont="1" applyFill="1" applyBorder="1" applyAlignment="1" applyProtection="1">
      <alignment horizontal="center"/>
    </xf>
    <xf numFmtId="0" fontId="13" fillId="0" borderId="7" xfId="0" applyFont="1" applyFill="1" applyBorder="1" applyAlignment="1" applyProtection="1">
      <alignment horizontal="center"/>
    </xf>
    <xf numFmtId="2" fontId="11" fillId="0" borderId="8" xfId="0" applyNumberFormat="1" applyFont="1" applyFill="1" applyBorder="1" applyAlignment="1">
      <alignment horizontal="center"/>
    </xf>
    <xf numFmtId="2" fontId="11" fillId="0" borderId="7" xfId="0" applyNumberFormat="1" applyFont="1" applyFill="1" applyBorder="1">
      <alignment horizontal="centerContinuous"/>
    </xf>
    <xf numFmtId="2" fontId="11" fillId="0" borderId="15" xfId="0" applyNumberFormat="1" applyFont="1" applyFill="1" applyBorder="1">
      <alignment horizontal="centerContinuous"/>
    </xf>
    <xf numFmtId="0" fontId="11" fillId="4" borderId="7" xfId="0" applyFont="1" applyFill="1" applyBorder="1" applyAlignment="1">
      <alignment horizontal="center"/>
    </xf>
    <xf numFmtId="2" fontId="11" fillId="0" borderId="7" xfId="0" applyNumberFormat="1" applyFont="1" applyFill="1" applyBorder="1" applyAlignment="1" applyProtection="1">
      <alignment horizontal="center"/>
      <protection locked="0"/>
    </xf>
    <xf numFmtId="2" fontId="11" fillId="9" borderId="7" xfId="0" applyNumberFormat="1" applyFont="1" applyFill="1" applyBorder="1" applyAlignment="1" applyProtection="1">
      <alignment horizontal="center"/>
      <protection locked="0"/>
    </xf>
    <xf numFmtId="2" fontId="11" fillId="15" borderId="7" xfId="0" applyNumberFormat="1" applyFont="1" applyFill="1" applyBorder="1" applyAlignment="1" applyProtection="1">
      <alignment horizontal="center"/>
      <protection locked="0"/>
    </xf>
    <xf numFmtId="0" fontId="0" fillId="0" borderId="16" xfId="0" applyBorder="1">
      <alignment horizontal="centerContinuous"/>
    </xf>
    <xf numFmtId="2" fontId="11" fillId="0" borderId="14" xfId="0" applyNumberFormat="1" applyFont="1" applyFill="1" applyBorder="1">
      <alignment horizontal="centerContinuous"/>
    </xf>
    <xf numFmtId="0" fontId="15" fillId="0" borderId="21" xfId="0" applyFont="1" applyFill="1" applyBorder="1" applyAlignment="1" applyProtection="1">
      <alignment horizontal="center"/>
      <protection locked="0"/>
    </xf>
    <xf numFmtId="0" fontId="2" fillId="0" borderId="0" xfId="0" applyFont="1" applyFill="1" applyBorder="1" applyAlignment="1" applyProtection="1">
      <alignment horizontal="center"/>
      <protection locked="0"/>
    </xf>
    <xf numFmtId="0" fontId="6" fillId="0" borderId="0" xfId="0" applyFont="1" applyFill="1" applyBorder="1" applyAlignment="1">
      <alignment horizontal="center"/>
    </xf>
    <xf numFmtId="0" fontId="0" fillId="0" borderId="0" xfId="0" applyFill="1" applyBorder="1" applyAlignment="1">
      <alignment horizontal="center"/>
    </xf>
    <xf numFmtId="0" fontId="1" fillId="4" borderId="5" xfId="0" applyFont="1" applyFill="1" applyBorder="1" applyAlignment="1" applyProtection="1">
      <alignment horizontal="center"/>
    </xf>
    <xf numFmtId="0" fontId="2" fillId="4" borderId="5" xfId="0" applyFont="1" applyFill="1" applyBorder="1" applyAlignment="1" applyProtection="1">
      <alignment horizontal="center"/>
    </xf>
    <xf numFmtId="0" fontId="5" fillId="4" borderId="6" xfId="0" applyFont="1" applyFill="1" applyBorder="1" applyAlignment="1">
      <alignment horizontal="center"/>
    </xf>
    <xf numFmtId="0" fontId="1" fillId="6" borderId="9" xfId="0" applyFont="1" applyFill="1" applyBorder="1" applyAlignment="1" applyProtection="1">
      <alignment horizontal="center"/>
    </xf>
    <xf numFmtId="0" fontId="3" fillId="6" borderId="5" xfId="0" applyFont="1" applyFill="1" applyBorder="1">
      <alignment horizontal="centerContinuous"/>
    </xf>
    <xf numFmtId="0" fontId="5" fillId="6" borderId="6" xfId="0" applyFont="1" applyFill="1" applyBorder="1" applyAlignment="1">
      <alignment horizontal="center"/>
    </xf>
    <xf numFmtId="0" fontId="1" fillId="4" borderId="9" xfId="0" applyFont="1" applyFill="1" applyBorder="1" applyAlignment="1" applyProtection="1">
      <alignment horizontal="center"/>
    </xf>
    <xf numFmtId="0" fontId="5" fillId="4" borderId="5" xfId="0" applyFont="1" applyFill="1" applyBorder="1" applyAlignment="1" applyProtection="1">
      <alignment horizontal="center"/>
      <protection locked="0"/>
    </xf>
    <xf numFmtId="2" fontId="1" fillId="0" borderId="5" xfId="0" applyNumberFormat="1" applyFont="1" applyFill="1" applyBorder="1" applyAlignment="1" applyProtection="1">
      <alignment horizontal="center"/>
      <protection locked="0"/>
    </xf>
    <xf numFmtId="0" fontId="5" fillId="0" borderId="6" xfId="0" applyFont="1" applyFill="1" applyBorder="1" applyAlignment="1" applyProtection="1">
      <alignment horizontal="center"/>
      <protection locked="0"/>
    </xf>
    <xf numFmtId="2" fontId="1" fillId="0" borderId="9" xfId="0" applyNumberFormat="1" applyFont="1" applyFill="1" applyBorder="1" applyAlignment="1" applyProtection="1">
      <alignment horizontal="center"/>
      <protection locked="0"/>
    </xf>
    <xf numFmtId="0" fontId="5" fillId="0" borderId="5" xfId="0" applyFont="1" applyFill="1" applyBorder="1" applyAlignment="1" applyProtection="1">
      <alignment horizontal="center"/>
      <protection locked="0"/>
    </xf>
    <xf numFmtId="2" fontId="1" fillId="3" borderId="5" xfId="0" applyNumberFormat="1" applyFont="1" applyFill="1" applyBorder="1" applyAlignment="1" applyProtection="1">
      <alignment horizontal="center"/>
      <protection locked="0"/>
    </xf>
    <xf numFmtId="0" fontId="5" fillId="3" borderId="6" xfId="0" applyFont="1" applyFill="1" applyBorder="1" applyAlignment="1" applyProtection="1">
      <alignment horizontal="center"/>
      <protection locked="0"/>
    </xf>
    <xf numFmtId="2" fontId="1" fillId="3" borderId="9" xfId="0" applyNumberFormat="1" applyFont="1" applyFill="1" applyBorder="1" applyAlignment="1" applyProtection="1">
      <alignment horizontal="center"/>
      <protection locked="0"/>
    </xf>
    <xf numFmtId="0" fontId="5" fillId="3" borderId="5" xfId="0" applyFont="1" applyFill="1" applyBorder="1" applyAlignment="1" applyProtection="1">
      <alignment horizontal="center"/>
      <protection locked="0"/>
    </xf>
    <xf numFmtId="2" fontId="1" fillId="9" borderId="5" xfId="0" applyNumberFormat="1" applyFont="1" applyFill="1" applyBorder="1" applyAlignment="1" applyProtection="1">
      <alignment horizontal="center"/>
      <protection locked="0"/>
    </xf>
    <xf numFmtId="0" fontId="5" fillId="9" borderId="6" xfId="0" applyFont="1" applyFill="1" applyBorder="1" applyAlignment="1" applyProtection="1">
      <alignment horizontal="center"/>
      <protection locked="0"/>
    </xf>
    <xf numFmtId="2" fontId="1" fillId="9" borderId="9" xfId="0" applyNumberFormat="1" applyFont="1" applyFill="1" applyBorder="1" applyAlignment="1" applyProtection="1">
      <alignment horizontal="center"/>
      <protection locked="0"/>
    </xf>
    <xf numFmtId="0" fontId="5" fillId="9" borderId="5" xfId="0" applyFont="1" applyFill="1" applyBorder="1" applyAlignment="1" applyProtection="1">
      <alignment horizontal="center"/>
      <protection locked="0"/>
    </xf>
    <xf numFmtId="0" fontId="1" fillId="6" borderId="5" xfId="0" applyNumberFormat="1" applyFont="1" applyFill="1" applyBorder="1" applyAlignment="1" applyProtection="1">
      <alignment horizontal="center"/>
    </xf>
    <xf numFmtId="0" fontId="1" fillId="0" borderId="22" xfId="0" applyFont="1" applyFill="1" applyBorder="1" applyAlignment="1" applyProtection="1">
      <alignment horizontal="left"/>
      <protection locked="0"/>
    </xf>
    <xf numFmtId="0" fontId="1" fillId="0" borderId="23" xfId="0" applyFont="1" applyFill="1" applyBorder="1" applyAlignment="1" applyProtection="1">
      <alignment horizontal="center"/>
      <protection locked="0"/>
    </xf>
    <xf numFmtId="0" fontId="4" fillId="0" borderId="7" xfId="0" applyFont="1" applyFill="1" applyBorder="1" applyAlignment="1">
      <alignment horizontal="center"/>
    </xf>
    <xf numFmtId="2" fontId="1" fillId="15" borderId="5" xfId="0" applyNumberFormat="1" applyFont="1" applyFill="1" applyBorder="1" applyAlignment="1" applyProtection="1">
      <alignment horizontal="center"/>
    </xf>
    <xf numFmtId="2" fontId="1" fillId="15" borderId="8" xfId="0" applyNumberFormat="1" applyFont="1" applyFill="1" applyBorder="1" applyAlignment="1" applyProtection="1">
      <alignment horizontal="center"/>
      <protection locked="0"/>
    </xf>
    <xf numFmtId="2" fontId="1" fillId="15" borderId="5" xfId="0" applyNumberFormat="1" applyFont="1" applyFill="1" applyBorder="1" applyAlignment="1" applyProtection="1">
      <alignment horizontal="center"/>
      <protection locked="0"/>
    </xf>
    <xf numFmtId="0" fontId="2" fillId="15" borderId="5" xfId="0" applyFont="1" applyFill="1" applyBorder="1" applyAlignment="1" applyProtection="1">
      <alignment horizontal="center"/>
    </xf>
    <xf numFmtId="0" fontId="2" fillId="15" borderId="7" xfId="0" applyFont="1" applyFill="1" applyBorder="1" applyAlignment="1" applyProtection="1">
      <alignment horizontal="center"/>
    </xf>
    <xf numFmtId="2" fontId="1" fillId="15" borderId="6" xfId="0" applyNumberFormat="1" applyFont="1" applyFill="1" applyBorder="1" applyAlignment="1" applyProtection="1">
      <alignment horizontal="center"/>
    </xf>
    <xf numFmtId="0" fontId="5" fillId="15" borderId="14" xfId="0" applyFont="1" applyFill="1" applyBorder="1" applyAlignment="1" applyProtection="1">
      <alignment horizontal="center"/>
      <protection locked="0"/>
    </xf>
    <xf numFmtId="0" fontId="5" fillId="15" borderId="6" xfId="0" applyFont="1" applyFill="1" applyBorder="1" applyAlignment="1" applyProtection="1">
      <alignment horizontal="center"/>
      <protection locked="0"/>
    </xf>
    <xf numFmtId="0" fontId="2" fillId="15" borderId="7" xfId="0" applyFont="1" applyFill="1" applyBorder="1" applyAlignment="1" applyProtection="1">
      <alignment horizontal="center"/>
      <protection locked="0"/>
    </xf>
    <xf numFmtId="0" fontId="1" fillId="15" borderId="5" xfId="0" applyFont="1" applyFill="1" applyBorder="1" applyAlignment="1" applyProtection="1">
      <alignment horizontal="center"/>
    </xf>
    <xf numFmtId="2" fontId="1" fillId="16" borderId="9" xfId="0" applyNumberFormat="1" applyFont="1" applyFill="1" applyBorder="1" applyAlignment="1">
      <alignment horizontal="center"/>
    </xf>
    <xf numFmtId="0" fontId="1" fillId="16" borderId="7" xfId="0" applyNumberFormat="1" applyFont="1" applyFill="1" applyBorder="1" applyAlignment="1" applyProtection="1">
      <alignment horizontal="center"/>
    </xf>
    <xf numFmtId="0" fontId="1" fillId="16" borderId="5" xfId="0" applyNumberFormat="1" applyFont="1" applyFill="1" applyBorder="1" applyAlignment="1" applyProtection="1">
      <alignment horizontal="center"/>
    </xf>
    <xf numFmtId="2" fontId="1" fillId="16" borderId="5" xfId="0" applyNumberFormat="1" applyFont="1" applyFill="1" applyBorder="1">
      <alignment horizontal="centerContinuous"/>
    </xf>
    <xf numFmtId="2" fontId="1" fillId="16" borderId="5" xfId="0" applyNumberFormat="1" applyFont="1" applyFill="1" applyBorder="1" applyAlignment="1">
      <alignment horizontal="center"/>
    </xf>
    <xf numFmtId="2" fontId="1" fillId="15" borderId="9" xfId="0" applyNumberFormat="1" applyFont="1" applyFill="1" applyBorder="1" applyAlignment="1">
      <alignment horizontal="center"/>
    </xf>
    <xf numFmtId="2" fontId="1" fillId="15" borderId="9" xfId="0" applyNumberFormat="1" applyFont="1" applyFill="1" applyBorder="1" applyAlignment="1" applyProtection="1">
      <alignment horizontal="center"/>
      <protection locked="0"/>
    </xf>
    <xf numFmtId="2" fontId="1" fillId="15" borderId="5" xfId="0" applyNumberFormat="1" applyFont="1" applyFill="1" applyBorder="1">
      <alignment horizontal="centerContinuous"/>
    </xf>
    <xf numFmtId="2" fontId="1" fillId="15" borderId="6" xfId="0" applyNumberFormat="1" applyFont="1" applyFill="1" applyBorder="1">
      <alignment horizontal="centerContinuous"/>
    </xf>
    <xf numFmtId="2" fontId="1" fillId="15" borderId="5" xfId="0" applyNumberFormat="1" applyFont="1" applyFill="1" applyBorder="1" applyAlignment="1">
      <alignment horizontal="center"/>
    </xf>
    <xf numFmtId="0" fontId="20" fillId="15" borderId="7" xfId="0" applyFont="1" applyFill="1" applyBorder="1" applyAlignment="1" applyProtection="1">
      <alignment horizontal="center"/>
    </xf>
    <xf numFmtId="0" fontId="30" fillId="15" borderId="7" xfId="0" applyFont="1" applyFill="1" applyBorder="1" applyAlignment="1" applyProtection="1">
      <alignment horizontal="center"/>
    </xf>
    <xf numFmtId="0" fontId="31" fillId="0" borderId="0" xfId="0" applyFont="1" applyFill="1" applyBorder="1" applyAlignment="1">
      <alignment horizontal="center"/>
    </xf>
    <xf numFmtId="1" fontId="32" fillId="0" borderId="7" xfId="0" applyNumberFormat="1" applyFont="1" applyFill="1" applyBorder="1" applyAlignment="1" applyProtection="1">
      <alignment horizontal="center"/>
      <protection locked="0"/>
    </xf>
    <xf numFmtId="0" fontId="21" fillId="4" borderId="14" xfId="0" applyFont="1" applyFill="1" applyBorder="1" applyAlignment="1" applyProtection="1">
      <alignment horizontal="center"/>
      <protection locked="0"/>
    </xf>
    <xf numFmtId="0" fontId="21" fillId="0" borderId="14" xfId="0" applyFont="1" applyFill="1" applyBorder="1" applyAlignment="1" applyProtection="1">
      <alignment horizontal="center"/>
      <protection locked="0"/>
    </xf>
    <xf numFmtId="0" fontId="21" fillId="3" borderId="14" xfId="0" applyFont="1" applyFill="1" applyBorder="1" applyAlignment="1" applyProtection="1">
      <alignment horizontal="center"/>
      <protection locked="0"/>
    </xf>
    <xf numFmtId="0" fontId="21" fillId="9" borderId="14" xfId="0" applyFont="1" applyFill="1" applyBorder="1" applyAlignment="1" applyProtection="1">
      <alignment horizontal="center"/>
      <protection locked="0"/>
    </xf>
    <xf numFmtId="0" fontId="21" fillId="15" borderId="14" xfId="0" applyFont="1" applyFill="1" applyBorder="1" applyAlignment="1" applyProtection="1">
      <alignment horizontal="center"/>
      <protection locked="0"/>
    </xf>
    <xf numFmtId="0" fontId="22" fillId="12" borderId="24" xfId="0" applyFont="1" applyFill="1" applyBorder="1" applyAlignment="1">
      <alignment horizontal="center" vertical="center"/>
    </xf>
    <xf numFmtId="0" fontId="23" fillId="12" borderId="24" xfId="0" applyFont="1" applyFill="1" applyBorder="1" applyAlignment="1">
      <alignment horizontal="center" vertical="center" wrapText="1"/>
    </xf>
    <xf numFmtId="0" fontId="24" fillId="0" borderId="8" xfId="0" applyFont="1" applyFill="1" applyBorder="1" applyAlignment="1" applyProtection="1">
      <alignment horizontal="center" vertical="center"/>
      <protection locked="0"/>
    </xf>
    <xf numFmtId="0" fontId="24" fillId="0" borderId="20" xfId="0" applyFont="1" applyFill="1" applyBorder="1" applyAlignment="1" applyProtection="1">
      <alignment horizontal="center" vertical="center"/>
      <protection locked="0"/>
    </xf>
    <xf numFmtId="0" fontId="24" fillId="0" borderId="19" xfId="0" applyFont="1" applyFill="1" applyBorder="1" applyAlignment="1" applyProtection="1">
      <alignment horizontal="center" vertical="center"/>
      <protection locked="0"/>
    </xf>
    <xf numFmtId="0" fontId="24" fillId="0" borderId="9" xfId="0" applyFont="1" applyFill="1" applyBorder="1" applyAlignment="1" applyProtection="1">
      <alignment horizontal="center" vertical="center"/>
      <protection locked="0"/>
    </xf>
    <xf numFmtId="0" fontId="0" fillId="0" borderId="0" xfId="0" applyAlignment="1">
      <alignment horizontal="center" vertical="center"/>
    </xf>
    <xf numFmtId="0" fontId="0" fillId="0" borderId="7" xfId="0" applyBorder="1" applyAlignment="1">
      <alignment horizontal="center" vertical="center"/>
    </xf>
    <xf numFmtId="0" fontId="0" fillId="0" borderId="0" xfId="0" applyBorder="1" applyAlignment="1">
      <alignment horizontal="center" vertical="center"/>
    </xf>
    <xf numFmtId="0" fontId="0" fillId="0" borderId="14" xfId="0" applyBorder="1" applyAlignment="1">
      <alignment horizontal="center" vertical="center"/>
    </xf>
    <xf numFmtId="0" fontId="0" fillId="0" borderId="16" xfId="0" applyBorder="1" applyAlignment="1">
      <alignment horizontal="center" vertical="center"/>
    </xf>
    <xf numFmtId="0" fontId="22" fillId="12" borderId="25" xfId="0" applyFont="1" applyFill="1" applyBorder="1" applyAlignment="1">
      <alignment horizontal="center" vertical="center"/>
    </xf>
    <xf numFmtId="0" fontId="33" fillId="14" borderId="26" xfId="0" applyFont="1" applyFill="1" applyBorder="1" applyAlignment="1">
      <alignment horizontal="center" vertical="center" wrapText="1"/>
    </xf>
    <xf numFmtId="0" fontId="33" fillId="14" borderId="24" xfId="0" applyFont="1" applyFill="1" applyBorder="1" applyAlignment="1">
      <alignment horizontal="center" vertical="center" wrapText="1"/>
    </xf>
    <xf numFmtId="0" fontId="0" fillId="17" borderId="27" xfId="0" applyFont="1" applyFill="1" applyBorder="1" applyAlignment="1">
      <alignment horizontal="center" vertical="center" wrapText="1"/>
    </xf>
    <xf numFmtId="0" fontId="0" fillId="17" borderId="28" xfId="0" applyFont="1" applyFill="1" applyBorder="1" applyAlignment="1">
      <alignment horizontal="center" vertical="center" wrapText="1"/>
    </xf>
    <xf numFmtId="0" fontId="0" fillId="17" borderId="28" xfId="0" applyFill="1" applyBorder="1" applyAlignment="1">
      <alignment horizontal="center" vertical="center" wrapText="1"/>
    </xf>
    <xf numFmtId="0" fontId="0" fillId="17" borderId="28" xfId="0" applyFill="1" applyBorder="1" applyAlignment="1">
      <alignment horizontal="right" vertical="center" wrapText="1"/>
    </xf>
    <xf numFmtId="0" fontId="0" fillId="17" borderId="29" xfId="0" applyFont="1" applyFill="1" applyBorder="1" applyAlignment="1">
      <alignment horizontal="center" vertical="center" wrapText="1"/>
    </xf>
    <xf numFmtId="0" fontId="0" fillId="0" borderId="0" xfId="0" applyAlignment="1">
      <alignment vertical="center"/>
    </xf>
    <xf numFmtId="0" fontId="1" fillId="6" borderId="21" xfId="0" applyFont="1" applyFill="1" applyBorder="1" applyAlignment="1" applyProtection="1">
      <alignment horizontal="center" vertical="center" wrapText="1"/>
      <protection locked="0"/>
    </xf>
    <xf numFmtId="0" fontId="0" fillId="17" borderId="30" xfId="0" applyFill="1" applyBorder="1" applyAlignment="1">
      <alignment horizontal="center" vertical="center" wrapText="1"/>
    </xf>
    <xf numFmtId="0" fontId="0" fillId="17" borderId="31" xfId="0" applyFill="1" applyBorder="1" applyAlignment="1">
      <alignment horizontal="center" vertical="center" wrapText="1"/>
    </xf>
    <xf numFmtId="0" fontId="0" fillId="17" borderId="32" xfId="0" applyFill="1" applyBorder="1" applyAlignment="1">
      <alignment horizontal="center" vertical="center" wrapText="1"/>
    </xf>
    <xf numFmtId="0" fontId="0" fillId="17" borderId="27" xfId="0" applyFill="1" applyBorder="1" applyAlignment="1">
      <alignment horizontal="center" vertical="center" wrapText="1"/>
    </xf>
    <xf numFmtId="0" fontId="0" fillId="17" borderId="29" xfId="0" applyFill="1" applyBorder="1" applyAlignment="1">
      <alignment horizontal="center" vertical="center" wrapText="1"/>
    </xf>
    <xf numFmtId="0" fontId="33" fillId="14" borderId="25" xfId="0" applyFont="1" applyFill="1" applyBorder="1" applyAlignment="1">
      <alignment horizontal="center" vertical="center" wrapText="1"/>
    </xf>
    <xf numFmtId="0" fontId="0" fillId="17" borderId="33" xfId="0" applyFill="1" applyBorder="1" applyAlignment="1">
      <alignment horizontal="center" vertical="center" wrapText="1"/>
    </xf>
    <xf numFmtId="0" fontId="0" fillId="17" borderId="34" xfId="0" applyFill="1" applyBorder="1" applyAlignment="1">
      <alignment horizontal="center" vertical="center" wrapText="1"/>
    </xf>
    <xf numFmtId="0" fontId="0" fillId="17" borderId="35" xfId="0" applyFill="1" applyBorder="1" applyAlignment="1">
      <alignment horizontal="center" vertical="center" wrapText="1"/>
    </xf>
    <xf numFmtId="0" fontId="26" fillId="12" borderId="36" xfId="0" applyFont="1" applyFill="1" applyBorder="1" applyAlignment="1">
      <alignment vertical="center"/>
    </xf>
    <xf numFmtId="0" fontId="26" fillId="12" borderId="37" xfId="0" applyFont="1" applyFill="1" applyBorder="1" applyAlignment="1">
      <alignment vertical="center"/>
    </xf>
    <xf numFmtId="0" fontId="0" fillId="0" borderId="38" xfId="0" applyBorder="1" applyAlignment="1">
      <alignment vertical="center"/>
    </xf>
    <xf numFmtId="0" fontId="0" fillId="0" borderId="39" xfId="0" applyFill="1" applyBorder="1" applyAlignment="1">
      <alignment horizontal="center" vertical="center" wrapText="1"/>
    </xf>
    <xf numFmtId="0" fontId="0" fillId="0" borderId="31" xfId="0" applyFill="1" applyBorder="1" applyAlignment="1">
      <alignment horizontal="center" vertical="center" wrapText="1"/>
    </xf>
    <xf numFmtId="0" fontId="0" fillId="0" borderId="32" xfId="0" applyFill="1" applyBorder="1" applyAlignment="1">
      <alignment horizontal="center" vertical="center" wrapText="1"/>
    </xf>
    <xf numFmtId="0" fontId="0" fillId="0" borderId="40" xfId="0" applyFill="1" applyBorder="1" applyAlignment="1">
      <alignment horizontal="center" vertical="center" wrapText="1"/>
    </xf>
    <xf numFmtId="0" fontId="0" fillId="0" borderId="28" xfId="0" applyFill="1" applyBorder="1" applyAlignment="1">
      <alignment horizontal="center" vertical="center" wrapText="1"/>
    </xf>
    <xf numFmtId="0" fontId="0" fillId="0" borderId="29" xfId="0" applyFill="1" applyBorder="1" applyAlignment="1">
      <alignment horizontal="center" vertical="center" wrapText="1"/>
    </xf>
    <xf numFmtId="0" fontId="0" fillId="0" borderId="7" xfId="0" applyFill="1" applyBorder="1" applyAlignment="1">
      <alignment horizontal="center" vertical="center" wrapText="1"/>
    </xf>
    <xf numFmtId="0" fontId="0" fillId="0" borderId="0" xfId="0" applyFill="1" applyBorder="1" applyAlignment="1">
      <alignment horizontal="center" vertical="center" wrapText="1"/>
    </xf>
    <xf numFmtId="2" fontId="1" fillId="6" borderId="21" xfId="0" applyNumberFormat="1" applyFont="1" applyFill="1" applyBorder="1" applyAlignment="1" applyProtection="1">
      <alignment horizontal="center" vertical="center" wrapText="1"/>
      <protection locked="0"/>
    </xf>
    <xf numFmtId="0" fontId="0" fillId="0" borderId="41" xfId="0" applyFill="1" applyBorder="1" applyAlignment="1">
      <alignment horizontal="center" vertical="center" wrapText="1"/>
    </xf>
    <xf numFmtId="0" fontId="0" fillId="0" borderId="34" xfId="0" applyFill="1" applyBorder="1" applyAlignment="1">
      <alignment horizontal="center" vertical="center" wrapText="1"/>
    </xf>
    <xf numFmtId="0" fontId="0" fillId="0" borderId="35" xfId="0" applyFill="1" applyBorder="1" applyAlignment="1">
      <alignment horizontal="center" vertical="center" wrapText="1"/>
    </xf>
    <xf numFmtId="0" fontId="25" fillId="12" borderId="36" xfId="0" applyFont="1" applyFill="1" applyBorder="1" applyAlignment="1">
      <alignment vertical="center"/>
    </xf>
    <xf numFmtId="0" fontId="25" fillId="12" borderId="37" xfId="0" applyFont="1" applyFill="1" applyBorder="1" applyAlignment="1">
      <alignment vertical="center"/>
    </xf>
    <xf numFmtId="0" fontId="0" fillId="18" borderId="39" xfId="0" applyFill="1" applyBorder="1" applyAlignment="1">
      <alignment horizontal="center" vertical="center" wrapText="1"/>
    </xf>
    <xf numFmtId="0" fontId="0" fillId="18" borderId="31" xfId="0" applyFill="1" applyBorder="1" applyAlignment="1">
      <alignment horizontal="center" vertical="center" wrapText="1"/>
    </xf>
    <xf numFmtId="0" fontId="0" fillId="18" borderId="32" xfId="0" applyFill="1" applyBorder="1" applyAlignment="1">
      <alignment horizontal="center" vertical="center" wrapText="1"/>
    </xf>
    <xf numFmtId="0" fontId="0" fillId="18" borderId="40" xfId="0" applyFill="1" applyBorder="1" applyAlignment="1">
      <alignment horizontal="center" vertical="center" wrapText="1"/>
    </xf>
    <xf numFmtId="0" fontId="0" fillId="18" borderId="28" xfId="0" applyFill="1" applyBorder="1" applyAlignment="1">
      <alignment horizontal="center" vertical="center" wrapText="1"/>
    </xf>
    <xf numFmtId="0" fontId="0" fillId="18" borderId="29" xfId="0" applyFill="1" applyBorder="1" applyAlignment="1">
      <alignment horizontal="center" vertical="center" wrapText="1"/>
    </xf>
    <xf numFmtId="0" fontId="0" fillId="18" borderId="41" xfId="0" applyFill="1" applyBorder="1" applyAlignment="1">
      <alignment horizontal="center" vertical="center" wrapText="1"/>
    </xf>
    <xf numFmtId="0" fontId="0" fillId="18" borderId="34" xfId="0" applyFill="1" applyBorder="1" applyAlignment="1">
      <alignment horizontal="center" vertical="center" wrapText="1"/>
    </xf>
    <xf numFmtId="0" fontId="0" fillId="18" borderId="35" xfId="0" applyFill="1" applyBorder="1" applyAlignment="1">
      <alignment horizontal="center" vertical="center" wrapText="1"/>
    </xf>
    <xf numFmtId="0" fontId="0" fillId="19" borderId="39" xfId="0" applyFill="1" applyBorder="1" applyAlignment="1">
      <alignment horizontal="center" vertical="center" wrapText="1"/>
    </xf>
    <xf numFmtId="0" fontId="0" fillId="19" borderId="31" xfId="0" applyFill="1" applyBorder="1" applyAlignment="1">
      <alignment horizontal="center" vertical="center" wrapText="1"/>
    </xf>
    <xf numFmtId="0" fontId="0" fillId="19" borderId="32" xfId="0" applyFill="1" applyBorder="1" applyAlignment="1">
      <alignment horizontal="center" vertical="center" wrapText="1"/>
    </xf>
    <xf numFmtId="0" fontId="0" fillId="19" borderId="40" xfId="0" applyFill="1" applyBorder="1" applyAlignment="1">
      <alignment horizontal="center" vertical="center" wrapText="1"/>
    </xf>
    <xf numFmtId="0" fontId="0" fillId="19" borderId="28" xfId="0" applyFill="1" applyBorder="1" applyAlignment="1">
      <alignment horizontal="center" vertical="center" wrapText="1"/>
    </xf>
    <xf numFmtId="0" fontId="0" fillId="19" borderId="29" xfId="0" applyFill="1" applyBorder="1" applyAlignment="1">
      <alignment horizontal="center" vertical="center" wrapText="1"/>
    </xf>
    <xf numFmtId="0" fontId="0" fillId="19" borderId="41" xfId="0" applyFill="1" applyBorder="1" applyAlignment="1">
      <alignment horizontal="center" vertical="center" wrapText="1"/>
    </xf>
    <xf numFmtId="0" fontId="0" fillId="19" borderId="34" xfId="0" applyFill="1" applyBorder="1" applyAlignment="1">
      <alignment horizontal="center" vertical="center" wrapText="1"/>
    </xf>
    <xf numFmtId="0" fontId="0" fillId="19" borderId="35" xfId="0" applyFill="1" applyBorder="1" applyAlignment="1">
      <alignment horizontal="center" vertical="center" wrapText="1"/>
    </xf>
    <xf numFmtId="0" fontId="2" fillId="8" borderId="21" xfId="0" applyFont="1" applyFill="1" applyBorder="1" applyAlignment="1" applyProtection="1">
      <alignment horizontal="center" vertical="center" wrapText="1"/>
      <protection locked="0"/>
    </xf>
    <xf numFmtId="0" fontId="0" fillId="0" borderId="26" xfId="0" applyBorder="1" applyAlignment="1">
      <alignment vertical="center" wrapText="1"/>
    </xf>
    <xf numFmtId="0" fontId="0" fillId="0" borderId="24" xfId="0" applyBorder="1" applyAlignment="1">
      <alignment vertical="center" wrapText="1"/>
    </xf>
    <xf numFmtId="0" fontId="22" fillId="13" borderId="38" xfId="0" applyFont="1" applyFill="1" applyBorder="1" applyAlignment="1">
      <alignment horizontal="center" vertical="center"/>
    </xf>
    <xf numFmtId="0" fontId="26" fillId="13" borderId="37" xfId="0" applyFont="1" applyFill="1" applyBorder="1" applyAlignment="1">
      <alignment vertical="center"/>
    </xf>
    <xf numFmtId="0" fontId="22" fillId="14" borderId="26" xfId="0" applyFont="1" applyFill="1" applyBorder="1" applyAlignment="1">
      <alignment horizontal="center" vertical="center"/>
    </xf>
    <xf numFmtId="0" fontId="22" fillId="14" borderId="24" xfId="0" applyFont="1" applyFill="1" applyBorder="1" applyAlignment="1">
      <alignment horizontal="center" vertical="center"/>
    </xf>
    <xf numFmtId="0" fontId="34" fillId="14" borderId="24" xfId="0" applyFont="1" applyFill="1" applyBorder="1" applyAlignment="1">
      <alignment horizontal="center" vertical="center"/>
    </xf>
    <xf numFmtId="0" fontId="0" fillId="0" borderId="0" xfId="0" applyAlignment="1"/>
    <xf numFmtId="2" fontId="27" fillId="6" borderId="14" xfId="0" applyNumberFormat="1" applyFont="1" applyFill="1" applyBorder="1" applyAlignment="1" applyProtection="1">
      <alignment horizontal="center"/>
      <protection locked="0"/>
    </xf>
    <xf numFmtId="0" fontId="27" fillId="6" borderId="16" xfId="0" applyFont="1" applyFill="1" applyBorder="1" applyAlignment="1" applyProtection="1">
      <alignment horizontal="center"/>
      <protection locked="0"/>
    </xf>
    <xf numFmtId="0" fontId="27" fillId="6" borderId="14" xfId="0" applyFont="1" applyFill="1" applyBorder="1" applyAlignment="1" applyProtection="1">
      <protection locked="0"/>
    </xf>
    <xf numFmtId="0" fontId="27" fillId="6" borderId="14" xfId="0" applyFont="1" applyFill="1" applyBorder="1" applyAlignment="1" applyProtection="1">
      <alignment horizontal="center"/>
      <protection locked="0"/>
    </xf>
    <xf numFmtId="0" fontId="28" fillId="8" borderId="14" xfId="0" applyFont="1" applyFill="1" applyBorder="1" applyAlignment="1" applyProtection="1">
      <alignment horizontal="center"/>
      <protection locked="0"/>
    </xf>
    <xf numFmtId="2" fontId="27" fillId="6" borderId="7" xfId="0" applyNumberFormat="1" applyFont="1" applyFill="1" applyBorder="1" applyAlignment="1" applyProtection="1">
      <alignment horizontal="center"/>
    </xf>
    <xf numFmtId="0" fontId="27" fillId="6" borderId="6" xfId="0" applyFont="1" applyFill="1" applyBorder="1" applyAlignment="1" applyProtection="1">
      <alignment horizontal="center"/>
      <protection locked="0"/>
    </xf>
    <xf numFmtId="0" fontId="0" fillId="0" borderId="0" xfId="0" applyAlignment="1">
      <alignment horizontal="center" wrapText="1"/>
    </xf>
    <xf numFmtId="0" fontId="13" fillId="0" borderId="8" xfId="0" applyFont="1" applyFill="1" applyBorder="1" applyAlignment="1" applyProtection="1">
      <alignment horizontal="center" wrapText="1"/>
      <protection locked="0"/>
    </xf>
    <xf numFmtId="0" fontId="13" fillId="0" borderId="19" xfId="0" applyFont="1" applyFill="1" applyBorder="1" applyAlignment="1" applyProtection="1">
      <alignment horizontal="center" wrapText="1"/>
      <protection locked="0"/>
    </xf>
    <xf numFmtId="0" fontId="13" fillId="0" borderId="19" xfId="0" applyNumberFormat="1" applyFont="1" applyFill="1" applyBorder="1" applyAlignment="1" applyProtection="1">
      <alignment horizontal="center" wrapText="1"/>
      <protection locked="0"/>
    </xf>
    <xf numFmtId="0" fontId="13" fillId="14" borderId="19" xfId="0" applyFont="1" applyFill="1" applyBorder="1" applyAlignment="1" applyProtection="1">
      <alignment horizontal="center" wrapText="1"/>
      <protection locked="0"/>
    </xf>
    <xf numFmtId="0" fontId="21" fillId="4" borderId="14" xfId="0" applyFont="1" applyFill="1" applyBorder="1" applyAlignment="1" applyProtection="1">
      <alignment horizontal="center" wrapText="1"/>
      <protection locked="0"/>
    </xf>
    <xf numFmtId="0" fontId="16" fillId="0" borderId="0" xfId="0" applyFont="1" applyAlignment="1">
      <alignment horizontal="center" wrapText="1"/>
    </xf>
    <xf numFmtId="2" fontId="27" fillId="6" borderId="14" xfId="0" applyNumberFormat="1" applyFont="1" applyFill="1" applyBorder="1" applyAlignment="1" applyProtection="1">
      <alignment horizontal="center" wrapText="1"/>
      <protection locked="0"/>
    </xf>
    <xf numFmtId="0" fontId="21" fillId="0" borderId="14" xfId="0" applyFont="1" applyFill="1" applyBorder="1" applyAlignment="1" applyProtection="1">
      <alignment horizontal="center" wrapText="1"/>
      <protection locked="0"/>
    </xf>
    <xf numFmtId="0" fontId="21" fillId="3" borderId="14" xfId="0" applyFont="1" applyFill="1" applyBorder="1" applyAlignment="1" applyProtection="1">
      <alignment horizontal="center" wrapText="1"/>
      <protection locked="0"/>
    </xf>
    <xf numFmtId="0" fontId="27" fillId="6" borderId="16" xfId="0" applyFont="1" applyFill="1" applyBorder="1" applyAlignment="1" applyProtection="1">
      <alignment horizontal="center" wrapText="1"/>
      <protection locked="0"/>
    </xf>
    <xf numFmtId="0" fontId="27" fillId="6" borderId="14" xfId="0" applyFont="1" applyFill="1" applyBorder="1" applyAlignment="1" applyProtection="1">
      <alignment horizontal="center" wrapText="1"/>
      <protection locked="0"/>
    </xf>
    <xf numFmtId="0" fontId="21" fillId="9" borderId="14" xfId="0" applyFont="1" applyFill="1" applyBorder="1" applyAlignment="1" applyProtection="1">
      <alignment horizontal="center" wrapText="1"/>
      <protection locked="0"/>
    </xf>
    <xf numFmtId="0" fontId="16" fillId="0" borderId="0" xfId="0" applyFont="1" applyAlignment="1">
      <alignment wrapText="1"/>
    </xf>
    <xf numFmtId="0" fontId="28" fillId="8" borderId="14" xfId="0" applyFont="1" applyFill="1" applyBorder="1" applyAlignment="1" applyProtection="1">
      <alignment horizontal="center" wrapText="1"/>
      <protection locked="0"/>
    </xf>
    <xf numFmtId="0" fontId="28" fillId="8" borderId="14" xfId="0" applyFont="1" applyFill="1" applyBorder="1" applyAlignment="1" applyProtection="1">
      <alignment wrapText="1"/>
      <protection locked="0"/>
    </xf>
    <xf numFmtId="2" fontId="27" fillId="6" borderId="7" xfId="0" applyNumberFormat="1" applyFont="1" applyFill="1" applyBorder="1" applyAlignment="1" applyProtection="1">
      <alignment horizontal="center" wrapText="1"/>
    </xf>
    <xf numFmtId="0" fontId="21" fillId="15" borderId="14" xfId="0" applyFont="1" applyFill="1" applyBorder="1" applyAlignment="1" applyProtection="1">
      <alignment horizontal="center" wrapText="1"/>
      <protection locked="0"/>
    </xf>
    <xf numFmtId="0" fontId="27" fillId="6" borderId="6" xfId="0" applyFont="1" applyFill="1" applyBorder="1" applyAlignment="1" applyProtection="1">
      <alignment horizontal="center" wrapText="1"/>
      <protection locked="0"/>
    </xf>
    <xf numFmtId="0" fontId="0" fillId="17" borderId="27" xfId="0" applyFont="1" applyFill="1" applyBorder="1" applyAlignment="1">
      <alignment horizontal="center" vertical="top" wrapText="1"/>
    </xf>
    <xf numFmtId="0" fontId="0" fillId="17" borderId="28" xfId="0" applyFont="1" applyFill="1" applyBorder="1" applyAlignment="1">
      <alignment horizontal="center" vertical="top" wrapText="1"/>
    </xf>
    <xf numFmtId="0" fontId="0" fillId="17" borderId="28" xfId="0" applyFill="1" applyBorder="1" applyAlignment="1">
      <alignment horizontal="center" vertical="top" wrapText="1"/>
    </xf>
    <xf numFmtId="0" fontId="0" fillId="17" borderId="29" xfId="0" applyFont="1" applyFill="1" applyBorder="1" applyAlignment="1">
      <alignment horizontal="center" vertical="top" wrapText="1"/>
    </xf>
    <xf numFmtId="0" fontId="4" fillId="14" borderId="24" xfId="0" applyFont="1" applyFill="1" applyBorder="1" applyAlignment="1">
      <alignment horizontal="center" vertical="center" wrapText="1"/>
    </xf>
    <xf numFmtId="0" fontId="4" fillId="15" borderId="24" xfId="0" applyFont="1" applyFill="1" applyBorder="1" applyAlignment="1">
      <alignment horizontal="center" vertical="center" wrapText="1"/>
    </xf>
    <xf numFmtId="1" fontId="32" fillId="0" borderId="7" xfId="0" applyNumberFormat="1" applyFont="1" applyFill="1" applyBorder="1" applyAlignment="1" applyProtection="1">
      <alignment horizontal="center"/>
      <protection locked="0"/>
    </xf>
    <xf numFmtId="2" fontId="11" fillId="4" borderId="7" xfId="0" applyNumberFormat="1" applyFont="1" applyFill="1" applyBorder="1" applyAlignment="1" applyProtection="1">
      <alignment horizontal="center"/>
      <protection locked="0"/>
    </xf>
    <xf numFmtId="0" fontId="11" fillId="4" borderId="7" xfId="0" applyFont="1" applyFill="1" applyBorder="1" applyAlignment="1" applyProtection="1">
      <alignment horizontal="center"/>
    </xf>
    <xf numFmtId="2" fontId="11" fillId="4" borderId="7" xfId="1" applyNumberFormat="1" applyFont="1" applyFill="1" applyBorder="1" applyAlignment="1" applyProtection="1">
      <alignment horizontal="center"/>
      <protection locked="0"/>
    </xf>
    <xf numFmtId="2" fontId="11" fillId="2" borderId="5" xfId="0" applyNumberFormat="1" applyFont="1" applyFill="1" applyBorder="1" applyAlignment="1">
      <alignment horizontal="center"/>
    </xf>
    <xf numFmtId="0" fontId="11" fillId="4" borderId="7" xfId="0" applyNumberFormat="1" applyFont="1" applyFill="1" applyBorder="1" applyAlignment="1" applyProtection="1">
      <alignment horizontal="center"/>
    </xf>
    <xf numFmtId="2" fontId="11" fillId="0" borderId="7" xfId="1" applyNumberFormat="1" applyFont="1" applyFill="1" applyBorder="1" applyAlignment="1" applyProtection="1">
      <alignment horizontal="center"/>
      <protection locked="0"/>
    </xf>
    <xf numFmtId="2" fontId="11" fillId="0" borderId="5" xfId="0" applyNumberFormat="1" applyFont="1" applyFill="1" applyBorder="1" applyAlignment="1" applyProtection="1">
      <alignment horizontal="center"/>
      <protection locked="0"/>
    </xf>
    <xf numFmtId="0" fontId="11" fillId="0" borderId="5" xfId="0" applyNumberFormat="1" applyFont="1" applyFill="1" applyBorder="1" applyAlignment="1" applyProtection="1">
      <alignment horizontal="center"/>
    </xf>
    <xf numFmtId="0" fontId="11" fillId="0" borderId="7" xfId="0" applyNumberFormat="1" applyFont="1" applyFill="1" applyBorder="1" applyAlignment="1" applyProtection="1">
      <alignment horizontal="center"/>
    </xf>
    <xf numFmtId="2" fontId="11" fillId="0" borderId="5" xfId="0" applyNumberFormat="1" applyFont="1" applyFill="1" applyBorder="1" applyAlignment="1">
      <alignment horizontal="center"/>
    </xf>
    <xf numFmtId="0" fontId="11" fillId="0" borderId="7" xfId="0" applyFont="1" applyFill="1" applyBorder="1" applyAlignment="1">
      <alignment horizontal="center"/>
    </xf>
    <xf numFmtId="0" fontId="11" fillId="10" borderId="7" xfId="0" applyNumberFormat="1" applyFont="1" applyFill="1" applyBorder="1" applyAlignment="1" applyProtection="1">
      <alignment horizontal="center"/>
    </xf>
    <xf numFmtId="2" fontId="11" fillId="3" borderId="5" xfId="0" applyNumberFormat="1" applyFont="1" applyFill="1" applyBorder="1" applyAlignment="1">
      <alignment horizontal="center"/>
    </xf>
    <xf numFmtId="2" fontId="11" fillId="0" borderId="17" xfId="1" applyNumberFormat="1" applyFont="1" applyFill="1" applyBorder="1" applyAlignment="1" applyProtection="1">
      <alignment horizontal="center"/>
      <protection locked="0"/>
    </xf>
    <xf numFmtId="2" fontId="11" fillId="9" borderId="5" xfId="0" applyNumberFormat="1" applyFont="1" applyFill="1" applyBorder="1" applyAlignment="1">
      <alignment horizontal="center"/>
    </xf>
    <xf numFmtId="2" fontId="11" fillId="9" borderId="5" xfId="0" applyNumberFormat="1" applyFont="1" applyFill="1" applyBorder="1" applyAlignment="1" applyProtection="1">
      <alignment horizontal="center"/>
      <protection locked="0"/>
    </xf>
    <xf numFmtId="0" fontId="13" fillId="3" borderId="14" xfId="0" applyFont="1" applyFill="1" applyBorder="1" applyAlignment="1" applyProtection="1">
      <alignment horizontal="center"/>
      <protection locked="0"/>
    </xf>
    <xf numFmtId="0" fontId="15" fillId="4" borderId="7" xfId="0" applyFont="1" applyFill="1" applyBorder="1" applyAlignment="1" applyProtection="1">
      <alignment horizontal="center"/>
      <protection locked="0"/>
    </xf>
    <xf numFmtId="0" fontId="15" fillId="4" borderId="7" xfId="0" applyFont="1" applyFill="1" applyBorder="1" applyAlignment="1">
      <alignment horizontal="center"/>
    </xf>
    <xf numFmtId="0" fontId="15" fillId="0" borderId="7" xfId="0" applyFont="1" applyFill="1" applyBorder="1" applyAlignment="1" applyProtection="1">
      <alignment horizontal="center"/>
      <protection locked="0"/>
    </xf>
    <xf numFmtId="0" fontId="15" fillId="3" borderId="7" xfId="0" applyFont="1" applyFill="1" applyBorder="1" applyAlignment="1" applyProtection="1">
      <alignment horizontal="center"/>
      <protection locked="0"/>
    </xf>
    <xf numFmtId="0" fontId="15" fillId="9" borderId="5" xfId="0" applyFont="1" applyFill="1" applyBorder="1" applyAlignment="1" applyProtection="1">
      <alignment horizontal="center"/>
      <protection locked="0"/>
    </xf>
    <xf numFmtId="0" fontId="15" fillId="15" borderId="7" xfId="0" applyFont="1" applyFill="1" applyBorder="1" applyAlignment="1" applyProtection="1">
      <alignment horizontal="center"/>
      <protection locked="0"/>
    </xf>
    <xf numFmtId="0" fontId="19" fillId="0" borderId="0" xfId="0" applyFont="1" applyFill="1" applyAlignment="1">
      <alignment horizontal="center" wrapText="1"/>
    </xf>
    <xf numFmtId="0" fontId="19" fillId="0" borderId="0" xfId="0" applyFont="1" applyFill="1" applyAlignment="1">
      <alignment horizontal="center" wrapText="1"/>
    </xf>
    <xf numFmtId="0" fontId="11" fillId="0" borderId="5" xfId="3" applyFont="1" applyFill="1" applyBorder="1" applyAlignment="1" applyProtection="1">
      <alignment horizontal="center"/>
      <protection locked="0"/>
    </xf>
    <xf numFmtId="2" fontId="11" fillId="4" borderId="8" xfId="3" applyNumberFormat="1" applyFont="1" applyFill="1" applyBorder="1" applyAlignment="1" applyProtection="1">
      <alignment horizontal="center"/>
      <protection locked="0"/>
    </xf>
    <xf numFmtId="0" fontId="13" fillId="4" borderId="7" xfId="3" applyFont="1" applyFill="1" applyBorder="1" applyAlignment="1" applyProtection="1">
      <alignment horizontal="center"/>
      <protection locked="0"/>
    </xf>
    <xf numFmtId="0" fontId="13" fillId="4" borderId="7" xfId="3" applyFont="1" applyFill="1" applyBorder="1" applyAlignment="1" applyProtection="1">
      <alignment horizontal="center"/>
    </xf>
    <xf numFmtId="0" fontId="15" fillId="4" borderId="14" xfId="3" applyFont="1" applyFill="1" applyBorder="1" applyAlignment="1" applyProtection="1">
      <alignment horizontal="center"/>
      <protection locked="0"/>
    </xf>
    <xf numFmtId="2" fontId="11" fillId="0" borderId="8" xfId="3" applyNumberFormat="1" applyFont="1" applyFill="1" applyBorder="1" applyAlignment="1" applyProtection="1">
      <alignment horizontal="center"/>
      <protection locked="0"/>
    </xf>
    <xf numFmtId="2" fontId="11" fillId="0" borderId="8" xfId="1" applyNumberFormat="1" applyFont="1" applyFill="1" applyBorder="1" applyAlignment="1" applyProtection="1">
      <alignment horizontal="center"/>
      <protection locked="0"/>
    </xf>
    <xf numFmtId="0" fontId="13" fillId="0" borderId="7" xfId="3" applyFont="1" applyFill="1" applyBorder="1" applyAlignment="1" applyProtection="1">
      <alignment horizontal="center"/>
      <protection locked="0"/>
    </xf>
    <xf numFmtId="0" fontId="15" fillId="0" borderId="14" xfId="3" applyFont="1" applyFill="1" applyBorder="1" applyAlignment="1" applyProtection="1">
      <alignment horizontal="center"/>
      <protection locked="0"/>
    </xf>
    <xf numFmtId="2" fontId="11" fillId="3" borderId="8" xfId="3" applyNumberFormat="1" applyFont="1" applyFill="1" applyBorder="1" applyAlignment="1" applyProtection="1">
      <alignment horizontal="center"/>
      <protection locked="0"/>
    </xf>
    <xf numFmtId="0" fontId="13" fillId="3" borderId="7" xfId="3" applyFont="1" applyFill="1" applyBorder="1" applyAlignment="1" applyProtection="1">
      <alignment horizontal="center"/>
      <protection locked="0"/>
    </xf>
    <xf numFmtId="0" fontId="15" fillId="3" borderId="14" xfId="3" applyFont="1" applyFill="1" applyBorder="1" applyAlignment="1" applyProtection="1">
      <alignment horizontal="center"/>
      <protection locked="0"/>
    </xf>
    <xf numFmtId="2" fontId="11" fillId="3" borderId="7" xfId="3" applyNumberFormat="1" applyFont="1" applyFill="1" applyBorder="1" applyAlignment="1" applyProtection="1">
      <alignment horizontal="center"/>
      <protection locked="0"/>
    </xf>
    <xf numFmtId="2" fontId="11" fillId="9" borderId="8" xfId="3" applyNumberFormat="1" applyFont="1" applyFill="1" applyBorder="1" applyAlignment="1" applyProtection="1">
      <alignment horizontal="center"/>
      <protection locked="0"/>
    </xf>
    <xf numFmtId="0" fontId="13" fillId="9" borderId="7" xfId="3" applyFont="1" applyFill="1" applyBorder="1" applyAlignment="1" applyProtection="1">
      <alignment horizontal="center"/>
      <protection locked="0"/>
    </xf>
    <xf numFmtId="0" fontId="15" fillId="9" borderId="14" xfId="3" applyFont="1" applyFill="1" applyBorder="1" applyAlignment="1" applyProtection="1">
      <alignment horizontal="center"/>
      <protection locked="0"/>
    </xf>
    <xf numFmtId="2" fontId="11" fillId="6" borderId="7" xfId="3" applyNumberFormat="1" applyFont="1" applyFill="1" applyBorder="1" applyAlignment="1" applyProtection="1">
      <alignment horizontal="center"/>
      <protection locked="0"/>
    </xf>
    <xf numFmtId="2" fontId="11" fillId="0" borderId="0" xfId="1" applyNumberFormat="1" applyFont="1" applyFill="1" applyBorder="1" applyAlignment="1" applyProtection="1">
      <alignment horizontal="center"/>
      <protection locked="0"/>
    </xf>
    <xf numFmtId="2" fontId="11" fillId="9" borderId="9" xfId="3" applyNumberFormat="1" applyFont="1" applyFill="1" applyBorder="1" applyAlignment="1" applyProtection="1">
      <alignment horizontal="center"/>
      <protection locked="0"/>
    </xf>
    <xf numFmtId="0" fontId="13" fillId="0" borderId="19" xfId="3" applyFont="1" applyFill="1" applyBorder="1" applyAlignment="1" applyProtection="1">
      <alignment horizontal="center"/>
      <protection locked="0"/>
    </xf>
    <xf numFmtId="0" fontId="11" fillId="6" borderId="20" xfId="3" applyFont="1" applyFill="1" applyBorder="1" applyAlignment="1" applyProtection="1">
      <alignment horizontal="center"/>
      <protection locked="0"/>
    </xf>
    <xf numFmtId="0" fontId="11" fillId="6" borderId="0" xfId="3" applyFont="1" applyFill="1" applyBorder="1" applyAlignment="1" applyProtection="1">
      <alignment horizontal="center"/>
      <protection locked="0"/>
    </xf>
    <xf numFmtId="0" fontId="11" fillId="6" borderId="16" xfId="3" applyFont="1" applyFill="1" applyBorder="1" applyAlignment="1" applyProtection="1">
      <alignment horizontal="center"/>
      <protection locked="0"/>
    </xf>
    <xf numFmtId="2" fontId="11" fillId="6" borderId="8" xfId="3" applyNumberFormat="1" applyFont="1" applyFill="1" applyBorder="1" applyAlignment="1" applyProtection="1">
      <alignment horizontal="center"/>
      <protection locked="0"/>
    </xf>
    <xf numFmtId="2" fontId="11" fillId="6" borderId="14" xfId="3" applyNumberFormat="1" applyFont="1" applyFill="1" applyBorder="1" applyAlignment="1" applyProtection="1">
      <alignment horizontal="center"/>
      <protection locked="0"/>
    </xf>
    <xf numFmtId="0" fontId="11" fillId="6" borderId="8" xfId="3" applyFont="1" applyFill="1" applyBorder="1" applyAlignment="1" applyProtection="1">
      <protection locked="0"/>
    </xf>
    <xf numFmtId="0" fontId="11" fillId="6" borderId="7" xfId="3" applyFont="1" applyFill="1" applyBorder="1" applyAlignment="1" applyProtection="1">
      <protection locked="0"/>
    </xf>
    <xf numFmtId="0" fontId="11" fillId="6" borderId="14" xfId="3" applyFont="1" applyFill="1" applyBorder="1" applyAlignment="1" applyProtection="1">
      <protection locked="0"/>
    </xf>
    <xf numFmtId="0" fontId="13" fillId="8" borderId="8" xfId="3" applyFont="1" applyFill="1" applyBorder="1" applyAlignment="1" applyProtection="1">
      <protection locked="0"/>
    </xf>
    <xf numFmtId="0" fontId="13" fillId="8" borderId="7" xfId="3" applyFont="1" applyFill="1" applyBorder="1" applyAlignment="1" applyProtection="1">
      <protection locked="0"/>
    </xf>
    <xf numFmtId="0" fontId="13" fillId="8" borderId="14" xfId="3" applyFont="1" applyFill="1" applyBorder="1" applyAlignment="1" applyProtection="1">
      <protection locked="0"/>
    </xf>
    <xf numFmtId="2" fontId="11" fillId="0" borderId="7" xfId="3" applyNumberFormat="1" applyFont="1" applyFill="1" applyBorder="1" applyAlignment="1" applyProtection="1">
      <alignment horizontal="center"/>
      <protection locked="0"/>
    </xf>
    <xf numFmtId="2" fontId="11" fillId="9" borderId="7" xfId="3" applyNumberFormat="1" applyFont="1" applyFill="1" applyBorder="1" applyAlignment="1" applyProtection="1">
      <alignment horizontal="center"/>
      <protection locked="0"/>
    </xf>
    <xf numFmtId="1" fontId="32" fillId="0" borderId="7" xfId="3" applyNumberFormat="1" applyFont="1" applyFill="1" applyBorder="1" applyAlignment="1" applyProtection="1">
      <alignment horizontal="center"/>
      <protection locked="0"/>
    </xf>
    <xf numFmtId="2" fontId="11" fillId="4" borderId="7" xfId="3" applyNumberFormat="1" applyFont="1" applyFill="1" applyBorder="1" applyAlignment="1" applyProtection="1">
      <alignment horizontal="center"/>
      <protection locked="0"/>
    </xf>
    <xf numFmtId="2" fontId="11" fillId="0" borderId="7" xfId="1" applyNumberFormat="1" applyFont="1" applyFill="1" applyBorder="1" applyAlignment="1" applyProtection="1">
      <alignment horizontal="center"/>
      <protection locked="0"/>
    </xf>
    <xf numFmtId="2" fontId="11" fillId="9" borderId="5" xfId="3" applyNumberFormat="1" applyFont="1" applyFill="1" applyBorder="1" applyAlignment="1" applyProtection="1">
      <alignment horizontal="center"/>
      <protection locked="0"/>
    </xf>
    <xf numFmtId="0" fontId="35" fillId="3" borderId="14" xfId="0" applyFont="1" applyFill="1" applyBorder="1" applyAlignment="1" applyProtection="1">
      <alignment horizontal="center"/>
      <protection locked="0"/>
    </xf>
    <xf numFmtId="0" fontId="19" fillId="0" borderId="0" xfId="0" applyFont="1" applyFill="1" applyAlignment="1">
      <alignment horizontal="center" wrapText="1"/>
    </xf>
    <xf numFmtId="0" fontId="11" fillId="4" borderId="42" xfId="0" applyFont="1" applyFill="1" applyBorder="1" applyAlignment="1" applyProtection="1">
      <alignment horizontal="center" vertical="center" textRotation="90"/>
      <protection locked="0"/>
    </xf>
    <xf numFmtId="0" fontId="11" fillId="4" borderId="7" xfId="0" applyFont="1" applyFill="1" applyBorder="1" applyAlignment="1" applyProtection="1">
      <alignment horizontal="center" vertical="center" textRotation="90"/>
      <protection locked="0"/>
    </xf>
    <xf numFmtId="0" fontId="11" fillId="4" borderId="43" xfId="0" applyFont="1" applyFill="1" applyBorder="1" applyAlignment="1" applyProtection="1">
      <alignment horizontal="center" vertical="center" textRotation="90"/>
      <protection locked="0"/>
    </xf>
    <xf numFmtId="0" fontId="31" fillId="0" borderId="16" xfId="0" applyFont="1" applyFill="1" applyBorder="1" applyAlignment="1">
      <alignment horizontal="center"/>
    </xf>
    <xf numFmtId="0" fontId="11" fillId="0" borderId="42" xfId="0" applyFont="1" applyFill="1" applyBorder="1" applyAlignment="1" applyProtection="1">
      <alignment horizontal="center" vertical="center" textRotation="90"/>
      <protection locked="0"/>
    </xf>
    <xf numFmtId="0" fontId="11" fillId="0" borderId="7" xfId="0" applyFont="1" applyFill="1" applyBorder="1" applyAlignment="1" applyProtection="1">
      <alignment horizontal="center" vertical="center" textRotation="90"/>
      <protection locked="0"/>
    </xf>
    <xf numFmtId="0" fontId="11" fillId="0" borderId="44" xfId="0" applyFont="1" applyFill="1" applyBorder="1" applyAlignment="1" applyProtection="1">
      <alignment horizontal="center" vertical="center" textRotation="90"/>
      <protection locked="0"/>
    </xf>
    <xf numFmtId="0" fontId="11" fillId="9" borderId="42" xfId="0" applyFont="1" applyFill="1" applyBorder="1" applyAlignment="1" applyProtection="1">
      <alignment horizontal="center" vertical="center" textRotation="90"/>
      <protection locked="0"/>
    </xf>
    <xf numFmtId="0" fontId="11" fillId="9" borderId="7" xfId="0" applyFont="1" applyFill="1" applyBorder="1" applyAlignment="1" applyProtection="1">
      <alignment horizontal="center" vertical="center" textRotation="90"/>
      <protection locked="0"/>
    </xf>
    <xf numFmtId="0" fontId="11" fillId="9" borderId="43" xfId="0" applyFont="1" applyFill="1" applyBorder="1" applyAlignment="1" applyProtection="1">
      <alignment horizontal="center" vertical="center" textRotation="90"/>
      <protection locked="0"/>
    </xf>
    <xf numFmtId="0" fontId="18" fillId="0" borderId="0" xfId="0" applyFont="1" applyFill="1" applyBorder="1" applyAlignment="1">
      <alignment horizontal="center" wrapText="1"/>
    </xf>
    <xf numFmtId="0" fontId="19" fillId="0" borderId="0" xfId="0" applyFont="1" applyFill="1" applyAlignment="1">
      <alignment horizontal="center" wrapText="1"/>
    </xf>
    <xf numFmtId="0" fontId="11" fillId="0" borderId="45" xfId="0" applyFont="1" applyFill="1" applyBorder="1" applyAlignment="1" applyProtection="1">
      <alignment horizontal="center" vertical="center" textRotation="90"/>
      <protection locked="0"/>
    </xf>
    <xf numFmtId="0" fontId="11" fillId="3" borderId="42" xfId="0" applyFont="1" applyFill="1" applyBorder="1" applyAlignment="1" applyProtection="1">
      <alignment horizontal="center" vertical="center" textRotation="90"/>
      <protection locked="0"/>
    </xf>
    <xf numFmtId="0" fontId="11" fillId="3" borderId="7" xfId="0" applyFont="1" applyFill="1" applyBorder="1" applyAlignment="1" applyProtection="1">
      <alignment horizontal="center" vertical="center" textRotation="90"/>
      <protection locked="0"/>
    </xf>
    <xf numFmtId="0" fontId="11" fillId="0" borderId="8" xfId="0" applyFont="1" applyFill="1" applyBorder="1" applyAlignment="1" applyProtection="1">
      <alignment horizontal="center" vertical="center" textRotation="90"/>
      <protection locked="0"/>
    </xf>
    <xf numFmtId="0" fontId="11" fillId="0" borderId="14" xfId="0" applyFont="1" applyFill="1" applyBorder="1" applyAlignment="1" applyProtection="1">
      <alignment horizontal="center" vertical="center" textRotation="90"/>
      <protection locked="0"/>
    </xf>
    <xf numFmtId="0" fontId="11" fillId="3" borderId="44" xfId="0" applyFont="1" applyFill="1" applyBorder="1" applyAlignment="1" applyProtection="1">
      <alignment horizontal="center" vertical="center" textRotation="90"/>
      <protection locked="0"/>
    </xf>
    <xf numFmtId="0" fontId="11" fillId="4" borderId="8" xfId="0" applyFont="1" applyFill="1" applyBorder="1" applyAlignment="1" applyProtection="1">
      <alignment horizontal="center" vertical="center" textRotation="90"/>
      <protection locked="0"/>
    </xf>
    <xf numFmtId="0" fontId="11" fillId="4" borderId="14" xfId="0" applyFont="1" applyFill="1" applyBorder="1" applyAlignment="1" applyProtection="1">
      <alignment horizontal="center" vertical="center" textRotation="90"/>
      <protection locked="0"/>
    </xf>
    <xf numFmtId="0" fontId="7" fillId="0" borderId="0" xfId="0" applyFont="1" applyFill="1" applyAlignment="1">
      <alignment horizontal="center"/>
    </xf>
    <xf numFmtId="0" fontId="8" fillId="0" borderId="0" xfId="0" applyFont="1" applyFill="1" applyAlignment="1">
      <alignment horizontal="center"/>
    </xf>
    <xf numFmtId="0" fontId="9" fillId="0" borderId="0" xfId="0" applyFont="1" applyFill="1" applyAlignment="1">
      <alignment horizontal="center"/>
    </xf>
    <xf numFmtId="0" fontId="1" fillId="15" borderId="45" xfId="0" applyFont="1" applyFill="1" applyBorder="1" applyAlignment="1" applyProtection="1">
      <alignment horizontal="center" vertical="center" textRotation="90"/>
      <protection locked="0"/>
    </xf>
    <xf numFmtId="0" fontId="1" fillId="15" borderId="7" xfId="0" applyFont="1" applyFill="1" applyBorder="1" applyAlignment="1" applyProtection="1">
      <alignment horizontal="center" vertical="center" textRotation="90"/>
      <protection locked="0"/>
    </xf>
    <xf numFmtId="0" fontId="1" fillId="15" borderId="54" xfId="0" applyFont="1" applyFill="1" applyBorder="1" applyAlignment="1" applyProtection="1">
      <alignment horizontal="center" vertical="center" textRotation="90"/>
      <protection locked="0"/>
    </xf>
    <xf numFmtId="0" fontId="1" fillId="9" borderId="46" xfId="0" applyFont="1" applyFill="1" applyBorder="1" applyAlignment="1" applyProtection="1">
      <alignment horizontal="center" vertical="center" textRotation="90"/>
      <protection locked="0"/>
    </xf>
    <xf numFmtId="0" fontId="1" fillId="9" borderId="47" xfId="0" applyFont="1" applyFill="1" applyBorder="1" applyAlignment="1" applyProtection="1">
      <alignment horizontal="center" vertical="center" textRotation="90"/>
      <protection locked="0"/>
    </xf>
    <xf numFmtId="0" fontId="1" fillId="9" borderId="48" xfId="0" applyFont="1" applyFill="1" applyBorder="1" applyAlignment="1" applyProtection="1">
      <alignment horizontal="center" vertical="center" textRotation="90"/>
      <protection locked="0"/>
    </xf>
    <xf numFmtId="0" fontId="1" fillId="0" borderId="45" xfId="0" applyFont="1" applyFill="1" applyBorder="1" applyAlignment="1" applyProtection="1">
      <alignment horizontal="center" vertical="center" textRotation="90"/>
      <protection locked="0"/>
    </xf>
    <xf numFmtId="0" fontId="1" fillId="0" borderId="7" xfId="0" applyFont="1" applyFill="1" applyBorder="1" applyAlignment="1" applyProtection="1">
      <alignment horizontal="center" vertical="center" textRotation="90"/>
      <protection locked="0"/>
    </xf>
    <xf numFmtId="0" fontId="1" fillId="0" borderId="54" xfId="0" applyFont="1" applyFill="1" applyBorder="1" applyAlignment="1" applyProtection="1">
      <alignment horizontal="center" vertical="center" textRotation="90"/>
      <protection locked="0"/>
    </xf>
    <xf numFmtId="0" fontId="1" fillId="4" borderId="46" xfId="0" applyFont="1" applyFill="1" applyBorder="1" applyAlignment="1" applyProtection="1">
      <alignment horizontal="center" vertical="center" textRotation="90"/>
      <protection locked="0"/>
    </xf>
    <xf numFmtId="0" fontId="1" fillId="4" borderId="47" xfId="0" applyFont="1" applyFill="1" applyBorder="1" applyAlignment="1" applyProtection="1">
      <alignment horizontal="center" vertical="center" textRotation="90"/>
      <protection locked="0"/>
    </xf>
    <xf numFmtId="0" fontId="1" fillId="4" borderId="48" xfId="0" applyFont="1" applyFill="1" applyBorder="1" applyAlignment="1" applyProtection="1">
      <alignment horizontal="center" vertical="center" textRotation="90"/>
      <protection locked="0"/>
    </xf>
    <xf numFmtId="0" fontId="1" fillId="0" borderId="49" xfId="0" applyFont="1" applyFill="1" applyBorder="1" applyAlignment="1" applyProtection="1">
      <alignment horizontal="center" vertical="center" textRotation="90"/>
      <protection locked="0"/>
    </xf>
    <xf numFmtId="0" fontId="1" fillId="0" borderId="50" xfId="0" applyFont="1" applyFill="1" applyBorder="1" applyAlignment="1" applyProtection="1">
      <alignment horizontal="center" vertical="center" textRotation="90"/>
      <protection locked="0"/>
    </xf>
    <xf numFmtId="0" fontId="1" fillId="0" borderId="51" xfId="0" applyFont="1" applyFill="1" applyBorder="1" applyAlignment="1" applyProtection="1">
      <alignment horizontal="center" vertical="center" textRotation="90"/>
      <protection locked="0"/>
    </xf>
    <xf numFmtId="0" fontId="1" fillId="3" borderId="46" xfId="0" applyFont="1" applyFill="1" applyBorder="1" applyAlignment="1" applyProtection="1">
      <alignment horizontal="center" vertical="center" textRotation="90"/>
      <protection locked="0"/>
    </xf>
    <xf numFmtId="0" fontId="1" fillId="3" borderId="47" xfId="0" applyFont="1" applyFill="1" applyBorder="1" applyAlignment="1" applyProtection="1">
      <alignment horizontal="center" vertical="center" textRotation="90"/>
      <protection locked="0"/>
    </xf>
    <xf numFmtId="0" fontId="1" fillId="3" borderId="52" xfId="0" applyFont="1" applyFill="1" applyBorder="1" applyAlignment="1" applyProtection="1">
      <alignment horizontal="center" vertical="center" textRotation="90"/>
      <protection locked="0"/>
    </xf>
    <xf numFmtId="0" fontId="1" fillId="0" borderId="53" xfId="0" applyFont="1" applyFill="1" applyBorder="1" applyAlignment="1" applyProtection="1">
      <alignment horizontal="center" vertical="center" textRotation="90"/>
      <protection locked="0"/>
    </xf>
    <xf numFmtId="0" fontId="0" fillId="0" borderId="0" xfId="0" applyAlignment="1">
      <alignment horizontal="center"/>
    </xf>
    <xf numFmtId="0" fontId="25" fillId="0" borderId="55" xfId="0" applyFont="1" applyBorder="1" applyAlignment="1">
      <alignment horizontal="center" vertical="center" textRotation="255"/>
    </xf>
    <xf numFmtId="0" fontId="26" fillId="0" borderId="3" xfId="0" applyFont="1" applyBorder="1" applyAlignment="1">
      <alignment horizontal="center" vertical="center" textRotation="255"/>
    </xf>
    <xf numFmtId="0" fontId="26" fillId="0" borderId="4" xfId="0" applyFont="1" applyBorder="1" applyAlignment="1">
      <alignment horizontal="center" vertical="center" textRotation="255"/>
    </xf>
    <xf numFmtId="0" fontId="26" fillId="0" borderId="56" xfId="0" applyFont="1" applyBorder="1" applyAlignment="1">
      <alignment horizontal="center" vertical="center" textRotation="255"/>
    </xf>
    <xf numFmtId="0" fontId="25" fillId="0" borderId="8" xfId="0" applyFont="1" applyBorder="1" applyAlignment="1">
      <alignment horizontal="center" vertical="center" textRotation="255"/>
    </xf>
    <xf numFmtId="0" fontId="26" fillId="0" borderId="7" xfId="0" applyFont="1" applyBorder="1" applyAlignment="1">
      <alignment horizontal="center" vertical="center" textRotation="255"/>
    </xf>
    <xf numFmtId="0" fontId="26" fillId="0" borderId="14" xfId="0" applyFont="1" applyBorder="1" applyAlignment="1">
      <alignment horizontal="center" vertical="center" textRotation="255"/>
    </xf>
    <xf numFmtId="0" fontId="25" fillId="0" borderId="57" xfId="0" applyFont="1" applyBorder="1" applyAlignment="1">
      <alignment horizontal="center" vertical="center" textRotation="255"/>
    </xf>
    <xf numFmtId="0" fontId="26" fillId="0" borderId="23" xfId="0" applyFont="1" applyBorder="1" applyAlignment="1">
      <alignment horizontal="center" vertical="center" textRotation="255"/>
    </xf>
    <xf numFmtId="0" fontId="25" fillId="0" borderId="4" xfId="0" applyFont="1" applyBorder="1" applyAlignment="1">
      <alignment horizontal="center" vertical="center" textRotation="255"/>
    </xf>
    <xf numFmtId="0" fontId="25" fillId="0" borderId="56" xfId="0" applyFont="1" applyBorder="1" applyAlignment="1">
      <alignment horizontal="center" vertical="center" textRotation="255"/>
    </xf>
    <xf numFmtId="0" fontId="9" fillId="0" borderId="0" xfId="0" applyFont="1" applyAlignment="1">
      <alignment horizontal="left" wrapText="1"/>
    </xf>
    <xf numFmtId="0" fontId="9" fillId="0" borderId="0" xfId="0" applyFont="1" applyAlignment="1">
      <alignment horizontal="left"/>
    </xf>
    <xf numFmtId="0" fontId="9" fillId="0" borderId="16" xfId="0" applyFont="1" applyBorder="1" applyAlignment="1">
      <alignment horizontal="left"/>
    </xf>
  </cellXfs>
  <cellStyles count="4">
    <cellStyle name="Normal" xfId="0" builtinId="0"/>
    <cellStyle name="Normal 2" xfId="3"/>
    <cellStyle name="Normal_Sheet1" xfId="1"/>
    <cellStyle name="Warning Text" xfId="2" builtinId="11"/>
  </cellStyles>
  <dxfs count="562">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rgb="FFFFFF00"/>
      </font>
      <fill>
        <patternFill>
          <bgColor rgb="FFFFFF00"/>
        </patternFill>
      </fill>
    </dxf>
    <dxf>
      <font>
        <color theme="0"/>
      </font>
      <fill>
        <patternFill>
          <bgColor theme="1"/>
        </patternFill>
      </fill>
    </dxf>
    <dxf>
      <font>
        <color theme="0"/>
      </font>
      <fill>
        <patternFill>
          <bgColor theme="1"/>
        </patternFill>
      </fill>
    </dxf>
    <dxf>
      <font>
        <color rgb="FFFFFF00"/>
      </font>
      <fill>
        <patternFill>
          <bgColor rgb="FFFFFF00"/>
        </patternFill>
      </fill>
    </dxf>
    <dxf>
      <font>
        <color rgb="FFFFFF00"/>
      </font>
      <fill>
        <patternFill>
          <bgColor rgb="FFFFFF00"/>
        </patternFill>
      </fill>
    </dxf>
    <dxf>
      <font>
        <color rgb="FFFFFF00"/>
      </font>
      <fill>
        <patternFill>
          <bgColor rgb="FFFFFF00"/>
        </patternFill>
      </fill>
    </dxf>
    <dxf>
      <font>
        <color theme="0"/>
      </font>
      <fill>
        <patternFill>
          <bgColor theme="1"/>
        </patternFill>
      </fill>
    </dxf>
    <dxf>
      <font>
        <color theme="0"/>
      </font>
      <fill>
        <patternFill>
          <bgColor theme="1"/>
        </patternFill>
      </fill>
    </dxf>
    <dxf>
      <font>
        <color rgb="FFFFFF00"/>
      </font>
      <fill>
        <patternFill>
          <bgColor rgb="FFFFFF00"/>
        </patternFill>
      </fill>
    </dxf>
    <dxf>
      <font>
        <condense val="0"/>
        <extend val="0"/>
        <color rgb="FF9C6500"/>
      </font>
      <fill>
        <patternFill>
          <bgColor rgb="FFFFEB9C"/>
        </patternFill>
      </fill>
    </dxf>
    <dxf>
      <font>
        <condense val="0"/>
        <extend val="0"/>
        <color rgb="FF9C0006"/>
      </font>
      <fill>
        <patternFill>
          <bgColor rgb="FFFFC7CE"/>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rgb="FFFFFF00"/>
      </font>
      <fill>
        <patternFill>
          <bgColor rgb="FFFFFF00"/>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rgb="FFFFFF00"/>
      </font>
      <fill>
        <patternFill>
          <bgColor rgb="FFFFFF00"/>
        </patternFill>
      </fill>
    </dxf>
    <dxf>
      <font>
        <color rgb="FFFFFF00"/>
      </font>
      <fill>
        <patternFill>
          <bgColor rgb="FFFFFF00"/>
        </patternFill>
      </fill>
    </dxf>
    <dxf>
      <font>
        <color rgb="FFFFFF00"/>
      </font>
      <fill>
        <patternFill>
          <bgColor rgb="FFFFFF00"/>
        </patternFill>
      </fill>
    </dxf>
    <dxf>
      <font>
        <color theme="0"/>
      </font>
      <fill>
        <patternFill>
          <bgColor theme="1"/>
        </patternFill>
      </fill>
    </dxf>
    <dxf>
      <font>
        <color theme="0"/>
      </font>
      <fill>
        <patternFill>
          <bgColor theme="1"/>
        </patternFill>
      </fill>
    </dxf>
    <dxf>
      <font>
        <color rgb="FFFFFF00"/>
      </font>
      <fill>
        <patternFill>
          <bgColor rgb="FFFFFF00"/>
        </patternFill>
      </fill>
    </dxf>
    <dxf>
      <font>
        <color rgb="FFFFFF00"/>
      </font>
      <fill>
        <patternFill>
          <bgColor rgb="FFFFFF00"/>
        </patternFill>
      </fill>
    </dxf>
    <dxf>
      <font>
        <color rgb="FFFFFF00"/>
      </font>
      <fill>
        <patternFill>
          <bgColor rgb="FFFFFF00"/>
        </patternFill>
      </fill>
    </dxf>
    <dxf>
      <font>
        <color theme="0"/>
      </font>
      <fill>
        <patternFill>
          <bgColor theme="1"/>
        </patternFill>
      </fill>
    </dxf>
    <dxf>
      <font>
        <color theme="0"/>
      </font>
      <fill>
        <patternFill>
          <bgColor theme="1"/>
        </patternFill>
      </fill>
    </dxf>
    <dxf>
      <font>
        <color rgb="FFFFFF00"/>
      </font>
      <fill>
        <patternFill>
          <bgColor rgb="FFFFFF00"/>
        </patternFill>
      </fill>
    </dxf>
    <dxf>
      <font>
        <condense val="0"/>
        <extend val="0"/>
        <color rgb="FF9C6500"/>
      </font>
      <fill>
        <patternFill>
          <bgColor rgb="FFFFEB9C"/>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NUL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5</xdr:col>
      <xdr:colOff>323850</xdr:colOff>
      <xdr:row>8</xdr:row>
      <xdr:rowOff>152400</xdr:rowOff>
    </xdr:to>
    <xdr:pic>
      <xdr:nvPicPr>
        <xdr:cNvPr id="1433"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14625" y="190500"/>
          <a:ext cx="59436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54</xdr:row>
      <xdr:rowOff>0</xdr:rowOff>
    </xdr:from>
    <xdr:to>
      <xdr:col>5</xdr:col>
      <xdr:colOff>323850</xdr:colOff>
      <xdr:row>61</xdr:row>
      <xdr:rowOff>152400</xdr:rowOff>
    </xdr:to>
    <xdr:pic>
      <xdr:nvPicPr>
        <xdr:cNvPr id="1434"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14625" y="14620875"/>
          <a:ext cx="59436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codeName="Sheet2"/>
  <dimension ref="A1"/>
  <sheetViews>
    <sheetView defaultGridColor="0" colorId="22" zoomScale="87" workbookViewId="0"/>
  </sheetViews>
  <sheetFormatPr defaultColWidth="9.81640625" defaultRowHeight="15" x14ac:dyDescent="0.25"/>
  <sheetData/>
  <phoneticPr fontId="0" type="noConversion"/>
  <pageMargins left="0.5" right="0.59099999999999997" top="0.5" bottom="0.5" header="0.5" footer="0.5"/>
  <pageSetup scale="37"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Z164"/>
  <sheetViews>
    <sheetView tabSelected="1" topLeftCell="P63" zoomScale="49" zoomScaleNormal="49" zoomScaleSheetLayoutView="79" zoomScalePageLayoutView="58" workbookViewId="0">
      <selection activeCell="T69" sqref="T69:T72"/>
    </sheetView>
  </sheetViews>
  <sheetFormatPr defaultColWidth="8.90625" defaultRowHeight="23.4" x14ac:dyDescent="0.45"/>
  <cols>
    <col min="1" max="1" width="8.90625" style="99"/>
    <col min="2" max="2" width="6.453125" style="99" customWidth="1"/>
    <col min="3" max="3" width="12.54296875" style="99" customWidth="1"/>
    <col min="4" max="4" width="28" style="99" customWidth="1"/>
    <col min="5" max="5" width="28.453125" style="99" customWidth="1"/>
    <col min="6" max="9" width="25.08984375" style="99" customWidth="1"/>
    <col min="10" max="11" width="27.90625" style="99" customWidth="1"/>
    <col min="12" max="12" width="31.81640625" style="99" customWidth="1"/>
    <col min="13" max="27" width="26.1796875" style="99" customWidth="1"/>
    <col min="28" max="29" width="27.1796875" style="99" customWidth="1"/>
    <col min="30" max="30" width="28.81640625" style="99" customWidth="1"/>
    <col min="31" max="33" width="28.1796875" style="99" customWidth="1"/>
    <col min="34" max="34" width="26.90625" style="99" customWidth="1"/>
    <col min="35" max="35" width="28.81640625" style="99" customWidth="1"/>
    <col min="36" max="36" width="29.6328125" style="99" bestFit="1" customWidth="1"/>
    <col min="37" max="37" width="20.81640625" style="99" customWidth="1"/>
    <col min="38" max="38" width="9.81640625" style="99" customWidth="1"/>
    <col min="39" max="43" width="8.90625" style="99" customWidth="1"/>
    <col min="44" max="16384" width="8.90625" style="99"/>
  </cols>
  <sheetData>
    <row r="1" spans="1:104" ht="45.75" customHeight="1" x14ac:dyDescent="1.4">
      <c r="A1" s="97"/>
      <c r="B1" s="210"/>
      <c r="C1" s="210"/>
      <c r="D1" s="500"/>
      <c r="E1" s="500"/>
      <c r="F1" s="500"/>
      <c r="G1" s="500"/>
      <c r="H1" s="500"/>
      <c r="I1" s="500"/>
      <c r="J1" s="500"/>
      <c r="K1" s="500"/>
      <c r="L1" s="500"/>
      <c r="M1" s="500"/>
      <c r="N1" s="500"/>
      <c r="O1" s="500"/>
      <c r="P1" s="500"/>
      <c r="Q1" s="500"/>
      <c r="R1" s="500"/>
      <c r="S1" s="500"/>
      <c r="T1" s="500"/>
      <c r="U1" s="500"/>
      <c r="V1" s="500"/>
      <c r="W1" s="500"/>
      <c r="X1" s="500"/>
      <c r="Y1" s="500"/>
      <c r="Z1" s="500"/>
      <c r="AA1" s="500"/>
      <c r="AB1" s="500"/>
      <c r="AC1" s="500"/>
      <c r="AD1" s="500"/>
      <c r="AE1" s="500"/>
      <c r="AF1" s="500"/>
      <c r="AG1" s="500"/>
      <c r="AH1" s="500"/>
      <c r="AI1" s="500"/>
      <c r="AJ1" s="500"/>
      <c r="AK1" s="500"/>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c r="BM1" s="97"/>
      <c r="BN1" s="97"/>
      <c r="BO1" s="97"/>
      <c r="BP1" s="97"/>
      <c r="BQ1" s="97"/>
      <c r="BR1" s="97"/>
      <c r="BS1" s="97"/>
      <c r="BT1" s="97"/>
      <c r="BU1" s="97"/>
      <c r="BV1" s="97"/>
      <c r="BW1" s="97"/>
      <c r="BX1" s="97"/>
      <c r="BY1" s="97"/>
      <c r="BZ1" s="97"/>
      <c r="CA1" s="97"/>
      <c r="CB1" s="97"/>
      <c r="CC1" s="97"/>
      <c r="CD1" s="97"/>
      <c r="CE1" s="97"/>
      <c r="CF1" s="97"/>
      <c r="CG1" s="97"/>
      <c r="CH1" s="97"/>
      <c r="CI1" s="97"/>
      <c r="CJ1" s="97"/>
      <c r="CK1" s="97"/>
      <c r="CL1" s="97"/>
      <c r="CM1" s="97"/>
      <c r="CN1" s="97"/>
      <c r="CO1" s="97"/>
      <c r="CP1" s="97"/>
      <c r="CQ1" s="97"/>
      <c r="CR1" s="97"/>
      <c r="CS1" s="97"/>
      <c r="CT1" s="97"/>
      <c r="CU1" s="97"/>
      <c r="CV1" s="97"/>
      <c r="CW1" s="98"/>
      <c r="CX1" s="97"/>
      <c r="CY1" s="97"/>
      <c r="CZ1" s="97"/>
    </row>
    <row r="2" spans="1:104" ht="45.75" customHeight="1" x14ac:dyDescent="0.7">
      <c r="A2" s="97"/>
      <c r="B2" s="501" t="s">
        <v>61</v>
      </c>
      <c r="C2" s="501"/>
      <c r="D2" s="501"/>
      <c r="E2" s="501"/>
      <c r="F2" s="501"/>
      <c r="G2" s="501"/>
      <c r="H2" s="501"/>
      <c r="I2" s="501"/>
      <c r="J2" s="501"/>
      <c r="K2" s="501"/>
      <c r="L2" s="501"/>
      <c r="M2" s="501"/>
      <c r="N2" s="501"/>
      <c r="O2" s="501"/>
      <c r="P2" s="501"/>
      <c r="Q2" s="501"/>
      <c r="R2" s="501"/>
      <c r="S2" s="501"/>
      <c r="T2" s="501"/>
      <c r="U2" s="501"/>
      <c r="V2" s="501"/>
      <c r="W2" s="501"/>
      <c r="X2" s="501"/>
      <c r="Y2" s="501"/>
      <c r="Z2" s="501"/>
      <c r="AA2" s="501"/>
      <c r="AB2" s="501"/>
      <c r="AC2" s="501"/>
      <c r="AD2" s="501"/>
      <c r="AE2" s="501"/>
      <c r="AF2" s="501"/>
      <c r="AG2" s="501"/>
      <c r="AH2" s="501"/>
      <c r="AI2" s="501"/>
      <c r="AJ2" s="501"/>
      <c r="AK2" s="501"/>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c r="BM2" s="97"/>
      <c r="BN2" s="97"/>
      <c r="BO2" s="97"/>
      <c r="BP2" s="97"/>
      <c r="BQ2" s="97"/>
      <c r="BR2" s="97"/>
      <c r="BS2" s="97"/>
      <c r="BT2" s="97"/>
      <c r="BU2" s="97"/>
      <c r="BV2" s="97"/>
      <c r="BW2" s="97"/>
      <c r="BX2" s="97"/>
      <c r="BY2" s="97"/>
      <c r="BZ2" s="97"/>
      <c r="CA2" s="97"/>
      <c r="CB2" s="97"/>
      <c r="CC2" s="97"/>
      <c r="CD2" s="97"/>
      <c r="CE2" s="97"/>
      <c r="CF2" s="97"/>
      <c r="CG2" s="97"/>
      <c r="CH2" s="97"/>
      <c r="CI2" s="97"/>
      <c r="CJ2" s="97"/>
      <c r="CK2" s="97"/>
      <c r="CL2" s="97"/>
      <c r="CM2" s="97"/>
      <c r="CN2" s="97"/>
      <c r="CO2" s="97"/>
      <c r="CP2" s="97"/>
      <c r="CQ2" s="97"/>
      <c r="CR2" s="97"/>
      <c r="CS2" s="97"/>
      <c r="CT2" s="97"/>
      <c r="CU2" s="97"/>
      <c r="CV2" s="97"/>
      <c r="CW2" s="98"/>
      <c r="CX2" s="97"/>
      <c r="CY2" s="97"/>
      <c r="CZ2" s="97"/>
    </row>
    <row r="3" spans="1:104" ht="45.75" customHeight="1" x14ac:dyDescent="0.7">
      <c r="A3" s="97"/>
      <c r="B3" s="449"/>
      <c r="C3" s="449"/>
      <c r="D3" s="449"/>
      <c r="E3" s="449"/>
      <c r="F3" s="449"/>
      <c r="G3" s="449"/>
      <c r="H3" s="450"/>
      <c r="I3" s="450"/>
      <c r="J3" s="449"/>
      <c r="K3" s="449"/>
      <c r="L3" s="449"/>
      <c r="M3" s="449"/>
      <c r="N3" s="450"/>
      <c r="O3" s="449"/>
      <c r="P3" s="449"/>
      <c r="Q3" s="449"/>
      <c r="R3" s="449"/>
      <c r="S3" s="449"/>
      <c r="T3" s="449"/>
      <c r="U3" s="449"/>
      <c r="V3" s="449"/>
      <c r="W3" s="449"/>
      <c r="X3" s="449"/>
      <c r="Y3" s="450"/>
      <c r="Z3" s="489"/>
      <c r="AA3" s="449"/>
      <c r="AB3" s="449"/>
      <c r="AC3" s="449"/>
      <c r="AD3" s="449"/>
      <c r="AE3" s="449"/>
      <c r="AF3" s="449"/>
      <c r="AG3" s="449"/>
      <c r="AH3" s="449"/>
      <c r="AI3" s="449"/>
      <c r="AJ3" s="449"/>
      <c r="AK3" s="449"/>
      <c r="AL3" s="97"/>
      <c r="AM3" s="97"/>
      <c r="AN3" s="97"/>
      <c r="AO3" s="97"/>
      <c r="AP3" s="97"/>
      <c r="AQ3" s="97"/>
      <c r="AR3" s="97"/>
      <c r="AS3" s="97"/>
      <c r="AT3" s="97"/>
      <c r="AU3" s="97"/>
      <c r="AV3" s="97"/>
      <c r="AW3" s="97"/>
      <c r="AX3" s="97"/>
      <c r="AY3" s="97"/>
      <c r="AZ3" s="97"/>
      <c r="BA3" s="97"/>
      <c r="BB3" s="97"/>
      <c r="BC3" s="97"/>
      <c r="BD3" s="97"/>
      <c r="BE3" s="97"/>
      <c r="BF3" s="97"/>
      <c r="BG3" s="97"/>
      <c r="BH3" s="97"/>
      <c r="BI3" s="97"/>
      <c r="BJ3" s="97"/>
      <c r="BK3" s="97"/>
      <c r="BL3" s="97"/>
      <c r="BM3" s="97"/>
      <c r="BN3" s="97"/>
      <c r="BO3" s="97"/>
      <c r="BP3" s="97"/>
      <c r="BQ3" s="97"/>
      <c r="BR3" s="97"/>
      <c r="BS3" s="97"/>
      <c r="BT3" s="97"/>
      <c r="BU3" s="97"/>
      <c r="BV3" s="97"/>
      <c r="BW3" s="97"/>
      <c r="BX3" s="97"/>
      <c r="BY3" s="97"/>
      <c r="BZ3" s="97"/>
      <c r="CA3" s="97"/>
      <c r="CB3" s="97"/>
      <c r="CC3" s="97"/>
      <c r="CD3" s="97"/>
      <c r="CE3" s="97"/>
      <c r="CF3" s="97"/>
      <c r="CG3" s="97"/>
      <c r="CH3" s="97"/>
      <c r="CI3" s="97"/>
      <c r="CJ3" s="97"/>
      <c r="CK3" s="97"/>
      <c r="CL3" s="97"/>
      <c r="CM3" s="97"/>
      <c r="CN3" s="97"/>
      <c r="CO3" s="97"/>
      <c r="CP3" s="97"/>
      <c r="CQ3" s="97"/>
      <c r="CR3" s="97"/>
      <c r="CS3" s="97"/>
      <c r="CT3" s="97"/>
      <c r="CU3" s="97"/>
      <c r="CV3" s="97"/>
      <c r="CW3" s="98"/>
      <c r="CX3" s="97"/>
      <c r="CY3" s="97"/>
      <c r="CZ3" s="97"/>
    </row>
    <row r="4" spans="1:104" ht="44.4" thickBot="1" x14ac:dyDescent="1.1000000000000001">
      <c r="A4" s="97"/>
      <c r="B4" s="100"/>
      <c r="C4" s="100"/>
      <c r="D4" s="100"/>
      <c r="E4" s="100"/>
      <c r="F4" s="100"/>
      <c r="G4" s="100"/>
      <c r="H4" s="100"/>
      <c r="I4" s="100"/>
      <c r="J4" s="493" t="s">
        <v>580</v>
      </c>
      <c r="K4" s="493"/>
      <c r="L4" s="493"/>
      <c r="M4" s="312"/>
      <c r="N4" s="312"/>
      <c r="O4" s="312"/>
      <c r="P4" s="312"/>
      <c r="Q4" s="312"/>
      <c r="R4" s="312"/>
      <c r="S4" s="312"/>
      <c r="T4" s="312"/>
      <c r="U4" s="312"/>
      <c r="V4" s="312"/>
      <c r="W4" s="100"/>
      <c r="X4" s="100"/>
      <c r="Y4" s="100"/>
      <c r="Z4" s="100"/>
      <c r="AA4" s="100"/>
      <c r="AB4" s="197"/>
      <c r="AC4" s="197"/>
      <c r="AD4" s="100"/>
      <c r="AE4" s="100"/>
      <c r="AF4" s="100"/>
      <c r="AG4" s="100"/>
      <c r="AH4" s="100"/>
      <c r="AI4" s="100"/>
      <c r="AJ4" s="100"/>
      <c r="AK4" s="97"/>
      <c r="AL4" s="97"/>
      <c r="AM4" s="97"/>
      <c r="AN4" s="97"/>
      <c r="AO4" s="97"/>
      <c r="AP4" s="97"/>
      <c r="AQ4" s="97"/>
      <c r="AR4" s="97"/>
      <c r="AS4" s="97"/>
      <c r="AT4" s="97"/>
      <c r="AU4" s="97"/>
      <c r="AV4" s="97"/>
      <c r="AW4" s="97"/>
      <c r="AX4" s="97"/>
      <c r="AY4" s="97"/>
      <c r="AZ4" s="97"/>
      <c r="BA4" s="97"/>
      <c r="BB4" s="97"/>
      <c r="BC4" s="97"/>
      <c r="BD4" s="97"/>
      <c r="BE4" s="97"/>
      <c r="BF4" s="97"/>
      <c r="BG4" s="97"/>
      <c r="BH4" s="97"/>
      <c r="BI4" s="97"/>
      <c r="BJ4" s="97"/>
      <c r="BK4" s="97"/>
      <c r="BL4" s="97"/>
      <c r="BM4" s="97"/>
      <c r="BN4" s="97"/>
      <c r="BO4" s="97"/>
      <c r="BP4" s="97"/>
      <c r="BQ4" s="97"/>
      <c r="BR4" s="97"/>
      <c r="BS4" s="97"/>
      <c r="BT4" s="97"/>
      <c r="BU4" s="97"/>
      <c r="BV4" s="97"/>
      <c r="BW4" s="97"/>
      <c r="BX4" s="97"/>
      <c r="BY4" s="97"/>
      <c r="BZ4" s="97"/>
      <c r="CA4" s="97"/>
      <c r="CB4" s="97"/>
      <c r="CC4" s="97"/>
      <c r="CD4" s="97"/>
      <c r="CE4" s="97"/>
      <c r="CF4" s="97"/>
      <c r="CG4" s="97"/>
      <c r="CH4" s="97"/>
      <c r="CI4" s="97"/>
      <c r="CJ4" s="97"/>
      <c r="CK4" s="97"/>
      <c r="CL4" s="97"/>
      <c r="CM4" s="97"/>
      <c r="CN4" s="97"/>
      <c r="CO4" s="97"/>
      <c r="CP4" s="97"/>
      <c r="CQ4" s="97"/>
      <c r="CR4" s="97"/>
      <c r="CS4" s="97"/>
      <c r="CT4" s="97"/>
      <c r="CU4" s="97"/>
      <c r="CV4" s="97"/>
      <c r="CW4" s="97"/>
      <c r="CX4" s="97"/>
      <c r="CY4" s="97"/>
    </row>
    <row r="5" spans="1:104" ht="21.75" customHeight="1" x14ac:dyDescent="0.45">
      <c r="A5" s="97"/>
      <c r="B5" s="213" t="s">
        <v>0</v>
      </c>
      <c r="C5" s="214" t="s">
        <v>191</v>
      </c>
      <c r="D5" s="211" t="s">
        <v>765</v>
      </c>
      <c r="E5" s="211" t="s">
        <v>764</v>
      </c>
      <c r="F5" s="211" t="s">
        <v>202</v>
      </c>
      <c r="G5" s="215" t="s">
        <v>762</v>
      </c>
      <c r="H5" s="470" t="s">
        <v>763</v>
      </c>
      <c r="I5" s="470" t="s">
        <v>203</v>
      </c>
      <c r="J5" s="215" t="s">
        <v>422</v>
      </c>
      <c r="K5" s="215" t="s">
        <v>424</v>
      </c>
      <c r="L5" s="216" t="s">
        <v>579</v>
      </c>
      <c r="M5" s="217" t="s">
        <v>204</v>
      </c>
      <c r="N5" s="217" t="s">
        <v>669</v>
      </c>
      <c r="O5" s="217" t="s">
        <v>369</v>
      </c>
      <c r="P5" s="217" t="s">
        <v>407</v>
      </c>
      <c r="Q5" s="217" t="s">
        <v>368</v>
      </c>
      <c r="R5" s="217" t="s">
        <v>427</v>
      </c>
      <c r="S5" s="217" t="s">
        <v>474</v>
      </c>
      <c r="T5" s="217" t="s">
        <v>474</v>
      </c>
      <c r="U5" s="217" t="s">
        <v>436</v>
      </c>
      <c r="V5" s="217" t="s">
        <v>433</v>
      </c>
      <c r="W5" s="215" t="s">
        <v>429</v>
      </c>
      <c r="X5" s="215" t="s">
        <v>428</v>
      </c>
      <c r="Y5" s="215" t="s">
        <v>562</v>
      </c>
      <c r="Z5" s="215" t="s">
        <v>761</v>
      </c>
      <c r="AA5" s="215"/>
      <c r="AB5" s="246" t="s">
        <v>0</v>
      </c>
      <c r="AC5" s="97"/>
      <c r="AD5" s="97"/>
      <c r="AE5" s="97"/>
      <c r="AF5" s="97"/>
      <c r="AG5" s="97"/>
      <c r="AH5" s="97"/>
      <c r="AI5" s="97"/>
      <c r="AJ5" s="97"/>
      <c r="AK5" s="97"/>
      <c r="AL5" s="97"/>
      <c r="AM5" s="97"/>
      <c r="AN5" s="97"/>
      <c r="AO5" s="97"/>
      <c r="AP5" s="97"/>
      <c r="AQ5" s="97"/>
      <c r="AR5" s="97"/>
      <c r="AS5" s="97"/>
      <c r="AT5" s="97"/>
      <c r="AU5" s="97"/>
      <c r="AV5" s="97"/>
      <c r="AW5" s="97"/>
      <c r="AX5" s="97"/>
      <c r="AY5" s="97"/>
      <c r="AZ5" s="97"/>
      <c r="BA5" s="97"/>
      <c r="BB5" s="97"/>
      <c r="BC5" s="97"/>
      <c r="BD5" s="97"/>
      <c r="BE5" s="97"/>
      <c r="BF5" s="97"/>
      <c r="BG5" s="97"/>
      <c r="BH5" s="97"/>
      <c r="BI5" s="97"/>
      <c r="BJ5" s="97"/>
      <c r="BK5" s="97"/>
      <c r="BL5" s="97"/>
      <c r="BM5" s="97"/>
      <c r="BN5" s="97"/>
      <c r="BO5" s="97"/>
      <c r="BP5" s="97"/>
      <c r="BQ5" s="97"/>
      <c r="BR5" s="97"/>
      <c r="BS5" s="97"/>
      <c r="BT5" s="97"/>
      <c r="BU5" s="97"/>
      <c r="BV5" s="97"/>
      <c r="BW5" s="97"/>
      <c r="BX5" s="97"/>
      <c r="BY5" s="97"/>
      <c r="BZ5" s="97"/>
      <c r="CA5" s="97"/>
      <c r="CB5" s="97"/>
      <c r="CC5" s="97"/>
      <c r="CD5" s="97"/>
      <c r="CE5" s="97"/>
      <c r="CF5" s="97"/>
      <c r="CG5" s="100"/>
      <c r="CH5" s="100"/>
      <c r="CI5" s="100"/>
      <c r="CJ5" s="100"/>
    </row>
    <row r="6" spans="1:104" ht="21.75" customHeight="1" x14ac:dyDescent="0.45">
      <c r="A6" s="97"/>
      <c r="B6" s="103" t="s">
        <v>2</v>
      </c>
      <c r="C6" s="101" t="s">
        <v>0</v>
      </c>
      <c r="D6" s="425" t="s">
        <v>420</v>
      </c>
      <c r="E6" s="313" t="s">
        <v>614</v>
      </c>
      <c r="F6" s="425" t="s">
        <v>611</v>
      </c>
      <c r="G6" s="425" t="s">
        <v>612</v>
      </c>
      <c r="H6" s="484" t="s">
        <v>425</v>
      </c>
      <c r="I6" s="484" t="s">
        <v>423</v>
      </c>
      <c r="J6" s="313" t="s">
        <v>615</v>
      </c>
      <c r="K6" s="425" t="s">
        <v>616</v>
      </c>
      <c r="L6" s="425" t="s">
        <v>630</v>
      </c>
      <c r="M6" s="425" t="s">
        <v>430</v>
      </c>
      <c r="N6" s="425" t="s">
        <v>670</v>
      </c>
      <c r="O6" s="425" t="s">
        <v>632</v>
      </c>
      <c r="P6" s="425" t="s">
        <v>633</v>
      </c>
      <c r="Q6" s="425" t="s">
        <v>635</v>
      </c>
      <c r="R6" s="425" t="s">
        <v>435</v>
      </c>
      <c r="S6" s="425" t="s">
        <v>636</v>
      </c>
      <c r="T6" s="425" t="s">
        <v>639</v>
      </c>
      <c r="U6" s="425" t="s">
        <v>640</v>
      </c>
      <c r="V6" s="425" t="s">
        <v>641</v>
      </c>
      <c r="W6" s="313" t="s">
        <v>642</v>
      </c>
      <c r="X6" s="425" t="s">
        <v>643</v>
      </c>
      <c r="Y6" s="425" t="s">
        <v>645</v>
      </c>
      <c r="Z6" s="425" t="s">
        <v>766</v>
      </c>
      <c r="AA6" s="425"/>
      <c r="AB6" s="102" t="s">
        <v>2</v>
      </c>
      <c r="AC6" s="97"/>
      <c r="AD6" s="97"/>
      <c r="AE6" s="97"/>
      <c r="AF6" s="97"/>
      <c r="AG6" s="97"/>
      <c r="AH6" s="97"/>
      <c r="AI6" s="97"/>
      <c r="AJ6" s="97"/>
      <c r="AK6" s="97"/>
      <c r="AL6" s="97"/>
      <c r="AM6" s="97"/>
      <c r="AN6" s="97"/>
      <c r="AO6" s="97"/>
      <c r="AP6" s="97"/>
      <c r="AQ6" s="97"/>
      <c r="AR6" s="97"/>
      <c r="AS6" s="97"/>
      <c r="AT6" s="97"/>
      <c r="AU6" s="97"/>
      <c r="AV6" s="97"/>
      <c r="AW6" s="97"/>
      <c r="AX6" s="97"/>
      <c r="AY6" s="97"/>
      <c r="AZ6" s="97"/>
      <c r="BA6" s="97"/>
      <c r="BB6" s="97"/>
      <c r="BC6" s="97"/>
      <c r="BD6" s="97"/>
      <c r="BE6" s="97"/>
      <c r="BF6" s="97"/>
      <c r="BG6" s="97"/>
      <c r="BH6" s="97"/>
      <c r="BI6" s="97"/>
      <c r="BJ6" s="97"/>
      <c r="BK6" s="97"/>
      <c r="BL6" s="97"/>
      <c r="BM6" s="97"/>
      <c r="BN6" s="97"/>
      <c r="BO6" s="97"/>
      <c r="BP6" s="97"/>
      <c r="BQ6" s="97"/>
      <c r="BR6" s="97"/>
      <c r="BS6" s="97"/>
      <c r="BT6" s="97"/>
      <c r="BU6" s="97"/>
      <c r="BV6" s="97"/>
      <c r="BW6" s="97"/>
      <c r="BX6" s="97"/>
      <c r="BY6" s="97"/>
      <c r="BZ6" s="97"/>
      <c r="CA6" s="97"/>
      <c r="CB6" s="97"/>
      <c r="CC6" s="97"/>
      <c r="CD6" s="97"/>
      <c r="CE6" s="97"/>
      <c r="CF6" s="97"/>
      <c r="CG6" s="100"/>
      <c r="CH6" s="100"/>
      <c r="CI6" s="100"/>
      <c r="CJ6" s="100"/>
    </row>
    <row r="7" spans="1:104" ht="31.5" customHeight="1" thickBot="1" x14ac:dyDescent="0.5">
      <c r="A7" s="97"/>
      <c r="B7" s="103"/>
      <c r="C7" s="101" t="s">
        <v>3</v>
      </c>
      <c r="D7" s="212" t="s">
        <v>426</v>
      </c>
      <c r="E7" s="104" t="s">
        <v>419</v>
      </c>
      <c r="F7" s="103" t="s">
        <v>610</v>
      </c>
      <c r="G7" s="103" t="s">
        <v>613</v>
      </c>
      <c r="H7" s="451" t="s">
        <v>367</v>
      </c>
      <c r="I7" s="451" t="s">
        <v>421</v>
      </c>
      <c r="J7" s="103" t="s">
        <v>520</v>
      </c>
      <c r="K7" s="103" t="s">
        <v>205</v>
      </c>
      <c r="L7" s="102">
        <v>10</v>
      </c>
      <c r="M7" s="102" t="s">
        <v>631</v>
      </c>
      <c r="N7" s="102" t="s">
        <v>671</v>
      </c>
      <c r="O7" s="102" t="s">
        <v>426</v>
      </c>
      <c r="P7" s="102" t="s">
        <v>634</v>
      </c>
      <c r="Q7" s="102" t="s">
        <v>389</v>
      </c>
      <c r="R7" s="102" t="s">
        <v>367</v>
      </c>
      <c r="S7" s="102" t="s">
        <v>637</v>
      </c>
      <c r="T7" s="102" t="s">
        <v>638</v>
      </c>
      <c r="U7" s="102" t="s">
        <v>693</v>
      </c>
      <c r="V7" s="102" t="s">
        <v>434</v>
      </c>
      <c r="W7" s="102" t="s">
        <v>432</v>
      </c>
      <c r="X7" s="102" t="s">
        <v>431</v>
      </c>
      <c r="Y7" s="102" t="s">
        <v>646</v>
      </c>
      <c r="Z7" s="102" t="s">
        <v>767</v>
      </c>
      <c r="AA7" s="102"/>
      <c r="AB7" s="212"/>
      <c r="AC7" s="117"/>
      <c r="AD7" s="117"/>
      <c r="AE7" s="117"/>
      <c r="AF7" s="117"/>
      <c r="AG7" s="117"/>
      <c r="AH7" s="117"/>
      <c r="AI7" s="117"/>
      <c r="AJ7" s="117"/>
      <c r="AK7" s="117"/>
      <c r="AL7" s="117"/>
      <c r="AM7" s="117"/>
      <c r="AN7" s="117"/>
      <c r="AO7" s="117"/>
      <c r="AP7" s="117"/>
      <c r="AQ7" s="117"/>
      <c r="AR7" s="117"/>
      <c r="AS7" s="117"/>
      <c r="AT7" s="117"/>
      <c r="AU7" s="117"/>
      <c r="AV7" s="117"/>
      <c r="AW7" s="117"/>
      <c r="AX7" s="117"/>
      <c r="AY7" s="117"/>
      <c r="AZ7" s="117"/>
      <c r="BA7" s="117"/>
      <c r="BB7" s="117"/>
      <c r="BC7" s="117"/>
      <c r="BD7" s="117"/>
      <c r="BE7" s="117"/>
      <c r="BF7" s="117"/>
      <c r="BG7" s="117"/>
      <c r="BH7" s="117"/>
      <c r="BI7" s="117"/>
      <c r="BJ7" s="117"/>
      <c r="BK7" s="117"/>
      <c r="BL7" s="117"/>
      <c r="BM7" s="117"/>
      <c r="BN7" s="117"/>
      <c r="BO7" s="117"/>
      <c r="BP7" s="117"/>
      <c r="BQ7" s="117"/>
      <c r="BR7" s="117"/>
      <c r="BS7" s="117"/>
      <c r="BT7" s="117"/>
      <c r="BU7" s="117"/>
      <c r="BV7" s="117"/>
      <c r="BW7" s="117"/>
      <c r="BX7" s="117"/>
      <c r="BY7" s="117"/>
      <c r="BZ7" s="117"/>
      <c r="CA7" s="117"/>
      <c r="CB7" s="117"/>
      <c r="CC7" s="117"/>
      <c r="CD7" s="117"/>
      <c r="CE7" s="117"/>
      <c r="CF7" s="117"/>
      <c r="CG7" s="200"/>
      <c r="CH7" s="200"/>
      <c r="CI7" s="100"/>
      <c r="CJ7" s="100"/>
    </row>
    <row r="8" spans="1:104" ht="24" customHeight="1" thickTop="1" x14ac:dyDescent="0.45">
      <c r="A8" s="105"/>
      <c r="B8" s="490" t="s">
        <v>11</v>
      </c>
      <c r="C8" s="106" t="s">
        <v>198</v>
      </c>
      <c r="D8" s="107"/>
      <c r="E8" s="107" t="s">
        <v>445</v>
      </c>
      <c r="F8" s="107"/>
      <c r="G8" s="107"/>
      <c r="H8" s="452"/>
      <c r="I8" s="452"/>
      <c r="J8" s="107"/>
      <c r="K8" s="107"/>
      <c r="L8" s="108"/>
      <c r="M8" s="108"/>
      <c r="N8" s="108" t="s">
        <v>679</v>
      </c>
      <c r="O8" s="108" t="s">
        <v>321</v>
      </c>
      <c r="P8" s="108" t="s">
        <v>321</v>
      </c>
      <c r="Q8" s="108"/>
      <c r="R8" s="108" t="s">
        <v>470</v>
      </c>
      <c r="S8" s="108" t="s">
        <v>291</v>
      </c>
      <c r="T8" s="108"/>
      <c r="U8" s="108" t="s">
        <v>289</v>
      </c>
      <c r="V8" s="108" t="s">
        <v>289</v>
      </c>
      <c r="W8" s="108"/>
      <c r="X8" s="108"/>
      <c r="Y8" s="108" t="s">
        <v>644</v>
      </c>
      <c r="Z8" s="108"/>
      <c r="AA8" s="108"/>
      <c r="AB8" s="508" t="s">
        <v>11</v>
      </c>
      <c r="AC8" s="175"/>
      <c r="AD8" s="175"/>
      <c r="AE8" s="175"/>
      <c r="AF8" s="175"/>
      <c r="AG8" s="175"/>
      <c r="AH8" s="175"/>
      <c r="AI8" s="175"/>
      <c r="AJ8" s="175"/>
      <c r="AK8" s="175"/>
      <c r="AL8" s="175"/>
      <c r="AM8" s="175"/>
      <c r="AN8" s="175"/>
      <c r="AO8" s="175"/>
      <c r="AP8" s="175"/>
      <c r="AQ8" s="175"/>
      <c r="AR8" s="175"/>
      <c r="AS8" s="175"/>
      <c r="AT8" s="175"/>
      <c r="AU8" s="175"/>
      <c r="AV8" s="175"/>
      <c r="AW8" s="175"/>
      <c r="AX8" s="175"/>
      <c r="AY8" s="175"/>
      <c r="AZ8" s="175"/>
      <c r="BA8" s="175"/>
      <c r="BB8" s="175"/>
      <c r="BC8" s="175"/>
      <c r="BD8" s="175"/>
      <c r="BE8" s="175"/>
      <c r="BF8" s="175"/>
      <c r="BG8" s="175"/>
      <c r="BH8" s="175"/>
      <c r="BI8" s="175"/>
      <c r="BJ8" s="175"/>
      <c r="BK8" s="175"/>
      <c r="BL8" s="175"/>
      <c r="BM8" s="175"/>
      <c r="BN8" s="175"/>
      <c r="BO8" s="175"/>
      <c r="BP8" s="175"/>
      <c r="BQ8" s="175"/>
      <c r="BR8" s="175"/>
      <c r="BS8" s="175"/>
      <c r="BT8" s="175"/>
      <c r="BU8" s="175"/>
      <c r="BV8" s="175"/>
      <c r="BW8" s="175"/>
      <c r="BX8" s="175"/>
      <c r="BY8" s="175"/>
      <c r="BZ8" s="175"/>
      <c r="CA8" s="175"/>
      <c r="CB8" s="175"/>
      <c r="CC8" s="175"/>
      <c r="CD8" s="175"/>
      <c r="CE8" s="175"/>
      <c r="CF8" s="175"/>
      <c r="CG8" s="117"/>
      <c r="CH8" s="117"/>
      <c r="CI8" s="97"/>
      <c r="CJ8" s="97"/>
    </row>
    <row r="9" spans="1:104" ht="24" customHeight="1" x14ac:dyDescent="0.45">
      <c r="A9" s="105"/>
      <c r="B9" s="491"/>
      <c r="C9" s="121"/>
      <c r="D9" s="426"/>
      <c r="E9" s="426" t="s">
        <v>444</v>
      </c>
      <c r="F9" s="426"/>
      <c r="G9" s="426"/>
      <c r="H9" s="485"/>
      <c r="I9" s="485"/>
      <c r="J9" s="426"/>
      <c r="K9" s="426"/>
      <c r="L9" s="256"/>
      <c r="M9" s="256"/>
      <c r="N9" s="256" t="s">
        <v>680</v>
      </c>
      <c r="O9" s="256" t="s">
        <v>314</v>
      </c>
      <c r="P9" s="256" t="s">
        <v>314</v>
      </c>
      <c r="Q9" s="256"/>
      <c r="R9" s="256" t="s">
        <v>471</v>
      </c>
      <c r="S9" s="256" t="s">
        <v>292</v>
      </c>
      <c r="T9" s="256"/>
      <c r="U9" s="256" t="s">
        <v>491</v>
      </c>
      <c r="V9" s="256" t="s">
        <v>491</v>
      </c>
      <c r="W9" s="256"/>
      <c r="X9" s="256"/>
      <c r="Y9" s="256" t="s">
        <v>280</v>
      </c>
      <c r="Z9" s="256"/>
      <c r="AA9" s="256"/>
      <c r="AB9" s="491"/>
      <c r="AC9" s="175"/>
      <c r="AD9" s="175"/>
      <c r="AE9" s="175"/>
      <c r="AF9" s="175"/>
      <c r="AG9" s="175"/>
      <c r="AH9" s="175"/>
      <c r="AI9" s="175"/>
      <c r="AJ9" s="175"/>
      <c r="AK9" s="175"/>
      <c r="AL9" s="175"/>
      <c r="AM9" s="175"/>
      <c r="AN9" s="175"/>
      <c r="AO9" s="175"/>
      <c r="AP9" s="175"/>
      <c r="AQ9" s="175"/>
      <c r="AR9" s="175"/>
      <c r="AS9" s="175"/>
      <c r="AT9" s="175"/>
      <c r="AU9" s="175"/>
      <c r="AV9" s="175"/>
      <c r="AW9" s="175"/>
      <c r="AX9" s="175"/>
      <c r="AY9" s="175"/>
      <c r="AZ9" s="175"/>
      <c r="BA9" s="175"/>
      <c r="BB9" s="175"/>
      <c r="BC9" s="175"/>
      <c r="BD9" s="175"/>
      <c r="BE9" s="175"/>
      <c r="BF9" s="175"/>
      <c r="BG9" s="175"/>
      <c r="BH9" s="175"/>
      <c r="BI9" s="175"/>
      <c r="BJ9" s="175"/>
      <c r="BK9" s="175"/>
      <c r="BL9" s="175"/>
      <c r="BM9" s="175"/>
      <c r="BN9" s="175"/>
      <c r="BO9" s="175"/>
      <c r="BP9" s="175"/>
      <c r="BQ9" s="175"/>
      <c r="BR9" s="175"/>
      <c r="BS9" s="175"/>
      <c r="BT9" s="175"/>
      <c r="BU9" s="175"/>
      <c r="BV9" s="175"/>
      <c r="BW9" s="175"/>
      <c r="BX9" s="175"/>
      <c r="BY9" s="175"/>
      <c r="BZ9" s="175"/>
      <c r="CA9" s="175"/>
      <c r="CB9" s="175"/>
      <c r="CC9" s="175"/>
      <c r="CD9" s="175"/>
      <c r="CE9" s="175"/>
      <c r="CF9" s="175"/>
      <c r="CG9" s="117"/>
      <c r="CH9" s="117"/>
      <c r="CI9" s="97"/>
      <c r="CJ9" s="97"/>
    </row>
    <row r="10" spans="1:104" x14ac:dyDescent="0.45">
      <c r="A10" s="98"/>
      <c r="B10" s="491"/>
      <c r="C10" s="112"/>
      <c r="D10" s="113"/>
      <c r="E10" s="113" t="s">
        <v>393</v>
      </c>
      <c r="F10" s="113"/>
      <c r="G10" s="113"/>
      <c r="H10" s="453"/>
      <c r="I10" s="453"/>
      <c r="J10" s="113"/>
      <c r="K10" s="113"/>
      <c r="L10" s="114"/>
      <c r="M10" s="113"/>
      <c r="N10" s="113" t="s">
        <v>689</v>
      </c>
      <c r="O10" s="113" t="s">
        <v>371</v>
      </c>
      <c r="P10" s="113" t="s">
        <v>373</v>
      </c>
      <c r="Q10" s="113"/>
      <c r="R10" s="113" t="s">
        <v>667</v>
      </c>
      <c r="S10" s="113" t="s">
        <v>388</v>
      </c>
      <c r="T10" s="113"/>
      <c r="U10" s="113" t="s">
        <v>215</v>
      </c>
      <c r="V10" s="113" t="s">
        <v>336</v>
      </c>
      <c r="W10" s="113"/>
      <c r="X10" s="113"/>
      <c r="Y10" s="113" t="s">
        <v>193</v>
      </c>
      <c r="Z10" s="113"/>
      <c r="AA10" s="113"/>
      <c r="AB10" s="491"/>
      <c r="AC10" s="164"/>
      <c r="AD10" s="164"/>
      <c r="AE10" s="164"/>
      <c r="AF10" s="164"/>
      <c r="AG10" s="164"/>
      <c r="AH10" s="164"/>
      <c r="AI10" s="164"/>
      <c r="AJ10" s="164"/>
      <c r="AK10" s="164"/>
      <c r="AL10" s="164"/>
      <c r="AM10" s="164"/>
      <c r="AN10" s="164"/>
      <c r="AO10" s="164"/>
      <c r="AP10" s="164"/>
      <c r="AQ10" s="164"/>
      <c r="AR10" s="164"/>
      <c r="AS10" s="164"/>
      <c r="AT10" s="164"/>
      <c r="AU10" s="164"/>
      <c r="AV10" s="164"/>
      <c r="AW10" s="164"/>
      <c r="AX10" s="164"/>
      <c r="AY10" s="164"/>
      <c r="AZ10" s="164"/>
      <c r="BA10" s="164"/>
      <c r="BB10" s="164"/>
      <c r="BC10" s="164"/>
      <c r="BD10" s="164"/>
      <c r="BE10" s="164"/>
      <c r="BF10" s="164"/>
      <c r="BG10" s="164"/>
      <c r="BH10" s="164"/>
      <c r="BI10" s="164"/>
      <c r="BJ10" s="164"/>
      <c r="BK10" s="164"/>
      <c r="BL10" s="164"/>
      <c r="BM10" s="164"/>
      <c r="BN10" s="164"/>
      <c r="BO10" s="164"/>
      <c r="BP10" s="164"/>
      <c r="BQ10" s="164"/>
      <c r="BR10" s="164"/>
      <c r="BS10" s="164"/>
      <c r="BT10" s="164"/>
      <c r="BU10" s="164"/>
      <c r="BV10" s="164"/>
      <c r="BW10" s="164"/>
      <c r="BX10" s="164"/>
      <c r="BY10" s="164"/>
      <c r="BZ10" s="164"/>
      <c r="CA10" s="164"/>
      <c r="CB10" s="164"/>
      <c r="CC10" s="164"/>
      <c r="CD10" s="164"/>
      <c r="CE10" s="164"/>
      <c r="CF10" s="164"/>
      <c r="CG10" s="117"/>
      <c r="CH10" s="117"/>
      <c r="CI10" s="97"/>
      <c r="CJ10" s="97"/>
    </row>
    <row r="11" spans="1:104" ht="24" thickBot="1" x14ac:dyDescent="0.5">
      <c r="A11" s="117"/>
      <c r="B11" s="491"/>
      <c r="C11" s="118" t="s">
        <v>199</v>
      </c>
      <c r="D11" s="119"/>
      <c r="E11" s="119" t="s">
        <v>732</v>
      </c>
      <c r="F11" s="119"/>
      <c r="G11" s="119"/>
      <c r="H11" s="455"/>
      <c r="I11" s="455"/>
      <c r="J11" s="119"/>
      <c r="K11" s="119"/>
      <c r="L11" s="119"/>
      <c r="M11" s="119"/>
      <c r="N11" s="119" t="s">
        <v>661</v>
      </c>
      <c r="O11" s="119" t="s">
        <v>281</v>
      </c>
      <c r="P11" s="119" t="s">
        <v>543</v>
      </c>
      <c r="Q11" s="119"/>
      <c r="R11" s="119" t="s">
        <v>378</v>
      </c>
      <c r="S11" s="119" t="s">
        <v>483</v>
      </c>
      <c r="T11" s="119"/>
      <c r="U11" s="119" t="s">
        <v>738</v>
      </c>
      <c r="V11" s="119" t="s">
        <v>738</v>
      </c>
      <c r="W11" s="119"/>
      <c r="X11" s="443"/>
      <c r="Y11" s="443" t="s">
        <v>543</v>
      </c>
      <c r="Z11" s="119"/>
      <c r="AA11" s="443"/>
      <c r="AB11" s="491"/>
      <c r="AC11" s="117"/>
      <c r="AD11" s="117"/>
      <c r="AE11" s="117"/>
      <c r="AF11" s="117"/>
      <c r="AG11" s="117"/>
      <c r="AH11" s="117"/>
      <c r="AI11" s="117"/>
      <c r="AJ11" s="117"/>
      <c r="AK11" s="117"/>
      <c r="AL11" s="117"/>
      <c r="AM11" s="117"/>
      <c r="AN11" s="117"/>
      <c r="AO11" s="117"/>
      <c r="AP11" s="117"/>
      <c r="AQ11" s="117"/>
      <c r="AR11" s="117"/>
      <c r="AS11" s="117"/>
      <c r="AT11" s="117"/>
      <c r="AU11" s="117"/>
      <c r="AV11" s="117"/>
      <c r="AW11" s="117"/>
      <c r="AX11" s="117"/>
      <c r="AY11" s="117"/>
      <c r="AZ11" s="117"/>
      <c r="BA11" s="117"/>
      <c r="BB11" s="117"/>
      <c r="BC11" s="117"/>
      <c r="BD11" s="117"/>
      <c r="BE11" s="117"/>
      <c r="BF11" s="117"/>
      <c r="BG11" s="117"/>
      <c r="BH11" s="117"/>
      <c r="BI11" s="117"/>
      <c r="BJ11" s="117"/>
      <c r="BK11" s="117"/>
      <c r="BL11" s="117"/>
      <c r="BM11" s="117"/>
      <c r="BN11" s="117"/>
      <c r="BO11" s="117"/>
      <c r="BP11" s="117"/>
      <c r="BQ11" s="117"/>
      <c r="BR11" s="117"/>
      <c r="BS11" s="117"/>
      <c r="BT11" s="117"/>
      <c r="BU11" s="117"/>
      <c r="BV11" s="117"/>
      <c r="BW11" s="117"/>
      <c r="BX11" s="117"/>
      <c r="BY11" s="117"/>
      <c r="BZ11" s="117"/>
      <c r="CA11" s="117"/>
      <c r="CB11" s="117"/>
      <c r="CC11" s="117"/>
      <c r="CD11" s="117"/>
      <c r="CE11" s="117"/>
      <c r="CF11" s="117"/>
      <c r="CG11" s="117"/>
      <c r="CH11" s="117"/>
      <c r="CI11" s="97"/>
      <c r="CJ11" s="97"/>
    </row>
    <row r="12" spans="1:104" x14ac:dyDescent="0.45">
      <c r="A12" s="97"/>
      <c r="B12" s="491"/>
      <c r="C12" s="121" t="s">
        <v>199</v>
      </c>
      <c r="D12" s="107"/>
      <c r="E12" s="107" t="s">
        <v>233</v>
      </c>
      <c r="F12" s="107"/>
      <c r="G12" s="107"/>
      <c r="H12" s="452" t="s">
        <v>252</v>
      </c>
      <c r="I12" s="452" t="s">
        <v>253</v>
      </c>
      <c r="J12" s="109"/>
      <c r="K12" s="109" t="s">
        <v>259</v>
      </c>
      <c r="L12" s="108"/>
      <c r="M12" s="108" t="s">
        <v>309</v>
      </c>
      <c r="N12" s="108" t="s">
        <v>675</v>
      </c>
      <c r="O12" s="108" t="s">
        <v>319</v>
      </c>
      <c r="P12" s="108" t="s">
        <v>319</v>
      </c>
      <c r="Q12" s="108" t="s">
        <v>322</v>
      </c>
      <c r="R12" s="108"/>
      <c r="S12" s="108" t="s">
        <v>284</v>
      </c>
      <c r="T12" s="108" t="s">
        <v>385</v>
      </c>
      <c r="U12" s="108" t="s">
        <v>282</v>
      </c>
      <c r="V12" s="108"/>
      <c r="W12" s="111" t="s">
        <v>499</v>
      </c>
      <c r="X12" s="108"/>
      <c r="Y12" s="108"/>
      <c r="Z12" s="108"/>
      <c r="AA12" s="428"/>
      <c r="AB12" s="491"/>
      <c r="AC12" s="117"/>
      <c r="AD12" s="117"/>
      <c r="AE12" s="117"/>
      <c r="AF12" s="117"/>
      <c r="AG12" s="117"/>
      <c r="AH12" s="117"/>
      <c r="AI12" s="117"/>
      <c r="AJ12" s="117"/>
      <c r="AK12" s="117"/>
      <c r="AL12" s="117"/>
      <c r="AM12" s="117"/>
      <c r="AN12" s="117"/>
      <c r="AO12" s="117"/>
      <c r="AP12" s="117"/>
      <c r="AQ12" s="117"/>
      <c r="AR12" s="117"/>
      <c r="AS12" s="117"/>
      <c r="AT12" s="117"/>
      <c r="AU12" s="117"/>
      <c r="AV12" s="117"/>
      <c r="AW12" s="117"/>
      <c r="AX12" s="117"/>
      <c r="AY12" s="117"/>
      <c r="AZ12" s="117"/>
      <c r="BA12" s="117"/>
      <c r="BB12" s="117"/>
      <c r="BC12" s="117"/>
      <c r="BD12" s="117"/>
      <c r="BE12" s="117"/>
      <c r="BF12" s="117"/>
      <c r="BG12" s="117"/>
      <c r="BH12" s="117"/>
      <c r="BI12" s="117"/>
      <c r="BJ12" s="117"/>
      <c r="BK12" s="117"/>
      <c r="BL12" s="117"/>
      <c r="BM12" s="117"/>
      <c r="BN12" s="117"/>
      <c r="BO12" s="117"/>
      <c r="BP12" s="117"/>
      <c r="BQ12" s="117"/>
      <c r="BR12" s="117"/>
      <c r="BS12" s="117"/>
      <c r="BT12" s="117"/>
      <c r="BU12" s="117"/>
      <c r="BV12" s="117"/>
      <c r="BW12" s="117"/>
      <c r="BX12" s="117"/>
      <c r="BY12" s="117"/>
      <c r="BZ12" s="117"/>
      <c r="CA12" s="117"/>
      <c r="CB12" s="117"/>
      <c r="CC12" s="117"/>
      <c r="CD12" s="117"/>
      <c r="CE12" s="117"/>
      <c r="CF12" s="117"/>
      <c r="CG12" s="117"/>
      <c r="CH12" s="117"/>
      <c r="CI12" s="97"/>
      <c r="CJ12" s="97"/>
    </row>
    <row r="13" spans="1:104" x14ac:dyDescent="0.45">
      <c r="A13" s="97"/>
      <c r="B13" s="491"/>
      <c r="C13" s="121"/>
      <c r="D13" s="426"/>
      <c r="E13" s="426" t="s">
        <v>258</v>
      </c>
      <c r="F13" s="426"/>
      <c r="G13" s="426"/>
      <c r="H13" s="485" t="s">
        <v>206</v>
      </c>
      <c r="I13" s="485" t="s">
        <v>209</v>
      </c>
      <c r="J13" s="427"/>
      <c r="K13" s="427" t="s">
        <v>402</v>
      </c>
      <c r="L13" s="256"/>
      <c r="M13" s="256" t="s">
        <v>310</v>
      </c>
      <c r="N13" s="256" t="s">
        <v>676</v>
      </c>
      <c r="O13" s="256" t="s">
        <v>320</v>
      </c>
      <c r="P13" s="256" t="s">
        <v>320</v>
      </c>
      <c r="Q13" s="256" t="s">
        <v>323</v>
      </c>
      <c r="R13" s="256"/>
      <c r="S13" s="256" t="s">
        <v>293</v>
      </c>
      <c r="T13" s="256" t="s">
        <v>386</v>
      </c>
      <c r="U13" s="256" t="s">
        <v>283</v>
      </c>
      <c r="V13" s="256"/>
      <c r="W13" s="428" t="s">
        <v>500</v>
      </c>
      <c r="X13" s="256"/>
      <c r="Y13" s="256"/>
      <c r="Z13" s="256"/>
      <c r="AA13" s="428"/>
      <c r="AB13" s="491"/>
      <c r="AC13" s="117"/>
      <c r="AD13" s="117"/>
      <c r="AE13" s="117"/>
      <c r="AF13" s="117"/>
      <c r="AG13" s="117"/>
      <c r="AH13" s="117"/>
      <c r="AI13" s="117"/>
      <c r="AJ13" s="117"/>
      <c r="AK13" s="117"/>
      <c r="AL13" s="117"/>
      <c r="AM13" s="117"/>
      <c r="AN13" s="117"/>
      <c r="AO13" s="117"/>
      <c r="AP13" s="117"/>
      <c r="AQ13" s="117"/>
      <c r="AR13" s="117"/>
      <c r="AS13" s="117"/>
      <c r="AT13" s="117"/>
      <c r="AU13" s="117"/>
      <c r="AV13" s="117"/>
      <c r="AW13" s="117"/>
      <c r="AX13" s="117"/>
      <c r="AY13" s="117"/>
      <c r="AZ13" s="117"/>
      <c r="BA13" s="117"/>
      <c r="BB13" s="117"/>
      <c r="BC13" s="117"/>
      <c r="BD13" s="117"/>
      <c r="BE13" s="117"/>
      <c r="BF13" s="117"/>
      <c r="BG13" s="117"/>
      <c r="BH13" s="117"/>
      <c r="BI13" s="117"/>
      <c r="BJ13" s="117"/>
      <c r="BK13" s="117"/>
      <c r="BL13" s="117"/>
      <c r="BM13" s="117"/>
      <c r="BN13" s="117"/>
      <c r="BO13" s="117"/>
      <c r="BP13" s="117"/>
      <c r="BQ13" s="117"/>
      <c r="BR13" s="117"/>
      <c r="BS13" s="117"/>
      <c r="BT13" s="117"/>
      <c r="BU13" s="117"/>
      <c r="BV13" s="117"/>
      <c r="BW13" s="117"/>
      <c r="BX13" s="117"/>
      <c r="BY13" s="117"/>
      <c r="BZ13" s="117"/>
      <c r="CA13" s="117"/>
      <c r="CB13" s="117"/>
      <c r="CC13" s="117"/>
      <c r="CD13" s="117"/>
      <c r="CE13" s="117"/>
      <c r="CF13" s="117"/>
      <c r="CG13" s="117"/>
      <c r="CH13" s="117"/>
      <c r="CI13" s="97"/>
      <c r="CJ13" s="97"/>
    </row>
    <row r="14" spans="1:104" x14ac:dyDescent="0.45">
      <c r="A14" s="97"/>
      <c r="B14" s="491"/>
      <c r="C14" s="123"/>
      <c r="D14" s="113"/>
      <c r="E14" s="113" t="s">
        <v>221</v>
      </c>
      <c r="F14" s="113"/>
      <c r="G14" s="113"/>
      <c r="H14" s="453" t="s">
        <v>338</v>
      </c>
      <c r="I14" s="453" t="s">
        <v>215</v>
      </c>
      <c r="J14" s="115"/>
      <c r="K14" s="115" t="s">
        <v>601</v>
      </c>
      <c r="L14" s="114"/>
      <c r="M14" s="113" t="s">
        <v>397</v>
      </c>
      <c r="N14" s="113" t="s">
        <v>268</v>
      </c>
      <c r="O14" s="113" t="s">
        <v>214</v>
      </c>
      <c r="P14" s="113" t="s">
        <v>412</v>
      </c>
      <c r="Q14" s="113" t="s">
        <v>265</v>
      </c>
      <c r="R14" s="113"/>
      <c r="S14" s="113" t="s">
        <v>391</v>
      </c>
      <c r="T14" s="113" t="s">
        <v>475</v>
      </c>
      <c r="U14" s="113" t="s">
        <v>22</v>
      </c>
      <c r="V14" s="113"/>
      <c r="W14" s="116" t="s">
        <v>268</v>
      </c>
      <c r="X14" s="113"/>
      <c r="Y14" s="113"/>
      <c r="Z14" s="113"/>
      <c r="AA14" s="116"/>
      <c r="AB14" s="491"/>
      <c r="AC14" s="117"/>
      <c r="AD14" s="117"/>
      <c r="AE14" s="117"/>
      <c r="AF14" s="117"/>
      <c r="AG14" s="117"/>
      <c r="AH14" s="117"/>
      <c r="AI14" s="117"/>
      <c r="AJ14" s="117"/>
      <c r="AK14" s="117"/>
      <c r="AL14" s="117"/>
      <c r="AM14" s="117"/>
      <c r="AN14" s="117"/>
      <c r="AO14" s="117"/>
      <c r="AP14" s="117"/>
      <c r="AQ14" s="117"/>
      <c r="AR14" s="117"/>
      <c r="AS14" s="117"/>
      <c r="AT14" s="117"/>
      <c r="AU14" s="117"/>
      <c r="AV14" s="117"/>
      <c r="AW14" s="117"/>
      <c r="AX14" s="117"/>
      <c r="AY14" s="117"/>
      <c r="AZ14" s="117"/>
      <c r="BA14" s="117"/>
      <c r="BB14" s="117"/>
      <c r="BC14" s="117"/>
      <c r="BD14" s="117"/>
      <c r="BE14" s="117"/>
      <c r="BF14" s="117"/>
      <c r="BG14" s="117"/>
      <c r="BH14" s="117"/>
      <c r="BI14" s="117"/>
      <c r="BJ14" s="117"/>
      <c r="BK14" s="117"/>
      <c r="BL14" s="117"/>
      <c r="BM14" s="117"/>
      <c r="BN14" s="117"/>
      <c r="BO14" s="117"/>
      <c r="BP14" s="117"/>
      <c r="BQ14" s="117"/>
      <c r="BR14" s="117"/>
      <c r="BS14" s="117"/>
      <c r="BT14" s="117"/>
      <c r="BU14" s="117"/>
      <c r="BV14" s="117"/>
      <c r="BW14" s="117"/>
      <c r="BX14" s="117"/>
      <c r="BY14" s="117"/>
      <c r="BZ14" s="117"/>
      <c r="CA14" s="117"/>
      <c r="CB14" s="117"/>
      <c r="CC14" s="117"/>
      <c r="CD14" s="117"/>
      <c r="CE14" s="117"/>
      <c r="CF14" s="117"/>
      <c r="CG14" s="117"/>
      <c r="CH14" s="117"/>
      <c r="CI14" s="97"/>
      <c r="CJ14" s="97"/>
    </row>
    <row r="15" spans="1:104" ht="24" thickBot="1" x14ac:dyDescent="0.5">
      <c r="A15" s="117"/>
      <c r="B15" s="491"/>
      <c r="C15" s="118" t="s">
        <v>196</v>
      </c>
      <c r="D15" s="119"/>
      <c r="E15" s="119" t="s">
        <v>721</v>
      </c>
      <c r="F15" s="119"/>
      <c r="G15" s="119"/>
      <c r="H15" s="455" t="s">
        <v>629</v>
      </c>
      <c r="I15" s="455" t="s">
        <v>704</v>
      </c>
      <c r="J15" s="119"/>
      <c r="K15" s="119" t="s">
        <v>729</v>
      </c>
      <c r="L15" s="119"/>
      <c r="M15" s="119" t="s">
        <v>603</v>
      </c>
      <c r="N15" s="119" t="s">
        <v>458</v>
      </c>
      <c r="O15" s="119" t="s">
        <v>735</v>
      </c>
      <c r="P15" s="119" t="s">
        <v>736</v>
      </c>
      <c r="Q15" s="119" t="s">
        <v>745</v>
      </c>
      <c r="R15" s="119"/>
      <c r="S15" s="119" t="s">
        <v>408</v>
      </c>
      <c r="T15" s="119" t="s">
        <v>477</v>
      </c>
      <c r="U15" s="119" t="s">
        <v>299</v>
      </c>
      <c r="V15" s="119"/>
      <c r="W15" s="119" t="s">
        <v>483</v>
      </c>
      <c r="X15" s="119"/>
      <c r="Y15" s="119"/>
      <c r="Z15" s="119"/>
      <c r="AA15" s="443"/>
      <c r="AB15" s="491"/>
      <c r="AC15" s="117"/>
      <c r="AD15" s="117"/>
      <c r="AE15" s="117"/>
      <c r="AF15" s="117"/>
      <c r="AG15" s="117"/>
      <c r="AH15" s="117"/>
      <c r="AI15" s="117"/>
      <c r="AJ15" s="117"/>
      <c r="AK15" s="117"/>
      <c r="AL15" s="117"/>
      <c r="AM15" s="117"/>
      <c r="AN15" s="117"/>
      <c r="AO15" s="117"/>
      <c r="AP15" s="117"/>
      <c r="AQ15" s="117"/>
      <c r="AR15" s="117"/>
      <c r="AS15" s="117"/>
      <c r="AT15" s="117"/>
      <c r="AU15" s="117"/>
      <c r="AV15" s="117"/>
      <c r="AW15" s="117"/>
      <c r="AX15" s="117"/>
      <c r="AY15" s="117"/>
      <c r="AZ15" s="117"/>
      <c r="BA15" s="117"/>
      <c r="BB15" s="117"/>
      <c r="BC15" s="117"/>
      <c r="BD15" s="117"/>
      <c r="BE15" s="117"/>
      <c r="BF15" s="117"/>
      <c r="BG15" s="117"/>
      <c r="BH15" s="117"/>
      <c r="BI15" s="117"/>
      <c r="BJ15" s="117"/>
      <c r="BK15" s="117"/>
      <c r="BL15" s="117"/>
      <c r="BM15" s="117"/>
      <c r="BN15" s="117"/>
      <c r="BO15" s="117"/>
      <c r="BP15" s="117"/>
      <c r="BQ15" s="117"/>
      <c r="BR15" s="117"/>
      <c r="BS15" s="117"/>
      <c r="BT15" s="117"/>
      <c r="BU15" s="117"/>
      <c r="BV15" s="117"/>
      <c r="BW15" s="117"/>
      <c r="BX15" s="117"/>
      <c r="BY15" s="117"/>
      <c r="BZ15" s="117"/>
      <c r="CA15" s="117"/>
      <c r="CB15" s="117"/>
      <c r="CC15" s="117"/>
      <c r="CD15" s="117"/>
      <c r="CE15" s="117"/>
      <c r="CF15" s="117"/>
      <c r="CG15" s="117"/>
      <c r="CH15" s="117"/>
      <c r="CI15" s="97"/>
      <c r="CJ15" s="97"/>
    </row>
    <row r="16" spans="1:104" s="203" customFormat="1" x14ac:dyDescent="0.45">
      <c r="A16" s="202"/>
      <c r="B16" s="491"/>
      <c r="C16" s="229"/>
      <c r="D16" s="229"/>
      <c r="E16" s="229"/>
      <c r="F16" s="229"/>
      <c r="G16" s="229"/>
      <c r="H16" s="474"/>
      <c r="I16" s="474"/>
      <c r="J16" s="229"/>
      <c r="K16" s="229"/>
      <c r="L16" s="229"/>
      <c r="M16" s="229"/>
      <c r="N16" s="229"/>
      <c r="O16" s="229"/>
      <c r="P16" s="229"/>
      <c r="Q16" s="229"/>
      <c r="R16" s="229"/>
      <c r="S16" s="229"/>
      <c r="T16" s="229"/>
      <c r="U16" s="229"/>
      <c r="V16" s="229"/>
      <c r="W16" s="229"/>
      <c r="X16" s="188"/>
      <c r="Y16" s="188"/>
      <c r="Z16" s="188"/>
      <c r="AA16" s="188"/>
      <c r="AB16" s="491"/>
      <c r="AC16" s="202"/>
      <c r="AD16" s="202"/>
      <c r="AE16" s="202"/>
      <c r="AF16" s="202"/>
      <c r="AG16" s="202"/>
      <c r="AH16" s="202"/>
      <c r="AI16" s="202"/>
      <c r="AJ16" s="202"/>
      <c r="AK16" s="202"/>
      <c r="AL16" s="202"/>
      <c r="AM16" s="202"/>
      <c r="AN16" s="202"/>
      <c r="AO16" s="202"/>
      <c r="AP16" s="202"/>
      <c r="AQ16" s="202"/>
      <c r="AR16" s="202"/>
      <c r="AS16" s="202"/>
      <c r="AT16" s="202"/>
      <c r="AU16" s="202"/>
      <c r="AV16" s="202"/>
      <c r="AW16" s="202"/>
      <c r="AX16" s="202"/>
      <c r="AY16" s="202"/>
      <c r="AZ16" s="202"/>
      <c r="BA16" s="202"/>
      <c r="BB16" s="202"/>
      <c r="BC16" s="202"/>
      <c r="BD16" s="202"/>
      <c r="BE16" s="202"/>
      <c r="BF16" s="202"/>
      <c r="BG16" s="202"/>
      <c r="BH16" s="202"/>
      <c r="BI16" s="202"/>
      <c r="BJ16" s="202"/>
      <c r="BK16" s="202"/>
      <c r="BL16" s="202"/>
      <c r="BM16" s="202"/>
      <c r="BN16" s="202"/>
      <c r="BO16" s="202"/>
      <c r="BP16" s="202"/>
      <c r="BQ16" s="202"/>
      <c r="BR16" s="202"/>
      <c r="BS16" s="202"/>
      <c r="BT16" s="202"/>
      <c r="BU16" s="202"/>
      <c r="BV16" s="202"/>
      <c r="BW16" s="202"/>
      <c r="BX16" s="202"/>
      <c r="BY16" s="202"/>
      <c r="BZ16" s="202"/>
      <c r="CA16" s="202"/>
      <c r="CB16" s="202"/>
      <c r="CC16" s="202"/>
      <c r="CD16" s="202"/>
      <c r="CE16" s="202"/>
      <c r="CF16" s="202"/>
      <c r="CG16" s="202"/>
      <c r="CH16" s="202"/>
    </row>
    <row r="17" spans="1:88" s="203" customFormat="1" x14ac:dyDescent="0.45">
      <c r="A17" s="202"/>
      <c r="B17" s="491"/>
      <c r="C17" s="188"/>
      <c r="D17" s="188"/>
      <c r="E17" s="188"/>
      <c r="F17" s="188"/>
      <c r="G17" s="188"/>
      <c r="H17" s="467"/>
      <c r="I17" s="467"/>
      <c r="J17" s="188"/>
      <c r="K17" s="188"/>
      <c r="L17" s="188"/>
      <c r="M17" s="188"/>
      <c r="N17" s="188"/>
      <c r="O17" s="188"/>
      <c r="P17" s="188"/>
      <c r="Q17" s="188"/>
      <c r="R17" s="188"/>
      <c r="S17" s="188"/>
      <c r="T17" s="188"/>
      <c r="U17" s="188"/>
      <c r="V17" s="188"/>
      <c r="W17" s="188"/>
      <c r="X17" s="188"/>
      <c r="Y17" s="188"/>
      <c r="Z17" s="188"/>
      <c r="AA17" s="188"/>
      <c r="AB17" s="491"/>
      <c r="AC17" s="202"/>
      <c r="AD17" s="202"/>
      <c r="AE17" s="202"/>
      <c r="AF17" s="202"/>
      <c r="AG17" s="202"/>
      <c r="AH17" s="202"/>
      <c r="AI17" s="202"/>
      <c r="AJ17" s="202"/>
      <c r="AK17" s="202"/>
      <c r="AL17" s="202"/>
      <c r="AM17" s="202"/>
      <c r="AN17" s="202"/>
      <c r="AO17" s="202"/>
      <c r="AP17" s="202"/>
      <c r="AQ17" s="202"/>
      <c r="AR17" s="202"/>
      <c r="AS17" s="202"/>
      <c r="AT17" s="202"/>
      <c r="AU17" s="202"/>
      <c r="AV17" s="202"/>
      <c r="AW17" s="202"/>
      <c r="AX17" s="202"/>
      <c r="AY17" s="202"/>
      <c r="AZ17" s="202"/>
      <c r="BA17" s="202"/>
      <c r="BB17" s="202"/>
      <c r="BC17" s="202"/>
      <c r="BD17" s="202"/>
      <c r="BE17" s="202"/>
      <c r="BF17" s="202"/>
      <c r="BG17" s="202"/>
      <c r="BH17" s="202"/>
      <c r="BI17" s="202"/>
      <c r="BJ17" s="202"/>
      <c r="BK17" s="202"/>
      <c r="BL17" s="202"/>
      <c r="BM17" s="202"/>
      <c r="BN17" s="202"/>
      <c r="BO17" s="202"/>
      <c r="BP17" s="202"/>
      <c r="BQ17" s="202"/>
      <c r="BR17" s="202"/>
      <c r="BS17" s="202"/>
      <c r="BT17" s="202"/>
      <c r="BU17" s="202"/>
      <c r="BV17" s="202"/>
      <c r="BW17" s="202"/>
      <c r="BX17" s="202"/>
      <c r="BY17" s="202"/>
      <c r="BZ17" s="202"/>
      <c r="CA17" s="202"/>
      <c r="CB17" s="202"/>
      <c r="CC17" s="202"/>
      <c r="CD17" s="202"/>
      <c r="CE17" s="202"/>
      <c r="CF17" s="202"/>
      <c r="CG17" s="202"/>
      <c r="CH17" s="202"/>
    </row>
    <row r="18" spans="1:88" s="203" customFormat="1" ht="24" thickBot="1" x14ac:dyDescent="0.5">
      <c r="A18" s="202"/>
      <c r="B18" s="491"/>
      <c r="C18" s="230"/>
      <c r="D18" s="230"/>
      <c r="E18" s="230"/>
      <c r="F18" s="230"/>
      <c r="G18" s="230"/>
      <c r="H18" s="475"/>
      <c r="I18" s="475"/>
      <c r="J18" s="230"/>
      <c r="K18" s="230"/>
      <c r="L18" s="230"/>
      <c r="M18" s="230"/>
      <c r="N18" s="230"/>
      <c r="O18" s="230"/>
      <c r="P18" s="230"/>
      <c r="Q18" s="230"/>
      <c r="R18" s="230"/>
      <c r="S18" s="230"/>
      <c r="T18" s="230"/>
      <c r="U18" s="230"/>
      <c r="V18" s="230"/>
      <c r="W18" s="230"/>
      <c r="X18" s="188"/>
      <c r="Y18" s="188"/>
      <c r="Z18" s="188"/>
      <c r="AA18" s="188"/>
      <c r="AB18" s="491"/>
      <c r="AC18" s="202"/>
      <c r="AD18" s="202"/>
      <c r="AE18" s="202"/>
      <c r="AF18" s="202"/>
      <c r="AG18" s="202"/>
      <c r="AH18" s="202"/>
      <c r="AI18" s="202"/>
      <c r="AJ18" s="202"/>
      <c r="AK18" s="202"/>
      <c r="AL18" s="202"/>
      <c r="AM18" s="202"/>
      <c r="AN18" s="202"/>
      <c r="AO18" s="202"/>
      <c r="AP18" s="202"/>
      <c r="AQ18" s="202"/>
      <c r="AR18" s="202"/>
      <c r="AS18" s="202"/>
      <c r="AT18" s="202"/>
      <c r="AU18" s="202"/>
      <c r="AV18" s="202"/>
      <c r="AW18" s="202"/>
      <c r="AX18" s="202"/>
      <c r="AY18" s="202"/>
      <c r="AZ18" s="202"/>
      <c r="BA18" s="202"/>
      <c r="BB18" s="202"/>
      <c r="BC18" s="202"/>
      <c r="BD18" s="202"/>
      <c r="BE18" s="202"/>
      <c r="BF18" s="202"/>
      <c r="BG18" s="202"/>
      <c r="BH18" s="202"/>
      <c r="BI18" s="202"/>
      <c r="BJ18" s="202"/>
      <c r="BK18" s="202"/>
      <c r="BL18" s="202"/>
      <c r="BM18" s="202"/>
      <c r="BN18" s="202"/>
      <c r="BO18" s="202"/>
      <c r="BP18" s="202"/>
      <c r="BQ18" s="202"/>
      <c r="BR18" s="202"/>
      <c r="BS18" s="202"/>
      <c r="BT18" s="202"/>
      <c r="BU18" s="202"/>
      <c r="BV18" s="202"/>
      <c r="BW18" s="202"/>
      <c r="BX18" s="202"/>
      <c r="BY18" s="202"/>
      <c r="BZ18" s="202"/>
      <c r="CA18" s="202"/>
      <c r="CB18" s="202"/>
      <c r="CC18" s="202"/>
      <c r="CD18" s="202"/>
      <c r="CE18" s="202"/>
      <c r="CF18" s="202"/>
      <c r="CG18" s="202"/>
      <c r="CH18" s="202"/>
    </row>
    <row r="19" spans="1:88" x14ac:dyDescent="0.45">
      <c r="A19" s="117"/>
      <c r="B19" s="491"/>
      <c r="C19" s="124" t="s">
        <v>197</v>
      </c>
      <c r="D19" s="107" t="s">
        <v>222</v>
      </c>
      <c r="E19" s="107"/>
      <c r="F19" s="107"/>
      <c r="G19" s="107"/>
      <c r="H19" s="452" t="s">
        <v>252</v>
      </c>
      <c r="I19" s="452" t="s">
        <v>252</v>
      </c>
      <c r="J19" s="108" t="s">
        <v>527</v>
      </c>
      <c r="K19" s="108"/>
      <c r="L19" s="109" t="s">
        <v>563</v>
      </c>
      <c r="M19" s="109" t="s">
        <v>306</v>
      </c>
      <c r="N19" s="109" t="s">
        <v>677</v>
      </c>
      <c r="O19" s="109" t="s">
        <v>548</v>
      </c>
      <c r="P19" s="109" t="s">
        <v>548</v>
      </c>
      <c r="Q19" s="109" t="s">
        <v>319</v>
      </c>
      <c r="R19" s="109" t="s">
        <v>467</v>
      </c>
      <c r="S19" s="109" t="s">
        <v>385</v>
      </c>
      <c r="T19" s="109" t="s">
        <v>382</v>
      </c>
      <c r="U19" s="109" t="s">
        <v>291</v>
      </c>
      <c r="V19" s="109" t="s">
        <v>291</v>
      </c>
      <c r="W19" s="109" t="s">
        <v>495</v>
      </c>
      <c r="X19" s="108" t="s">
        <v>537</v>
      </c>
      <c r="Y19" s="108" t="s">
        <v>723</v>
      </c>
      <c r="Z19" s="108"/>
      <c r="AA19" s="427"/>
      <c r="AB19" s="491"/>
      <c r="AC19" s="117"/>
      <c r="AD19" s="117"/>
      <c r="AE19" s="117"/>
      <c r="AF19" s="117"/>
      <c r="AG19" s="117"/>
      <c r="AH19" s="117"/>
      <c r="AI19" s="117"/>
      <c r="AJ19" s="117"/>
      <c r="AK19" s="117"/>
      <c r="AL19" s="117"/>
      <c r="AM19" s="117"/>
      <c r="AN19" s="117"/>
      <c r="AO19" s="117"/>
      <c r="AP19" s="117"/>
      <c r="AQ19" s="117"/>
      <c r="AR19" s="117"/>
      <c r="AS19" s="117"/>
      <c r="AT19" s="117"/>
      <c r="AU19" s="117"/>
      <c r="AV19" s="117"/>
      <c r="AW19" s="117"/>
      <c r="AX19" s="117"/>
      <c r="AY19" s="117"/>
      <c r="AZ19" s="117"/>
      <c r="BA19" s="117"/>
      <c r="BB19" s="117"/>
      <c r="BC19" s="117"/>
      <c r="BD19" s="117"/>
      <c r="BE19" s="117"/>
      <c r="BF19" s="117"/>
      <c r="BG19" s="117"/>
      <c r="BH19" s="117"/>
      <c r="BI19" s="117"/>
      <c r="BJ19" s="117"/>
      <c r="BK19" s="117"/>
      <c r="BL19" s="117"/>
      <c r="BM19" s="117"/>
      <c r="BN19" s="117"/>
      <c r="BO19" s="117"/>
      <c r="BP19" s="117"/>
      <c r="BQ19" s="117"/>
      <c r="BR19" s="117"/>
      <c r="BS19" s="117"/>
      <c r="BT19" s="117"/>
      <c r="BU19" s="117"/>
      <c r="BV19" s="117"/>
      <c r="BW19" s="117"/>
      <c r="BX19" s="117"/>
      <c r="BY19" s="117"/>
      <c r="BZ19" s="117"/>
      <c r="CA19" s="117"/>
      <c r="CB19" s="117"/>
      <c r="CC19" s="117"/>
      <c r="CD19" s="117"/>
      <c r="CE19" s="117"/>
      <c r="CF19" s="117"/>
      <c r="CG19" s="117"/>
      <c r="CH19" s="117"/>
      <c r="CI19" s="97"/>
      <c r="CJ19" s="97"/>
    </row>
    <row r="20" spans="1:88" x14ac:dyDescent="0.45">
      <c r="A20" s="117"/>
      <c r="B20" s="491"/>
      <c r="C20" s="429"/>
      <c r="D20" s="426" t="s">
        <v>223</v>
      </c>
      <c r="E20" s="426"/>
      <c r="F20" s="426"/>
      <c r="G20" s="426"/>
      <c r="H20" s="485" t="s">
        <v>206</v>
      </c>
      <c r="I20" s="485" t="s">
        <v>206</v>
      </c>
      <c r="J20" s="256" t="s">
        <v>528</v>
      </c>
      <c r="K20" s="256"/>
      <c r="L20" s="427" t="s">
        <v>564</v>
      </c>
      <c r="M20" s="427" t="s">
        <v>307</v>
      </c>
      <c r="N20" s="427" t="s">
        <v>678</v>
      </c>
      <c r="O20" s="427" t="s">
        <v>355</v>
      </c>
      <c r="P20" s="427" t="s">
        <v>355</v>
      </c>
      <c r="Q20" s="427" t="s">
        <v>320</v>
      </c>
      <c r="R20" s="427" t="s">
        <v>690</v>
      </c>
      <c r="S20" s="427" t="s">
        <v>386</v>
      </c>
      <c r="T20" s="427" t="s">
        <v>383</v>
      </c>
      <c r="U20" s="427" t="s">
        <v>292</v>
      </c>
      <c r="V20" s="427" t="s">
        <v>292</v>
      </c>
      <c r="W20" s="427" t="s">
        <v>496</v>
      </c>
      <c r="X20" s="256" t="s">
        <v>538</v>
      </c>
      <c r="Y20" s="256" t="s">
        <v>724</v>
      </c>
      <c r="Z20" s="256"/>
      <c r="AA20" s="427"/>
      <c r="AB20" s="491"/>
      <c r="AC20" s="117"/>
      <c r="AD20" s="117"/>
      <c r="AE20" s="117"/>
      <c r="AF20" s="117"/>
      <c r="AG20" s="117"/>
      <c r="AH20" s="117"/>
      <c r="AI20" s="117"/>
      <c r="AJ20" s="117"/>
      <c r="AK20" s="117"/>
      <c r="AL20" s="117"/>
      <c r="AM20" s="117"/>
      <c r="AN20" s="117"/>
      <c r="AO20" s="117"/>
      <c r="AP20" s="117"/>
      <c r="AQ20" s="117"/>
      <c r="AR20" s="117"/>
      <c r="AS20" s="117"/>
      <c r="AT20" s="117"/>
      <c r="AU20" s="117"/>
      <c r="AV20" s="117"/>
      <c r="AW20" s="117"/>
      <c r="AX20" s="117"/>
      <c r="AY20" s="117"/>
      <c r="AZ20" s="117"/>
      <c r="BA20" s="117"/>
      <c r="BB20" s="117"/>
      <c r="BC20" s="117"/>
      <c r="BD20" s="117"/>
      <c r="BE20" s="117"/>
      <c r="BF20" s="117"/>
      <c r="BG20" s="117"/>
      <c r="BH20" s="117"/>
      <c r="BI20" s="117"/>
      <c r="BJ20" s="117"/>
      <c r="BK20" s="117"/>
      <c r="BL20" s="117"/>
      <c r="BM20" s="117"/>
      <c r="BN20" s="117"/>
      <c r="BO20" s="117"/>
      <c r="BP20" s="117"/>
      <c r="BQ20" s="117"/>
      <c r="BR20" s="117"/>
      <c r="BS20" s="117"/>
      <c r="BT20" s="117"/>
      <c r="BU20" s="117"/>
      <c r="BV20" s="117"/>
      <c r="BW20" s="117"/>
      <c r="BX20" s="117"/>
      <c r="BY20" s="117"/>
      <c r="BZ20" s="117"/>
      <c r="CA20" s="117"/>
      <c r="CB20" s="117"/>
      <c r="CC20" s="117"/>
      <c r="CD20" s="117"/>
      <c r="CE20" s="117"/>
      <c r="CF20" s="117"/>
      <c r="CG20" s="117"/>
      <c r="CH20" s="117"/>
      <c r="CI20" s="97"/>
      <c r="CJ20" s="97"/>
    </row>
    <row r="21" spans="1:88" x14ac:dyDescent="0.45">
      <c r="A21" s="97"/>
      <c r="B21" s="491"/>
      <c r="C21" s="125"/>
      <c r="D21" s="113" t="s">
        <v>560</v>
      </c>
      <c r="E21" s="113"/>
      <c r="F21" s="113"/>
      <c r="G21" s="113"/>
      <c r="H21" s="453" t="s">
        <v>760</v>
      </c>
      <c r="I21" s="453" t="s">
        <v>395</v>
      </c>
      <c r="J21" s="114" t="s">
        <v>215</v>
      </c>
      <c r="K21" s="114"/>
      <c r="L21" s="115" t="s">
        <v>268</v>
      </c>
      <c r="M21" s="115" t="s">
        <v>262</v>
      </c>
      <c r="N21" s="115" t="s">
        <v>193</v>
      </c>
      <c r="O21" s="115" t="s">
        <v>351</v>
      </c>
      <c r="P21" s="115" t="s">
        <v>336</v>
      </c>
      <c r="Q21" s="115" t="s">
        <v>698</v>
      </c>
      <c r="R21" s="115" t="s">
        <v>437</v>
      </c>
      <c r="S21" s="115" t="s">
        <v>267</v>
      </c>
      <c r="T21" s="115" t="s">
        <v>475</v>
      </c>
      <c r="U21" s="115" t="s">
        <v>371</v>
      </c>
      <c r="V21" s="115" t="s">
        <v>373</v>
      </c>
      <c r="W21" s="115" t="s">
        <v>372</v>
      </c>
      <c r="X21" s="113" t="s">
        <v>193</v>
      </c>
      <c r="Y21" s="113" t="s">
        <v>558</v>
      </c>
      <c r="Z21" s="113"/>
      <c r="AA21" s="115"/>
      <c r="AB21" s="491"/>
      <c r="AC21" s="117"/>
      <c r="AD21" s="117"/>
      <c r="AE21" s="117"/>
      <c r="AF21" s="117"/>
      <c r="AG21" s="117"/>
      <c r="AH21" s="117"/>
      <c r="AI21" s="117"/>
      <c r="AJ21" s="117"/>
      <c r="AK21" s="117"/>
      <c r="AL21" s="117"/>
      <c r="AM21" s="117"/>
      <c r="AN21" s="117"/>
      <c r="AO21" s="117"/>
      <c r="AP21" s="117"/>
      <c r="AQ21" s="117"/>
      <c r="AR21" s="117"/>
      <c r="AS21" s="117"/>
      <c r="AT21" s="117"/>
      <c r="AU21" s="117"/>
      <c r="AV21" s="117"/>
      <c r="AW21" s="117"/>
      <c r="AX21" s="117"/>
      <c r="AY21" s="117"/>
      <c r="AZ21" s="117"/>
      <c r="BA21" s="117"/>
      <c r="BB21" s="117"/>
      <c r="BC21" s="117"/>
      <c r="BD21" s="117"/>
      <c r="BE21" s="117"/>
      <c r="BF21" s="117"/>
      <c r="BG21" s="117"/>
      <c r="BH21" s="117"/>
      <c r="BI21" s="117"/>
      <c r="BJ21" s="117"/>
      <c r="BK21" s="117"/>
      <c r="BL21" s="117"/>
      <c r="BM21" s="117"/>
      <c r="BN21" s="117"/>
      <c r="BO21" s="117"/>
      <c r="BP21" s="117"/>
      <c r="BQ21" s="117"/>
      <c r="BR21" s="117"/>
      <c r="BS21" s="117"/>
      <c r="BT21" s="117"/>
      <c r="BU21" s="117"/>
      <c r="BV21" s="117"/>
      <c r="BW21" s="117"/>
      <c r="BX21" s="117"/>
      <c r="BY21" s="117"/>
      <c r="BZ21" s="117"/>
      <c r="CA21" s="117"/>
      <c r="CB21" s="117"/>
      <c r="CC21" s="117"/>
      <c r="CD21" s="117"/>
      <c r="CE21" s="117"/>
      <c r="CF21" s="117"/>
      <c r="CG21" s="117"/>
      <c r="CH21" s="117"/>
      <c r="CI21" s="97"/>
      <c r="CJ21" s="97"/>
    </row>
    <row r="22" spans="1:88" ht="24" thickBot="1" x14ac:dyDescent="0.5">
      <c r="A22" s="97"/>
      <c r="B22" s="491"/>
      <c r="C22" s="126" t="s">
        <v>194</v>
      </c>
      <c r="D22" s="119" t="s">
        <v>401</v>
      </c>
      <c r="E22" s="119"/>
      <c r="F22" s="119"/>
      <c r="G22" s="119"/>
      <c r="H22" s="455" t="s">
        <v>517</v>
      </c>
      <c r="I22" s="455" t="s">
        <v>581</v>
      </c>
      <c r="J22" s="119" t="s">
        <v>450</v>
      </c>
      <c r="K22" s="119"/>
      <c r="L22" s="119" t="s">
        <v>270</v>
      </c>
      <c r="M22" s="119" t="s">
        <v>378</v>
      </c>
      <c r="N22" s="119" t="s">
        <v>661</v>
      </c>
      <c r="O22" s="119" t="s">
        <v>347</v>
      </c>
      <c r="P22" s="119" t="s">
        <v>695</v>
      </c>
      <c r="Q22" s="119" t="s">
        <v>734</v>
      </c>
      <c r="R22" s="119" t="s">
        <v>189</v>
      </c>
      <c r="S22" s="119" t="s">
        <v>341</v>
      </c>
      <c r="T22" s="119" t="s">
        <v>476</v>
      </c>
      <c r="U22" s="119" t="s">
        <v>483</v>
      </c>
      <c r="V22" s="119" t="s">
        <v>484</v>
      </c>
      <c r="W22" s="120" t="s">
        <v>356</v>
      </c>
      <c r="X22" s="119" t="s">
        <v>660</v>
      </c>
      <c r="Y22" s="443" t="s">
        <v>648</v>
      </c>
      <c r="Z22" s="119"/>
      <c r="AA22" s="444"/>
      <c r="AB22" s="491"/>
      <c r="AC22" s="117"/>
      <c r="AD22" s="117"/>
      <c r="AE22" s="117"/>
      <c r="AF22" s="117"/>
      <c r="AG22" s="117"/>
      <c r="AH22" s="117"/>
      <c r="AI22" s="117"/>
      <c r="AJ22" s="117"/>
      <c r="AK22" s="117"/>
      <c r="AL22" s="117"/>
      <c r="AM22" s="117"/>
      <c r="AN22" s="117"/>
      <c r="AO22" s="117"/>
      <c r="AP22" s="117"/>
      <c r="AQ22" s="117"/>
      <c r="AR22" s="117"/>
      <c r="AS22" s="117"/>
      <c r="AT22" s="117"/>
      <c r="AU22" s="117"/>
      <c r="AV22" s="117"/>
      <c r="AW22" s="117"/>
      <c r="AX22" s="117"/>
      <c r="AY22" s="117"/>
      <c r="AZ22" s="117"/>
      <c r="BA22" s="117"/>
      <c r="BB22" s="117"/>
      <c r="BC22" s="117"/>
      <c r="BD22" s="117"/>
      <c r="BE22" s="117"/>
      <c r="BF22" s="117"/>
      <c r="BG22" s="117"/>
      <c r="BH22" s="117"/>
      <c r="BI22" s="117"/>
      <c r="BJ22" s="117"/>
      <c r="BK22" s="117"/>
      <c r="BL22" s="117"/>
      <c r="BM22" s="117"/>
      <c r="BN22" s="117"/>
      <c r="BO22" s="117"/>
      <c r="BP22" s="117"/>
      <c r="BQ22" s="117"/>
      <c r="BR22" s="117"/>
      <c r="BS22" s="117"/>
      <c r="BT22" s="117"/>
      <c r="BU22" s="117"/>
      <c r="BV22" s="117"/>
      <c r="BW22" s="117"/>
      <c r="BX22" s="117"/>
      <c r="BY22" s="117"/>
      <c r="BZ22" s="117"/>
      <c r="CA22" s="117"/>
      <c r="CB22" s="117"/>
      <c r="CC22" s="117"/>
      <c r="CD22" s="117"/>
      <c r="CE22" s="117"/>
      <c r="CF22" s="117"/>
      <c r="CG22" s="117"/>
      <c r="CH22" s="117"/>
      <c r="CI22" s="97"/>
      <c r="CJ22" s="97"/>
    </row>
    <row r="23" spans="1:88" x14ac:dyDescent="0.45">
      <c r="A23" s="97"/>
      <c r="B23" s="491"/>
      <c r="C23" s="125" t="s">
        <v>194</v>
      </c>
      <c r="D23" s="107"/>
      <c r="E23" s="107"/>
      <c r="F23" s="107" t="s">
        <v>237</v>
      </c>
      <c r="G23" s="107" t="s">
        <v>625</v>
      </c>
      <c r="H23" s="452"/>
      <c r="I23" s="452"/>
      <c r="J23" s="107"/>
      <c r="K23" s="107"/>
      <c r="L23" s="109"/>
      <c r="M23" s="110"/>
      <c r="N23" s="110"/>
      <c r="O23" s="109"/>
      <c r="P23" s="109"/>
      <c r="Q23" s="110" t="s">
        <v>333</v>
      </c>
      <c r="R23" s="110"/>
      <c r="S23" s="110"/>
      <c r="T23" s="110"/>
      <c r="U23" s="110"/>
      <c r="V23" s="110"/>
      <c r="W23" s="110"/>
      <c r="X23" s="108"/>
      <c r="Y23" s="108"/>
      <c r="Z23" s="256" t="s">
        <v>774</v>
      </c>
      <c r="AA23" s="430"/>
      <c r="AB23" s="491"/>
      <c r="AC23" s="117"/>
      <c r="AD23" s="117"/>
      <c r="AE23" s="117"/>
      <c r="AF23" s="117"/>
      <c r="AG23" s="117"/>
      <c r="AH23" s="117"/>
      <c r="AI23" s="117"/>
      <c r="AJ23" s="117"/>
      <c r="AK23" s="117"/>
      <c r="AL23" s="117"/>
      <c r="AM23" s="117"/>
      <c r="AN23" s="117"/>
      <c r="AO23" s="117"/>
      <c r="AP23" s="117"/>
      <c r="AQ23" s="117"/>
      <c r="AR23" s="117"/>
      <c r="AS23" s="117"/>
      <c r="AT23" s="117"/>
      <c r="AU23" s="117"/>
      <c r="AV23" s="117"/>
      <c r="AW23" s="117"/>
      <c r="AX23" s="117"/>
      <c r="AY23" s="117"/>
      <c r="AZ23" s="117"/>
      <c r="BA23" s="117"/>
      <c r="BB23" s="117"/>
      <c r="BC23" s="117"/>
      <c r="BD23" s="117"/>
      <c r="BE23" s="117"/>
      <c r="BF23" s="117"/>
      <c r="BG23" s="117"/>
      <c r="BH23" s="117"/>
      <c r="BI23" s="117"/>
      <c r="BJ23" s="117"/>
      <c r="BK23" s="117"/>
      <c r="BL23" s="117"/>
      <c r="BM23" s="117"/>
      <c r="BN23" s="117"/>
      <c r="BO23" s="117"/>
      <c r="BP23" s="117"/>
      <c r="BQ23" s="117"/>
      <c r="BR23" s="117"/>
      <c r="BS23" s="117"/>
      <c r="BT23" s="117"/>
      <c r="BU23" s="117"/>
      <c r="BV23" s="117"/>
      <c r="BW23" s="117"/>
      <c r="BX23" s="117"/>
      <c r="BY23" s="117"/>
      <c r="BZ23" s="117"/>
      <c r="CA23" s="117"/>
      <c r="CB23" s="117"/>
      <c r="CC23" s="117"/>
      <c r="CD23" s="117"/>
      <c r="CE23" s="117"/>
      <c r="CF23" s="117"/>
      <c r="CG23" s="117"/>
      <c r="CH23" s="117"/>
      <c r="CI23" s="97"/>
      <c r="CJ23" s="97"/>
    </row>
    <row r="24" spans="1:88" x14ac:dyDescent="0.45">
      <c r="A24" s="97"/>
      <c r="B24" s="491"/>
      <c r="C24" s="125"/>
      <c r="D24" s="426"/>
      <c r="E24" s="426"/>
      <c r="F24" s="426" t="s">
        <v>238</v>
      </c>
      <c r="G24" s="426" t="s">
        <v>626</v>
      </c>
      <c r="H24" s="485"/>
      <c r="I24" s="485"/>
      <c r="J24" s="426"/>
      <c r="K24" s="426"/>
      <c r="L24" s="427"/>
      <c r="M24" s="430"/>
      <c r="N24" s="430"/>
      <c r="O24" s="427"/>
      <c r="P24" s="427"/>
      <c r="Q24" s="430" t="s">
        <v>410</v>
      </c>
      <c r="R24" s="430"/>
      <c r="S24" s="430"/>
      <c r="T24" s="430"/>
      <c r="U24" s="430"/>
      <c r="V24" s="430"/>
      <c r="W24" s="430"/>
      <c r="X24" s="256"/>
      <c r="Y24" s="256"/>
      <c r="Z24" s="256" t="s">
        <v>775</v>
      </c>
      <c r="AA24" s="430"/>
      <c r="AB24" s="491"/>
      <c r="AC24" s="117"/>
      <c r="AD24" s="117"/>
      <c r="AE24" s="117"/>
      <c r="AF24" s="117"/>
      <c r="AG24" s="117"/>
      <c r="AH24" s="117"/>
      <c r="AI24" s="117"/>
      <c r="AJ24" s="117"/>
      <c r="AK24" s="117"/>
      <c r="AL24" s="117"/>
      <c r="AM24" s="117"/>
      <c r="AN24" s="117"/>
      <c r="AO24" s="117"/>
      <c r="AP24" s="117"/>
      <c r="AQ24" s="117"/>
      <c r="AR24" s="117"/>
      <c r="AS24" s="117"/>
      <c r="AT24" s="117"/>
      <c r="AU24" s="117"/>
      <c r="AV24" s="117"/>
      <c r="AW24" s="117"/>
      <c r="AX24" s="117"/>
      <c r="AY24" s="117"/>
      <c r="AZ24" s="117"/>
      <c r="BA24" s="117"/>
      <c r="BB24" s="117"/>
      <c r="BC24" s="117"/>
      <c r="BD24" s="117"/>
      <c r="BE24" s="117"/>
      <c r="BF24" s="117"/>
      <c r="BG24" s="117"/>
      <c r="BH24" s="117"/>
      <c r="BI24" s="117"/>
      <c r="BJ24" s="117"/>
      <c r="BK24" s="117"/>
      <c r="BL24" s="117"/>
      <c r="BM24" s="117"/>
      <c r="BN24" s="117"/>
      <c r="BO24" s="117"/>
      <c r="BP24" s="117"/>
      <c r="BQ24" s="117"/>
      <c r="BR24" s="117"/>
      <c r="BS24" s="117"/>
      <c r="BT24" s="117"/>
      <c r="BU24" s="117"/>
      <c r="BV24" s="117"/>
      <c r="BW24" s="117"/>
      <c r="BX24" s="117"/>
      <c r="BY24" s="117"/>
      <c r="BZ24" s="117"/>
      <c r="CA24" s="117"/>
      <c r="CB24" s="117"/>
      <c r="CC24" s="117"/>
      <c r="CD24" s="117"/>
      <c r="CE24" s="117"/>
      <c r="CF24" s="117"/>
      <c r="CG24" s="117"/>
      <c r="CH24" s="117"/>
      <c r="CI24" s="97"/>
      <c r="CJ24" s="97"/>
    </row>
    <row r="25" spans="1:88" x14ac:dyDescent="0.45">
      <c r="A25" s="97"/>
      <c r="B25" s="491"/>
      <c r="C25" s="125"/>
      <c r="D25" s="115"/>
      <c r="E25" s="115"/>
      <c r="F25" s="115" t="s">
        <v>262</v>
      </c>
      <c r="G25" s="115" t="s">
        <v>193</v>
      </c>
      <c r="H25" s="454"/>
      <c r="I25" s="454"/>
      <c r="J25" s="115"/>
      <c r="K25" s="115"/>
      <c r="L25" s="113"/>
      <c r="M25" s="115"/>
      <c r="N25" s="115"/>
      <c r="O25" s="115"/>
      <c r="P25" s="115"/>
      <c r="Q25" s="115" t="s">
        <v>342</v>
      </c>
      <c r="R25" s="115"/>
      <c r="S25" s="115"/>
      <c r="T25" s="115"/>
      <c r="U25" s="115"/>
      <c r="V25" s="115"/>
      <c r="W25" s="115"/>
      <c r="X25" s="113"/>
      <c r="Y25" s="113"/>
      <c r="Z25" s="113" t="s">
        <v>546</v>
      </c>
      <c r="AA25" s="115"/>
      <c r="AB25" s="491"/>
      <c r="AC25" s="117"/>
      <c r="AD25" s="117"/>
      <c r="AE25" s="117"/>
      <c r="AF25" s="117"/>
      <c r="AG25" s="117"/>
      <c r="AH25" s="117"/>
      <c r="AI25" s="117"/>
      <c r="AJ25" s="117"/>
      <c r="AK25" s="117"/>
      <c r="AL25" s="117"/>
      <c r="AM25" s="117"/>
      <c r="AN25" s="117"/>
      <c r="AO25" s="117"/>
      <c r="AP25" s="117"/>
      <c r="AQ25" s="117"/>
      <c r="AR25" s="117"/>
      <c r="AS25" s="117"/>
      <c r="AT25" s="117"/>
      <c r="AU25" s="117"/>
      <c r="AV25" s="117"/>
      <c r="AW25" s="117"/>
      <c r="AX25" s="117"/>
      <c r="AY25" s="117"/>
      <c r="AZ25" s="117"/>
      <c r="BA25" s="117"/>
      <c r="BB25" s="117"/>
      <c r="BC25" s="117"/>
      <c r="BD25" s="117"/>
      <c r="BE25" s="117"/>
      <c r="BF25" s="117"/>
      <c r="BG25" s="117"/>
      <c r="BH25" s="117"/>
      <c r="BI25" s="117"/>
      <c r="BJ25" s="117"/>
      <c r="BK25" s="117"/>
      <c r="BL25" s="117"/>
      <c r="BM25" s="117"/>
      <c r="BN25" s="117"/>
      <c r="BO25" s="117"/>
      <c r="BP25" s="117"/>
      <c r="BQ25" s="117"/>
      <c r="BR25" s="117"/>
      <c r="BS25" s="117"/>
      <c r="BT25" s="117"/>
      <c r="BU25" s="117"/>
      <c r="BV25" s="117"/>
      <c r="BW25" s="117"/>
      <c r="BX25" s="117"/>
      <c r="BY25" s="117"/>
      <c r="BZ25" s="117"/>
      <c r="CA25" s="117"/>
      <c r="CB25" s="117"/>
      <c r="CC25" s="117"/>
      <c r="CD25" s="117"/>
      <c r="CE25" s="117"/>
      <c r="CF25" s="117"/>
      <c r="CG25" s="117"/>
      <c r="CH25" s="117"/>
      <c r="CI25" s="97"/>
      <c r="CJ25" s="97"/>
    </row>
    <row r="26" spans="1:88" ht="24" thickBot="1" x14ac:dyDescent="0.5">
      <c r="A26" s="97"/>
      <c r="B26" s="492"/>
      <c r="C26" s="128" t="s">
        <v>195</v>
      </c>
      <c r="D26" s="119"/>
      <c r="E26" s="119"/>
      <c r="F26" s="119" t="s">
        <v>554</v>
      </c>
      <c r="G26" s="119" t="s">
        <v>517</v>
      </c>
      <c r="H26" s="455"/>
      <c r="I26" s="455"/>
      <c r="J26" s="119"/>
      <c r="K26" s="119"/>
      <c r="L26" s="119"/>
      <c r="M26" s="119"/>
      <c r="N26" s="119"/>
      <c r="O26" s="119"/>
      <c r="P26" s="119"/>
      <c r="Q26" s="119" t="s">
        <v>277</v>
      </c>
      <c r="R26" s="119"/>
      <c r="S26" s="119"/>
      <c r="T26" s="119"/>
      <c r="U26" s="119"/>
      <c r="V26" s="119"/>
      <c r="W26" s="119"/>
      <c r="X26" s="119"/>
      <c r="Y26" s="119"/>
      <c r="Z26" s="443" t="s">
        <v>776</v>
      </c>
      <c r="AA26" s="443"/>
      <c r="AB26" s="509"/>
      <c r="AC26" s="117"/>
      <c r="AD26" s="117"/>
      <c r="AE26" s="117"/>
      <c r="AF26" s="117"/>
      <c r="AG26" s="117"/>
      <c r="AH26" s="117"/>
      <c r="AI26" s="117"/>
      <c r="AJ26" s="117"/>
      <c r="AK26" s="117"/>
      <c r="AL26" s="117"/>
      <c r="AM26" s="117"/>
      <c r="AN26" s="117"/>
      <c r="AO26" s="117"/>
      <c r="AP26" s="117"/>
      <c r="AQ26" s="117"/>
      <c r="AR26" s="117"/>
      <c r="AS26" s="117"/>
      <c r="AT26" s="117"/>
      <c r="AU26" s="117"/>
      <c r="AV26" s="117"/>
      <c r="AW26" s="117"/>
      <c r="AX26" s="117"/>
      <c r="AY26" s="117"/>
      <c r="AZ26" s="117"/>
      <c r="BA26" s="117"/>
      <c r="BB26" s="117"/>
      <c r="BC26" s="117"/>
      <c r="BD26" s="117"/>
      <c r="BE26" s="117"/>
      <c r="BF26" s="117"/>
      <c r="BG26" s="117"/>
      <c r="BH26" s="117"/>
      <c r="BI26" s="117"/>
      <c r="BJ26" s="117"/>
      <c r="BK26" s="117"/>
      <c r="BL26" s="117"/>
      <c r="BM26" s="117"/>
      <c r="BN26" s="117"/>
      <c r="BO26" s="117"/>
      <c r="BP26" s="117"/>
      <c r="BQ26" s="117"/>
      <c r="BR26" s="117"/>
      <c r="BS26" s="117"/>
      <c r="BT26" s="117"/>
      <c r="BU26" s="117"/>
      <c r="BV26" s="117"/>
      <c r="BW26" s="117"/>
      <c r="BX26" s="117"/>
      <c r="BY26" s="117"/>
      <c r="BZ26" s="117"/>
      <c r="CA26" s="117"/>
      <c r="CB26" s="117"/>
      <c r="CC26" s="117"/>
      <c r="CD26" s="117"/>
      <c r="CE26" s="117"/>
      <c r="CF26" s="117"/>
      <c r="CG26" s="117"/>
      <c r="CH26" s="117"/>
      <c r="CI26" s="97"/>
      <c r="CJ26" s="97"/>
    </row>
    <row r="27" spans="1:88" ht="24" customHeight="1" thickTop="1" x14ac:dyDescent="0.45">
      <c r="A27" s="97"/>
      <c r="B27" s="502" t="s">
        <v>7</v>
      </c>
      <c r="C27" s="129" t="s">
        <v>198</v>
      </c>
      <c r="D27" s="99" t="s">
        <v>219</v>
      </c>
      <c r="E27" s="130" t="s">
        <v>445</v>
      </c>
      <c r="F27" s="130"/>
      <c r="G27" s="130"/>
      <c r="H27" s="456" t="s">
        <v>585</v>
      </c>
      <c r="I27" s="456" t="s">
        <v>260</v>
      </c>
      <c r="J27" s="130" t="s">
        <v>454</v>
      </c>
      <c r="K27" s="130" t="s">
        <v>454</v>
      </c>
      <c r="L27" s="130"/>
      <c r="M27" s="130"/>
      <c r="N27" s="130"/>
      <c r="O27" s="130" t="s">
        <v>331</v>
      </c>
      <c r="P27" s="130"/>
      <c r="Q27" s="130" t="s">
        <v>322</v>
      </c>
      <c r="R27" s="130"/>
      <c r="S27" s="130" t="s">
        <v>382</v>
      </c>
      <c r="T27" s="138" t="s">
        <v>278</v>
      </c>
      <c r="U27" s="138" t="s">
        <v>295</v>
      </c>
      <c r="V27" s="130"/>
      <c r="W27" s="132" t="s">
        <v>495</v>
      </c>
      <c r="X27" s="130" t="s">
        <v>537</v>
      </c>
      <c r="Y27" s="130"/>
      <c r="Z27" s="130"/>
      <c r="AA27" s="132"/>
      <c r="AB27" s="505" t="s">
        <v>7</v>
      </c>
      <c r="AC27" s="117"/>
      <c r="AD27" s="117"/>
      <c r="AE27" s="117"/>
      <c r="AF27" s="117"/>
      <c r="AG27" s="117"/>
      <c r="AH27" s="117"/>
      <c r="AI27" s="117"/>
      <c r="AJ27" s="117"/>
      <c r="AK27" s="117"/>
      <c r="AL27" s="117"/>
      <c r="AM27" s="117"/>
      <c r="AN27" s="117"/>
      <c r="AO27" s="117"/>
      <c r="AP27" s="117"/>
      <c r="AQ27" s="117"/>
      <c r="AR27" s="117"/>
      <c r="AS27" s="117"/>
      <c r="AT27" s="117"/>
      <c r="AU27" s="117"/>
      <c r="AV27" s="117"/>
      <c r="AW27" s="117"/>
      <c r="AX27" s="117"/>
      <c r="AY27" s="117"/>
      <c r="AZ27" s="117"/>
      <c r="BA27" s="117"/>
      <c r="BB27" s="117"/>
      <c r="BC27" s="117"/>
      <c r="BD27" s="117"/>
      <c r="BE27" s="117"/>
      <c r="BF27" s="117"/>
      <c r="BG27" s="117"/>
      <c r="BH27" s="117"/>
      <c r="BI27" s="117"/>
      <c r="BJ27" s="117"/>
      <c r="BK27" s="117"/>
      <c r="BL27" s="117"/>
      <c r="BM27" s="117"/>
      <c r="BN27" s="117"/>
      <c r="BO27" s="117"/>
      <c r="BP27" s="117"/>
      <c r="BQ27" s="117"/>
      <c r="BR27" s="117"/>
      <c r="BS27" s="117"/>
      <c r="BT27" s="117"/>
      <c r="BU27" s="117"/>
      <c r="BV27" s="117"/>
      <c r="BW27" s="117"/>
      <c r="BX27" s="117"/>
      <c r="BY27" s="117"/>
      <c r="BZ27" s="117"/>
      <c r="CA27" s="117"/>
      <c r="CB27" s="117"/>
      <c r="CC27" s="117"/>
      <c r="CD27" s="117"/>
      <c r="CE27" s="117"/>
      <c r="CF27" s="117"/>
      <c r="CG27" s="117"/>
      <c r="CH27" s="117"/>
      <c r="CI27" s="97"/>
      <c r="CJ27" s="97"/>
    </row>
    <row r="28" spans="1:88" ht="24" customHeight="1" x14ac:dyDescent="0.45">
      <c r="A28" s="97"/>
      <c r="B28" s="495"/>
      <c r="C28" s="137"/>
      <c r="D28" s="99" t="s">
        <v>350</v>
      </c>
      <c r="E28" s="257" t="s">
        <v>444</v>
      </c>
      <c r="F28" s="257"/>
      <c r="G28" s="257"/>
      <c r="H28" s="482" t="s">
        <v>586</v>
      </c>
      <c r="I28" s="482" t="s">
        <v>261</v>
      </c>
      <c r="J28" s="257" t="s">
        <v>526</v>
      </c>
      <c r="K28" s="257" t="s">
        <v>455</v>
      </c>
      <c r="L28" s="257"/>
      <c r="M28" s="257"/>
      <c r="N28" s="257"/>
      <c r="O28" s="257" t="s">
        <v>332</v>
      </c>
      <c r="P28" s="257"/>
      <c r="Q28" s="257" t="s">
        <v>323</v>
      </c>
      <c r="R28" s="257"/>
      <c r="S28" s="257" t="s">
        <v>383</v>
      </c>
      <c r="T28" s="251" t="s">
        <v>279</v>
      </c>
      <c r="U28" s="251" t="s">
        <v>296</v>
      </c>
      <c r="V28" s="257"/>
      <c r="W28" s="434" t="s">
        <v>516</v>
      </c>
      <c r="X28" s="257" t="s">
        <v>538</v>
      </c>
      <c r="Y28" s="257"/>
      <c r="Z28" s="257"/>
      <c r="AA28" s="434"/>
      <c r="AB28" s="495"/>
      <c r="AC28" s="117"/>
      <c r="AD28" s="117"/>
      <c r="AE28" s="117"/>
      <c r="AF28" s="117"/>
      <c r="AG28" s="117"/>
      <c r="AH28" s="117"/>
      <c r="AI28" s="117"/>
      <c r="AJ28" s="117"/>
      <c r="AK28" s="117"/>
      <c r="AL28" s="117"/>
      <c r="AM28" s="117"/>
      <c r="AN28" s="117"/>
      <c r="AO28" s="117"/>
      <c r="AP28" s="117"/>
      <c r="AQ28" s="117"/>
      <c r="AR28" s="117"/>
      <c r="AS28" s="117"/>
      <c r="AT28" s="117"/>
      <c r="AU28" s="117"/>
      <c r="AV28" s="117"/>
      <c r="AW28" s="117"/>
      <c r="AX28" s="117"/>
      <c r="AY28" s="117"/>
      <c r="AZ28" s="117"/>
      <c r="BA28" s="117"/>
      <c r="BB28" s="117"/>
      <c r="BC28" s="117"/>
      <c r="BD28" s="117"/>
      <c r="BE28" s="117"/>
      <c r="BF28" s="117"/>
      <c r="BG28" s="117"/>
      <c r="BH28" s="117"/>
      <c r="BI28" s="117"/>
      <c r="BJ28" s="117"/>
      <c r="BK28" s="117"/>
      <c r="BL28" s="117"/>
      <c r="BM28" s="117"/>
      <c r="BN28" s="117"/>
      <c r="BO28" s="117"/>
      <c r="BP28" s="117"/>
      <c r="BQ28" s="117"/>
      <c r="BR28" s="117"/>
      <c r="BS28" s="117"/>
      <c r="BT28" s="117"/>
      <c r="BU28" s="117"/>
      <c r="BV28" s="117"/>
      <c r="BW28" s="117"/>
      <c r="BX28" s="117"/>
      <c r="BY28" s="117"/>
      <c r="BZ28" s="117"/>
      <c r="CA28" s="117"/>
      <c r="CB28" s="117"/>
      <c r="CC28" s="117"/>
      <c r="CD28" s="117"/>
      <c r="CE28" s="117"/>
      <c r="CF28" s="117"/>
      <c r="CG28" s="117"/>
      <c r="CH28" s="117"/>
      <c r="CI28" s="97"/>
      <c r="CJ28" s="97"/>
    </row>
    <row r="29" spans="1:88" x14ac:dyDescent="0.45">
      <c r="A29" s="98"/>
      <c r="B29" s="495"/>
      <c r="C29" s="133"/>
      <c r="D29" s="99" t="s">
        <v>371</v>
      </c>
      <c r="E29" s="134" t="s">
        <v>398</v>
      </c>
      <c r="F29" s="134"/>
      <c r="G29" s="134"/>
      <c r="H29" s="458" t="s">
        <v>262</v>
      </c>
      <c r="I29" s="458" t="s">
        <v>265</v>
      </c>
      <c r="J29" s="134" t="s">
        <v>388</v>
      </c>
      <c r="K29" s="134" t="s">
        <v>388</v>
      </c>
      <c r="L29" s="134"/>
      <c r="M29" s="134"/>
      <c r="N29" s="134"/>
      <c r="O29" s="134" t="s">
        <v>268</v>
      </c>
      <c r="P29" s="134"/>
      <c r="Q29" s="134" t="s">
        <v>396</v>
      </c>
      <c r="R29" s="134"/>
      <c r="S29" s="134" t="s">
        <v>267</v>
      </c>
      <c r="T29" s="134" t="s">
        <v>342</v>
      </c>
      <c r="U29" s="134" t="s">
        <v>294</v>
      </c>
      <c r="V29" s="134"/>
      <c r="W29" s="134" t="s">
        <v>344</v>
      </c>
      <c r="X29" s="134" t="s">
        <v>689</v>
      </c>
      <c r="Y29" s="134"/>
      <c r="Z29" s="134"/>
      <c r="AA29" s="134"/>
      <c r="AB29" s="495"/>
      <c r="AC29" s="164"/>
      <c r="AD29" s="164"/>
      <c r="AE29" s="164"/>
      <c r="AF29" s="164"/>
      <c r="AG29" s="164"/>
      <c r="AH29" s="164"/>
      <c r="AI29" s="164"/>
      <c r="AJ29" s="164"/>
      <c r="AK29" s="164"/>
      <c r="AL29" s="164"/>
      <c r="AM29" s="164"/>
      <c r="AN29" s="164"/>
      <c r="AO29" s="164"/>
      <c r="AP29" s="164"/>
      <c r="AQ29" s="164"/>
      <c r="AR29" s="164"/>
      <c r="AS29" s="164"/>
      <c r="AT29" s="164"/>
      <c r="AU29" s="164"/>
      <c r="AV29" s="164"/>
      <c r="AW29" s="164"/>
      <c r="AX29" s="164"/>
      <c r="AY29" s="164"/>
      <c r="AZ29" s="164"/>
      <c r="BA29" s="164"/>
      <c r="BB29" s="164"/>
      <c r="BC29" s="164"/>
      <c r="BD29" s="164"/>
      <c r="BE29" s="164"/>
      <c r="BF29" s="164"/>
      <c r="BG29" s="164"/>
      <c r="BH29" s="164"/>
      <c r="BI29" s="164"/>
      <c r="BJ29" s="164"/>
      <c r="BK29" s="164"/>
      <c r="BL29" s="164"/>
      <c r="BM29" s="164"/>
      <c r="BN29" s="164"/>
      <c r="BO29" s="164"/>
      <c r="BP29" s="164"/>
      <c r="BQ29" s="164"/>
      <c r="BR29" s="164"/>
      <c r="BS29" s="164"/>
      <c r="BT29" s="164"/>
      <c r="BU29" s="164"/>
      <c r="BV29" s="164"/>
      <c r="BW29" s="164"/>
      <c r="BX29" s="164"/>
      <c r="BY29" s="164"/>
      <c r="BZ29" s="164"/>
      <c r="CA29" s="164"/>
      <c r="CB29" s="164"/>
      <c r="CC29" s="164"/>
      <c r="CD29" s="164"/>
      <c r="CE29" s="164"/>
      <c r="CF29" s="164"/>
      <c r="CG29" s="117"/>
      <c r="CH29" s="117"/>
      <c r="CI29" s="97"/>
      <c r="CJ29" s="97"/>
    </row>
    <row r="30" spans="1:88" ht="24" thickBot="1" x14ac:dyDescent="0.5">
      <c r="A30" s="97"/>
      <c r="B30" s="495"/>
      <c r="C30" s="135" t="s">
        <v>199</v>
      </c>
      <c r="D30" s="99" t="s">
        <v>187</v>
      </c>
      <c r="E30" s="136" t="s">
        <v>731</v>
      </c>
      <c r="F30" s="136"/>
      <c r="G30" s="136"/>
      <c r="H30" s="459" t="s">
        <v>274</v>
      </c>
      <c r="I30" s="459" t="s">
        <v>743</v>
      </c>
      <c r="J30" s="136" t="s">
        <v>753</v>
      </c>
      <c r="K30" s="136" t="s">
        <v>754</v>
      </c>
      <c r="L30" s="136"/>
      <c r="M30" s="136"/>
      <c r="N30" s="136"/>
      <c r="O30" s="136" t="s">
        <v>270</v>
      </c>
      <c r="P30" s="136"/>
      <c r="Q30" s="136" t="s">
        <v>746</v>
      </c>
      <c r="R30" s="136"/>
      <c r="S30" s="136" t="s">
        <v>384</v>
      </c>
      <c r="T30" s="136" t="s">
        <v>387</v>
      </c>
      <c r="U30" s="136" t="s">
        <v>482</v>
      </c>
      <c r="V30" s="136"/>
      <c r="W30" s="136" t="s">
        <v>663</v>
      </c>
      <c r="X30" s="136" t="s">
        <v>660</v>
      </c>
      <c r="Y30" s="136"/>
      <c r="Z30" s="445"/>
      <c r="AA30" s="445"/>
      <c r="AB30" s="495"/>
      <c r="AC30" s="117"/>
      <c r="AD30" s="117"/>
      <c r="AE30" s="117"/>
      <c r="AF30" s="117"/>
      <c r="AG30" s="117"/>
      <c r="AH30" s="117"/>
      <c r="AI30" s="117"/>
      <c r="AJ30" s="117"/>
      <c r="AK30" s="117"/>
      <c r="AL30" s="117"/>
      <c r="AM30" s="117"/>
      <c r="AN30" s="117"/>
      <c r="AO30" s="117"/>
      <c r="AP30" s="117"/>
      <c r="AQ30" s="117"/>
      <c r="AR30" s="117"/>
      <c r="AS30" s="117"/>
      <c r="AT30" s="117"/>
      <c r="AU30" s="117"/>
      <c r="AV30" s="117"/>
      <c r="AW30" s="117"/>
      <c r="AX30" s="117"/>
      <c r="AY30" s="117"/>
      <c r="AZ30" s="117"/>
      <c r="BA30" s="117"/>
      <c r="BB30" s="117"/>
      <c r="BC30" s="117"/>
      <c r="BD30" s="117"/>
      <c r="BE30" s="117"/>
      <c r="BF30" s="117"/>
      <c r="BG30" s="117"/>
      <c r="BH30" s="117"/>
      <c r="BI30" s="117"/>
      <c r="BJ30" s="117"/>
      <c r="BK30" s="117"/>
      <c r="BL30" s="117"/>
      <c r="BM30" s="117"/>
      <c r="BN30" s="117"/>
      <c r="BO30" s="117"/>
      <c r="BP30" s="117"/>
      <c r="BQ30" s="117"/>
      <c r="BR30" s="117"/>
      <c r="BS30" s="117"/>
      <c r="BT30" s="117"/>
      <c r="BU30" s="117"/>
      <c r="BV30" s="117"/>
      <c r="BW30" s="117"/>
      <c r="BX30" s="117"/>
      <c r="BY30" s="117"/>
      <c r="BZ30" s="117"/>
      <c r="CA30" s="117"/>
      <c r="CB30" s="117"/>
      <c r="CC30" s="117"/>
      <c r="CD30" s="117"/>
      <c r="CE30" s="117"/>
      <c r="CF30" s="117"/>
      <c r="CG30" s="117"/>
      <c r="CH30" s="117"/>
      <c r="CI30" s="97"/>
      <c r="CJ30" s="97"/>
    </row>
    <row r="31" spans="1:88" x14ac:dyDescent="0.45">
      <c r="A31" s="97"/>
      <c r="B31" s="495"/>
      <c r="C31" s="137" t="s">
        <v>199</v>
      </c>
      <c r="D31" s="130" t="s">
        <v>224</v>
      </c>
      <c r="E31" s="130" t="s">
        <v>691</v>
      </c>
      <c r="F31" s="131"/>
      <c r="G31" s="130"/>
      <c r="H31" s="456" t="s">
        <v>585</v>
      </c>
      <c r="I31" s="456" t="s">
        <v>263</v>
      </c>
      <c r="J31" s="130" t="s">
        <v>527</v>
      </c>
      <c r="K31" s="130" t="s">
        <v>456</v>
      </c>
      <c r="L31" s="130" t="s">
        <v>571</v>
      </c>
      <c r="M31" s="205" t="s">
        <v>309</v>
      </c>
      <c r="N31" s="205"/>
      <c r="O31" s="205" t="s">
        <v>322</v>
      </c>
      <c r="P31" s="205" t="s">
        <v>322</v>
      </c>
      <c r="Q31" s="205" t="s">
        <v>548</v>
      </c>
      <c r="R31" s="205" t="s">
        <v>472</v>
      </c>
      <c r="S31" s="205" t="s">
        <v>286</v>
      </c>
      <c r="T31" s="130" t="s">
        <v>282</v>
      </c>
      <c r="U31" s="205" t="s">
        <v>722</v>
      </c>
      <c r="V31" s="205" t="s">
        <v>722</v>
      </c>
      <c r="W31" s="218" t="s">
        <v>497</v>
      </c>
      <c r="X31" s="130"/>
      <c r="Y31" s="138" t="s">
        <v>651</v>
      </c>
      <c r="Z31" s="130"/>
      <c r="AA31" s="433"/>
      <c r="AB31" s="495"/>
      <c r="AC31" s="117"/>
      <c r="AD31" s="117"/>
      <c r="AE31" s="117"/>
      <c r="AF31" s="117"/>
      <c r="AG31" s="117"/>
      <c r="AH31" s="117"/>
      <c r="AI31" s="117"/>
      <c r="AJ31" s="117"/>
      <c r="AK31" s="117"/>
      <c r="AL31" s="117"/>
      <c r="AM31" s="117"/>
      <c r="AN31" s="117"/>
      <c r="AO31" s="117"/>
      <c r="AP31" s="117"/>
      <c r="AQ31" s="117"/>
      <c r="AR31" s="117"/>
      <c r="AS31" s="117"/>
      <c r="AT31" s="117"/>
      <c r="AU31" s="117"/>
      <c r="AV31" s="117"/>
      <c r="AW31" s="117"/>
      <c r="AX31" s="117"/>
      <c r="AY31" s="117"/>
      <c r="AZ31" s="117"/>
      <c r="BA31" s="117"/>
      <c r="BB31" s="117"/>
      <c r="BC31" s="117"/>
      <c r="BD31" s="117"/>
      <c r="BE31" s="117"/>
      <c r="BF31" s="117"/>
      <c r="BG31" s="117"/>
      <c r="BH31" s="117"/>
      <c r="BI31" s="117"/>
      <c r="BJ31" s="117"/>
      <c r="BK31" s="117"/>
      <c r="BL31" s="117"/>
      <c r="BM31" s="117"/>
      <c r="BN31" s="117"/>
      <c r="BO31" s="117"/>
      <c r="BP31" s="117"/>
      <c r="BQ31" s="117"/>
      <c r="BR31" s="117"/>
      <c r="BS31" s="117"/>
      <c r="BT31" s="117"/>
      <c r="BU31" s="117"/>
      <c r="BV31" s="117"/>
      <c r="BW31" s="117"/>
      <c r="BX31" s="117"/>
      <c r="BY31" s="117"/>
      <c r="BZ31" s="117"/>
      <c r="CA31" s="117"/>
      <c r="CB31" s="117"/>
      <c r="CC31" s="117"/>
      <c r="CD31" s="117"/>
      <c r="CE31" s="117"/>
      <c r="CF31" s="117"/>
      <c r="CG31" s="117"/>
      <c r="CH31" s="117"/>
      <c r="CI31" s="97"/>
      <c r="CJ31" s="97"/>
    </row>
    <row r="32" spans="1:88" x14ac:dyDescent="0.45">
      <c r="A32" s="97"/>
      <c r="B32" s="495"/>
      <c r="C32" s="137"/>
      <c r="D32" s="257" t="s">
        <v>225</v>
      </c>
      <c r="E32" s="257" t="s">
        <v>350</v>
      </c>
      <c r="F32" s="431"/>
      <c r="G32" s="257"/>
      <c r="H32" s="482" t="s">
        <v>586</v>
      </c>
      <c r="I32" s="482" t="s">
        <v>264</v>
      </c>
      <c r="J32" s="257" t="s">
        <v>528</v>
      </c>
      <c r="K32" s="257" t="s">
        <v>457</v>
      </c>
      <c r="L32" s="257" t="s">
        <v>572</v>
      </c>
      <c r="M32" s="432" t="s">
        <v>310</v>
      </c>
      <c r="N32" s="432"/>
      <c r="O32" s="432" t="s">
        <v>323</v>
      </c>
      <c r="P32" s="432" t="s">
        <v>323</v>
      </c>
      <c r="Q32" s="432" t="s">
        <v>355</v>
      </c>
      <c r="R32" s="432" t="s">
        <v>473</v>
      </c>
      <c r="S32" s="432" t="s">
        <v>287</v>
      </c>
      <c r="T32" s="257" t="s">
        <v>283</v>
      </c>
      <c r="U32" s="432" t="s">
        <v>280</v>
      </c>
      <c r="V32" s="432" t="s">
        <v>280</v>
      </c>
      <c r="W32" s="433" t="s">
        <v>498</v>
      </c>
      <c r="X32" s="257"/>
      <c r="Y32" s="251" t="s">
        <v>652</v>
      </c>
      <c r="Z32" s="257"/>
      <c r="AA32" s="433"/>
      <c r="AB32" s="495"/>
      <c r="AC32" s="117"/>
      <c r="AD32" s="117"/>
      <c r="AE32" s="117"/>
      <c r="AF32" s="117"/>
      <c r="AG32" s="117"/>
      <c r="AH32" s="117"/>
      <c r="AI32" s="117"/>
      <c r="AJ32" s="117"/>
      <c r="AK32" s="117"/>
      <c r="AL32" s="117"/>
      <c r="AM32" s="117"/>
      <c r="AN32" s="117"/>
      <c r="AO32" s="117"/>
      <c r="AP32" s="117"/>
      <c r="AQ32" s="117"/>
      <c r="AR32" s="117"/>
      <c r="AS32" s="117"/>
      <c r="AT32" s="117"/>
      <c r="AU32" s="117"/>
      <c r="AV32" s="117"/>
      <c r="AW32" s="117"/>
      <c r="AX32" s="117"/>
      <c r="AY32" s="117"/>
      <c r="AZ32" s="117"/>
      <c r="BA32" s="117"/>
      <c r="BB32" s="117"/>
      <c r="BC32" s="117"/>
      <c r="BD32" s="117"/>
      <c r="BE32" s="117"/>
      <c r="BF32" s="117"/>
      <c r="BG32" s="117"/>
      <c r="BH32" s="117"/>
      <c r="BI32" s="117"/>
      <c r="BJ32" s="117"/>
      <c r="BK32" s="117"/>
      <c r="BL32" s="117"/>
      <c r="BM32" s="117"/>
      <c r="BN32" s="117"/>
      <c r="BO32" s="117"/>
      <c r="BP32" s="117"/>
      <c r="BQ32" s="117"/>
      <c r="BR32" s="117"/>
      <c r="BS32" s="117"/>
      <c r="BT32" s="117"/>
      <c r="BU32" s="117"/>
      <c r="BV32" s="117"/>
      <c r="BW32" s="117"/>
      <c r="BX32" s="117"/>
      <c r="BY32" s="117"/>
      <c r="BZ32" s="117"/>
      <c r="CA32" s="117"/>
      <c r="CB32" s="117"/>
      <c r="CC32" s="117"/>
      <c r="CD32" s="117"/>
      <c r="CE32" s="117"/>
      <c r="CF32" s="117"/>
      <c r="CG32" s="117"/>
      <c r="CH32" s="117"/>
      <c r="CI32" s="97"/>
      <c r="CJ32" s="97"/>
    </row>
    <row r="33" spans="1:88" x14ac:dyDescent="0.45">
      <c r="A33" s="97"/>
      <c r="B33" s="495"/>
      <c r="C33" s="141"/>
      <c r="D33" s="134" t="s">
        <v>221</v>
      </c>
      <c r="E33" s="134" t="s">
        <v>371</v>
      </c>
      <c r="F33" s="134"/>
      <c r="G33" s="134"/>
      <c r="H33" s="458" t="s">
        <v>262</v>
      </c>
      <c r="I33" s="458" t="s">
        <v>372</v>
      </c>
      <c r="J33" s="134" t="s">
        <v>371</v>
      </c>
      <c r="K33" s="134" t="s">
        <v>459</v>
      </c>
      <c r="L33" s="134" t="s">
        <v>573</v>
      </c>
      <c r="M33" s="134" t="s">
        <v>207</v>
      </c>
      <c r="N33" s="134"/>
      <c r="O33" s="134" t="s">
        <v>673</v>
      </c>
      <c r="P33" s="134" t="s">
        <v>674</v>
      </c>
      <c r="Q33" s="134" t="s">
        <v>336</v>
      </c>
      <c r="R33" s="134" t="s">
        <v>437</v>
      </c>
      <c r="S33" s="134" t="s">
        <v>478</v>
      </c>
      <c r="T33" s="134" t="s">
        <v>553</v>
      </c>
      <c r="U33" s="134" t="s">
        <v>561</v>
      </c>
      <c r="V33" s="134" t="s">
        <v>555</v>
      </c>
      <c r="W33" s="134" t="s">
        <v>397</v>
      </c>
      <c r="X33" s="134"/>
      <c r="Y33" s="134" t="s">
        <v>268</v>
      </c>
      <c r="Z33" s="134"/>
      <c r="AA33" s="134"/>
      <c r="AB33" s="495"/>
      <c r="AC33" s="117"/>
      <c r="AD33" s="117"/>
      <c r="AE33" s="117"/>
      <c r="AF33" s="117"/>
      <c r="AG33" s="117"/>
      <c r="AH33" s="117"/>
      <c r="AI33" s="117"/>
      <c r="AJ33" s="117"/>
      <c r="AK33" s="117"/>
      <c r="AL33" s="117"/>
      <c r="AM33" s="117"/>
      <c r="AN33" s="117"/>
      <c r="AO33" s="117"/>
      <c r="AP33" s="117"/>
      <c r="AQ33" s="117"/>
      <c r="AR33" s="117"/>
      <c r="AS33" s="117"/>
      <c r="AT33" s="117"/>
      <c r="AU33" s="117"/>
      <c r="AV33" s="117"/>
      <c r="AW33" s="117"/>
      <c r="AX33" s="117"/>
      <c r="AY33" s="117"/>
      <c r="AZ33" s="117"/>
      <c r="BA33" s="117"/>
      <c r="BB33" s="117"/>
      <c r="BC33" s="117"/>
      <c r="BD33" s="117"/>
      <c r="BE33" s="117"/>
      <c r="BF33" s="117"/>
      <c r="BG33" s="117"/>
      <c r="BH33" s="117"/>
      <c r="BI33" s="117"/>
      <c r="BJ33" s="117"/>
      <c r="BK33" s="117"/>
      <c r="BL33" s="117"/>
      <c r="BM33" s="117"/>
      <c r="BN33" s="117"/>
      <c r="BO33" s="117"/>
      <c r="BP33" s="117"/>
      <c r="BQ33" s="117"/>
      <c r="BR33" s="117"/>
      <c r="BS33" s="117"/>
      <c r="BT33" s="117"/>
      <c r="BU33" s="117"/>
      <c r="BV33" s="117"/>
      <c r="BW33" s="117"/>
      <c r="BX33" s="117"/>
      <c r="BY33" s="117"/>
      <c r="BZ33" s="117"/>
      <c r="CA33" s="117"/>
      <c r="CB33" s="117"/>
      <c r="CC33" s="117"/>
      <c r="CD33" s="117"/>
      <c r="CE33" s="117"/>
      <c r="CF33" s="117"/>
      <c r="CG33" s="117"/>
      <c r="CH33" s="117"/>
      <c r="CI33" s="97"/>
      <c r="CJ33" s="97"/>
    </row>
    <row r="34" spans="1:88" ht="24" thickBot="1" x14ac:dyDescent="0.5">
      <c r="A34" s="97"/>
      <c r="B34" s="495"/>
      <c r="C34" s="135" t="s">
        <v>196</v>
      </c>
      <c r="D34" s="136" t="s">
        <v>696</v>
      </c>
      <c r="E34" s="136" t="s">
        <v>187</v>
      </c>
      <c r="F34" s="136"/>
      <c r="G34" s="136"/>
      <c r="H34" s="459" t="s">
        <v>274</v>
      </c>
      <c r="I34" s="459" t="s">
        <v>401</v>
      </c>
      <c r="J34" s="136" t="s">
        <v>211</v>
      </c>
      <c r="K34" s="136" t="s">
        <v>458</v>
      </c>
      <c r="L34" s="136" t="s">
        <v>297</v>
      </c>
      <c r="M34" s="136" t="s">
        <v>741</v>
      </c>
      <c r="N34" s="136"/>
      <c r="O34" s="136" t="s">
        <v>747</v>
      </c>
      <c r="P34" s="136" t="s">
        <v>748</v>
      </c>
      <c r="Q34" s="136" t="s">
        <v>695</v>
      </c>
      <c r="R34" s="136" t="s">
        <v>750</v>
      </c>
      <c r="S34" s="136" t="s">
        <v>374</v>
      </c>
      <c r="T34" s="136" t="s">
        <v>411</v>
      </c>
      <c r="U34" s="136" t="s">
        <v>67</v>
      </c>
      <c r="V34" s="136" t="s">
        <v>725</v>
      </c>
      <c r="W34" s="136" t="s">
        <v>603</v>
      </c>
      <c r="X34" s="136"/>
      <c r="Y34" s="136" t="s">
        <v>270</v>
      </c>
      <c r="Z34" s="136"/>
      <c r="AA34" s="445"/>
      <c r="AB34" s="495"/>
      <c r="AC34" s="117"/>
      <c r="AD34" s="117"/>
      <c r="AE34" s="117"/>
      <c r="AF34" s="117"/>
      <c r="AG34" s="117"/>
      <c r="AH34" s="117"/>
      <c r="AI34" s="117"/>
      <c r="AJ34" s="117"/>
      <c r="AK34" s="117"/>
      <c r="AL34" s="117"/>
      <c r="AM34" s="117"/>
      <c r="AN34" s="117"/>
      <c r="AO34" s="117"/>
      <c r="AP34" s="117"/>
      <c r="AQ34" s="117"/>
      <c r="AR34" s="117"/>
      <c r="AS34" s="117"/>
      <c r="AT34" s="117"/>
      <c r="AU34" s="117"/>
      <c r="AV34" s="117"/>
      <c r="AW34" s="117"/>
      <c r="AX34" s="117"/>
      <c r="AY34" s="117"/>
      <c r="AZ34" s="117"/>
      <c r="BA34" s="117"/>
      <c r="BB34" s="117"/>
      <c r="BC34" s="117"/>
      <c r="BD34" s="117"/>
      <c r="BE34" s="117"/>
      <c r="BF34" s="117"/>
      <c r="BG34" s="117"/>
      <c r="BH34" s="117"/>
      <c r="BI34" s="117"/>
      <c r="BJ34" s="117"/>
      <c r="BK34" s="117"/>
      <c r="BL34" s="117"/>
      <c r="BM34" s="117"/>
      <c r="BN34" s="117"/>
      <c r="BO34" s="117"/>
      <c r="BP34" s="117"/>
      <c r="BQ34" s="117"/>
      <c r="BR34" s="117"/>
      <c r="BS34" s="117"/>
      <c r="BT34" s="117"/>
      <c r="BU34" s="117"/>
      <c r="BV34" s="117"/>
      <c r="BW34" s="117"/>
      <c r="BX34" s="117"/>
      <c r="BY34" s="117"/>
      <c r="BZ34" s="117"/>
      <c r="CA34" s="117"/>
      <c r="CB34" s="117"/>
      <c r="CC34" s="117"/>
      <c r="CD34" s="117"/>
      <c r="CE34" s="117"/>
      <c r="CF34" s="117"/>
      <c r="CG34" s="117"/>
      <c r="CH34" s="117"/>
      <c r="CI34" s="97"/>
      <c r="CJ34" s="97"/>
    </row>
    <row r="35" spans="1:88" ht="26.25" customHeight="1" x14ac:dyDescent="0.45">
      <c r="A35" s="97"/>
      <c r="B35" s="495"/>
      <c r="C35" s="226"/>
      <c r="D35" s="229"/>
      <c r="E35" s="229"/>
      <c r="F35" s="229"/>
      <c r="G35" s="229"/>
      <c r="H35" s="474"/>
      <c r="I35" s="474"/>
      <c r="J35" s="229"/>
      <c r="K35" s="229"/>
      <c r="L35" s="229"/>
      <c r="M35" s="229"/>
      <c r="N35" s="229"/>
      <c r="O35" s="229"/>
      <c r="P35" s="229"/>
      <c r="Q35" s="229"/>
      <c r="R35" s="229"/>
      <c r="S35" s="229"/>
      <c r="T35" s="229"/>
      <c r="U35" s="229"/>
      <c r="V35" s="229"/>
      <c r="W35" s="229"/>
      <c r="X35" s="188"/>
      <c r="Y35" s="188"/>
      <c r="Z35" s="188"/>
      <c r="AA35" s="188"/>
      <c r="AB35" s="495"/>
      <c r="AC35" s="117"/>
      <c r="AD35" s="117"/>
      <c r="AE35" s="117"/>
      <c r="AF35" s="117"/>
      <c r="AG35" s="117"/>
      <c r="AH35" s="117"/>
      <c r="AI35" s="117"/>
      <c r="AJ35" s="117"/>
      <c r="AK35" s="117"/>
      <c r="AL35" s="117"/>
      <c r="AM35" s="117"/>
      <c r="AN35" s="117"/>
      <c r="AO35" s="117"/>
      <c r="AP35" s="117"/>
      <c r="AQ35" s="117"/>
      <c r="AR35" s="117"/>
      <c r="AS35" s="117"/>
      <c r="AT35" s="117"/>
      <c r="AU35" s="117"/>
      <c r="AV35" s="117"/>
      <c r="AW35" s="117"/>
      <c r="AX35" s="117"/>
      <c r="AY35" s="117"/>
      <c r="AZ35" s="117"/>
      <c r="BA35" s="117"/>
      <c r="BB35" s="117"/>
      <c r="BC35" s="117"/>
      <c r="BD35" s="117"/>
      <c r="BE35" s="117"/>
      <c r="BF35" s="117"/>
      <c r="BG35" s="117"/>
      <c r="BH35" s="117"/>
      <c r="BI35" s="117"/>
      <c r="BJ35" s="117"/>
      <c r="BK35" s="117"/>
      <c r="BL35" s="117"/>
      <c r="BM35" s="117"/>
      <c r="BN35" s="117"/>
      <c r="BO35" s="117"/>
      <c r="BP35" s="117"/>
      <c r="BQ35" s="117"/>
      <c r="BR35" s="117"/>
      <c r="BS35" s="117"/>
      <c r="BT35" s="117"/>
      <c r="BU35" s="117"/>
      <c r="BV35" s="117"/>
      <c r="BW35" s="117"/>
      <c r="BX35" s="117"/>
      <c r="BY35" s="117"/>
      <c r="BZ35" s="117"/>
      <c r="CA35" s="117"/>
      <c r="CB35" s="117"/>
      <c r="CC35" s="117"/>
      <c r="CD35" s="117"/>
      <c r="CE35" s="117"/>
      <c r="CF35" s="117"/>
      <c r="CG35" s="117"/>
      <c r="CH35" s="117"/>
      <c r="CI35" s="97"/>
      <c r="CJ35" s="97"/>
    </row>
    <row r="36" spans="1:88" ht="21" customHeight="1" x14ac:dyDescent="0.45">
      <c r="A36" s="97"/>
      <c r="B36" s="495"/>
      <c r="C36" s="227"/>
      <c r="D36" s="188"/>
      <c r="E36" s="188"/>
      <c r="F36" s="188"/>
      <c r="G36" s="188"/>
      <c r="H36" s="467"/>
      <c r="I36" s="467"/>
      <c r="J36" s="188"/>
      <c r="K36" s="188"/>
      <c r="L36" s="188"/>
      <c r="M36" s="188"/>
      <c r="N36" s="188"/>
      <c r="O36" s="188"/>
      <c r="P36" s="188"/>
      <c r="Q36" s="188"/>
      <c r="R36" s="188"/>
      <c r="S36" s="188"/>
      <c r="T36" s="188"/>
      <c r="U36" s="188"/>
      <c r="V36" s="188"/>
      <c r="W36" s="188"/>
      <c r="X36" s="188"/>
      <c r="Y36" s="188"/>
      <c r="Z36" s="188"/>
      <c r="AA36" s="188"/>
      <c r="AB36" s="495"/>
      <c r="AC36" s="117"/>
      <c r="AD36" s="117"/>
      <c r="AE36" s="117"/>
      <c r="AF36" s="117"/>
      <c r="AG36" s="117"/>
      <c r="AH36" s="117"/>
      <c r="AI36" s="117"/>
      <c r="AJ36" s="117"/>
      <c r="AK36" s="117"/>
      <c r="AL36" s="117"/>
      <c r="AM36" s="117"/>
      <c r="AN36" s="117"/>
      <c r="AO36" s="117"/>
      <c r="AP36" s="117"/>
      <c r="AQ36" s="117"/>
      <c r="AR36" s="117"/>
      <c r="AS36" s="117"/>
      <c r="AT36" s="117"/>
      <c r="AU36" s="117"/>
      <c r="AV36" s="117"/>
      <c r="AW36" s="117"/>
      <c r="AX36" s="117"/>
      <c r="AY36" s="117"/>
      <c r="AZ36" s="117"/>
      <c r="BA36" s="117"/>
      <c r="BB36" s="117"/>
      <c r="BC36" s="117"/>
      <c r="BD36" s="117"/>
      <c r="BE36" s="117"/>
      <c r="BF36" s="117"/>
      <c r="BG36" s="117"/>
      <c r="BH36" s="117"/>
      <c r="BI36" s="117"/>
      <c r="BJ36" s="117"/>
      <c r="BK36" s="117"/>
      <c r="BL36" s="117"/>
      <c r="BM36" s="117"/>
      <c r="BN36" s="117"/>
      <c r="BO36" s="117"/>
      <c r="BP36" s="117"/>
      <c r="BQ36" s="117"/>
      <c r="BR36" s="117"/>
      <c r="BS36" s="117"/>
      <c r="BT36" s="117"/>
      <c r="BU36" s="117"/>
      <c r="BV36" s="117"/>
      <c r="BW36" s="117"/>
      <c r="BX36" s="117"/>
      <c r="BY36" s="117"/>
      <c r="BZ36" s="117"/>
      <c r="CA36" s="117"/>
      <c r="CB36" s="117"/>
      <c r="CC36" s="117"/>
      <c r="CD36" s="117"/>
      <c r="CE36" s="117"/>
      <c r="CF36" s="117"/>
      <c r="CG36" s="117"/>
      <c r="CH36" s="117"/>
      <c r="CI36" s="97"/>
      <c r="CJ36" s="97"/>
    </row>
    <row r="37" spans="1:88" ht="26.25" customHeight="1" thickBot="1" x14ac:dyDescent="0.5">
      <c r="A37" s="97"/>
      <c r="B37" s="495"/>
      <c r="C37" s="228"/>
      <c r="D37" s="230"/>
      <c r="E37" s="230"/>
      <c r="F37" s="230"/>
      <c r="G37" s="230"/>
      <c r="H37" s="475"/>
      <c r="I37" s="475"/>
      <c r="J37" s="230"/>
      <c r="K37" s="230"/>
      <c r="L37" s="230"/>
      <c r="M37" s="230"/>
      <c r="N37" s="230"/>
      <c r="O37" s="230"/>
      <c r="P37" s="230"/>
      <c r="Q37" s="230"/>
      <c r="R37" s="230"/>
      <c r="S37" s="230"/>
      <c r="T37" s="230"/>
      <c r="U37" s="230"/>
      <c r="V37" s="230"/>
      <c r="W37" s="230"/>
      <c r="X37" s="188"/>
      <c r="Y37" s="188"/>
      <c r="Z37" s="188"/>
      <c r="AA37" s="188"/>
      <c r="AB37" s="495"/>
      <c r="AC37" s="117"/>
      <c r="AD37" s="117"/>
      <c r="AE37" s="117"/>
      <c r="AF37" s="117"/>
      <c r="AG37" s="117"/>
      <c r="AH37" s="117"/>
      <c r="AI37" s="117"/>
      <c r="AJ37" s="117"/>
      <c r="AK37" s="117"/>
      <c r="AL37" s="117"/>
      <c r="AM37" s="117"/>
      <c r="AN37" s="117"/>
      <c r="AO37" s="117"/>
      <c r="AP37" s="117"/>
      <c r="AQ37" s="117"/>
      <c r="AR37" s="117"/>
      <c r="AS37" s="117"/>
      <c r="AT37" s="117"/>
      <c r="AU37" s="117"/>
      <c r="AV37" s="117"/>
      <c r="AW37" s="117"/>
      <c r="AX37" s="117"/>
      <c r="AY37" s="117"/>
      <c r="AZ37" s="117"/>
      <c r="BA37" s="117"/>
      <c r="BB37" s="117"/>
      <c r="BC37" s="117"/>
      <c r="BD37" s="117"/>
      <c r="BE37" s="117"/>
      <c r="BF37" s="117"/>
      <c r="BG37" s="117"/>
      <c r="BH37" s="117"/>
      <c r="BI37" s="117"/>
      <c r="BJ37" s="117"/>
      <c r="BK37" s="117"/>
      <c r="BL37" s="117"/>
      <c r="BM37" s="117"/>
      <c r="BN37" s="117"/>
      <c r="BO37" s="117"/>
      <c r="BP37" s="117"/>
      <c r="BQ37" s="117"/>
      <c r="BR37" s="117"/>
      <c r="BS37" s="117"/>
      <c r="BT37" s="117"/>
      <c r="BU37" s="117"/>
      <c r="BV37" s="117"/>
      <c r="BW37" s="117"/>
      <c r="BX37" s="117"/>
      <c r="BY37" s="117"/>
      <c r="BZ37" s="117"/>
      <c r="CA37" s="117"/>
      <c r="CB37" s="117"/>
      <c r="CC37" s="117"/>
      <c r="CD37" s="117"/>
      <c r="CE37" s="117"/>
      <c r="CF37" s="117"/>
      <c r="CG37" s="117"/>
      <c r="CH37" s="117"/>
      <c r="CI37" s="97"/>
      <c r="CJ37" s="97"/>
    </row>
    <row r="38" spans="1:88" x14ac:dyDescent="0.45">
      <c r="A38" s="97"/>
      <c r="B38" s="495"/>
      <c r="C38" s="142" t="s">
        <v>197</v>
      </c>
      <c r="D38" s="130" t="s">
        <v>217</v>
      </c>
      <c r="E38" s="130"/>
      <c r="F38" s="131"/>
      <c r="G38" s="130"/>
      <c r="H38" s="456" t="s">
        <v>582</v>
      </c>
      <c r="I38" s="456" t="s">
        <v>257</v>
      </c>
      <c r="J38" s="130"/>
      <c r="K38" s="130" t="s">
        <v>257</v>
      </c>
      <c r="L38" s="140" t="s">
        <v>565</v>
      </c>
      <c r="M38" s="130" t="s">
        <v>301</v>
      </c>
      <c r="N38" s="130" t="s">
        <v>679</v>
      </c>
      <c r="O38" s="130" t="s">
        <v>548</v>
      </c>
      <c r="P38" s="130" t="s">
        <v>548</v>
      </c>
      <c r="Q38" s="130"/>
      <c r="R38" s="130" t="s">
        <v>466</v>
      </c>
      <c r="S38" s="130" t="s">
        <v>282</v>
      </c>
      <c r="T38" s="130" t="s">
        <v>295</v>
      </c>
      <c r="U38" s="130" t="s">
        <v>289</v>
      </c>
      <c r="V38" s="130" t="s">
        <v>289</v>
      </c>
      <c r="W38" s="130" t="s">
        <v>504</v>
      </c>
      <c r="X38" s="130" t="s">
        <v>533</v>
      </c>
      <c r="Y38" s="130" t="s">
        <v>649</v>
      </c>
      <c r="Z38" s="130"/>
      <c r="AA38" s="257"/>
      <c r="AB38" s="495"/>
      <c r="AC38" s="117"/>
      <c r="AD38" s="117"/>
      <c r="AE38" s="117"/>
      <c r="AF38" s="117"/>
      <c r="AG38" s="117"/>
      <c r="AH38" s="117"/>
      <c r="AI38" s="117"/>
      <c r="AJ38" s="117"/>
      <c r="AK38" s="117"/>
      <c r="AL38" s="117"/>
      <c r="AM38" s="117"/>
      <c r="AN38" s="117"/>
      <c r="AO38" s="117"/>
      <c r="AP38" s="117"/>
      <c r="AQ38" s="117"/>
      <c r="AR38" s="117"/>
      <c r="AS38" s="117"/>
      <c r="AT38" s="117"/>
      <c r="AU38" s="117"/>
      <c r="AV38" s="117"/>
      <c r="AW38" s="117"/>
      <c r="AX38" s="117"/>
      <c r="AY38" s="117"/>
      <c r="AZ38" s="117"/>
      <c r="BA38" s="117"/>
      <c r="BB38" s="117"/>
      <c r="BC38" s="117"/>
      <c r="BD38" s="117"/>
      <c r="BE38" s="117"/>
      <c r="BF38" s="117"/>
      <c r="BG38" s="117"/>
      <c r="BH38" s="117"/>
      <c r="BI38" s="117"/>
      <c r="BJ38" s="117"/>
      <c r="BK38" s="117"/>
      <c r="BL38" s="117"/>
      <c r="BM38" s="117"/>
      <c r="BN38" s="117"/>
      <c r="BO38" s="117"/>
      <c r="BP38" s="117"/>
      <c r="BQ38" s="117"/>
      <c r="BR38" s="117"/>
      <c r="BS38" s="117"/>
      <c r="BT38" s="117"/>
      <c r="BU38" s="117"/>
      <c r="BV38" s="117"/>
      <c r="BW38" s="117"/>
      <c r="BX38" s="117"/>
      <c r="BY38" s="117"/>
      <c r="BZ38" s="117"/>
      <c r="CA38" s="117"/>
      <c r="CB38" s="117"/>
      <c r="CC38" s="117"/>
      <c r="CD38" s="117"/>
      <c r="CE38" s="117"/>
      <c r="CF38" s="117"/>
      <c r="CG38" s="117"/>
      <c r="CH38" s="117"/>
      <c r="CI38" s="97"/>
      <c r="CJ38" s="97"/>
    </row>
    <row r="39" spans="1:88" x14ac:dyDescent="0.45">
      <c r="A39" s="97"/>
      <c r="B39" s="495"/>
      <c r="C39" s="435"/>
      <c r="D39" s="257" t="s">
        <v>218</v>
      </c>
      <c r="E39" s="257"/>
      <c r="F39" s="431"/>
      <c r="G39" s="257"/>
      <c r="H39" s="482" t="s">
        <v>583</v>
      </c>
      <c r="I39" s="482" t="s">
        <v>258</v>
      </c>
      <c r="J39" s="257"/>
      <c r="K39" s="257" t="s">
        <v>258</v>
      </c>
      <c r="L39" s="436" t="s">
        <v>566</v>
      </c>
      <c r="M39" s="257" t="s">
        <v>302</v>
      </c>
      <c r="N39" s="257" t="s">
        <v>680</v>
      </c>
      <c r="O39" s="257" t="s">
        <v>355</v>
      </c>
      <c r="P39" s="257" t="s">
        <v>355</v>
      </c>
      <c r="Q39" s="257"/>
      <c r="R39" s="257" t="s">
        <v>465</v>
      </c>
      <c r="S39" s="257" t="s">
        <v>283</v>
      </c>
      <c r="T39" s="257" t="s">
        <v>296</v>
      </c>
      <c r="U39" s="257" t="s">
        <v>491</v>
      </c>
      <c r="V39" s="257" t="s">
        <v>491</v>
      </c>
      <c r="W39" s="257" t="s">
        <v>271</v>
      </c>
      <c r="X39" s="257" t="s">
        <v>534</v>
      </c>
      <c r="Y39" s="257" t="s">
        <v>650</v>
      </c>
      <c r="Z39" s="257"/>
      <c r="AA39" s="257"/>
      <c r="AB39" s="495"/>
      <c r="AC39" s="117"/>
      <c r="AD39" s="117"/>
      <c r="AE39" s="117"/>
      <c r="AF39" s="117"/>
      <c r="AG39" s="117"/>
      <c r="AH39" s="117"/>
      <c r="AI39" s="117"/>
      <c r="AJ39" s="117"/>
      <c r="AK39" s="117"/>
      <c r="AL39" s="117"/>
      <c r="AM39" s="117"/>
      <c r="AN39" s="117"/>
      <c r="AO39" s="117"/>
      <c r="AP39" s="117"/>
      <c r="AQ39" s="117"/>
      <c r="AR39" s="117"/>
      <c r="AS39" s="117"/>
      <c r="AT39" s="117"/>
      <c r="AU39" s="117"/>
      <c r="AV39" s="117"/>
      <c r="AW39" s="117"/>
      <c r="AX39" s="117"/>
      <c r="AY39" s="117"/>
      <c r="AZ39" s="117"/>
      <c r="BA39" s="117"/>
      <c r="BB39" s="117"/>
      <c r="BC39" s="117"/>
      <c r="BD39" s="117"/>
      <c r="BE39" s="117"/>
      <c r="BF39" s="117"/>
      <c r="BG39" s="117"/>
      <c r="BH39" s="117"/>
      <c r="BI39" s="117"/>
      <c r="BJ39" s="117"/>
      <c r="BK39" s="117"/>
      <c r="BL39" s="117"/>
      <c r="BM39" s="117"/>
      <c r="BN39" s="117"/>
      <c r="BO39" s="117"/>
      <c r="BP39" s="117"/>
      <c r="BQ39" s="117"/>
      <c r="BR39" s="117"/>
      <c r="BS39" s="117"/>
      <c r="BT39" s="117"/>
      <c r="BU39" s="117"/>
      <c r="BV39" s="117"/>
      <c r="BW39" s="117"/>
      <c r="BX39" s="117"/>
      <c r="BY39" s="117"/>
      <c r="BZ39" s="117"/>
      <c r="CA39" s="117"/>
      <c r="CB39" s="117"/>
      <c r="CC39" s="117"/>
      <c r="CD39" s="117"/>
      <c r="CE39" s="117"/>
      <c r="CF39" s="117"/>
      <c r="CG39" s="117"/>
      <c r="CH39" s="117"/>
      <c r="CI39" s="97"/>
      <c r="CJ39" s="97"/>
    </row>
    <row r="40" spans="1:88" x14ac:dyDescent="0.45">
      <c r="A40" s="97"/>
      <c r="B40" s="495"/>
      <c r="C40" s="143"/>
      <c r="D40" s="134" t="s">
        <v>437</v>
      </c>
      <c r="E40" s="134"/>
      <c r="F40" s="134"/>
      <c r="G40" s="134"/>
      <c r="H40" s="458" t="s">
        <v>370</v>
      </c>
      <c r="I40" s="458" t="s">
        <v>492</v>
      </c>
      <c r="J40" s="134"/>
      <c r="K40" s="134" t="s">
        <v>720</v>
      </c>
      <c r="L40" s="134" t="s">
        <v>567</v>
      </c>
      <c r="M40" s="134" t="s">
        <v>361</v>
      </c>
      <c r="N40" s="134" t="s">
        <v>689</v>
      </c>
      <c r="O40" s="134" t="s">
        <v>388</v>
      </c>
      <c r="P40" s="134" t="s">
        <v>551</v>
      </c>
      <c r="Q40" s="134"/>
      <c r="R40" s="134" t="s">
        <v>437</v>
      </c>
      <c r="S40" s="134" t="s">
        <v>22</v>
      </c>
      <c r="T40" s="134" t="s">
        <v>294</v>
      </c>
      <c r="U40" s="134" t="s">
        <v>532</v>
      </c>
      <c r="V40" s="134" t="s">
        <v>492</v>
      </c>
      <c r="W40" s="134" t="s">
        <v>558</v>
      </c>
      <c r="X40" s="134" t="s">
        <v>193</v>
      </c>
      <c r="Y40" s="134" t="s">
        <v>397</v>
      </c>
      <c r="Z40" s="134"/>
      <c r="AA40" s="134"/>
      <c r="AB40" s="495"/>
      <c r="AC40" s="117"/>
      <c r="AD40" s="117"/>
      <c r="AE40" s="117"/>
      <c r="AF40" s="117"/>
      <c r="AG40" s="117"/>
      <c r="AH40" s="117"/>
      <c r="AI40" s="117"/>
      <c r="AJ40" s="117"/>
      <c r="AK40" s="117"/>
      <c r="AL40" s="117"/>
      <c r="AM40" s="117"/>
      <c r="AN40" s="117"/>
      <c r="AO40" s="117"/>
      <c r="AP40" s="117"/>
      <c r="AQ40" s="117"/>
      <c r="AR40" s="117"/>
      <c r="AS40" s="117"/>
      <c r="AT40" s="117"/>
      <c r="AU40" s="117"/>
      <c r="AV40" s="117"/>
      <c r="AW40" s="117"/>
      <c r="AX40" s="117"/>
      <c r="AY40" s="117"/>
      <c r="AZ40" s="117"/>
      <c r="BA40" s="117"/>
      <c r="BB40" s="117"/>
      <c r="BC40" s="117"/>
      <c r="BD40" s="117"/>
      <c r="BE40" s="117"/>
      <c r="BF40" s="117"/>
      <c r="BG40" s="117"/>
      <c r="BH40" s="117"/>
      <c r="BI40" s="117"/>
      <c r="BJ40" s="117"/>
      <c r="BK40" s="117"/>
      <c r="BL40" s="117"/>
      <c r="BM40" s="117"/>
      <c r="BN40" s="117"/>
      <c r="BO40" s="117"/>
      <c r="BP40" s="117"/>
      <c r="BQ40" s="117"/>
      <c r="BR40" s="117"/>
      <c r="BS40" s="117"/>
      <c r="BT40" s="117"/>
      <c r="BU40" s="117"/>
      <c r="BV40" s="117"/>
      <c r="BW40" s="117"/>
      <c r="BX40" s="117"/>
      <c r="BY40" s="117"/>
      <c r="BZ40" s="117"/>
      <c r="CA40" s="117"/>
      <c r="CB40" s="117"/>
      <c r="CC40" s="117"/>
      <c r="CD40" s="117"/>
      <c r="CE40" s="117"/>
      <c r="CF40" s="117"/>
      <c r="CG40" s="117"/>
      <c r="CH40" s="117"/>
      <c r="CI40" s="97"/>
      <c r="CJ40" s="97"/>
    </row>
    <row r="41" spans="1:88" ht="24" thickBot="1" x14ac:dyDescent="0.5">
      <c r="A41" s="97"/>
      <c r="B41" s="495"/>
      <c r="C41" s="144" t="s">
        <v>200</v>
      </c>
      <c r="D41" s="136" t="s">
        <v>730</v>
      </c>
      <c r="E41" s="136"/>
      <c r="F41" s="136"/>
      <c r="G41" s="136"/>
      <c r="H41" s="459" t="s">
        <v>584</v>
      </c>
      <c r="I41" s="459" t="s">
        <v>727</v>
      </c>
      <c r="J41" s="136"/>
      <c r="K41" s="136" t="s">
        <v>726</v>
      </c>
      <c r="L41" s="136" t="s">
        <v>270</v>
      </c>
      <c r="M41" s="136" t="s">
        <v>348</v>
      </c>
      <c r="N41" s="136" t="s">
        <v>661</v>
      </c>
      <c r="O41" s="136" t="s">
        <v>358</v>
      </c>
      <c r="P41" s="136" t="s">
        <v>672</v>
      </c>
      <c r="Q41" s="136"/>
      <c r="R41" s="136" t="s">
        <v>249</v>
      </c>
      <c r="S41" s="136" t="s">
        <v>299</v>
      </c>
      <c r="T41" s="136" t="s">
        <v>482</v>
      </c>
      <c r="U41" s="136" t="s">
        <v>737</v>
      </c>
      <c r="V41" s="136" t="s">
        <v>603</v>
      </c>
      <c r="W41" s="136" t="s">
        <v>374</v>
      </c>
      <c r="X41" s="136" t="s">
        <v>660</v>
      </c>
      <c r="Y41" s="136" t="s">
        <v>483</v>
      </c>
      <c r="Z41" s="136"/>
      <c r="AA41" s="445"/>
      <c r="AB41" s="495"/>
      <c r="AC41" s="117"/>
      <c r="AD41" s="117"/>
      <c r="AE41" s="117"/>
      <c r="AF41" s="117"/>
      <c r="AG41" s="117"/>
      <c r="AH41" s="117"/>
      <c r="AI41" s="117"/>
      <c r="AJ41" s="117"/>
      <c r="AK41" s="117"/>
      <c r="AL41" s="117"/>
      <c r="AM41" s="117"/>
      <c r="AN41" s="117"/>
      <c r="AO41" s="117"/>
      <c r="AP41" s="117"/>
      <c r="AQ41" s="117"/>
      <c r="AR41" s="117"/>
      <c r="AS41" s="117"/>
      <c r="AT41" s="117"/>
      <c r="AU41" s="117"/>
      <c r="AV41" s="117"/>
      <c r="AW41" s="117"/>
      <c r="AX41" s="117"/>
      <c r="AY41" s="117"/>
      <c r="AZ41" s="117"/>
      <c r="BA41" s="117"/>
      <c r="BB41" s="117"/>
      <c r="BC41" s="117"/>
      <c r="BD41" s="117"/>
      <c r="BE41" s="117"/>
      <c r="BF41" s="117"/>
      <c r="BG41" s="117"/>
      <c r="BH41" s="117"/>
      <c r="BI41" s="117"/>
      <c r="BJ41" s="117"/>
      <c r="BK41" s="117"/>
      <c r="BL41" s="117"/>
      <c r="BM41" s="117"/>
      <c r="BN41" s="117"/>
      <c r="BO41" s="117"/>
      <c r="BP41" s="117"/>
      <c r="BQ41" s="117"/>
      <c r="BR41" s="117"/>
      <c r="BS41" s="117"/>
      <c r="BT41" s="117"/>
      <c r="BU41" s="117"/>
      <c r="BV41" s="117"/>
      <c r="BW41" s="117"/>
      <c r="BX41" s="117"/>
      <c r="BY41" s="117"/>
      <c r="BZ41" s="117"/>
      <c r="CA41" s="117"/>
      <c r="CB41" s="117"/>
      <c r="CC41" s="117"/>
      <c r="CD41" s="117"/>
      <c r="CE41" s="117"/>
      <c r="CF41" s="117"/>
      <c r="CG41" s="117"/>
      <c r="CH41" s="117"/>
      <c r="CI41" s="97"/>
      <c r="CJ41" s="97"/>
    </row>
    <row r="42" spans="1:88" x14ac:dyDescent="0.45">
      <c r="A42" s="97"/>
      <c r="B42" s="495"/>
      <c r="C42" s="142">
        <v>5</v>
      </c>
      <c r="D42" s="130"/>
      <c r="E42" s="130"/>
      <c r="F42" s="131" t="s">
        <v>239</v>
      </c>
      <c r="G42" s="130" t="s">
        <v>224</v>
      </c>
      <c r="H42" s="456"/>
      <c r="I42" s="456"/>
      <c r="K42" s="130"/>
      <c r="L42" s="140" t="s">
        <v>568</v>
      </c>
      <c r="M42" s="138"/>
      <c r="N42" s="138"/>
      <c r="O42" s="138"/>
      <c r="P42" s="138"/>
      <c r="Q42" s="138"/>
      <c r="R42" s="138"/>
      <c r="S42" s="138"/>
      <c r="T42" s="138"/>
      <c r="U42" s="138"/>
      <c r="V42" s="138"/>
      <c r="W42" s="138"/>
      <c r="X42" s="130"/>
      <c r="Y42" s="138"/>
      <c r="Z42" s="130" t="s">
        <v>770</v>
      </c>
      <c r="AA42" s="251"/>
      <c r="AB42" s="495"/>
      <c r="AC42" s="117"/>
      <c r="AD42" s="117"/>
      <c r="AE42" s="117"/>
      <c r="AF42" s="117"/>
      <c r="AG42" s="117"/>
      <c r="AH42" s="117"/>
      <c r="AI42" s="117"/>
      <c r="AJ42" s="117"/>
      <c r="AK42" s="117"/>
      <c r="AL42" s="117"/>
      <c r="AM42" s="117"/>
      <c r="AN42" s="117"/>
      <c r="AO42" s="117"/>
      <c r="AP42" s="117"/>
      <c r="AQ42" s="117"/>
      <c r="AR42" s="117"/>
      <c r="AS42" s="117"/>
      <c r="AT42" s="117"/>
      <c r="AU42" s="117"/>
      <c r="AV42" s="117"/>
      <c r="AW42" s="117"/>
      <c r="AX42" s="117"/>
      <c r="AY42" s="117"/>
      <c r="AZ42" s="117"/>
      <c r="BA42" s="117"/>
      <c r="BB42" s="117"/>
      <c r="BC42" s="117"/>
      <c r="BD42" s="117"/>
      <c r="BE42" s="117"/>
      <c r="BF42" s="117"/>
      <c r="BG42" s="117"/>
      <c r="BH42" s="117"/>
      <c r="BI42" s="117"/>
      <c r="BJ42" s="117"/>
      <c r="BK42" s="117"/>
      <c r="BL42" s="117"/>
      <c r="BM42" s="117"/>
      <c r="BN42" s="117"/>
      <c r="BO42" s="117"/>
      <c r="BP42" s="117"/>
      <c r="BQ42" s="117"/>
      <c r="BR42" s="117"/>
      <c r="BS42" s="117"/>
      <c r="BT42" s="117"/>
      <c r="BU42" s="117"/>
      <c r="BV42" s="117"/>
      <c r="BW42" s="117"/>
      <c r="BX42" s="117"/>
      <c r="BY42" s="117"/>
      <c r="BZ42" s="117"/>
      <c r="CA42" s="117"/>
      <c r="CB42" s="117"/>
      <c r="CC42" s="117"/>
      <c r="CD42" s="117"/>
      <c r="CE42" s="117"/>
      <c r="CF42" s="117"/>
      <c r="CG42" s="117"/>
      <c r="CH42" s="117"/>
      <c r="CI42" s="97"/>
      <c r="CJ42" s="97"/>
    </row>
    <row r="43" spans="1:88" x14ac:dyDescent="0.45">
      <c r="A43" s="97"/>
      <c r="B43" s="495"/>
      <c r="C43" s="435"/>
      <c r="D43" s="257"/>
      <c r="E43" s="257"/>
      <c r="F43" s="431" t="s">
        <v>240</v>
      </c>
      <c r="G43" s="257" t="s">
        <v>225</v>
      </c>
      <c r="H43" s="482"/>
      <c r="I43" s="482"/>
      <c r="K43" s="257"/>
      <c r="L43" s="436" t="s">
        <v>569</v>
      </c>
      <c r="M43" s="251"/>
      <c r="N43" s="251"/>
      <c r="O43" s="251"/>
      <c r="P43" s="251"/>
      <c r="Q43" s="251"/>
      <c r="R43" s="251"/>
      <c r="S43" s="251"/>
      <c r="T43" s="251"/>
      <c r="U43" s="251"/>
      <c r="V43" s="251"/>
      <c r="W43" s="251"/>
      <c r="X43" s="257"/>
      <c r="Y43" s="251"/>
      <c r="Z43" s="257" t="s">
        <v>771</v>
      </c>
      <c r="AA43" s="251"/>
      <c r="AB43" s="495"/>
      <c r="AC43" s="117"/>
      <c r="AD43" s="117"/>
      <c r="AE43" s="117"/>
      <c r="AF43" s="117"/>
      <c r="AG43" s="117"/>
      <c r="AH43" s="117"/>
      <c r="AI43" s="117"/>
      <c r="AJ43" s="117"/>
      <c r="AK43" s="117"/>
      <c r="AL43" s="117"/>
      <c r="AM43" s="117"/>
      <c r="AN43" s="117"/>
      <c r="AO43" s="117"/>
      <c r="AP43" s="117"/>
      <c r="AQ43" s="117"/>
      <c r="AR43" s="117"/>
      <c r="AS43" s="117"/>
      <c r="AT43" s="117"/>
      <c r="AU43" s="117"/>
      <c r="AV43" s="117"/>
      <c r="AW43" s="117"/>
      <c r="AX43" s="117"/>
      <c r="AY43" s="117"/>
      <c r="AZ43" s="117"/>
      <c r="BA43" s="117"/>
      <c r="BB43" s="117"/>
      <c r="BC43" s="117"/>
      <c r="BD43" s="117"/>
      <c r="BE43" s="117"/>
      <c r="BF43" s="117"/>
      <c r="BG43" s="117"/>
      <c r="BH43" s="117"/>
      <c r="BI43" s="117"/>
      <c r="BJ43" s="117"/>
      <c r="BK43" s="117"/>
      <c r="BL43" s="117"/>
      <c r="BM43" s="117"/>
      <c r="BN43" s="117"/>
      <c r="BO43" s="117"/>
      <c r="BP43" s="117"/>
      <c r="BQ43" s="117"/>
      <c r="BR43" s="117"/>
      <c r="BS43" s="117"/>
      <c r="BT43" s="117"/>
      <c r="BU43" s="117"/>
      <c r="BV43" s="117"/>
      <c r="BW43" s="117"/>
      <c r="BX43" s="117"/>
      <c r="BY43" s="117"/>
      <c r="BZ43" s="117"/>
      <c r="CA43" s="117"/>
      <c r="CB43" s="117"/>
      <c r="CC43" s="117"/>
      <c r="CD43" s="117"/>
      <c r="CE43" s="117"/>
      <c r="CF43" s="117"/>
      <c r="CG43" s="117"/>
      <c r="CH43" s="117"/>
      <c r="CI43" s="97"/>
      <c r="CJ43" s="97"/>
    </row>
    <row r="44" spans="1:88" x14ac:dyDescent="0.45">
      <c r="A44" s="97"/>
      <c r="B44" s="495"/>
      <c r="C44" s="143"/>
      <c r="D44" s="134"/>
      <c r="E44" s="134"/>
      <c r="F44" s="134" t="s">
        <v>262</v>
      </c>
      <c r="G44" s="134" t="s">
        <v>262</v>
      </c>
      <c r="H44" s="458"/>
      <c r="I44" s="458"/>
      <c r="K44" s="134"/>
      <c r="L44" s="134" t="s">
        <v>570</v>
      </c>
      <c r="M44" s="134"/>
      <c r="N44" s="134"/>
      <c r="O44" s="134"/>
      <c r="P44" s="134"/>
      <c r="Q44" s="134"/>
      <c r="R44" s="134"/>
      <c r="S44" s="134"/>
      <c r="T44" s="134"/>
      <c r="U44" s="134"/>
      <c r="V44" s="134"/>
      <c r="W44" s="134"/>
      <c r="X44" s="134"/>
      <c r="Y44" s="134"/>
      <c r="Z44" s="134" t="s">
        <v>370</v>
      </c>
      <c r="AA44" s="134"/>
      <c r="AB44" s="495"/>
      <c r="AC44" s="117"/>
      <c r="AD44" s="117"/>
      <c r="AE44" s="117"/>
      <c r="AF44" s="117"/>
      <c r="AG44" s="117"/>
      <c r="AH44" s="117"/>
      <c r="AI44" s="117"/>
      <c r="AJ44" s="117"/>
      <c r="AK44" s="117"/>
      <c r="AL44" s="117"/>
      <c r="AM44" s="117"/>
      <c r="AN44" s="117"/>
      <c r="AO44" s="117"/>
      <c r="AP44" s="117"/>
      <c r="AQ44" s="117"/>
      <c r="AR44" s="117"/>
      <c r="AS44" s="117"/>
      <c r="AT44" s="117"/>
      <c r="AU44" s="117"/>
      <c r="AV44" s="117"/>
      <c r="AW44" s="117"/>
      <c r="AX44" s="117"/>
      <c r="AY44" s="117"/>
      <c r="AZ44" s="117"/>
      <c r="BA44" s="117"/>
      <c r="BB44" s="117"/>
      <c r="BC44" s="117"/>
      <c r="BD44" s="117"/>
      <c r="BE44" s="117"/>
      <c r="BF44" s="117"/>
      <c r="BG44" s="117"/>
      <c r="BH44" s="117"/>
      <c r="BI44" s="117"/>
      <c r="BJ44" s="117"/>
      <c r="BK44" s="117"/>
      <c r="BL44" s="117"/>
      <c r="BM44" s="117"/>
      <c r="BN44" s="117"/>
      <c r="BO44" s="117"/>
      <c r="BP44" s="117"/>
      <c r="BQ44" s="117"/>
      <c r="BR44" s="117"/>
      <c r="BS44" s="117"/>
      <c r="BT44" s="117"/>
      <c r="BU44" s="117"/>
      <c r="BV44" s="117"/>
      <c r="BW44" s="117"/>
      <c r="BX44" s="117"/>
      <c r="BY44" s="117"/>
      <c r="BZ44" s="117"/>
      <c r="CA44" s="117"/>
      <c r="CB44" s="117"/>
      <c r="CC44" s="117"/>
      <c r="CD44" s="117"/>
      <c r="CE44" s="117"/>
      <c r="CF44" s="117"/>
      <c r="CG44" s="117"/>
      <c r="CH44" s="117"/>
      <c r="CI44" s="97"/>
      <c r="CJ44" s="97"/>
    </row>
    <row r="45" spans="1:88" ht="24" thickBot="1" x14ac:dyDescent="0.5">
      <c r="A45" s="97"/>
      <c r="B45" s="495"/>
      <c r="C45" s="144" t="s">
        <v>195</v>
      </c>
      <c r="D45" s="136"/>
      <c r="E45" s="136"/>
      <c r="F45" s="136" t="s">
        <v>517</v>
      </c>
      <c r="G45" s="136" t="s">
        <v>696</v>
      </c>
      <c r="H45" s="459"/>
      <c r="I45" s="459"/>
      <c r="K45" s="136"/>
      <c r="L45" s="136" t="s">
        <v>339</v>
      </c>
      <c r="M45" s="136"/>
      <c r="N45" s="136"/>
      <c r="O45" s="136"/>
      <c r="P45" s="136"/>
      <c r="Q45" s="136"/>
      <c r="R45" s="136"/>
      <c r="S45" s="136"/>
      <c r="T45" s="136"/>
      <c r="U45" s="136"/>
      <c r="V45" s="136"/>
      <c r="W45" s="136"/>
      <c r="X45" s="136"/>
      <c r="Y45" s="136"/>
      <c r="Z45" s="136" t="s">
        <v>189</v>
      </c>
      <c r="AA45" s="445"/>
      <c r="AB45" s="495"/>
      <c r="AC45" s="117"/>
      <c r="AD45" s="117"/>
      <c r="AE45" s="117"/>
      <c r="AF45" s="117"/>
      <c r="AG45" s="117"/>
      <c r="AH45" s="117"/>
      <c r="AI45" s="117"/>
      <c r="AJ45" s="117"/>
      <c r="AK45" s="117"/>
      <c r="AL45" s="117"/>
      <c r="AM45" s="117"/>
      <c r="AN45" s="117"/>
      <c r="AO45" s="117"/>
      <c r="AP45" s="117"/>
      <c r="AQ45" s="117"/>
      <c r="AR45" s="117"/>
      <c r="AS45" s="117"/>
      <c r="AT45" s="117"/>
      <c r="AU45" s="117"/>
      <c r="AV45" s="117"/>
      <c r="AW45" s="117"/>
      <c r="AX45" s="117"/>
      <c r="AY45" s="117"/>
      <c r="AZ45" s="117"/>
      <c r="BA45" s="117"/>
      <c r="BB45" s="117"/>
      <c r="BC45" s="117"/>
      <c r="BD45" s="117"/>
      <c r="BE45" s="117"/>
      <c r="BF45" s="117"/>
      <c r="BG45" s="117"/>
      <c r="BH45" s="117"/>
      <c r="BI45" s="117"/>
      <c r="BJ45" s="117"/>
      <c r="BK45" s="117"/>
      <c r="BL45" s="117"/>
      <c r="BM45" s="117"/>
      <c r="BN45" s="117"/>
      <c r="BO45" s="117"/>
      <c r="BP45" s="117"/>
      <c r="BQ45" s="117"/>
      <c r="BR45" s="117"/>
      <c r="BS45" s="117"/>
      <c r="BT45" s="117"/>
      <c r="BU45" s="117"/>
      <c r="BV45" s="117"/>
      <c r="BW45" s="117"/>
      <c r="BX45" s="117"/>
      <c r="BY45" s="117"/>
      <c r="BZ45" s="117"/>
      <c r="CA45" s="117"/>
      <c r="CB45" s="117"/>
      <c r="CC45" s="117"/>
      <c r="CD45" s="117"/>
      <c r="CE45" s="117"/>
      <c r="CF45" s="117"/>
      <c r="CG45" s="117"/>
      <c r="CH45" s="117"/>
      <c r="CI45" s="97"/>
      <c r="CJ45" s="97"/>
    </row>
    <row r="46" spans="1:88" ht="24" customHeight="1" thickTop="1" x14ac:dyDescent="0.45">
      <c r="A46" s="97"/>
      <c r="B46" s="503" t="s">
        <v>8</v>
      </c>
      <c r="C46" s="147" t="s">
        <v>201</v>
      </c>
      <c r="D46" s="148" t="s">
        <v>399</v>
      </c>
      <c r="E46" s="148"/>
      <c r="F46" s="148"/>
      <c r="G46" s="148"/>
      <c r="H46" s="460" t="s">
        <v>582</v>
      </c>
      <c r="I46" s="460" t="s">
        <v>253</v>
      </c>
      <c r="J46" s="148" t="s">
        <v>399</v>
      </c>
      <c r="K46" s="148" t="s">
        <v>556</v>
      </c>
      <c r="L46" s="148"/>
      <c r="M46" s="148" t="s">
        <v>301</v>
      </c>
      <c r="N46" s="148" t="s">
        <v>685</v>
      </c>
      <c r="O46" s="148" t="s">
        <v>324</v>
      </c>
      <c r="P46" s="148" t="s">
        <v>324</v>
      </c>
      <c r="Q46" s="148" t="s">
        <v>324</v>
      </c>
      <c r="R46" s="148"/>
      <c r="S46" s="148" t="s">
        <v>295</v>
      </c>
      <c r="T46" s="148" t="s">
        <v>289</v>
      </c>
      <c r="U46" s="148" t="s">
        <v>278</v>
      </c>
      <c r="V46" s="148" t="s">
        <v>278</v>
      </c>
      <c r="W46" s="149" t="s">
        <v>497</v>
      </c>
      <c r="X46" s="148"/>
      <c r="Y46" s="156"/>
      <c r="Z46" s="156"/>
      <c r="AA46" s="437"/>
      <c r="AB46" s="504" t="s">
        <v>8</v>
      </c>
      <c r="AC46" s="117"/>
      <c r="AD46" s="117"/>
      <c r="AE46" s="117"/>
      <c r="AF46" s="117"/>
      <c r="AG46" s="117"/>
      <c r="AH46" s="117"/>
      <c r="AI46" s="117"/>
      <c r="AJ46" s="117"/>
      <c r="AK46" s="117"/>
      <c r="AL46" s="117"/>
      <c r="AM46" s="117"/>
      <c r="AN46" s="117"/>
      <c r="AO46" s="117"/>
      <c r="AP46" s="117"/>
      <c r="AQ46" s="117"/>
      <c r="AR46" s="117"/>
      <c r="AS46" s="117"/>
      <c r="AT46" s="117"/>
      <c r="AU46" s="117"/>
      <c r="AV46" s="117"/>
      <c r="AW46" s="117"/>
      <c r="AX46" s="117"/>
      <c r="AY46" s="117"/>
      <c r="AZ46" s="117"/>
      <c r="BA46" s="117"/>
      <c r="BB46" s="117"/>
      <c r="BC46" s="117"/>
      <c r="BD46" s="117"/>
      <c r="BE46" s="117"/>
      <c r="BF46" s="117"/>
      <c r="BG46" s="117"/>
      <c r="BH46" s="117"/>
      <c r="BI46" s="117"/>
      <c r="BJ46" s="117"/>
      <c r="BK46" s="117"/>
      <c r="BL46" s="117"/>
      <c r="BM46" s="117"/>
      <c r="BN46" s="117"/>
      <c r="BO46" s="117"/>
      <c r="BP46" s="117"/>
      <c r="BQ46" s="117"/>
      <c r="BR46" s="117"/>
      <c r="BS46" s="117"/>
      <c r="BT46" s="117"/>
      <c r="BU46" s="117"/>
      <c r="BV46" s="117"/>
      <c r="BW46" s="117"/>
      <c r="BX46" s="117"/>
      <c r="BY46" s="117"/>
      <c r="BZ46" s="117"/>
      <c r="CA46" s="117"/>
      <c r="CB46" s="117"/>
      <c r="CC46" s="117"/>
      <c r="CD46" s="117"/>
      <c r="CE46" s="117"/>
      <c r="CF46" s="117"/>
      <c r="CG46" s="117"/>
      <c r="CH46" s="117"/>
      <c r="CI46" s="97"/>
      <c r="CJ46" s="97"/>
    </row>
    <row r="47" spans="1:88" ht="24" customHeight="1" x14ac:dyDescent="0.45">
      <c r="A47" s="97"/>
      <c r="B47" s="504"/>
      <c r="C47" s="154"/>
      <c r="D47" s="162" t="s">
        <v>400</v>
      </c>
      <c r="E47" s="162"/>
      <c r="F47" s="162"/>
      <c r="G47" s="162"/>
      <c r="H47" s="463" t="s">
        <v>583</v>
      </c>
      <c r="I47" s="463" t="s">
        <v>209</v>
      </c>
      <c r="J47" s="162" t="s">
        <v>400</v>
      </c>
      <c r="K47" s="162" t="s">
        <v>557</v>
      </c>
      <c r="L47" s="162"/>
      <c r="M47" s="162" t="s">
        <v>302</v>
      </c>
      <c r="N47" s="162" t="s">
        <v>593</v>
      </c>
      <c r="O47" s="162" t="s">
        <v>298</v>
      </c>
      <c r="P47" s="162" t="s">
        <v>298</v>
      </c>
      <c r="Q47" s="162" t="s">
        <v>298</v>
      </c>
      <c r="R47" s="162"/>
      <c r="S47" s="162" t="s">
        <v>296</v>
      </c>
      <c r="T47" s="162" t="s">
        <v>290</v>
      </c>
      <c r="U47" s="162" t="s">
        <v>279</v>
      </c>
      <c r="V47" s="162" t="s">
        <v>279</v>
      </c>
      <c r="W47" s="437" t="s">
        <v>498</v>
      </c>
      <c r="X47" s="162"/>
      <c r="Y47" s="156"/>
      <c r="Z47" s="156"/>
      <c r="AA47" s="437"/>
      <c r="AB47" s="504"/>
      <c r="AC47" s="117"/>
      <c r="AD47" s="117"/>
      <c r="AE47" s="117"/>
      <c r="AF47" s="117"/>
      <c r="AG47" s="117"/>
      <c r="AH47" s="117"/>
      <c r="AI47" s="117"/>
      <c r="AJ47" s="117"/>
      <c r="AK47" s="117"/>
      <c r="AL47" s="117"/>
      <c r="AM47" s="117"/>
      <c r="AN47" s="117"/>
      <c r="AO47" s="117"/>
      <c r="AP47" s="117"/>
      <c r="AQ47" s="117"/>
      <c r="AR47" s="117"/>
      <c r="AS47" s="117"/>
      <c r="AT47" s="117"/>
      <c r="AU47" s="117"/>
      <c r="AV47" s="117"/>
      <c r="AW47" s="117"/>
      <c r="AX47" s="117"/>
      <c r="AY47" s="117"/>
      <c r="AZ47" s="117"/>
      <c r="BA47" s="117"/>
      <c r="BB47" s="117"/>
      <c r="BC47" s="117"/>
      <c r="BD47" s="117"/>
      <c r="BE47" s="117"/>
      <c r="BF47" s="117"/>
      <c r="BG47" s="117"/>
      <c r="BH47" s="117"/>
      <c r="BI47" s="117"/>
      <c r="BJ47" s="117"/>
      <c r="BK47" s="117"/>
      <c r="BL47" s="117"/>
      <c r="BM47" s="117"/>
      <c r="BN47" s="117"/>
      <c r="BO47" s="117"/>
      <c r="BP47" s="117"/>
      <c r="BQ47" s="117"/>
      <c r="BR47" s="117"/>
      <c r="BS47" s="117"/>
      <c r="BT47" s="117"/>
      <c r="BU47" s="117"/>
      <c r="BV47" s="117"/>
      <c r="BW47" s="117"/>
      <c r="BX47" s="117"/>
      <c r="BY47" s="117"/>
      <c r="BZ47" s="117"/>
      <c r="CA47" s="117"/>
      <c r="CB47" s="117"/>
      <c r="CC47" s="117"/>
      <c r="CD47" s="117"/>
      <c r="CE47" s="117"/>
      <c r="CF47" s="117"/>
      <c r="CG47" s="117"/>
      <c r="CH47" s="117"/>
      <c r="CI47" s="97"/>
      <c r="CJ47" s="97"/>
    </row>
    <row r="48" spans="1:88" x14ac:dyDescent="0.45">
      <c r="A48" s="98"/>
      <c r="B48" s="504"/>
      <c r="C48" s="150"/>
      <c r="D48" s="151" t="s">
        <v>546</v>
      </c>
      <c r="E48" s="151"/>
      <c r="F48" s="151"/>
      <c r="G48" s="151"/>
      <c r="H48" s="461" t="s">
        <v>338</v>
      </c>
      <c r="I48" s="461" t="s">
        <v>437</v>
      </c>
      <c r="J48" s="151" t="s">
        <v>547</v>
      </c>
      <c r="K48" s="151" t="s">
        <v>558</v>
      </c>
      <c r="L48" s="151"/>
      <c r="M48" s="151" t="s">
        <v>193</v>
      </c>
      <c r="N48" s="151" t="s">
        <v>492</v>
      </c>
      <c r="O48" s="151" t="s">
        <v>388</v>
      </c>
      <c r="P48" s="151" t="s">
        <v>391</v>
      </c>
      <c r="Q48" s="151" t="s">
        <v>336</v>
      </c>
      <c r="R48" s="151"/>
      <c r="S48" s="151" t="s">
        <v>268</v>
      </c>
      <c r="T48" s="151" t="s">
        <v>404</v>
      </c>
      <c r="U48" s="151" t="s">
        <v>416</v>
      </c>
      <c r="V48" s="151" t="s">
        <v>416</v>
      </c>
      <c r="W48" s="151" t="s">
        <v>265</v>
      </c>
      <c r="X48" s="151"/>
      <c r="Y48" s="151"/>
      <c r="Z48" s="151"/>
      <c r="AA48" s="151"/>
      <c r="AB48" s="504"/>
      <c r="AC48" s="164"/>
      <c r="AD48" s="164"/>
      <c r="AE48" s="164"/>
      <c r="AF48" s="164"/>
      <c r="AG48" s="164"/>
      <c r="AH48" s="164"/>
      <c r="AI48" s="164"/>
      <c r="AJ48" s="164"/>
      <c r="AK48" s="164"/>
      <c r="AL48" s="164"/>
      <c r="AM48" s="164"/>
      <c r="AN48" s="164"/>
      <c r="AO48" s="164"/>
      <c r="AP48" s="164"/>
      <c r="AQ48" s="164"/>
      <c r="AR48" s="164"/>
      <c r="AS48" s="164"/>
      <c r="AT48" s="164"/>
      <c r="AU48" s="164"/>
      <c r="AV48" s="164"/>
      <c r="AW48" s="164"/>
      <c r="AX48" s="164"/>
      <c r="AY48" s="164"/>
      <c r="AZ48" s="164"/>
      <c r="BA48" s="164"/>
      <c r="BB48" s="164"/>
      <c r="BC48" s="164"/>
      <c r="BD48" s="164"/>
      <c r="BE48" s="164"/>
      <c r="BF48" s="164"/>
      <c r="BG48" s="164"/>
      <c r="BH48" s="164"/>
      <c r="BI48" s="164"/>
      <c r="BJ48" s="164"/>
      <c r="BK48" s="164"/>
      <c r="BL48" s="164"/>
      <c r="BM48" s="164"/>
      <c r="BN48" s="164"/>
      <c r="BO48" s="164"/>
      <c r="BP48" s="164"/>
      <c r="BQ48" s="164"/>
      <c r="BR48" s="164"/>
      <c r="BS48" s="164"/>
      <c r="BT48" s="164"/>
      <c r="BU48" s="164"/>
      <c r="BV48" s="164"/>
      <c r="BW48" s="164"/>
      <c r="BX48" s="164"/>
      <c r="BY48" s="164"/>
      <c r="BZ48" s="164"/>
      <c r="CA48" s="164"/>
      <c r="CB48" s="164"/>
      <c r="CC48" s="164"/>
      <c r="CD48" s="164"/>
      <c r="CE48" s="164"/>
      <c r="CF48" s="164"/>
      <c r="CG48" s="117"/>
      <c r="CH48" s="117"/>
      <c r="CI48" s="97"/>
      <c r="CJ48" s="97"/>
    </row>
    <row r="49" spans="1:88" ht="24" thickBot="1" x14ac:dyDescent="0.5">
      <c r="A49" s="97"/>
      <c r="B49" s="504"/>
      <c r="C49" s="152" t="s">
        <v>199</v>
      </c>
      <c r="D49" s="153" t="s">
        <v>707</v>
      </c>
      <c r="E49" s="153"/>
      <c r="F49" s="153"/>
      <c r="G49" s="153"/>
      <c r="H49" s="462" t="s">
        <v>600</v>
      </c>
      <c r="I49" s="462" t="s">
        <v>605</v>
      </c>
      <c r="J49" s="153" t="s">
        <v>710</v>
      </c>
      <c r="K49" s="153" t="s">
        <v>274</v>
      </c>
      <c r="L49" s="153"/>
      <c r="M49" s="153" t="s">
        <v>300</v>
      </c>
      <c r="N49" s="153" t="s">
        <v>660</v>
      </c>
      <c r="O49" s="153" t="s">
        <v>288</v>
      </c>
      <c r="P49" s="153" t="s">
        <v>463</v>
      </c>
      <c r="Q49" s="153" t="s">
        <v>438</v>
      </c>
      <c r="R49" s="153"/>
      <c r="S49" s="153" t="s">
        <v>297</v>
      </c>
      <c r="T49" s="488" t="s">
        <v>379</v>
      </c>
      <c r="U49" s="153" t="s">
        <v>480</v>
      </c>
      <c r="V49" s="153" t="s">
        <v>480</v>
      </c>
      <c r="W49" s="153" t="s">
        <v>742</v>
      </c>
      <c r="X49" s="442"/>
      <c r="Y49" s="153"/>
      <c r="Z49" s="153"/>
      <c r="AA49" s="446"/>
      <c r="AB49" s="504"/>
      <c r="AC49" s="117"/>
      <c r="AD49" s="117"/>
      <c r="AE49" s="117"/>
      <c r="AF49" s="117"/>
      <c r="AG49" s="117"/>
      <c r="AH49" s="117"/>
      <c r="AI49" s="117"/>
      <c r="AJ49" s="117"/>
      <c r="AK49" s="117"/>
      <c r="AL49" s="117"/>
      <c r="AM49" s="117"/>
      <c r="AN49" s="117"/>
      <c r="AO49" s="117"/>
      <c r="AP49" s="117"/>
      <c r="AQ49" s="117"/>
      <c r="AR49" s="117"/>
      <c r="AS49" s="117"/>
      <c r="AT49" s="117"/>
      <c r="AU49" s="117"/>
      <c r="AV49" s="117"/>
      <c r="AW49" s="117"/>
      <c r="AX49" s="117"/>
      <c r="AY49" s="117"/>
      <c r="AZ49" s="117"/>
      <c r="BA49" s="117"/>
      <c r="BB49" s="117"/>
      <c r="BC49" s="117"/>
      <c r="BD49" s="117"/>
      <c r="BE49" s="117"/>
      <c r="BF49" s="117"/>
      <c r="BG49" s="117"/>
      <c r="BH49" s="117"/>
      <c r="BI49" s="117"/>
      <c r="BJ49" s="117"/>
      <c r="BK49" s="117"/>
      <c r="BL49" s="117"/>
      <c r="BM49" s="117"/>
      <c r="BN49" s="117"/>
      <c r="BO49" s="117"/>
      <c r="BP49" s="117"/>
      <c r="BQ49" s="117"/>
      <c r="BR49" s="117"/>
      <c r="BS49" s="117"/>
      <c r="BT49" s="117"/>
      <c r="BU49" s="117"/>
      <c r="BV49" s="117"/>
      <c r="BW49" s="117"/>
      <c r="BX49" s="117"/>
      <c r="BY49" s="117"/>
      <c r="BZ49" s="117"/>
      <c r="CA49" s="117"/>
      <c r="CB49" s="117"/>
      <c r="CC49" s="117"/>
      <c r="CD49" s="117"/>
      <c r="CE49" s="117"/>
      <c r="CF49" s="117"/>
      <c r="CG49" s="117"/>
      <c r="CH49" s="117"/>
      <c r="CI49" s="97"/>
      <c r="CJ49" s="97"/>
    </row>
    <row r="50" spans="1:88" x14ac:dyDescent="0.45">
      <c r="A50" s="97"/>
      <c r="B50" s="504"/>
      <c r="C50" s="154" t="s">
        <v>199</v>
      </c>
      <c r="D50" s="148"/>
      <c r="E50" s="148" t="s">
        <v>446</v>
      </c>
      <c r="F50" s="148" t="s">
        <v>247</v>
      </c>
      <c r="G50" s="148"/>
      <c r="H50" s="463" t="s">
        <v>587</v>
      </c>
      <c r="I50" s="463" t="s">
        <v>254</v>
      </c>
      <c r="J50" s="156" t="s">
        <v>524</v>
      </c>
      <c r="K50" s="156" t="s">
        <v>462</v>
      </c>
      <c r="L50" s="156"/>
      <c r="M50" s="156" t="s">
        <v>303</v>
      </c>
      <c r="N50" s="156" t="s">
        <v>686</v>
      </c>
      <c r="O50" s="156" t="s">
        <v>319</v>
      </c>
      <c r="P50" s="156" t="s">
        <v>319</v>
      </c>
      <c r="Q50" s="156"/>
      <c r="R50" s="156" t="s">
        <v>468</v>
      </c>
      <c r="S50" s="156" t="s">
        <v>278</v>
      </c>
      <c r="T50" s="156" t="s">
        <v>291</v>
      </c>
      <c r="U50" s="156" t="s">
        <v>286</v>
      </c>
      <c r="V50" s="156" t="s">
        <v>322</v>
      </c>
      <c r="W50" s="149" t="s">
        <v>506</v>
      </c>
      <c r="X50" s="148" t="s">
        <v>507</v>
      </c>
      <c r="Y50" s="148" t="s">
        <v>647</v>
      </c>
      <c r="Z50" s="156"/>
      <c r="AA50" s="437"/>
      <c r="AB50" s="504"/>
      <c r="AC50" s="117"/>
      <c r="AD50" s="117"/>
      <c r="AE50" s="117"/>
      <c r="AF50" s="117"/>
      <c r="AG50" s="117"/>
      <c r="AH50" s="117"/>
      <c r="AI50" s="117"/>
      <c r="AJ50" s="117"/>
      <c r="AK50" s="117"/>
      <c r="AL50" s="117"/>
      <c r="AM50" s="117"/>
      <c r="AN50" s="117"/>
      <c r="AO50" s="117"/>
      <c r="AP50" s="117"/>
      <c r="AQ50" s="117"/>
      <c r="AR50" s="117"/>
      <c r="AS50" s="117"/>
      <c r="AT50" s="117"/>
      <c r="AU50" s="117"/>
      <c r="AV50" s="117"/>
      <c r="AW50" s="117"/>
      <c r="AX50" s="117"/>
      <c r="AY50" s="117"/>
      <c r="AZ50" s="117"/>
      <c r="BA50" s="117"/>
      <c r="BB50" s="117"/>
      <c r="BC50" s="117"/>
      <c r="BD50" s="117"/>
      <c r="BE50" s="117"/>
      <c r="BF50" s="117"/>
      <c r="BG50" s="117"/>
      <c r="BH50" s="117"/>
      <c r="BI50" s="117"/>
      <c r="BJ50" s="117"/>
      <c r="BK50" s="117"/>
      <c r="BL50" s="117"/>
      <c r="BM50" s="117"/>
      <c r="BN50" s="117"/>
      <c r="BO50" s="117"/>
      <c r="BP50" s="117"/>
      <c r="BQ50" s="117"/>
      <c r="BR50" s="117"/>
      <c r="BS50" s="117"/>
      <c r="BT50" s="117"/>
      <c r="BU50" s="117"/>
      <c r="BV50" s="117"/>
      <c r="BW50" s="117"/>
      <c r="BX50" s="117"/>
      <c r="BY50" s="117"/>
      <c r="BZ50" s="117"/>
      <c r="CA50" s="117"/>
      <c r="CB50" s="117"/>
      <c r="CC50" s="117"/>
      <c r="CD50" s="117"/>
      <c r="CE50" s="117"/>
      <c r="CF50" s="117"/>
      <c r="CG50" s="117"/>
      <c r="CH50" s="117"/>
      <c r="CI50" s="97"/>
      <c r="CJ50" s="97"/>
    </row>
    <row r="51" spans="1:88" x14ac:dyDescent="0.45">
      <c r="A51" s="97"/>
      <c r="B51" s="504"/>
      <c r="C51" s="154"/>
      <c r="D51" s="162"/>
      <c r="E51" s="162" t="s">
        <v>447</v>
      </c>
      <c r="F51" s="162" t="s">
        <v>248</v>
      </c>
      <c r="G51" s="162"/>
      <c r="H51" s="463" t="s">
        <v>376</v>
      </c>
      <c r="I51" s="463" t="s">
        <v>212</v>
      </c>
      <c r="J51" s="156" t="s">
        <v>525</v>
      </c>
      <c r="K51" s="156" t="s">
        <v>604</v>
      </c>
      <c r="L51" s="156"/>
      <c r="M51" s="156" t="s">
        <v>266</v>
      </c>
      <c r="N51" s="156" t="s">
        <v>687</v>
      </c>
      <c r="O51" s="156" t="s">
        <v>320</v>
      </c>
      <c r="P51" s="156" t="s">
        <v>320</v>
      </c>
      <c r="Q51" s="156"/>
      <c r="R51" s="156" t="s">
        <v>469</v>
      </c>
      <c r="S51" s="156" t="s">
        <v>279</v>
      </c>
      <c r="T51" s="156" t="s">
        <v>292</v>
      </c>
      <c r="U51" s="156" t="s">
        <v>287</v>
      </c>
      <c r="V51" s="156" t="s">
        <v>323</v>
      </c>
      <c r="W51" s="437" t="s">
        <v>505</v>
      </c>
      <c r="X51" s="437" t="s">
        <v>505</v>
      </c>
      <c r="Y51" s="162" t="s">
        <v>510</v>
      </c>
      <c r="Z51" s="156"/>
      <c r="AA51" s="437"/>
      <c r="AB51" s="504"/>
      <c r="AC51" s="117"/>
      <c r="AD51" s="117"/>
      <c r="AE51" s="117"/>
      <c r="AF51" s="117"/>
      <c r="AG51" s="117"/>
      <c r="AH51" s="117"/>
      <c r="AI51" s="117"/>
      <c r="AJ51" s="117"/>
      <c r="AK51" s="117"/>
      <c r="AL51" s="117"/>
      <c r="AM51" s="117"/>
      <c r="AN51" s="117"/>
      <c r="AO51" s="117"/>
      <c r="AP51" s="117"/>
      <c r="AQ51" s="117"/>
      <c r="AR51" s="117"/>
      <c r="AS51" s="117"/>
      <c r="AT51" s="117"/>
      <c r="AU51" s="117"/>
      <c r="AV51" s="117"/>
      <c r="AW51" s="117"/>
      <c r="AX51" s="117"/>
      <c r="AY51" s="117"/>
      <c r="AZ51" s="117"/>
      <c r="BA51" s="117"/>
      <c r="BB51" s="117"/>
      <c r="BC51" s="117"/>
      <c r="BD51" s="117"/>
      <c r="BE51" s="117"/>
      <c r="BF51" s="117"/>
      <c r="BG51" s="117"/>
      <c r="BH51" s="117"/>
      <c r="BI51" s="117"/>
      <c r="BJ51" s="117"/>
      <c r="BK51" s="117"/>
      <c r="BL51" s="117"/>
      <c r="BM51" s="117"/>
      <c r="BN51" s="117"/>
      <c r="BO51" s="117"/>
      <c r="BP51" s="117"/>
      <c r="BQ51" s="117"/>
      <c r="BR51" s="117"/>
      <c r="BS51" s="117"/>
      <c r="BT51" s="117"/>
      <c r="BU51" s="117"/>
      <c r="BV51" s="117"/>
      <c r="BW51" s="117"/>
      <c r="BX51" s="117"/>
      <c r="BY51" s="117"/>
      <c r="BZ51" s="117"/>
      <c r="CA51" s="117"/>
      <c r="CB51" s="117"/>
      <c r="CC51" s="117"/>
      <c r="CD51" s="117"/>
      <c r="CE51" s="117"/>
      <c r="CF51" s="117"/>
      <c r="CG51" s="117"/>
      <c r="CH51" s="117"/>
      <c r="CI51" s="97"/>
      <c r="CJ51" s="97"/>
    </row>
    <row r="52" spans="1:88" x14ac:dyDescent="0.45">
      <c r="A52" s="97"/>
      <c r="B52" s="504"/>
      <c r="C52" s="157"/>
      <c r="D52" s="151"/>
      <c r="E52" s="151" t="s">
        <v>396</v>
      </c>
      <c r="F52" s="151" t="s">
        <v>262</v>
      </c>
      <c r="G52" s="151"/>
      <c r="H52" s="461" t="s">
        <v>558</v>
      </c>
      <c r="I52" s="461" t="s">
        <v>371</v>
      </c>
      <c r="J52" s="151" t="s">
        <v>193</v>
      </c>
      <c r="K52" s="151" t="s">
        <v>351</v>
      </c>
      <c r="L52" s="151"/>
      <c r="M52" s="151" t="s">
        <v>22</v>
      </c>
      <c r="N52" s="151" t="s">
        <v>492</v>
      </c>
      <c r="O52" s="151" t="s">
        <v>388</v>
      </c>
      <c r="P52" s="151" t="s">
        <v>409</v>
      </c>
      <c r="Q52" s="151"/>
      <c r="R52" s="151" t="s">
        <v>437</v>
      </c>
      <c r="S52" s="151" t="s">
        <v>372</v>
      </c>
      <c r="T52" s="151" t="s">
        <v>559</v>
      </c>
      <c r="U52" s="151" t="s">
        <v>478</v>
      </c>
      <c r="V52" s="151" t="s">
        <v>370</v>
      </c>
      <c r="W52" s="151" t="s">
        <v>532</v>
      </c>
      <c r="X52" s="151" t="s">
        <v>532</v>
      </c>
      <c r="Y52" s="151" t="s">
        <v>268</v>
      </c>
      <c r="Z52" s="151"/>
      <c r="AA52" s="151"/>
      <c r="AB52" s="504"/>
      <c r="AC52" s="117"/>
      <c r="AD52" s="117"/>
      <c r="AE52" s="117"/>
      <c r="AF52" s="117"/>
      <c r="AG52" s="117"/>
      <c r="AH52" s="117"/>
      <c r="AI52" s="117"/>
      <c r="AJ52" s="117"/>
      <c r="AK52" s="117"/>
      <c r="AL52" s="117"/>
      <c r="AM52" s="117"/>
      <c r="AN52" s="117"/>
      <c r="AO52" s="117"/>
      <c r="AP52" s="117"/>
      <c r="AQ52" s="117"/>
      <c r="AR52" s="117"/>
      <c r="AS52" s="117"/>
      <c r="AT52" s="117"/>
      <c r="AU52" s="117"/>
      <c r="AV52" s="117"/>
      <c r="AW52" s="117"/>
      <c r="AX52" s="117"/>
      <c r="AY52" s="117"/>
      <c r="AZ52" s="117"/>
      <c r="BA52" s="117"/>
      <c r="BB52" s="117"/>
      <c r="BC52" s="117"/>
      <c r="BD52" s="117"/>
      <c r="BE52" s="117"/>
      <c r="BF52" s="117"/>
      <c r="BG52" s="117"/>
      <c r="BH52" s="117"/>
      <c r="BI52" s="117"/>
      <c r="BJ52" s="117"/>
      <c r="BK52" s="117"/>
      <c r="BL52" s="117"/>
      <c r="BM52" s="117"/>
      <c r="BN52" s="117"/>
      <c r="BO52" s="117"/>
      <c r="BP52" s="117"/>
      <c r="BQ52" s="117"/>
      <c r="BR52" s="117"/>
      <c r="BS52" s="117"/>
      <c r="BT52" s="117"/>
      <c r="BU52" s="117"/>
      <c r="BV52" s="117"/>
      <c r="BW52" s="117"/>
      <c r="BX52" s="117"/>
      <c r="BY52" s="117"/>
      <c r="BZ52" s="117"/>
      <c r="CA52" s="117"/>
      <c r="CB52" s="117"/>
      <c r="CC52" s="117"/>
      <c r="CD52" s="117"/>
      <c r="CE52" s="117"/>
      <c r="CF52" s="117"/>
      <c r="CG52" s="117"/>
      <c r="CH52" s="117"/>
      <c r="CI52" s="97"/>
      <c r="CJ52" s="97"/>
    </row>
    <row r="53" spans="1:88" ht="24" thickBot="1" x14ac:dyDescent="0.5">
      <c r="A53" s="97"/>
      <c r="B53" s="504"/>
      <c r="C53" s="152" t="s">
        <v>196</v>
      </c>
      <c r="D53" s="153"/>
      <c r="E53" s="153" t="s">
        <v>448</v>
      </c>
      <c r="F53" s="153" t="s">
        <v>249</v>
      </c>
      <c r="G53" s="153"/>
      <c r="H53" s="462" t="s">
        <v>458</v>
      </c>
      <c r="I53" s="462" t="s">
        <v>211</v>
      </c>
      <c r="J53" s="153" t="s">
        <v>401</v>
      </c>
      <c r="K53" s="153" t="s">
        <v>603</v>
      </c>
      <c r="L53" s="153"/>
      <c r="M53" s="153" t="s">
        <v>190</v>
      </c>
      <c r="N53" s="153" t="s">
        <v>688</v>
      </c>
      <c r="O53" s="153" t="s">
        <v>308</v>
      </c>
      <c r="P53" s="153" t="s">
        <v>734</v>
      </c>
      <c r="Q53" s="153"/>
      <c r="R53" s="153" t="s">
        <v>377</v>
      </c>
      <c r="S53" s="153" t="s">
        <v>119</v>
      </c>
      <c r="T53" s="153" t="s">
        <v>484</v>
      </c>
      <c r="U53" s="153" t="s">
        <v>374</v>
      </c>
      <c r="V53" s="153" t="s">
        <v>746</v>
      </c>
      <c r="W53" s="153" t="s">
        <v>413</v>
      </c>
      <c r="X53" s="153" t="s">
        <v>413</v>
      </c>
      <c r="Y53" s="153" t="s">
        <v>648</v>
      </c>
      <c r="Z53" s="153"/>
      <c r="AA53" s="446"/>
      <c r="AB53" s="504"/>
      <c r="AC53" s="117"/>
      <c r="AD53" s="117"/>
      <c r="AE53" s="117"/>
      <c r="AF53" s="117"/>
      <c r="AG53" s="117"/>
      <c r="AH53" s="117"/>
      <c r="AI53" s="117"/>
      <c r="AJ53" s="117"/>
      <c r="AK53" s="117"/>
      <c r="AL53" s="117"/>
      <c r="AM53" s="117"/>
      <c r="AN53" s="117"/>
      <c r="AO53" s="117"/>
      <c r="AP53" s="117"/>
      <c r="AQ53" s="117"/>
      <c r="AR53" s="117"/>
      <c r="AS53" s="117"/>
      <c r="AT53" s="117"/>
      <c r="AU53" s="117"/>
      <c r="AV53" s="117"/>
      <c r="AW53" s="117"/>
      <c r="AX53" s="117"/>
      <c r="AY53" s="117"/>
      <c r="AZ53" s="117"/>
      <c r="BA53" s="117"/>
      <c r="BB53" s="117"/>
      <c r="BC53" s="117"/>
      <c r="BD53" s="117"/>
      <c r="BE53" s="117"/>
      <c r="BF53" s="117"/>
      <c r="BG53" s="117"/>
      <c r="BH53" s="117"/>
      <c r="BI53" s="117"/>
      <c r="BJ53" s="117"/>
      <c r="BK53" s="117"/>
      <c r="BL53" s="117"/>
      <c r="BM53" s="117"/>
      <c r="BN53" s="117"/>
      <c r="BO53" s="117"/>
      <c r="BP53" s="117"/>
      <c r="BQ53" s="117"/>
      <c r="BR53" s="117"/>
      <c r="BS53" s="117"/>
      <c r="BT53" s="117"/>
      <c r="BU53" s="117"/>
      <c r="BV53" s="117"/>
      <c r="BW53" s="117"/>
      <c r="BX53" s="117"/>
      <c r="BY53" s="117"/>
      <c r="BZ53" s="117"/>
      <c r="CA53" s="117"/>
      <c r="CB53" s="117"/>
      <c r="CC53" s="117"/>
      <c r="CD53" s="117"/>
      <c r="CE53" s="117"/>
      <c r="CF53" s="117"/>
      <c r="CG53" s="117"/>
      <c r="CH53" s="117"/>
      <c r="CI53" s="97"/>
      <c r="CJ53" s="97"/>
    </row>
    <row r="54" spans="1:88" ht="24.75" customHeight="1" x14ac:dyDescent="0.45">
      <c r="A54" s="97"/>
      <c r="B54" s="504"/>
      <c r="C54" s="220"/>
      <c r="D54" s="221"/>
      <c r="E54" s="221"/>
      <c r="F54" s="221"/>
      <c r="G54" s="221"/>
      <c r="H54" s="471"/>
      <c r="I54" s="471"/>
      <c r="J54" s="221"/>
      <c r="K54" s="221"/>
      <c r="L54" s="221"/>
      <c r="M54" s="221"/>
      <c r="N54" s="221"/>
      <c r="O54" s="221"/>
      <c r="P54" s="221"/>
      <c r="Q54" s="221"/>
      <c r="R54" s="221"/>
      <c r="S54" s="221"/>
      <c r="T54" s="221"/>
      <c r="U54" s="221"/>
      <c r="V54" s="221"/>
      <c r="W54" s="221"/>
      <c r="X54" s="223"/>
      <c r="Y54" s="223"/>
      <c r="Z54" s="223"/>
      <c r="AA54" s="223"/>
      <c r="AB54" s="504"/>
      <c r="AC54" s="117"/>
      <c r="AD54" s="117"/>
      <c r="AE54" s="117"/>
      <c r="AF54" s="117"/>
      <c r="AG54" s="117"/>
      <c r="AH54" s="117"/>
      <c r="AI54" s="117"/>
      <c r="AJ54" s="117"/>
      <c r="AK54" s="117"/>
      <c r="AL54" s="117"/>
      <c r="AM54" s="117"/>
      <c r="AN54" s="117"/>
      <c r="AO54" s="117"/>
      <c r="AP54" s="117"/>
      <c r="AQ54" s="117"/>
      <c r="AR54" s="117"/>
      <c r="AS54" s="117"/>
      <c r="AT54" s="117"/>
      <c r="AU54" s="117"/>
      <c r="AV54" s="117"/>
      <c r="AW54" s="117"/>
      <c r="AX54" s="117"/>
      <c r="AY54" s="117"/>
      <c r="AZ54" s="117"/>
      <c r="BA54" s="117"/>
      <c r="BB54" s="117"/>
      <c r="BC54" s="117"/>
      <c r="BD54" s="117"/>
      <c r="BE54" s="117"/>
      <c r="BF54" s="117"/>
      <c r="BG54" s="117"/>
      <c r="BH54" s="117"/>
      <c r="BI54" s="117"/>
      <c r="BJ54" s="117"/>
      <c r="BK54" s="117"/>
      <c r="BL54" s="117"/>
      <c r="BM54" s="117"/>
      <c r="BN54" s="117"/>
      <c r="BO54" s="117"/>
      <c r="BP54" s="117"/>
      <c r="BQ54" s="117"/>
      <c r="BR54" s="117"/>
      <c r="BS54" s="117"/>
      <c r="BT54" s="117"/>
      <c r="BU54" s="117"/>
      <c r="BV54" s="117"/>
      <c r="BW54" s="117"/>
      <c r="BX54" s="117"/>
      <c r="BY54" s="117"/>
      <c r="BZ54" s="117"/>
      <c r="CA54" s="117"/>
      <c r="CB54" s="117"/>
      <c r="CC54" s="117"/>
      <c r="CD54" s="117"/>
      <c r="CE54" s="117"/>
      <c r="CF54" s="117"/>
      <c r="CG54" s="117"/>
      <c r="CH54" s="117"/>
      <c r="CI54" s="97"/>
      <c r="CJ54" s="97"/>
    </row>
    <row r="55" spans="1:88" ht="27.75" customHeight="1" x14ac:dyDescent="0.45">
      <c r="A55" s="97"/>
      <c r="B55" s="504"/>
      <c r="C55" s="222"/>
      <c r="D55" s="223"/>
      <c r="E55" s="223"/>
      <c r="F55" s="223"/>
      <c r="G55" s="223"/>
      <c r="H55" s="472"/>
      <c r="I55" s="472"/>
      <c r="J55" s="223"/>
      <c r="K55" s="223"/>
      <c r="L55" s="223"/>
      <c r="M55" s="223"/>
      <c r="N55" s="223"/>
      <c r="O55" s="223"/>
      <c r="P55" s="223"/>
      <c r="Q55" s="223"/>
      <c r="R55" s="223"/>
      <c r="S55" s="223"/>
      <c r="T55" s="223"/>
      <c r="U55" s="223"/>
      <c r="V55" s="223"/>
      <c r="W55" s="223"/>
      <c r="X55" s="223"/>
      <c r="Y55" s="223"/>
      <c r="Z55" s="223"/>
      <c r="AA55" s="223"/>
      <c r="AB55" s="504"/>
      <c r="AC55" s="117"/>
      <c r="AD55" s="117"/>
      <c r="AE55" s="117"/>
      <c r="AF55" s="117"/>
      <c r="AG55" s="117"/>
      <c r="AH55" s="117"/>
      <c r="AI55" s="117"/>
      <c r="AJ55" s="117"/>
      <c r="AK55" s="117"/>
      <c r="AL55" s="117"/>
      <c r="AM55" s="117"/>
      <c r="AN55" s="117"/>
      <c r="AO55" s="117"/>
      <c r="AP55" s="117"/>
      <c r="AQ55" s="117"/>
      <c r="AR55" s="117"/>
      <c r="AS55" s="117"/>
      <c r="AT55" s="117"/>
      <c r="AU55" s="117"/>
      <c r="AV55" s="117"/>
      <c r="AW55" s="117"/>
      <c r="AX55" s="117"/>
      <c r="AY55" s="117"/>
      <c r="AZ55" s="117"/>
      <c r="BA55" s="117"/>
      <c r="BB55" s="117"/>
      <c r="BC55" s="117"/>
      <c r="BD55" s="117"/>
      <c r="BE55" s="117"/>
      <c r="BF55" s="117"/>
      <c r="BG55" s="117"/>
      <c r="BH55" s="117"/>
      <c r="BI55" s="117"/>
      <c r="BJ55" s="117"/>
      <c r="BK55" s="117"/>
      <c r="BL55" s="117"/>
      <c r="BM55" s="117"/>
      <c r="BN55" s="117"/>
      <c r="BO55" s="117"/>
      <c r="BP55" s="117"/>
      <c r="BQ55" s="117"/>
      <c r="BR55" s="117"/>
      <c r="BS55" s="117"/>
      <c r="BT55" s="117"/>
      <c r="BU55" s="117"/>
      <c r="BV55" s="117"/>
      <c r="BW55" s="117"/>
      <c r="BX55" s="117"/>
      <c r="BY55" s="117"/>
      <c r="BZ55" s="117"/>
      <c r="CA55" s="117"/>
      <c r="CB55" s="117"/>
      <c r="CC55" s="117"/>
      <c r="CD55" s="117"/>
      <c r="CE55" s="117"/>
      <c r="CF55" s="117"/>
      <c r="CG55" s="117"/>
      <c r="CH55" s="117"/>
      <c r="CI55" s="97"/>
      <c r="CJ55" s="97"/>
    </row>
    <row r="56" spans="1:88" ht="27.75" customHeight="1" thickBot="1" x14ac:dyDescent="0.5">
      <c r="A56" s="97"/>
      <c r="B56" s="504"/>
      <c r="C56" s="224"/>
      <c r="D56" s="225"/>
      <c r="E56" s="225"/>
      <c r="F56" s="225"/>
      <c r="G56" s="225"/>
      <c r="H56" s="473"/>
      <c r="I56" s="473"/>
      <c r="J56" s="225"/>
      <c r="K56" s="225"/>
      <c r="L56" s="225"/>
      <c r="M56" s="225"/>
      <c r="N56" s="225"/>
      <c r="O56" s="225"/>
      <c r="P56" s="225"/>
      <c r="Q56" s="225"/>
      <c r="R56" s="225"/>
      <c r="S56" s="225"/>
      <c r="T56" s="225"/>
      <c r="U56" s="225"/>
      <c r="V56" s="225"/>
      <c r="W56" s="225"/>
      <c r="X56" s="223"/>
      <c r="Y56" s="223"/>
      <c r="Z56" s="223"/>
      <c r="AA56" s="223"/>
      <c r="AB56" s="504"/>
      <c r="AC56" s="117"/>
      <c r="AD56" s="117"/>
      <c r="AE56" s="117"/>
      <c r="AF56" s="117"/>
      <c r="AG56" s="117"/>
      <c r="AH56" s="117"/>
      <c r="AI56" s="117"/>
      <c r="AJ56" s="117"/>
      <c r="AK56" s="117"/>
      <c r="AL56" s="117"/>
      <c r="AM56" s="117"/>
      <c r="AN56" s="117"/>
      <c r="AO56" s="117"/>
      <c r="AP56" s="117"/>
      <c r="AQ56" s="117"/>
      <c r="AR56" s="117"/>
      <c r="AS56" s="117"/>
      <c r="AT56" s="117"/>
      <c r="AU56" s="117"/>
      <c r="AV56" s="117"/>
      <c r="AW56" s="117"/>
      <c r="AX56" s="117"/>
      <c r="AY56" s="117"/>
      <c r="AZ56" s="117"/>
      <c r="BA56" s="117"/>
      <c r="BB56" s="117"/>
      <c r="BC56" s="117"/>
      <c r="BD56" s="117"/>
      <c r="BE56" s="117"/>
      <c r="BF56" s="117"/>
      <c r="BG56" s="117"/>
      <c r="BH56" s="117"/>
      <c r="BI56" s="117"/>
      <c r="BJ56" s="117"/>
      <c r="BK56" s="117"/>
      <c r="BL56" s="117"/>
      <c r="BM56" s="117"/>
      <c r="BN56" s="117"/>
      <c r="BO56" s="117"/>
      <c r="BP56" s="117"/>
      <c r="BQ56" s="117"/>
      <c r="BR56" s="117"/>
      <c r="BS56" s="117"/>
      <c r="BT56" s="117"/>
      <c r="BU56" s="117"/>
      <c r="BV56" s="117"/>
      <c r="BW56" s="117"/>
      <c r="BX56" s="117"/>
      <c r="BY56" s="117"/>
      <c r="BZ56" s="117"/>
      <c r="CA56" s="117"/>
      <c r="CB56" s="117"/>
      <c r="CC56" s="117"/>
      <c r="CD56" s="117"/>
      <c r="CE56" s="117"/>
      <c r="CF56" s="117"/>
      <c r="CG56" s="117"/>
      <c r="CH56" s="117"/>
      <c r="CI56" s="97"/>
      <c r="CJ56" s="97"/>
    </row>
    <row r="57" spans="1:88" x14ac:dyDescent="0.45">
      <c r="A57" s="97"/>
      <c r="B57" s="504"/>
      <c r="C57" s="158" t="s">
        <v>197</v>
      </c>
      <c r="D57" s="148" t="s">
        <v>228</v>
      </c>
      <c r="E57" s="148"/>
      <c r="F57" s="148"/>
      <c r="G57" s="148"/>
      <c r="H57" s="463" t="s">
        <v>588</v>
      </c>
      <c r="I57" s="463" t="s">
        <v>253</v>
      </c>
      <c r="J57" s="148"/>
      <c r="K57" s="162"/>
      <c r="L57" s="156" t="s">
        <v>574</v>
      </c>
      <c r="M57" s="156" t="s">
        <v>304</v>
      </c>
      <c r="N57" s="156" t="s">
        <v>304</v>
      </c>
      <c r="O57" s="156" t="s">
        <v>317</v>
      </c>
      <c r="P57" s="156" t="s">
        <v>317</v>
      </c>
      <c r="Q57" s="156" t="s">
        <v>317</v>
      </c>
      <c r="R57" s="156" t="s">
        <v>317</v>
      </c>
      <c r="S57" s="156" t="s">
        <v>284</v>
      </c>
      <c r="T57" s="156" t="s">
        <v>722</v>
      </c>
      <c r="U57" s="156"/>
      <c r="V57" s="156" t="s">
        <v>489</v>
      </c>
      <c r="W57" s="162" t="s">
        <v>509</v>
      </c>
      <c r="X57" s="148" t="s">
        <v>539</v>
      </c>
      <c r="Y57" s="156"/>
      <c r="Z57" s="156"/>
      <c r="AA57" s="162"/>
      <c r="AB57" s="504"/>
      <c r="AC57" s="117"/>
      <c r="AD57" s="117"/>
      <c r="AE57" s="117"/>
      <c r="AF57" s="117"/>
      <c r="AG57" s="117"/>
      <c r="AH57" s="117"/>
      <c r="AI57" s="117"/>
      <c r="AJ57" s="117"/>
      <c r="AK57" s="117"/>
      <c r="AL57" s="117"/>
      <c r="AM57" s="117"/>
      <c r="AN57" s="117"/>
      <c r="AO57" s="117"/>
      <c r="AP57" s="117"/>
      <c r="AQ57" s="117"/>
      <c r="AR57" s="117"/>
      <c r="AS57" s="117"/>
      <c r="AT57" s="117"/>
      <c r="AU57" s="117"/>
      <c r="AV57" s="117"/>
      <c r="AW57" s="117"/>
      <c r="AX57" s="117"/>
      <c r="AY57" s="117"/>
      <c r="AZ57" s="117"/>
      <c r="BA57" s="117"/>
      <c r="BB57" s="117"/>
      <c r="BC57" s="117"/>
      <c r="BD57" s="117"/>
      <c r="BE57" s="117"/>
      <c r="BF57" s="117"/>
      <c r="BG57" s="117"/>
      <c r="BH57" s="117"/>
      <c r="BI57" s="117"/>
      <c r="BJ57" s="117"/>
      <c r="BK57" s="117"/>
      <c r="BL57" s="117"/>
      <c r="BM57" s="117"/>
      <c r="BN57" s="117"/>
      <c r="BO57" s="117"/>
      <c r="BP57" s="117"/>
      <c r="BQ57" s="117"/>
      <c r="BR57" s="117"/>
      <c r="BS57" s="117"/>
      <c r="BT57" s="117"/>
      <c r="BU57" s="117"/>
      <c r="BV57" s="117"/>
      <c r="BW57" s="117"/>
      <c r="BX57" s="117"/>
      <c r="BY57" s="117"/>
      <c r="BZ57" s="117"/>
      <c r="CA57" s="117"/>
      <c r="CB57" s="117"/>
      <c r="CC57" s="117"/>
      <c r="CD57" s="117"/>
      <c r="CE57" s="117"/>
      <c r="CF57" s="117"/>
      <c r="CG57" s="117"/>
      <c r="CH57" s="117"/>
      <c r="CI57" s="97"/>
      <c r="CJ57" s="97"/>
    </row>
    <row r="58" spans="1:88" x14ac:dyDescent="0.45">
      <c r="A58" s="97"/>
      <c r="B58" s="504"/>
      <c r="C58" s="438"/>
      <c r="D58" s="162" t="s">
        <v>229</v>
      </c>
      <c r="E58" s="162"/>
      <c r="F58" s="162"/>
      <c r="G58" s="162"/>
      <c r="H58" s="463" t="s">
        <v>589</v>
      </c>
      <c r="I58" s="463" t="s">
        <v>209</v>
      </c>
      <c r="J58" s="162"/>
      <c r="K58" s="162"/>
      <c r="L58" s="156" t="s">
        <v>575</v>
      </c>
      <c r="M58" s="156" t="s">
        <v>305</v>
      </c>
      <c r="N58" s="156" t="s">
        <v>305</v>
      </c>
      <c r="O58" s="156" t="s">
        <v>318</v>
      </c>
      <c r="P58" s="156" t="s">
        <v>318</v>
      </c>
      <c r="Q58" s="156" t="s">
        <v>318</v>
      </c>
      <c r="R58" s="156" t="s">
        <v>318</v>
      </c>
      <c r="S58" s="156" t="s">
        <v>285</v>
      </c>
      <c r="T58" s="156" t="s">
        <v>280</v>
      </c>
      <c r="U58" s="156"/>
      <c r="V58" s="156" t="s">
        <v>490</v>
      </c>
      <c r="W58" s="162" t="s">
        <v>510</v>
      </c>
      <c r="X58" s="162" t="s">
        <v>540</v>
      </c>
      <c r="Y58" s="156"/>
      <c r="Z58" s="156"/>
      <c r="AA58" s="162"/>
      <c r="AB58" s="504"/>
      <c r="AC58" s="117"/>
      <c r="AD58" s="117"/>
      <c r="AE58" s="117"/>
      <c r="AF58" s="117"/>
      <c r="AG58" s="117"/>
      <c r="AH58" s="117"/>
      <c r="AI58" s="117"/>
      <c r="AJ58" s="117"/>
      <c r="AK58" s="117"/>
      <c r="AL58" s="117"/>
      <c r="AM58" s="117"/>
      <c r="AN58" s="117"/>
      <c r="AO58" s="117"/>
      <c r="AP58" s="117"/>
      <c r="AQ58" s="117"/>
      <c r="AR58" s="117"/>
      <c r="AS58" s="117"/>
      <c r="AT58" s="117"/>
      <c r="AU58" s="117"/>
      <c r="AV58" s="117"/>
      <c r="AW58" s="117"/>
      <c r="AX58" s="117"/>
      <c r="AY58" s="117"/>
      <c r="AZ58" s="117"/>
      <c r="BA58" s="117"/>
      <c r="BB58" s="117"/>
      <c r="BC58" s="117"/>
      <c r="BD58" s="117"/>
      <c r="BE58" s="117"/>
      <c r="BF58" s="117"/>
      <c r="BG58" s="117"/>
      <c r="BH58" s="117"/>
      <c r="BI58" s="117"/>
      <c r="BJ58" s="117"/>
      <c r="BK58" s="117"/>
      <c r="BL58" s="117"/>
      <c r="BM58" s="117"/>
      <c r="BN58" s="117"/>
      <c r="BO58" s="117"/>
      <c r="BP58" s="117"/>
      <c r="BQ58" s="117"/>
      <c r="BR58" s="117"/>
      <c r="BS58" s="117"/>
      <c r="BT58" s="117"/>
      <c r="BU58" s="117"/>
      <c r="BV58" s="117"/>
      <c r="BW58" s="117"/>
      <c r="BX58" s="117"/>
      <c r="BY58" s="117"/>
      <c r="BZ58" s="117"/>
      <c r="CA58" s="117"/>
      <c r="CB58" s="117"/>
      <c r="CC58" s="117"/>
      <c r="CD58" s="117"/>
      <c r="CE58" s="117"/>
      <c r="CF58" s="117"/>
      <c r="CG58" s="117"/>
      <c r="CH58" s="117"/>
      <c r="CI58" s="97"/>
      <c r="CJ58" s="97"/>
    </row>
    <row r="59" spans="1:88" x14ac:dyDescent="0.45">
      <c r="A59" s="97"/>
      <c r="B59" s="504"/>
      <c r="C59" s="159"/>
      <c r="D59" s="151" t="s">
        <v>371</v>
      </c>
      <c r="E59" s="151"/>
      <c r="F59" s="151"/>
      <c r="G59" s="151"/>
      <c r="H59" s="461" t="s">
        <v>558</v>
      </c>
      <c r="I59" s="461" t="s">
        <v>372</v>
      </c>
      <c r="J59" s="151"/>
      <c r="K59" s="151"/>
      <c r="L59" s="151" t="s">
        <v>576</v>
      </c>
      <c r="M59" s="151" t="s">
        <v>193</v>
      </c>
      <c r="N59" s="151" t="s">
        <v>346</v>
      </c>
      <c r="O59" s="151" t="s">
        <v>712</v>
      </c>
      <c r="P59" s="151" t="s">
        <v>549</v>
      </c>
      <c r="Q59" s="151" t="s">
        <v>714</v>
      </c>
      <c r="R59" s="151" t="s">
        <v>716</v>
      </c>
      <c r="S59" s="151" t="s">
        <v>343</v>
      </c>
      <c r="T59" s="151" t="s">
        <v>479</v>
      </c>
      <c r="U59" s="151"/>
      <c r="V59" s="151" t="s">
        <v>437</v>
      </c>
      <c r="W59" s="151" t="s">
        <v>22</v>
      </c>
      <c r="X59" s="151" t="s">
        <v>193</v>
      </c>
      <c r="Y59" s="151"/>
      <c r="Z59" s="151"/>
      <c r="AA59" s="151"/>
      <c r="AB59" s="504"/>
      <c r="AC59" s="117"/>
      <c r="AD59" s="117"/>
      <c r="AE59" s="117"/>
      <c r="AF59" s="117"/>
      <c r="AG59" s="117"/>
      <c r="AH59" s="117"/>
      <c r="AI59" s="117"/>
      <c r="AJ59" s="117"/>
      <c r="AK59" s="117"/>
      <c r="AL59" s="117"/>
      <c r="AM59" s="117"/>
      <c r="AN59" s="117"/>
      <c r="AO59" s="117"/>
      <c r="AP59" s="117"/>
      <c r="AQ59" s="117"/>
      <c r="AR59" s="117"/>
      <c r="AS59" s="117"/>
      <c r="AT59" s="117"/>
      <c r="AU59" s="117"/>
      <c r="AV59" s="117"/>
      <c r="AW59" s="117"/>
      <c r="AX59" s="117"/>
      <c r="AY59" s="117"/>
      <c r="AZ59" s="117"/>
      <c r="BA59" s="117"/>
      <c r="BB59" s="117"/>
      <c r="BC59" s="117"/>
      <c r="BD59" s="117"/>
      <c r="BE59" s="117"/>
      <c r="BF59" s="117"/>
      <c r="BG59" s="117"/>
      <c r="BH59" s="117"/>
      <c r="BI59" s="117"/>
      <c r="BJ59" s="117"/>
      <c r="BK59" s="117"/>
      <c r="BL59" s="117"/>
      <c r="BM59" s="117"/>
      <c r="BN59" s="117"/>
      <c r="BO59" s="117"/>
      <c r="BP59" s="117"/>
      <c r="BQ59" s="117"/>
      <c r="BR59" s="117"/>
      <c r="BS59" s="117"/>
      <c r="BT59" s="117"/>
      <c r="BU59" s="117"/>
      <c r="BV59" s="117"/>
      <c r="BW59" s="117"/>
      <c r="BX59" s="117"/>
      <c r="BY59" s="117"/>
      <c r="BZ59" s="117"/>
      <c r="CA59" s="117"/>
      <c r="CB59" s="117"/>
      <c r="CC59" s="117"/>
      <c r="CD59" s="117"/>
      <c r="CE59" s="117"/>
      <c r="CF59" s="117"/>
      <c r="CG59" s="117"/>
      <c r="CH59" s="117"/>
      <c r="CI59" s="97"/>
      <c r="CJ59" s="97"/>
    </row>
    <row r="60" spans="1:88" ht="24" thickBot="1" x14ac:dyDescent="0.5">
      <c r="A60" s="97"/>
      <c r="B60" s="504"/>
      <c r="C60" s="160" t="s">
        <v>194</v>
      </c>
      <c r="D60" s="153" t="s">
        <v>708</v>
      </c>
      <c r="E60" s="153"/>
      <c r="F60" s="153"/>
      <c r="G60" s="153"/>
      <c r="H60" s="462" t="s">
        <v>274</v>
      </c>
      <c r="I60" s="462" t="s">
        <v>584</v>
      </c>
      <c r="J60" s="153"/>
      <c r="K60" s="153"/>
      <c r="L60" s="153" t="s">
        <v>300</v>
      </c>
      <c r="M60" s="153" t="s">
        <v>413</v>
      </c>
      <c r="N60" s="153" t="s">
        <v>718</v>
      </c>
      <c r="O60" s="153" t="s">
        <v>711</v>
      </c>
      <c r="P60" s="153" t="s">
        <v>713</v>
      </c>
      <c r="Q60" s="153" t="s">
        <v>715</v>
      </c>
      <c r="R60" s="153" t="s">
        <v>717</v>
      </c>
      <c r="S60" s="153" t="s">
        <v>273</v>
      </c>
      <c r="T60" s="153" t="s">
        <v>725</v>
      </c>
      <c r="U60" s="153"/>
      <c r="V60" s="153" t="s">
        <v>377</v>
      </c>
      <c r="W60" s="153" t="s">
        <v>299</v>
      </c>
      <c r="X60" s="442" t="s">
        <v>660</v>
      </c>
      <c r="Y60" s="153"/>
      <c r="Z60" s="153"/>
      <c r="AA60" s="446"/>
      <c r="AB60" s="504"/>
      <c r="AC60" s="117"/>
      <c r="AD60" s="117"/>
      <c r="AE60" s="117"/>
      <c r="AF60" s="117"/>
      <c r="AG60" s="117"/>
      <c r="AH60" s="117"/>
      <c r="AI60" s="117"/>
      <c r="AJ60" s="117"/>
      <c r="AK60" s="117"/>
      <c r="AL60" s="117"/>
      <c r="AM60" s="117"/>
      <c r="AN60" s="117"/>
      <c r="AO60" s="117"/>
      <c r="AP60" s="117"/>
      <c r="AQ60" s="117"/>
      <c r="AR60" s="117"/>
      <c r="AS60" s="117"/>
      <c r="AT60" s="117"/>
      <c r="AU60" s="117"/>
      <c r="AV60" s="117"/>
      <c r="AW60" s="117"/>
      <c r="AX60" s="117"/>
      <c r="AY60" s="117"/>
      <c r="AZ60" s="117"/>
      <c r="BA60" s="117"/>
      <c r="BB60" s="117"/>
      <c r="BC60" s="117"/>
      <c r="BD60" s="117"/>
      <c r="BE60" s="117"/>
      <c r="BF60" s="117"/>
      <c r="BG60" s="117"/>
      <c r="BH60" s="117"/>
      <c r="BI60" s="117"/>
      <c r="BJ60" s="117"/>
      <c r="BK60" s="117"/>
      <c r="BL60" s="117"/>
      <c r="BM60" s="117"/>
      <c r="BN60" s="117"/>
      <c r="BO60" s="117"/>
      <c r="BP60" s="117"/>
      <c r="BQ60" s="117"/>
      <c r="BR60" s="117"/>
      <c r="BS60" s="117"/>
      <c r="BT60" s="117"/>
      <c r="BU60" s="117"/>
      <c r="BV60" s="117"/>
      <c r="BW60" s="117"/>
      <c r="BX60" s="117"/>
      <c r="BY60" s="117"/>
      <c r="BZ60" s="117"/>
      <c r="CA60" s="117"/>
      <c r="CB60" s="117"/>
      <c r="CC60" s="117"/>
      <c r="CD60" s="117"/>
      <c r="CE60" s="117"/>
      <c r="CF60" s="117"/>
      <c r="CG60" s="117"/>
      <c r="CH60" s="117"/>
      <c r="CI60" s="97"/>
      <c r="CJ60" s="97"/>
    </row>
    <row r="61" spans="1:88" x14ac:dyDescent="0.45">
      <c r="A61" s="97"/>
      <c r="B61" s="504"/>
      <c r="C61" s="158" t="s">
        <v>194</v>
      </c>
      <c r="D61" s="148"/>
      <c r="E61" s="148"/>
      <c r="F61" s="148"/>
      <c r="G61" s="148" t="s">
        <v>627</v>
      </c>
      <c r="H61" s="463"/>
      <c r="I61" s="460"/>
      <c r="J61" s="148"/>
      <c r="K61" s="148"/>
      <c r="L61" s="148"/>
      <c r="M61" s="148" t="s">
        <v>334</v>
      </c>
      <c r="N61" s="148"/>
      <c r="O61" s="148"/>
      <c r="P61" s="148"/>
      <c r="Q61" s="148" t="s">
        <v>326</v>
      </c>
      <c r="R61" s="148"/>
      <c r="S61" s="148"/>
      <c r="T61" s="148"/>
      <c r="U61" s="148"/>
      <c r="V61" s="148"/>
      <c r="W61" s="148"/>
      <c r="X61" s="148" t="s">
        <v>664</v>
      </c>
      <c r="Y61" s="148" t="s">
        <v>655</v>
      </c>
      <c r="Z61" s="156" t="s">
        <v>784</v>
      </c>
      <c r="AA61" s="162"/>
      <c r="AB61" s="504"/>
      <c r="AC61" s="117"/>
      <c r="AD61" s="117"/>
      <c r="AE61" s="117"/>
      <c r="AF61" s="117"/>
      <c r="AG61" s="117"/>
      <c r="AH61" s="117"/>
      <c r="AI61" s="117"/>
      <c r="AJ61" s="117"/>
      <c r="AK61" s="117"/>
      <c r="AL61" s="117"/>
      <c r="AM61" s="117"/>
      <c r="AN61" s="117"/>
      <c r="AO61" s="117"/>
      <c r="AP61" s="117"/>
      <c r="AQ61" s="117"/>
      <c r="AR61" s="117"/>
      <c r="AS61" s="117"/>
      <c r="AT61" s="117"/>
      <c r="AU61" s="117"/>
      <c r="AV61" s="117"/>
      <c r="AW61" s="117"/>
      <c r="AX61" s="117"/>
      <c r="AY61" s="117"/>
      <c r="AZ61" s="117"/>
      <c r="BA61" s="117"/>
      <c r="BB61" s="117"/>
      <c r="BC61" s="117"/>
      <c r="BD61" s="117"/>
      <c r="BE61" s="117"/>
      <c r="BF61" s="117"/>
      <c r="BG61" s="117"/>
      <c r="BH61" s="117"/>
      <c r="BI61" s="117"/>
      <c r="BJ61" s="117"/>
      <c r="BK61" s="117"/>
      <c r="BL61" s="117"/>
      <c r="BM61" s="117"/>
      <c r="BN61" s="117"/>
      <c r="BO61" s="117"/>
      <c r="BP61" s="117"/>
      <c r="BQ61" s="117"/>
      <c r="BR61" s="117"/>
      <c r="BS61" s="117"/>
      <c r="BT61" s="117"/>
      <c r="BU61" s="117"/>
      <c r="BV61" s="117"/>
      <c r="BW61" s="117"/>
      <c r="BX61" s="117"/>
      <c r="BY61" s="117"/>
      <c r="BZ61" s="117"/>
      <c r="CA61" s="117"/>
      <c r="CB61" s="117"/>
      <c r="CC61" s="117"/>
      <c r="CD61" s="117"/>
      <c r="CE61" s="117"/>
      <c r="CF61" s="117"/>
      <c r="CG61" s="117"/>
      <c r="CH61" s="117"/>
      <c r="CI61" s="97"/>
      <c r="CJ61" s="97"/>
    </row>
    <row r="62" spans="1:88" x14ac:dyDescent="0.45">
      <c r="A62" s="97"/>
      <c r="B62" s="504"/>
      <c r="C62" s="438"/>
      <c r="D62" s="162"/>
      <c r="E62" s="162"/>
      <c r="F62" s="162"/>
      <c r="G62" s="162" t="s">
        <v>628</v>
      </c>
      <c r="H62" s="463"/>
      <c r="I62" s="463"/>
      <c r="J62" s="162"/>
      <c r="K62" s="162"/>
      <c r="L62" s="162"/>
      <c r="M62" s="162" t="s">
        <v>335</v>
      </c>
      <c r="N62" s="162"/>
      <c r="O62" s="162"/>
      <c r="P62" s="162"/>
      <c r="Q62" s="162" t="s">
        <v>327</v>
      </c>
      <c r="R62" s="162"/>
      <c r="S62" s="162"/>
      <c r="T62" s="162"/>
      <c r="U62" s="162"/>
      <c r="V62" s="162"/>
      <c r="W62" s="162"/>
      <c r="X62" s="162" t="s">
        <v>280</v>
      </c>
      <c r="Y62" s="162" t="s">
        <v>656</v>
      </c>
      <c r="Z62" s="156" t="s">
        <v>266</v>
      </c>
      <c r="AA62" s="162"/>
      <c r="AB62" s="504"/>
      <c r="AC62" s="117"/>
      <c r="AD62" s="117"/>
      <c r="AE62" s="117"/>
      <c r="AF62" s="117"/>
      <c r="AG62" s="117"/>
      <c r="AH62" s="117"/>
      <c r="AI62" s="117"/>
      <c r="AJ62" s="117"/>
      <c r="AK62" s="117"/>
      <c r="AL62" s="117"/>
      <c r="AM62" s="117"/>
      <c r="AN62" s="117"/>
      <c r="AO62" s="117"/>
      <c r="AP62" s="117"/>
      <c r="AQ62" s="117"/>
      <c r="AR62" s="117"/>
      <c r="AS62" s="117"/>
      <c r="AT62" s="117"/>
      <c r="AU62" s="117"/>
      <c r="AV62" s="117"/>
      <c r="AW62" s="117"/>
      <c r="AX62" s="117"/>
      <c r="AY62" s="117"/>
      <c r="AZ62" s="117"/>
      <c r="BA62" s="117"/>
      <c r="BB62" s="117"/>
      <c r="BC62" s="117"/>
      <c r="BD62" s="117"/>
      <c r="BE62" s="117"/>
      <c r="BF62" s="117"/>
      <c r="BG62" s="117"/>
      <c r="BH62" s="117"/>
      <c r="BI62" s="117"/>
      <c r="BJ62" s="117"/>
      <c r="BK62" s="117"/>
      <c r="BL62" s="117"/>
      <c r="BM62" s="117"/>
      <c r="BN62" s="117"/>
      <c r="BO62" s="117"/>
      <c r="BP62" s="117"/>
      <c r="BQ62" s="117"/>
      <c r="BR62" s="117"/>
      <c r="BS62" s="117"/>
      <c r="BT62" s="117"/>
      <c r="BU62" s="117"/>
      <c r="BV62" s="117"/>
      <c r="BW62" s="117"/>
      <c r="BX62" s="117"/>
      <c r="BY62" s="117"/>
      <c r="BZ62" s="117"/>
      <c r="CA62" s="117"/>
      <c r="CB62" s="117"/>
      <c r="CC62" s="117"/>
      <c r="CD62" s="117"/>
      <c r="CE62" s="117"/>
      <c r="CF62" s="117"/>
      <c r="CG62" s="117"/>
      <c r="CH62" s="117"/>
      <c r="CI62" s="97"/>
      <c r="CJ62" s="97"/>
    </row>
    <row r="63" spans="1:88" x14ac:dyDescent="0.45">
      <c r="A63" s="97"/>
      <c r="B63" s="504"/>
      <c r="C63" s="159"/>
      <c r="D63" s="151"/>
      <c r="E63" s="151"/>
      <c r="F63" s="151"/>
      <c r="G63" s="151" t="s">
        <v>262</v>
      </c>
      <c r="H63" s="461"/>
      <c r="I63" s="461"/>
      <c r="J63" s="151"/>
      <c r="K63" s="151"/>
      <c r="L63" s="151"/>
      <c r="M63" s="151" t="s">
        <v>193</v>
      </c>
      <c r="N63" s="151"/>
      <c r="O63" s="151"/>
      <c r="P63" s="151"/>
      <c r="Q63" s="151" t="s">
        <v>403</v>
      </c>
      <c r="R63" s="151"/>
      <c r="S63" s="151"/>
      <c r="T63" s="151"/>
      <c r="U63" s="151"/>
      <c r="V63" s="151"/>
      <c r="W63" s="151"/>
      <c r="X63" s="151" t="s">
        <v>370</v>
      </c>
      <c r="Y63" s="151" t="s">
        <v>573</v>
      </c>
      <c r="Z63" s="151" t="s">
        <v>22</v>
      </c>
      <c r="AA63" s="151"/>
      <c r="AB63" s="504"/>
      <c r="AC63" s="117"/>
      <c r="AD63" s="117"/>
      <c r="AE63" s="117"/>
      <c r="AF63" s="117"/>
      <c r="AG63" s="117"/>
      <c r="AH63" s="117"/>
      <c r="AI63" s="117"/>
      <c r="AJ63" s="117"/>
      <c r="AK63" s="117"/>
      <c r="AL63" s="117"/>
      <c r="AM63" s="117"/>
      <c r="AN63" s="117"/>
      <c r="AO63" s="117"/>
      <c r="AP63" s="117"/>
      <c r="AQ63" s="117"/>
      <c r="AR63" s="117"/>
      <c r="AS63" s="117"/>
      <c r="AT63" s="117"/>
      <c r="AU63" s="117"/>
      <c r="AV63" s="117"/>
      <c r="AW63" s="117"/>
      <c r="AX63" s="117"/>
      <c r="AY63" s="117"/>
      <c r="AZ63" s="117"/>
      <c r="BA63" s="117"/>
      <c r="BB63" s="117"/>
      <c r="BC63" s="117"/>
      <c r="BD63" s="117"/>
      <c r="BE63" s="117"/>
      <c r="BF63" s="117"/>
      <c r="BG63" s="117"/>
      <c r="BH63" s="117"/>
      <c r="BI63" s="117"/>
      <c r="BJ63" s="117"/>
      <c r="BK63" s="117"/>
      <c r="BL63" s="117"/>
      <c r="BM63" s="117"/>
      <c r="BN63" s="117"/>
      <c r="BO63" s="117"/>
      <c r="BP63" s="117"/>
      <c r="BQ63" s="117"/>
      <c r="BR63" s="117"/>
      <c r="BS63" s="117"/>
      <c r="BT63" s="117"/>
      <c r="BU63" s="117"/>
      <c r="BV63" s="117"/>
      <c r="BW63" s="117"/>
      <c r="BX63" s="117"/>
      <c r="BY63" s="117"/>
      <c r="BZ63" s="117"/>
      <c r="CA63" s="117"/>
      <c r="CB63" s="117"/>
      <c r="CC63" s="117"/>
      <c r="CD63" s="117"/>
      <c r="CE63" s="117"/>
      <c r="CF63" s="117"/>
      <c r="CG63" s="117"/>
      <c r="CH63" s="117"/>
      <c r="CI63" s="97"/>
      <c r="CJ63" s="97"/>
    </row>
    <row r="64" spans="1:88" ht="24" thickBot="1" x14ac:dyDescent="0.5">
      <c r="A64" s="97"/>
      <c r="B64" s="504"/>
      <c r="C64" s="160" t="s">
        <v>195</v>
      </c>
      <c r="D64" s="153"/>
      <c r="E64" s="153"/>
      <c r="F64" s="153"/>
      <c r="G64" s="153" t="s">
        <v>494</v>
      </c>
      <c r="H64" s="462"/>
      <c r="I64" s="462"/>
      <c r="J64" s="153"/>
      <c r="K64" s="153"/>
      <c r="L64" s="153"/>
      <c r="M64" s="153" t="s">
        <v>665</v>
      </c>
      <c r="N64" s="153"/>
      <c r="O64" s="153"/>
      <c r="P64" s="153"/>
      <c r="Q64" s="153" t="s">
        <v>340</v>
      </c>
      <c r="R64" s="153"/>
      <c r="S64" s="153"/>
      <c r="T64" s="153"/>
      <c r="U64" s="153"/>
      <c r="V64" s="153"/>
      <c r="W64" s="153"/>
      <c r="X64" s="153" t="s">
        <v>269</v>
      </c>
      <c r="Y64" s="153" t="s">
        <v>703</v>
      </c>
      <c r="Z64" s="153" t="s">
        <v>299</v>
      </c>
      <c r="AA64" s="446"/>
      <c r="AB64" s="507"/>
      <c r="AC64" s="117"/>
      <c r="AD64" s="117"/>
      <c r="AE64" s="117"/>
      <c r="AF64" s="117"/>
      <c r="AG64" s="117"/>
      <c r="AH64" s="117"/>
      <c r="AI64" s="117"/>
      <c r="AJ64" s="117"/>
      <c r="AK64" s="117"/>
      <c r="AL64" s="117"/>
      <c r="AM64" s="117"/>
      <c r="AN64" s="117"/>
      <c r="AO64" s="117"/>
      <c r="AP64" s="117"/>
      <c r="AQ64" s="117"/>
      <c r="AR64" s="117"/>
      <c r="AS64" s="117"/>
      <c r="AT64" s="117"/>
      <c r="AU64" s="117"/>
      <c r="AV64" s="117"/>
      <c r="AW64" s="117"/>
      <c r="AX64" s="117"/>
      <c r="AY64" s="117"/>
      <c r="AZ64" s="117"/>
      <c r="BA64" s="117"/>
      <c r="BB64" s="117"/>
      <c r="BC64" s="117"/>
      <c r="BD64" s="117"/>
      <c r="BE64" s="117"/>
      <c r="BF64" s="117"/>
      <c r="BG64" s="117"/>
      <c r="BH64" s="117"/>
      <c r="BI64" s="117"/>
      <c r="BJ64" s="117"/>
      <c r="BK64" s="117"/>
      <c r="BL64" s="117"/>
      <c r="BM64" s="117"/>
      <c r="BN64" s="117"/>
      <c r="BO64" s="117"/>
      <c r="BP64" s="117"/>
      <c r="BQ64" s="117"/>
      <c r="BR64" s="117"/>
      <c r="BS64" s="117"/>
      <c r="BT64" s="117"/>
      <c r="BU64" s="117"/>
      <c r="BV64" s="117"/>
      <c r="BW64" s="117"/>
      <c r="BX64" s="117"/>
      <c r="BY64" s="117"/>
      <c r="BZ64" s="117"/>
      <c r="CA64" s="117"/>
      <c r="CB64" s="117"/>
      <c r="CC64" s="117"/>
      <c r="CD64" s="117"/>
      <c r="CE64" s="117"/>
      <c r="CF64" s="117"/>
      <c r="CG64" s="117"/>
      <c r="CH64" s="117"/>
      <c r="CI64" s="97"/>
      <c r="CJ64" s="97"/>
    </row>
    <row r="65" spans="1:88" ht="24" customHeight="1" thickTop="1" x14ac:dyDescent="0.45">
      <c r="A65" s="97"/>
      <c r="B65" s="494" t="s">
        <v>9</v>
      </c>
      <c r="C65" s="137" t="s">
        <v>198</v>
      </c>
      <c r="D65" s="131" t="s">
        <v>226</v>
      </c>
      <c r="E65" s="130" t="s">
        <v>443</v>
      </c>
      <c r="F65" s="131"/>
      <c r="G65" s="198"/>
      <c r="H65" s="456" t="s">
        <v>590</v>
      </c>
      <c r="I65" s="456" t="s">
        <v>254</v>
      </c>
      <c r="J65" s="130" t="s">
        <v>250</v>
      </c>
      <c r="K65" s="130" t="s">
        <v>462</v>
      </c>
      <c r="L65" s="130"/>
      <c r="M65" s="130" t="s">
        <v>313</v>
      </c>
      <c r="N65" s="130"/>
      <c r="O65" s="130" t="s">
        <v>331</v>
      </c>
      <c r="P65" s="130" t="s">
        <v>359</v>
      </c>
      <c r="Q65" s="130" t="s">
        <v>321</v>
      </c>
      <c r="R65" s="130" t="s">
        <v>321</v>
      </c>
      <c r="S65" s="130" t="s">
        <v>722</v>
      </c>
      <c r="T65" s="130" t="s">
        <v>291</v>
      </c>
      <c r="U65" s="130" t="s">
        <v>289</v>
      </c>
      <c r="V65" s="130" t="s">
        <v>289</v>
      </c>
      <c r="W65" s="132"/>
      <c r="X65" s="132"/>
      <c r="Y65" s="130" t="s">
        <v>653</v>
      </c>
      <c r="Z65" s="130"/>
      <c r="AA65" s="434"/>
      <c r="AB65" s="494" t="s">
        <v>9</v>
      </c>
      <c r="AC65" s="117"/>
      <c r="AD65" s="117"/>
      <c r="AE65" s="117"/>
      <c r="AF65" s="117"/>
      <c r="AG65" s="117"/>
      <c r="AH65" s="117"/>
      <c r="AI65" s="117"/>
      <c r="AJ65" s="117"/>
      <c r="AK65" s="117"/>
      <c r="AL65" s="117"/>
      <c r="AM65" s="117"/>
      <c r="AN65" s="117"/>
      <c r="AO65" s="117"/>
      <c r="AP65" s="117"/>
      <c r="AQ65" s="117"/>
      <c r="AR65" s="117"/>
      <c r="AS65" s="117"/>
      <c r="AT65" s="117"/>
      <c r="AU65" s="117"/>
      <c r="AV65" s="117"/>
      <c r="AW65" s="117"/>
      <c r="AX65" s="117"/>
      <c r="AY65" s="117"/>
      <c r="AZ65" s="117"/>
      <c r="BA65" s="117"/>
      <c r="BB65" s="117"/>
      <c r="BC65" s="117"/>
      <c r="BD65" s="117"/>
      <c r="BE65" s="117"/>
      <c r="BF65" s="117"/>
      <c r="BG65" s="117"/>
      <c r="BH65" s="117"/>
      <c r="BI65" s="117"/>
      <c r="BJ65" s="117"/>
      <c r="BK65" s="117"/>
      <c r="BL65" s="117"/>
      <c r="BM65" s="117"/>
      <c r="BN65" s="117"/>
      <c r="BO65" s="117"/>
      <c r="BP65" s="117"/>
      <c r="BQ65" s="117"/>
      <c r="BR65" s="117"/>
      <c r="BS65" s="117"/>
      <c r="BT65" s="117"/>
      <c r="BU65" s="117"/>
      <c r="BV65" s="117"/>
      <c r="BW65" s="117"/>
      <c r="BX65" s="117"/>
      <c r="BY65" s="117"/>
      <c r="BZ65" s="117"/>
      <c r="CA65" s="117"/>
      <c r="CB65" s="117"/>
      <c r="CC65" s="117"/>
      <c r="CD65" s="117"/>
      <c r="CE65" s="117"/>
      <c r="CF65" s="117"/>
      <c r="CG65" s="117"/>
      <c r="CH65" s="117"/>
      <c r="CI65" s="97"/>
      <c r="CJ65" s="97"/>
    </row>
    <row r="66" spans="1:88" ht="24" customHeight="1" x14ac:dyDescent="0.45">
      <c r="A66" s="97"/>
      <c r="B66" s="495"/>
      <c r="C66" s="137"/>
      <c r="D66" s="431" t="s">
        <v>227</v>
      </c>
      <c r="E66" s="257" t="s">
        <v>375</v>
      </c>
      <c r="F66" s="431"/>
      <c r="G66" s="198"/>
      <c r="H66" s="482" t="s">
        <v>591</v>
      </c>
      <c r="I66" s="482" t="s">
        <v>212</v>
      </c>
      <c r="J66" s="257" t="s">
        <v>530</v>
      </c>
      <c r="K66" s="257" t="s">
        <v>604</v>
      </c>
      <c r="L66" s="257"/>
      <c r="M66" s="257" t="s">
        <v>314</v>
      </c>
      <c r="N66" s="257"/>
      <c r="O66" s="257" t="s">
        <v>332</v>
      </c>
      <c r="P66" s="257" t="s">
        <v>360</v>
      </c>
      <c r="Q66" s="257" t="s">
        <v>314</v>
      </c>
      <c r="R66" s="257" t="s">
        <v>314</v>
      </c>
      <c r="S66" s="257" t="s">
        <v>280</v>
      </c>
      <c r="T66" s="257" t="s">
        <v>292</v>
      </c>
      <c r="U66" s="257" t="s">
        <v>345</v>
      </c>
      <c r="V66" s="257" t="s">
        <v>491</v>
      </c>
      <c r="W66" s="434"/>
      <c r="X66" s="434"/>
      <c r="Y66" s="257" t="s">
        <v>654</v>
      </c>
      <c r="Z66" s="257"/>
      <c r="AA66" s="434"/>
      <c r="AB66" s="495"/>
      <c r="AC66" s="117"/>
      <c r="AD66" s="117"/>
      <c r="AE66" s="117"/>
      <c r="AF66" s="117"/>
      <c r="AG66" s="117"/>
      <c r="AH66" s="117"/>
      <c r="AI66" s="117"/>
      <c r="AJ66" s="117"/>
      <c r="AK66" s="117"/>
      <c r="AL66" s="117"/>
      <c r="AM66" s="117"/>
      <c r="AN66" s="117"/>
      <c r="AO66" s="117"/>
      <c r="AP66" s="117"/>
      <c r="AQ66" s="117"/>
      <c r="AR66" s="117"/>
      <c r="AS66" s="117"/>
      <c r="AT66" s="117"/>
      <c r="AU66" s="117"/>
      <c r="AV66" s="117"/>
      <c r="AW66" s="117"/>
      <c r="AX66" s="117"/>
      <c r="AY66" s="117"/>
      <c r="AZ66" s="117"/>
      <c r="BA66" s="117"/>
      <c r="BB66" s="117"/>
      <c r="BC66" s="117"/>
      <c r="BD66" s="117"/>
      <c r="BE66" s="117"/>
      <c r="BF66" s="117"/>
      <c r="BG66" s="117"/>
      <c r="BH66" s="117"/>
      <c r="BI66" s="117"/>
      <c r="BJ66" s="117"/>
      <c r="BK66" s="117"/>
      <c r="BL66" s="117"/>
      <c r="BM66" s="117"/>
      <c r="BN66" s="117"/>
      <c r="BO66" s="117"/>
      <c r="BP66" s="117"/>
      <c r="BQ66" s="117"/>
      <c r="BR66" s="117"/>
      <c r="BS66" s="117"/>
      <c r="BT66" s="117"/>
      <c r="BU66" s="117"/>
      <c r="BV66" s="117"/>
      <c r="BW66" s="117"/>
      <c r="BX66" s="117"/>
      <c r="BY66" s="117"/>
      <c r="BZ66" s="117"/>
      <c r="CA66" s="117"/>
      <c r="CB66" s="117"/>
      <c r="CC66" s="117"/>
      <c r="CD66" s="117"/>
      <c r="CE66" s="117"/>
      <c r="CF66" s="117"/>
      <c r="CG66" s="117"/>
      <c r="CH66" s="117"/>
      <c r="CI66" s="97"/>
      <c r="CJ66" s="97"/>
    </row>
    <row r="67" spans="1:88" x14ac:dyDescent="0.45">
      <c r="A67" s="97"/>
      <c r="B67" s="495"/>
      <c r="C67" s="137"/>
      <c r="D67" s="134" t="s">
        <v>352</v>
      </c>
      <c r="E67" s="134" t="s">
        <v>388</v>
      </c>
      <c r="F67" s="134"/>
      <c r="G67" s="219"/>
      <c r="H67" s="458" t="s">
        <v>338</v>
      </c>
      <c r="I67" s="458" t="s">
        <v>215</v>
      </c>
      <c r="J67" s="134" t="s">
        <v>396</v>
      </c>
      <c r="K67" s="134" t="s">
        <v>558</v>
      </c>
      <c r="L67" s="134"/>
      <c r="M67" s="134" t="s">
        <v>542</v>
      </c>
      <c r="N67" s="134"/>
      <c r="O67" s="134" t="s">
        <v>361</v>
      </c>
      <c r="P67" s="134" t="s">
        <v>418</v>
      </c>
      <c r="Q67" s="134" t="s">
        <v>666</v>
      </c>
      <c r="R67" s="134" t="s">
        <v>667</v>
      </c>
      <c r="S67" s="134" t="s">
        <v>85</v>
      </c>
      <c r="T67" s="134" t="s">
        <v>267</v>
      </c>
      <c r="U67" s="134" t="s">
        <v>265</v>
      </c>
      <c r="V67" s="134" t="s">
        <v>755</v>
      </c>
      <c r="W67" s="134"/>
      <c r="X67" s="134"/>
      <c r="Y67" s="134" t="s">
        <v>215</v>
      </c>
      <c r="Z67" s="134"/>
      <c r="AA67" s="134"/>
      <c r="AB67" s="495"/>
      <c r="AC67" s="117"/>
      <c r="AD67" s="117"/>
      <c r="AE67" s="117"/>
      <c r="AF67" s="117"/>
      <c r="AG67" s="117"/>
      <c r="AH67" s="117"/>
      <c r="AI67" s="117"/>
      <c r="AJ67" s="117"/>
      <c r="AK67" s="117"/>
      <c r="AL67" s="117"/>
      <c r="AM67" s="117"/>
      <c r="AN67" s="117"/>
      <c r="AO67" s="117"/>
      <c r="AP67" s="117"/>
      <c r="AQ67" s="117"/>
      <c r="AR67" s="117"/>
      <c r="AS67" s="117"/>
      <c r="AT67" s="117"/>
      <c r="AU67" s="117"/>
      <c r="AV67" s="117"/>
      <c r="AW67" s="117"/>
      <c r="AX67" s="117"/>
      <c r="AY67" s="117"/>
      <c r="AZ67" s="117"/>
      <c r="BA67" s="117"/>
      <c r="BB67" s="117"/>
      <c r="BC67" s="117"/>
      <c r="BD67" s="117"/>
      <c r="BE67" s="117"/>
      <c r="BF67" s="117"/>
      <c r="BG67" s="117"/>
      <c r="BH67" s="117"/>
      <c r="BI67" s="117"/>
      <c r="BJ67" s="117"/>
      <c r="BK67" s="117"/>
      <c r="BL67" s="117"/>
      <c r="BM67" s="117"/>
      <c r="BN67" s="117"/>
      <c r="BO67" s="117"/>
      <c r="BP67" s="117"/>
      <c r="BQ67" s="117"/>
      <c r="BR67" s="117"/>
      <c r="BS67" s="117"/>
      <c r="BT67" s="117"/>
      <c r="BU67" s="117"/>
      <c r="BV67" s="117"/>
      <c r="BW67" s="117"/>
      <c r="BX67" s="117"/>
      <c r="BY67" s="117"/>
      <c r="BZ67" s="117"/>
      <c r="CA67" s="117"/>
      <c r="CB67" s="117"/>
      <c r="CC67" s="117"/>
      <c r="CD67" s="117"/>
      <c r="CE67" s="117"/>
      <c r="CF67" s="117"/>
      <c r="CG67" s="117"/>
      <c r="CH67" s="117"/>
      <c r="CI67" s="97"/>
      <c r="CJ67" s="97"/>
    </row>
    <row r="68" spans="1:88" ht="24" thickBot="1" x14ac:dyDescent="0.5">
      <c r="A68" s="117"/>
      <c r="B68" s="495"/>
      <c r="C68" s="135" t="s">
        <v>199</v>
      </c>
      <c r="D68" s="136" t="s">
        <v>602</v>
      </c>
      <c r="E68" s="136" t="s">
        <v>709</v>
      </c>
      <c r="F68" s="136"/>
      <c r="G68" s="199"/>
      <c r="H68" s="459" t="s">
        <v>706</v>
      </c>
      <c r="I68" s="459" t="s">
        <v>450</v>
      </c>
      <c r="J68" s="136" t="s">
        <v>708</v>
      </c>
      <c r="K68" s="136" t="s">
        <v>603</v>
      </c>
      <c r="L68" s="136"/>
      <c r="M68" s="136" t="s">
        <v>281</v>
      </c>
      <c r="N68" s="136"/>
      <c r="O68" s="136" t="s">
        <v>692</v>
      </c>
      <c r="P68" s="136" t="s">
        <v>119</v>
      </c>
      <c r="Q68" s="136" t="s">
        <v>668</v>
      </c>
      <c r="R68" s="136" t="s">
        <v>543</v>
      </c>
      <c r="S68" s="136" t="s">
        <v>67</v>
      </c>
      <c r="T68" s="136" t="s">
        <v>481</v>
      </c>
      <c r="U68" s="136" t="s">
        <v>756</v>
      </c>
      <c r="V68" s="136" t="s">
        <v>738</v>
      </c>
      <c r="W68" s="136"/>
      <c r="X68" s="136"/>
      <c r="Y68" s="136" t="s">
        <v>657</v>
      </c>
      <c r="Z68" s="136"/>
      <c r="AA68" s="445"/>
      <c r="AB68" s="495"/>
      <c r="AC68" s="117"/>
      <c r="AD68" s="117"/>
      <c r="AE68" s="117"/>
      <c r="AF68" s="117"/>
      <c r="AG68" s="117"/>
      <c r="AH68" s="117"/>
      <c r="AI68" s="117"/>
      <c r="AJ68" s="117"/>
      <c r="AK68" s="117"/>
      <c r="AL68" s="117"/>
      <c r="AM68" s="117"/>
      <c r="AN68" s="117"/>
      <c r="AO68" s="117"/>
      <c r="AP68" s="117"/>
      <c r="AQ68" s="117"/>
      <c r="AR68" s="117"/>
      <c r="AS68" s="117"/>
      <c r="AT68" s="117"/>
      <c r="AU68" s="117"/>
      <c r="AV68" s="117"/>
      <c r="AW68" s="117"/>
      <c r="AX68" s="117"/>
      <c r="AY68" s="117"/>
      <c r="AZ68" s="117"/>
      <c r="BA68" s="117"/>
      <c r="BB68" s="117"/>
      <c r="BC68" s="117"/>
      <c r="BD68" s="117"/>
      <c r="BE68" s="117"/>
      <c r="BF68" s="117"/>
      <c r="BG68" s="117"/>
      <c r="BH68" s="117"/>
      <c r="BI68" s="117"/>
      <c r="BJ68" s="117"/>
      <c r="BK68" s="117"/>
      <c r="BL68" s="117"/>
      <c r="BM68" s="117"/>
      <c r="BN68" s="117"/>
      <c r="BO68" s="117"/>
      <c r="BP68" s="117"/>
      <c r="BQ68" s="117"/>
      <c r="BR68" s="117"/>
      <c r="BS68" s="117"/>
      <c r="BT68" s="117"/>
      <c r="BU68" s="117"/>
      <c r="BV68" s="117"/>
      <c r="BW68" s="117"/>
      <c r="BX68" s="117"/>
      <c r="BY68" s="117"/>
      <c r="BZ68" s="117"/>
      <c r="CA68" s="117"/>
      <c r="CB68" s="117"/>
      <c r="CC68" s="117"/>
      <c r="CD68" s="117"/>
      <c r="CE68" s="117"/>
      <c r="CF68" s="117"/>
      <c r="CG68" s="117"/>
      <c r="CH68" s="117"/>
      <c r="CI68" s="97"/>
      <c r="CJ68" s="97"/>
    </row>
    <row r="69" spans="1:88" x14ac:dyDescent="0.45">
      <c r="A69" s="97"/>
      <c r="B69" s="495"/>
      <c r="C69" s="137" t="s">
        <v>199</v>
      </c>
      <c r="D69" s="131" t="s">
        <v>222</v>
      </c>
      <c r="E69" s="131" t="s">
        <v>441</v>
      </c>
      <c r="F69" s="131"/>
      <c r="G69" s="131"/>
      <c r="H69" s="468" t="s">
        <v>590</v>
      </c>
      <c r="I69" s="468" t="s">
        <v>250</v>
      </c>
      <c r="J69" s="130" t="s">
        <v>523</v>
      </c>
      <c r="K69" s="130" t="s">
        <v>460</v>
      </c>
      <c r="L69" s="130" t="s">
        <v>577</v>
      </c>
      <c r="M69" s="130"/>
      <c r="N69" s="130"/>
      <c r="O69" s="130" t="s">
        <v>329</v>
      </c>
      <c r="P69" s="130" t="s">
        <v>329</v>
      </c>
      <c r="Q69" s="130" t="s">
        <v>354</v>
      </c>
      <c r="R69" s="130" t="s">
        <v>464</v>
      </c>
      <c r="S69" s="130" t="s">
        <v>291</v>
      </c>
      <c r="T69" s="130"/>
      <c r="U69" s="130"/>
      <c r="V69" s="130" t="s">
        <v>487</v>
      </c>
      <c r="W69" s="130" t="s">
        <v>512</v>
      </c>
      <c r="X69" s="132" t="s">
        <v>512</v>
      </c>
      <c r="Y69" s="130" t="s">
        <v>649</v>
      </c>
      <c r="Z69" s="130"/>
      <c r="AA69" s="257"/>
      <c r="AB69" s="495"/>
      <c r="AC69" s="117"/>
      <c r="AD69" s="117"/>
      <c r="AE69" s="117"/>
      <c r="AF69" s="117"/>
      <c r="AG69" s="117"/>
      <c r="AH69" s="117"/>
      <c r="AI69" s="117"/>
      <c r="AJ69" s="117"/>
      <c r="AK69" s="117"/>
      <c r="AL69" s="117"/>
      <c r="AM69" s="117"/>
      <c r="AN69" s="117"/>
      <c r="AO69" s="117"/>
      <c r="AP69" s="117"/>
      <c r="AQ69" s="117"/>
      <c r="AR69" s="117"/>
      <c r="AS69" s="117"/>
      <c r="AT69" s="117"/>
      <c r="AU69" s="117"/>
      <c r="AV69" s="117"/>
      <c r="AW69" s="117"/>
      <c r="AX69" s="117"/>
      <c r="AY69" s="117"/>
      <c r="AZ69" s="117"/>
      <c r="BA69" s="117"/>
      <c r="BB69" s="117"/>
      <c r="BC69" s="117"/>
      <c r="BD69" s="117"/>
      <c r="BE69" s="117"/>
      <c r="BF69" s="117"/>
      <c r="BG69" s="117"/>
      <c r="BH69" s="117"/>
      <c r="BI69" s="117"/>
      <c r="BJ69" s="117"/>
      <c r="BK69" s="117"/>
      <c r="BL69" s="117"/>
      <c r="BM69" s="117"/>
      <c r="BN69" s="117"/>
      <c r="BO69" s="117"/>
      <c r="BP69" s="117"/>
      <c r="BQ69" s="117"/>
      <c r="BR69" s="117"/>
      <c r="BS69" s="117"/>
      <c r="BT69" s="117"/>
      <c r="BU69" s="117"/>
      <c r="BV69" s="117"/>
      <c r="BW69" s="117"/>
      <c r="BX69" s="117"/>
      <c r="BY69" s="117"/>
      <c r="BZ69" s="117"/>
      <c r="CA69" s="117"/>
      <c r="CB69" s="117"/>
      <c r="CC69" s="117"/>
      <c r="CD69" s="117"/>
      <c r="CE69" s="117"/>
      <c r="CF69" s="117"/>
      <c r="CG69" s="117"/>
      <c r="CH69" s="117"/>
      <c r="CI69" s="97"/>
      <c r="CJ69" s="97"/>
    </row>
    <row r="70" spans="1:88" x14ac:dyDescent="0.45">
      <c r="A70" s="97"/>
      <c r="B70" s="495"/>
      <c r="C70" s="137"/>
      <c r="D70" s="431" t="s">
        <v>223</v>
      </c>
      <c r="E70" s="439" t="s">
        <v>442</v>
      </c>
      <c r="F70" s="431"/>
      <c r="G70" s="431"/>
      <c r="H70" s="468" t="s">
        <v>591</v>
      </c>
      <c r="I70" s="468" t="s">
        <v>251</v>
      </c>
      <c r="J70" s="257" t="s">
        <v>529</v>
      </c>
      <c r="K70" s="257" t="s">
        <v>461</v>
      </c>
      <c r="L70" s="257" t="s">
        <v>578</v>
      </c>
      <c r="M70" s="257"/>
      <c r="N70" s="257"/>
      <c r="O70" s="257" t="s">
        <v>330</v>
      </c>
      <c r="P70" s="257" t="s">
        <v>330</v>
      </c>
      <c r="Q70" s="257" t="s">
        <v>355</v>
      </c>
      <c r="R70" s="257" t="s">
        <v>298</v>
      </c>
      <c r="S70" s="257" t="s">
        <v>292</v>
      </c>
      <c r="T70" s="257"/>
      <c r="U70" s="257"/>
      <c r="V70" s="257" t="s">
        <v>488</v>
      </c>
      <c r="W70" s="257" t="s">
        <v>513</v>
      </c>
      <c r="X70" s="434" t="s">
        <v>513</v>
      </c>
      <c r="Y70" s="257" t="s">
        <v>650</v>
      </c>
      <c r="Z70" s="257"/>
      <c r="AA70" s="257"/>
      <c r="AB70" s="495"/>
      <c r="AC70" s="117"/>
      <c r="AD70" s="117"/>
      <c r="AE70" s="117"/>
      <c r="AF70" s="117"/>
      <c r="AG70" s="117"/>
      <c r="AH70" s="117"/>
      <c r="AI70" s="117"/>
      <c r="AJ70" s="117"/>
      <c r="AK70" s="117"/>
      <c r="AL70" s="117"/>
      <c r="AM70" s="117"/>
      <c r="AN70" s="117"/>
      <c r="AO70" s="117"/>
      <c r="AP70" s="117"/>
      <c r="AQ70" s="117"/>
      <c r="AR70" s="117"/>
      <c r="AS70" s="117"/>
      <c r="AT70" s="117"/>
      <c r="AU70" s="117"/>
      <c r="AV70" s="117"/>
      <c r="AW70" s="117"/>
      <c r="AX70" s="117"/>
      <c r="AY70" s="117"/>
      <c r="AZ70" s="117"/>
      <c r="BA70" s="117"/>
      <c r="BB70" s="117"/>
      <c r="BC70" s="117"/>
      <c r="BD70" s="117"/>
      <c r="BE70" s="117"/>
      <c r="BF70" s="117"/>
      <c r="BG70" s="117"/>
      <c r="BH70" s="117"/>
      <c r="BI70" s="117"/>
      <c r="BJ70" s="117"/>
      <c r="BK70" s="117"/>
      <c r="BL70" s="117"/>
      <c r="BM70" s="117"/>
      <c r="BN70" s="117"/>
      <c r="BO70" s="117"/>
      <c r="BP70" s="117"/>
      <c r="BQ70" s="117"/>
      <c r="BR70" s="117"/>
      <c r="BS70" s="117"/>
      <c r="BT70" s="117"/>
      <c r="BU70" s="117"/>
      <c r="BV70" s="117"/>
      <c r="BW70" s="117"/>
      <c r="BX70" s="117"/>
      <c r="BY70" s="117"/>
      <c r="BZ70" s="117"/>
      <c r="CA70" s="117"/>
      <c r="CB70" s="117"/>
      <c r="CC70" s="117"/>
      <c r="CD70" s="117"/>
      <c r="CE70" s="117"/>
      <c r="CF70" s="117"/>
      <c r="CG70" s="117"/>
      <c r="CH70" s="117"/>
      <c r="CI70" s="97"/>
      <c r="CJ70" s="97"/>
    </row>
    <row r="71" spans="1:88" x14ac:dyDescent="0.45">
      <c r="A71" s="97"/>
      <c r="B71" s="495"/>
      <c r="C71" s="141"/>
      <c r="D71" s="134" t="s">
        <v>349</v>
      </c>
      <c r="E71" s="204" t="s">
        <v>272</v>
      </c>
      <c r="F71" s="134"/>
      <c r="G71" s="134"/>
      <c r="H71" s="458" t="s">
        <v>558</v>
      </c>
      <c r="I71" s="458" t="s">
        <v>353</v>
      </c>
      <c r="J71" s="134" t="s">
        <v>268</v>
      </c>
      <c r="K71" s="134" t="s">
        <v>372</v>
      </c>
      <c r="L71" s="134" t="s">
        <v>405</v>
      </c>
      <c r="M71" s="134"/>
      <c r="N71" s="134"/>
      <c r="O71" s="134" t="s">
        <v>268</v>
      </c>
      <c r="P71" s="134" t="s">
        <v>294</v>
      </c>
      <c r="Q71" s="134" t="s">
        <v>406</v>
      </c>
      <c r="R71" s="134" t="s">
        <v>698</v>
      </c>
      <c r="S71" s="134" t="s">
        <v>267</v>
      </c>
      <c r="T71" s="134"/>
      <c r="U71" s="134"/>
      <c r="V71" s="134" t="s">
        <v>558</v>
      </c>
      <c r="W71" s="134" t="s">
        <v>437</v>
      </c>
      <c r="X71" s="134" t="s">
        <v>437</v>
      </c>
      <c r="Y71" s="134" t="s">
        <v>267</v>
      </c>
      <c r="Z71" s="134"/>
      <c r="AA71" s="134"/>
      <c r="AB71" s="495"/>
      <c r="AC71" s="117"/>
      <c r="AD71" s="117"/>
      <c r="AE71" s="117"/>
      <c r="AF71" s="117"/>
      <c r="AG71" s="117"/>
      <c r="AH71" s="117"/>
      <c r="AI71" s="117"/>
      <c r="AJ71" s="117"/>
      <c r="AK71" s="117"/>
      <c r="AL71" s="117"/>
      <c r="AM71" s="117"/>
      <c r="AN71" s="117"/>
      <c r="AO71" s="117"/>
      <c r="AP71" s="117"/>
      <c r="AQ71" s="117"/>
      <c r="AR71" s="117"/>
      <c r="AS71" s="117"/>
      <c r="AT71" s="117"/>
      <c r="AU71" s="117"/>
      <c r="AV71" s="117"/>
      <c r="AW71" s="117"/>
      <c r="AX71" s="117"/>
      <c r="AY71" s="117"/>
      <c r="AZ71" s="117"/>
      <c r="BA71" s="117"/>
      <c r="BB71" s="117"/>
      <c r="BC71" s="117"/>
      <c r="BD71" s="117"/>
      <c r="BE71" s="117"/>
      <c r="BF71" s="117"/>
      <c r="BG71" s="117"/>
      <c r="BH71" s="117"/>
      <c r="BI71" s="117"/>
      <c r="BJ71" s="117"/>
      <c r="BK71" s="117"/>
      <c r="BL71" s="117"/>
      <c r="BM71" s="117"/>
      <c r="BN71" s="117"/>
      <c r="BO71" s="117"/>
      <c r="BP71" s="117"/>
      <c r="BQ71" s="117"/>
      <c r="BR71" s="117"/>
      <c r="BS71" s="117"/>
      <c r="BT71" s="117"/>
      <c r="BU71" s="117"/>
      <c r="BV71" s="117"/>
      <c r="BW71" s="117"/>
      <c r="BX71" s="117"/>
      <c r="BY71" s="117"/>
      <c r="BZ71" s="117"/>
      <c r="CA71" s="117"/>
      <c r="CB71" s="117"/>
      <c r="CC71" s="117"/>
      <c r="CD71" s="117"/>
      <c r="CE71" s="117"/>
      <c r="CF71" s="117"/>
      <c r="CG71" s="117"/>
      <c r="CH71" s="117"/>
      <c r="CI71" s="97"/>
      <c r="CJ71" s="97"/>
    </row>
    <row r="72" spans="1:88" ht="24" thickBot="1" x14ac:dyDescent="0.5">
      <c r="A72" s="117"/>
      <c r="B72" s="495"/>
      <c r="C72" s="135" t="s">
        <v>196</v>
      </c>
      <c r="D72" s="136" t="s">
        <v>702</v>
      </c>
      <c r="E72" s="136" t="s">
        <v>607</v>
      </c>
      <c r="F72" s="136"/>
      <c r="G72" s="136"/>
      <c r="H72" s="459" t="s">
        <v>249</v>
      </c>
      <c r="I72" s="459" t="s">
        <v>451</v>
      </c>
      <c r="J72" s="136" t="s">
        <v>694</v>
      </c>
      <c r="K72" s="136" t="s">
        <v>211</v>
      </c>
      <c r="L72" s="136" t="s">
        <v>751</v>
      </c>
      <c r="M72" s="136"/>
      <c r="N72" s="136"/>
      <c r="O72" s="136" t="s">
        <v>190</v>
      </c>
      <c r="P72" s="136" t="s">
        <v>362</v>
      </c>
      <c r="Q72" s="136" t="s">
        <v>308</v>
      </c>
      <c r="R72" s="136" t="s">
        <v>697</v>
      </c>
      <c r="S72" s="136" t="s">
        <v>481</v>
      </c>
      <c r="T72" s="136"/>
      <c r="U72" s="136"/>
      <c r="V72" s="136" t="s">
        <v>377</v>
      </c>
      <c r="W72" s="136" t="s">
        <v>757</v>
      </c>
      <c r="X72" s="136" t="s">
        <v>758</v>
      </c>
      <c r="Y72" s="136" t="s">
        <v>658</v>
      </c>
      <c r="Z72" s="136"/>
      <c r="AA72" s="445"/>
      <c r="AB72" s="495"/>
      <c r="AC72" s="117"/>
      <c r="AD72" s="117"/>
      <c r="AE72" s="117"/>
      <c r="AF72" s="117"/>
      <c r="AG72" s="117"/>
      <c r="AH72" s="117"/>
      <c r="AI72" s="117"/>
      <c r="AJ72" s="117"/>
      <c r="AK72" s="117"/>
      <c r="AL72" s="117"/>
      <c r="AM72" s="117"/>
      <c r="AN72" s="117"/>
      <c r="AO72" s="117"/>
      <c r="AP72" s="117"/>
      <c r="AQ72" s="117"/>
      <c r="AR72" s="117"/>
      <c r="AS72" s="117"/>
      <c r="AT72" s="117"/>
      <c r="AU72" s="117"/>
      <c r="AV72" s="117"/>
      <c r="AW72" s="117"/>
      <c r="AX72" s="117"/>
      <c r="AY72" s="117"/>
      <c r="AZ72" s="117"/>
      <c r="BA72" s="117"/>
      <c r="BB72" s="117"/>
      <c r="BC72" s="117"/>
      <c r="BD72" s="117"/>
      <c r="BE72" s="117"/>
      <c r="BF72" s="117"/>
      <c r="BG72" s="117"/>
      <c r="BH72" s="117"/>
      <c r="BI72" s="117"/>
      <c r="BJ72" s="117"/>
      <c r="BK72" s="117"/>
      <c r="BL72" s="117"/>
      <c r="BM72" s="117"/>
      <c r="BN72" s="117"/>
      <c r="BO72" s="117"/>
      <c r="BP72" s="117"/>
      <c r="BQ72" s="117"/>
      <c r="BR72" s="117"/>
      <c r="BS72" s="117"/>
      <c r="BT72" s="117"/>
      <c r="BU72" s="117"/>
      <c r="BV72" s="117"/>
      <c r="BW72" s="117"/>
      <c r="BX72" s="117"/>
      <c r="BY72" s="117"/>
      <c r="BZ72" s="117"/>
      <c r="CA72" s="117"/>
      <c r="CB72" s="117"/>
      <c r="CC72" s="117"/>
      <c r="CD72" s="117"/>
      <c r="CE72" s="117"/>
      <c r="CF72" s="117"/>
      <c r="CG72" s="117"/>
      <c r="CH72" s="117"/>
      <c r="CI72" s="97"/>
      <c r="CJ72" s="97"/>
    </row>
    <row r="73" spans="1:88" ht="27" customHeight="1" x14ac:dyDescent="0.45">
      <c r="A73" s="97"/>
      <c r="B73" s="495"/>
      <c r="C73" s="231"/>
      <c r="D73" s="234"/>
      <c r="E73" s="234"/>
      <c r="F73" s="234"/>
      <c r="G73" s="234"/>
      <c r="H73" s="476"/>
      <c r="I73" s="476"/>
      <c r="J73" s="234"/>
      <c r="K73" s="234"/>
      <c r="L73" s="234"/>
      <c r="M73" s="234"/>
      <c r="N73" s="234"/>
      <c r="O73" s="234"/>
      <c r="P73" s="234"/>
      <c r="Q73" s="234"/>
      <c r="R73" s="234"/>
      <c r="S73" s="234"/>
      <c r="T73" s="234"/>
      <c r="U73" s="234"/>
      <c r="V73" s="234"/>
      <c r="W73" s="234"/>
      <c r="X73" s="235"/>
      <c r="Y73" s="235"/>
      <c r="Z73" s="235"/>
      <c r="AA73" s="235"/>
      <c r="AB73" s="495"/>
      <c r="AC73" s="117"/>
      <c r="AD73" s="117"/>
      <c r="AE73" s="117"/>
      <c r="AF73" s="117"/>
      <c r="AG73" s="117"/>
      <c r="AH73" s="117"/>
      <c r="AI73" s="117"/>
      <c r="AJ73" s="117"/>
      <c r="AK73" s="117"/>
      <c r="AL73" s="117"/>
      <c r="AM73" s="117"/>
      <c r="AN73" s="117"/>
      <c r="AO73" s="117"/>
      <c r="AP73" s="117"/>
      <c r="AQ73" s="117"/>
      <c r="AR73" s="117"/>
      <c r="AS73" s="117"/>
      <c r="AT73" s="117"/>
      <c r="AU73" s="117"/>
      <c r="AV73" s="117"/>
      <c r="AW73" s="117"/>
      <c r="AX73" s="117"/>
      <c r="AY73" s="117"/>
      <c r="AZ73" s="117"/>
      <c r="BA73" s="117"/>
      <c r="BB73" s="117"/>
      <c r="BC73" s="117"/>
      <c r="BD73" s="117"/>
      <c r="BE73" s="117"/>
      <c r="BF73" s="117"/>
      <c r="BG73" s="117"/>
      <c r="BH73" s="117"/>
      <c r="BI73" s="117"/>
      <c r="BJ73" s="117"/>
      <c r="BK73" s="117"/>
      <c r="BL73" s="117"/>
      <c r="BM73" s="117"/>
      <c r="BN73" s="117"/>
      <c r="BO73" s="117"/>
      <c r="BP73" s="117"/>
      <c r="BQ73" s="117"/>
      <c r="BR73" s="117"/>
      <c r="BS73" s="117"/>
      <c r="BT73" s="117"/>
      <c r="BU73" s="117"/>
      <c r="BV73" s="117"/>
      <c r="BW73" s="117"/>
      <c r="BX73" s="117"/>
      <c r="BY73" s="117"/>
      <c r="BZ73" s="117"/>
      <c r="CA73" s="117"/>
      <c r="CB73" s="117"/>
      <c r="CC73" s="117"/>
      <c r="CD73" s="117"/>
      <c r="CE73" s="117"/>
      <c r="CF73" s="117"/>
      <c r="CG73" s="117"/>
      <c r="CH73" s="117"/>
      <c r="CI73" s="97"/>
      <c r="CJ73" s="97"/>
    </row>
    <row r="74" spans="1:88" ht="22.5" customHeight="1" x14ac:dyDescent="0.45">
      <c r="A74" s="165"/>
      <c r="B74" s="495"/>
      <c r="C74" s="232"/>
      <c r="D74" s="235"/>
      <c r="E74" s="235"/>
      <c r="F74" s="235"/>
      <c r="G74" s="235"/>
      <c r="H74" s="477"/>
      <c r="I74" s="477"/>
      <c r="J74" s="235"/>
      <c r="K74" s="235"/>
      <c r="L74" s="235"/>
      <c r="M74" s="235"/>
      <c r="N74" s="235"/>
      <c r="O74" s="235"/>
      <c r="P74" s="235"/>
      <c r="Q74" s="235"/>
      <c r="R74" s="235"/>
      <c r="S74" s="235"/>
      <c r="T74" s="235"/>
      <c r="U74" s="235"/>
      <c r="V74" s="235"/>
      <c r="W74" s="235"/>
      <c r="X74" s="235"/>
      <c r="Y74" s="235"/>
      <c r="Z74" s="235"/>
      <c r="AA74" s="235"/>
      <c r="AB74" s="495"/>
      <c r="AC74" s="201"/>
      <c r="AD74" s="201"/>
      <c r="AE74" s="201"/>
      <c r="AF74" s="201"/>
      <c r="AG74" s="201"/>
      <c r="AH74" s="201"/>
      <c r="AI74" s="201"/>
      <c r="AJ74" s="201"/>
      <c r="AK74" s="201"/>
      <c r="AL74" s="201"/>
      <c r="AM74" s="201"/>
      <c r="AN74" s="201"/>
      <c r="AO74" s="201"/>
      <c r="AP74" s="201"/>
      <c r="AQ74" s="201"/>
      <c r="AR74" s="201"/>
      <c r="AS74" s="201"/>
      <c r="AT74" s="201"/>
      <c r="AU74" s="201"/>
      <c r="AV74" s="201"/>
      <c r="AW74" s="201"/>
      <c r="AX74" s="201"/>
      <c r="AY74" s="201"/>
      <c r="AZ74" s="201"/>
      <c r="BA74" s="201"/>
      <c r="BB74" s="201"/>
      <c r="BC74" s="201"/>
      <c r="BD74" s="201"/>
      <c r="BE74" s="201"/>
      <c r="BF74" s="201"/>
      <c r="BG74" s="201"/>
      <c r="BH74" s="201"/>
      <c r="BI74" s="201"/>
      <c r="BJ74" s="201"/>
      <c r="BK74" s="201"/>
      <c r="BL74" s="201"/>
      <c r="BM74" s="201"/>
      <c r="BN74" s="201"/>
      <c r="BO74" s="201"/>
      <c r="BP74" s="201"/>
      <c r="BQ74" s="201"/>
      <c r="BR74" s="201"/>
      <c r="BS74" s="201"/>
      <c r="BT74" s="201"/>
      <c r="BU74" s="201"/>
      <c r="BV74" s="201"/>
      <c r="BW74" s="201"/>
      <c r="BX74" s="201"/>
      <c r="BY74" s="201"/>
      <c r="BZ74" s="201"/>
      <c r="CA74" s="201"/>
      <c r="CB74" s="201"/>
      <c r="CC74" s="201"/>
      <c r="CD74" s="201"/>
      <c r="CE74" s="201"/>
      <c r="CF74" s="201"/>
      <c r="CG74" s="117"/>
      <c r="CH74" s="117"/>
      <c r="CI74" s="97"/>
      <c r="CJ74" s="97"/>
    </row>
    <row r="75" spans="1:88" ht="28.5" customHeight="1" thickBot="1" x14ac:dyDescent="0.5">
      <c r="A75" s="97"/>
      <c r="B75" s="495"/>
      <c r="C75" s="233"/>
      <c r="D75" s="236"/>
      <c r="E75" s="236"/>
      <c r="F75" s="236"/>
      <c r="G75" s="236"/>
      <c r="H75" s="478"/>
      <c r="I75" s="478"/>
      <c r="J75" s="236"/>
      <c r="K75" s="236"/>
      <c r="L75" s="236"/>
      <c r="M75" s="236"/>
      <c r="N75" s="236"/>
      <c r="O75" s="236"/>
      <c r="P75" s="236"/>
      <c r="Q75" s="236"/>
      <c r="R75" s="236"/>
      <c r="S75" s="236"/>
      <c r="T75" s="236"/>
      <c r="U75" s="236"/>
      <c r="V75" s="236"/>
      <c r="W75" s="236"/>
      <c r="X75" s="235"/>
      <c r="Y75" s="235"/>
      <c r="Z75" s="235"/>
      <c r="AA75" s="235"/>
      <c r="AB75" s="495"/>
      <c r="AC75" s="117"/>
      <c r="AD75" s="117"/>
      <c r="AE75" s="117"/>
      <c r="AF75" s="117"/>
      <c r="AG75" s="117"/>
      <c r="AH75" s="117"/>
      <c r="AI75" s="117"/>
      <c r="AJ75" s="117"/>
      <c r="AK75" s="117"/>
      <c r="AL75" s="117"/>
      <c r="AM75" s="117"/>
      <c r="AN75" s="117"/>
      <c r="AO75" s="117"/>
      <c r="AP75" s="117"/>
      <c r="AQ75" s="117"/>
      <c r="AR75" s="117"/>
      <c r="AS75" s="117"/>
      <c r="AT75" s="117"/>
      <c r="AU75" s="117"/>
      <c r="AV75" s="117"/>
      <c r="AW75" s="117"/>
      <c r="AX75" s="117"/>
      <c r="AY75" s="117"/>
      <c r="AZ75" s="117"/>
      <c r="BA75" s="117"/>
      <c r="BB75" s="117"/>
      <c r="BC75" s="117"/>
      <c r="BD75" s="117"/>
      <c r="BE75" s="117"/>
      <c r="BF75" s="117"/>
      <c r="BG75" s="117"/>
      <c r="BH75" s="117"/>
      <c r="BI75" s="117"/>
      <c r="BJ75" s="117"/>
      <c r="BK75" s="117"/>
      <c r="BL75" s="117"/>
      <c r="BM75" s="117"/>
      <c r="BN75" s="117"/>
      <c r="BO75" s="117"/>
      <c r="BP75" s="117"/>
      <c r="BQ75" s="117"/>
      <c r="BR75" s="117"/>
      <c r="BS75" s="117"/>
      <c r="BT75" s="117"/>
      <c r="BU75" s="117"/>
      <c r="BV75" s="117"/>
      <c r="BW75" s="117"/>
      <c r="BX75" s="117"/>
      <c r="BY75" s="117"/>
      <c r="BZ75" s="117"/>
      <c r="CA75" s="117"/>
      <c r="CB75" s="117"/>
      <c r="CC75" s="117"/>
      <c r="CD75" s="117"/>
      <c r="CE75" s="117"/>
      <c r="CF75" s="117"/>
      <c r="CG75" s="117"/>
      <c r="CH75" s="117"/>
      <c r="CI75" s="97"/>
      <c r="CJ75" s="97"/>
    </row>
    <row r="76" spans="1:88" x14ac:dyDescent="0.45">
      <c r="A76" s="97"/>
      <c r="B76" s="495"/>
      <c r="C76" s="142" t="s">
        <v>197</v>
      </c>
      <c r="D76" s="131"/>
      <c r="E76" s="131" t="s">
        <v>439</v>
      </c>
      <c r="F76" s="131" t="s">
        <v>243</v>
      </c>
      <c r="G76" s="198" t="s">
        <v>619</v>
      </c>
      <c r="H76" s="456" t="s">
        <v>597</v>
      </c>
      <c r="I76" s="456" t="s">
        <v>255</v>
      </c>
      <c r="J76" s="130" t="s">
        <v>521</v>
      </c>
      <c r="K76" s="130" t="s">
        <v>597</v>
      </c>
      <c r="L76" s="130" t="s">
        <v>574</v>
      </c>
      <c r="M76" s="130" t="s">
        <v>315</v>
      </c>
      <c r="N76" s="130" t="s">
        <v>315</v>
      </c>
      <c r="O76" s="130" t="s">
        <v>328</v>
      </c>
      <c r="P76" s="130" t="s">
        <v>363</v>
      </c>
      <c r="Q76" s="130" t="s">
        <v>324</v>
      </c>
      <c r="R76" s="130" t="s">
        <v>541</v>
      </c>
      <c r="S76" s="130" t="s">
        <v>289</v>
      </c>
      <c r="T76" s="130" t="s">
        <v>278</v>
      </c>
      <c r="U76" s="130"/>
      <c r="V76" s="130"/>
      <c r="W76" s="132" t="s">
        <v>501</v>
      </c>
      <c r="X76" s="132" t="s">
        <v>503</v>
      </c>
      <c r="Y76" s="130"/>
      <c r="Z76" s="130"/>
      <c r="AA76" s="434"/>
      <c r="AB76" s="495"/>
      <c r="AC76" s="117"/>
      <c r="AD76" s="117"/>
      <c r="AE76" s="117"/>
      <c r="AF76" s="117"/>
      <c r="AG76" s="117"/>
      <c r="AH76" s="117"/>
      <c r="AI76" s="117"/>
      <c r="AJ76" s="117"/>
      <c r="AK76" s="117"/>
      <c r="AL76" s="117"/>
      <c r="AM76" s="117"/>
      <c r="AN76" s="117"/>
      <c r="AO76" s="117"/>
      <c r="AP76" s="117"/>
      <c r="AQ76" s="117"/>
      <c r="AR76" s="117"/>
      <c r="AS76" s="117"/>
      <c r="AT76" s="117"/>
      <c r="AU76" s="117"/>
      <c r="AV76" s="117"/>
      <c r="AW76" s="117"/>
      <c r="AX76" s="117"/>
      <c r="AY76" s="117"/>
      <c r="AZ76" s="117"/>
      <c r="BA76" s="117"/>
      <c r="BB76" s="117"/>
      <c r="BC76" s="117"/>
      <c r="BD76" s="117"/>
      <c r="BE76" s="117"/>
      <c r="BF76" s="117"/>
      <c r="BG76" s="117"/>
      <c r="BH76" s="117"/>
      <c r="BI76" s="117"/>
      <c r="BJ76" s="117"/>
      <c r="BK76" s="117"/>
      <c r="BL76" s="117"/>
      <c r="BM76" s="117"/>
      <c r="BN76" s="117"/>
      <c r="BO76" s="117"/>
      <c r="BP76" s="117"/>
      <c r="BQ76" s="117"/>
      <c r="BR76" s="117"/>
      <c r="BS76" s="117"/>
      <c r="BT76" s="117"/>
      <c r="BU76" s="117"/>
      <c r="BV76" s="117"/>
      <c r="BW76" s="117"/>
      <c r="BX76" s="117"/>
      <c r="BY76" s="117"/>
      <c r="BZ76" s="117"/>
      <c r="CA76" s="117"/>
      <c r="CB76" s="117"/>
      <c r="CC76" s="117"/>
      <c r="CD76" s="117"/>
      <c r="CE76" s="117"/>
      <c r="CF76" s="117"/>
      <c r="CG76" s="117"/>
      <c r="CH76" s="117"/>
      <c r="CI76" s="97"/>
      <c r="CJ76" s="97"/>
    </row>
    <row r="77" spans="1:88" x14ac:dyDescent="0.45">
      <c r="A77" s="97"/>
      <c r="B77" s="495"/>
      <c r="C77" s="435"/>
      <c r="D77" s="431"/>
      <c r="E77" s="439" t="s">
        <v>440</v>
      </c>
      <c r="F77" s="431" t="s">
        <v>518</v>
      </c>
      <c r="G77" s="198" t="s">
        <v>620</v>
      </c>
      <c r="H77" s="482" t="s">
        <v>598</v>
      </c>
      <c r="I77" s="482" t="s">
        <v>256</v>
      </c>
      <c r="J77" s="257" t="s">
        <v>522</v>
      </c>
      <c r="K77" s="257" t="s">
        <v>598</v>
      </c>
      <c r="L77" s="257" t="s">
        <v>575</v>
      </c>
      <c r="M77" s="257" t="s">
        <v>316</v>
      </c>
      <c r="N77" s="257" t="s">
        <v>316</v>
      </c>
      <c r="O77" s="257" t="s">
        <v>357</v>
      </c>
      <c r="P77" s="257" t="s">
        <v>364</v>
      </c>
      <c r="Q77" s="257" t="s">
        <v>298</v>
      </c>
      <c r="R77" s="257" t="s">
        <v>206</v>
      </c>
      <c r="S77" s="257" t="s">
        <v>290</v>
      </c>
      <c r="T77" s="257" t="s">
        <v>279</v>
      </c>
      <c r="U77" s="257"/>
      <c r="V77" s="257"/>
      <c r="W77" s="434" t="s">
        <v>502</v>
      </c>
      <c r="X77" s="434" t="s">
        <v>502</v>
      </c>
      <c r="Y77" s="257"/>
      <c r="Z77" s="257"/>
      <c r="AA77" s="434"/>
      <c r="AB77" s="495"/>
      <c r="AC77" s="117"/>
      <c r="AD77" s="117"/>
      <c r="AE77" s="117"/>
      <c r="AF77" s="117"/>
      <c r="AG77" s="117"/>
      <c r="AH77" s="117"/>
      <c r="AI77" s="117"/>
      <c r="AJ77" s="117"/>
      <c r="AK77" s="117"/>
      <c r="AL77" s="117"/>
      <c r="AM77" s="117"/>
      <c r="AN77" s="117"/>
      <c r="AO77" s="117"/>
      <c r="AP77" s="117"/>
      <c r="AQ77" s="117"/>
      <c r="AR77" s="117"/>
      <c r="AS77" s="117"/>
      <c r="AT77" s="117"/>
      <c r="AU77" s="117"/>
      <c r="AV77" s="117"/>
      <c r="AW77" s="117"/>
      <c r="AX77" s="117"/>
      <c r="AY77" s="117"/>
      <c r="AZ77" s="117"/>
      <c r="BA77" s="117"/>
      <c r="BB77" s="117"/>
      <c r="BC77" s="117"/>
      <c r="BD77" s="117"/>
      <c r="BE77" s="117"/>
      <c r="BF77" s="117"/>
      <c r="BG77" s="117"/>
      <c r="BH77" s="117"/>
      <c r="BI77" s="117"/>
      <c r="BJ77" s="117"/>
      <c r="BK77" s="117"/>
      <c r="BL77" s="117"/>
      <c r="BM77" s="117"/>
      <c r="BN77" s="117"/>
      <c r="BO77" s="117"/>
      <c r="BP77" s="117"/>
      <c r="BQ77" s="117"/>
      <c r="BR77" s="117"/>
      <c r="BS77" s="117"/>
      <c r="BT77" s="117"/>
      <c r="BU77" s="117"/>
      <c r="BV77" s="117"/>
      <c r="BW77" s="117"/>
      <c r="BX77" s="117"/>
      <c r="BY77" s="117"/>
      <c r="BZ77" s="117"/>
      <c r="CA77" s="117"/>
      <c r="CB77" s="117"/>
      <c r="CC77" s="117"/>
      <c r="CD77" s="117"/>
      <c r="CE77" s="117"/>
      <c r="CF77" s="117"/>
      <c r="CG77" s="117"/>
      <c r="CH77" s="117"/>
      <c r="CI77" s="97"/>
      <c r="CJ77" s="97"/>
    </row>
    <row r="78" spans="1:88" x14ac:dyDescent="0.45">
      <c r="A78" s="97"/>
      <c r="B78" s="495"/>
      <c r="C78" s="143"/>
      <c r="D78" s="134"/>
      <c r="E78" s="204" t="s">
        <v>22</v>
      </c>
      <c r="F78" s="134" t="s">
        <v>394</v>
      </c>
      <c r="G78" s="134" t="s">
        <v>372</v>
      </c>
      <c r="H78" s="458" t="s">
        <v>701</v>
      </c>
      <c r="I78" s="458" t="s">
        <v>492</v>
      </c>
      <c r="J78" s="134" t="s">
        <v>547</v>
      </c>
      <c r="K78" s="134" t="s">
        <v>700</v>
      </c>
      <c r="L78" s="134" t="s">
        <v>215</v>
      </c>
      <c r="M78" s="134" t="s">
        <v>193</v>
      </c>
      <c r="N78" s="134" t="s">
        <v>346</v>
      </c>
      <c r="O78" s="134" t="s">
        <v>193</v>
      </c>
      <c r="P78" s="134" t="s">
        <v>366</v>
      </c>
      <c r="Q78" s="134" t="s">
        <v>371</v>
      </c>
      <c r="R78" s="134" t="s">
        <v>492</v>
      </c>
      <c r="S78" s="134" t="s">
        <v>404</v>
      </c>
      <c r="T78" s="134" t="s">
        <v>416</v>
      </c>
      <c r="U78" s="134"/>
      <c r="V78" s="134"/>
      <c r="W78" s="134" t="s">
        <v>532</v>
      </c>
      <c r="X78" s="134" t="s">
        <v>532</v>
      </c>
      <c r="Y78" s="134"/>
      <c r="Z78" s="134"/>
      <c r="AA78" s="134"/>
      <c r="AB78" s="495"/>
      <c r="AC78" s="117"/>
      <c r="AD78" s="117"/>
      <c r="AE78" s="117"/>
      <c r="AF78" s="117"/>
      <c r="AG78" s="117"/>
      <c r="AH78" s="117"/>
      <c r="AI78" s="117"/>
      <c r="AJ78" s="117"/>
      <c r="AK78" s="117"/>
      <c r="AL78" s="117"/>
      <c r="AM78" s="117"/>
      <c r="AN78" s="117"/>
      <c r="AO78" s="117"/>
      <c r="AP78" s="117"/>
      <c r="AQ78" s="117"/>
      <c r="AR78" s="117"/>
      <c r="AS78" s="117"/>
      <c r="AT78" s="117"/>
      <c r="AU78" s="117"/>
      <c r="AV78" s="117"/>
      <c r="AW78" s="117"/>
      <c r="AX78" s="117"/>
      <c r="AY78" s="117"/>
      <c r="AZ78" s="117"/>
      <c r="BA78" s="117"/>
      <c r="BB78" s="117"/>
      <c r="BC78" s="117"/>
      <c r="BD78" s="117"/>
      <c r="BE78" s="117"/>
      <c r="BF78" s="117"/>
      <c r="BG78" s="117"/>
      <c r="BH78" s="117"/>
      <c r="BI78" s="117"/>
      <c r="BJ78" s="117"/>
      <c r="BK78" s="117"/>
      <c r="BL78" s="117"/>
      <c r="BM78" s="117"/>
      <c r="BN78" s="117"/>
      <c r="BO78" s="117"/>
      <c r="BP78" s="117"/>
      <c r="BQ78" s="117"/>
      <c r="BR78" s="117"/>
      <c r="BS78" s="117"/>
      <c r="BT78" s="117"/>
      <c r="BU78" s="117"/>
      <c r="BV78" s="117"/>
      <c r="BW78" s="117"/>
      <c r="BX78" s="117"/>
      <c r="BY78" s="117"/>
      <c r="BZ78" s="117"/>
      <c r="CA78" s="117"/>
      <c r="CB78" s="117"/>
      <c r="CC78" s="117"/>
      <c r="CD78" s="117"/>
      <c r="CE78" s="117"/>
      <c r="CF78" s="117"/>
      <c r="CG78" s="117"/>
      <c r="CH78" s="117"/>
      <c r="CI78" s="97"/>
      <c r="CJ78" s="97"/>
    </row>
    <row r="79" spans="1:88" ht="24" thickBot="1" x14ac:dyDescent="0.5">
      <c r="A79" s="97"/>
      <c r="B79" s="495"/>
      <c r="C79" s="144" t="s">
        <v>194</v>
      </c>
      <c r="D79" s="136"/>
      <c r="E79" s="136" t="s">
        <v>143</v>
      </c>
      <c r="F79" s="136" t="s">
        <v>733</v>
      </c>
      <c r="G79" s="199" t="s">
        <v>188</v>
      </c>
      <c r="H79" s="459" t="s">
        <v>599</v>
      </c>
      <c r="I79" s="459" t="s">
        <v>208</v>
      </c>
      <c r="J79" s="136" t="s">
        <v>719</v>
      </c>
      <c r="K79" s="136" t="s">
        <v>699</v>
      </c>
      <c r="L79" s="136" t="s">
        <v>348</v>
      </c>
      <c r="M79" s="136" t="s">
        <v>356</v>
      </c>
      <c r="N79" s="136" t="s">
        <v>682</v>
      </c>
      <c r="O79" s="136" t="s">
        <v>603</v>
      </c>
      <c r="P79" s="136" t="s">
        <v>119</v>
      </c>
      <c r="Q79" s="136" t="s">
        <v>550</v>
      </c>
      <c r="R79" s="136" t="s">
        <v>300</v>
      </c>
      <c r="S79" s="136" t="s">
        <v>379</v>
      </c>
      <c r="T79" s="136" t="s">
        <v>480</v>
      </c>
      <c r="U79" s="136"/>
      <c r="V79" s="136"/>
      <c r="W79" s="136" t="s">
        <v>381</v>
      </c>
      <c r="X79" s="136" t="s">
        <v>381</v>
      </c>
      <c r="Y79" s="136"/>
      <c r="Z79" s="136"/>
      <c r="AA79" s="445"/>
      <c r="AB79" s="495"/>
      <c r="AC79" s="117"/>
      <c r="AD79" s="117"/>
      <c r="AE79" s="117"/>
      <c r="AF79" s="117"/>
      <c r="AG79" s="117"/>
      <c r="AH79" s="117"/>
      <c r="AI79" s="117"/>
      <c r="AJ79" s="117"/>
      <c r="AK79" s="117"/>
      <c r="AL79" s="117"/>
      <c r="AM79" s="117"/>
      <c r="AN79" s="117"/>
      <c r="AO79" s="117"/>
      <c r="AP79" s="117"/>
      <c r="AQ79" s="117"/>
      <c r="AR79" s="117"/>
      <c r="AS79" s="117"/>
      <c r="AT79" s="117"/>
      <c r="AU79" s="117"/>
      <c r="AV79" s="117"/>
      <c r="AW79" s="117"/>
      <c r="AX79" s="117"/>
      <c r="AY79" s="117"/>
      <c r="AZ79" s="117"/>
      <c r="BA79" s="117"/>
      <c r="BB79" s="117"/>
      <c r="BC79" s="117"/>
      <c r="BD79" s="117"/>
      <c r="BE79" s="117"/>
      <c r="BF79" s="117"/>
      <c r="BG79" s="117"/>
      <c r="BH79" s="117"/>
      <c r="BI79" s="117"/>
      <c r="BJ79" s="117"/>
      <c r="BK79" s="117"/>
      <c r="BL79" s="117"/>
      <c r="BM79" s="117"/>
      <c r="BN79" s="117"/>
      <c r="BO79" s="117"/>
      <c r="BP79" s="117"/>
      <c r="BQ79" s="117"/>
      <c r="BR79" s="117"/>
      <c r="BS79" s="117"/>
      <c r="BT79" s="117"/>
      <c r="BU79" s="117"/>
      <c r="BV79" s="117"/>
      <c r="BW79" s="117"/>
      <c r="BX79" s="117"/>
      <c r="BY79" s="117"/>
      <c r="BZ79" s="117"/>
      <c r="CA79" s="117"/>
      <c r="CB79" s="117"/>
      <c r="CC79" s="117"/>
      <c r="CD79" s="117"/>
      <c r="CE79" s="117"/>
      <c r="CF79" s="117"/>
      <c r="CG79" s="117"/>
      <c r="CH79" s="117"/>
      <c r="CI79" s="97"/>
      <c r="CJ79" s="97"/>
    </row>
    <row r="80" spans="1:88" x14ac:dyDescent="0.45">
      <c r="A80" s="97"/>
      <c r="B80" s="495"/>
      <c r="C80" s="142" t="s">
        <v>194</v>
      </c>
      <c r="D80" s="131"/>
      <c r="E80" s="131"/>
      <c r="F80" s="131" t="s">
        <v>415</v>
      </c>
      <c r="G80" s="131"/>
      <c r="H80" s="457"/>
      <c r="I80" s="457"/>
      <c r="J80" s="131"/>
      <c r="K80" s="131"/>
      <c r="L80" s="131"/>
      <c r="M80" s="130"/>
      <c r="N80" s="130"/>
      <c r="O80" s="130"/>
      <c r="P80" s="130"/>
      <c r="Q80" s="130"/>
      <c r="R80" s="130"/>
      <c r="S80" s="130"/>
      <c r="T80" s="130"/>
      <c r="U80" s="130"/>
      <c r="V80" s="130"/>
      <c r="W80" s="130" t="s">
        <v>511</v>
      </c>
      <c r="Y80" s="130"/>
      <c r="Z80" s="130" t="s">
        <v>768</v>
      </c>
      <c r="AA80" s="257"/>
      <c r="AB80" s="495"/>
      <c r="AC80" s="117"/>
      <c r="AD80" s="117"/>
      <c r="AE80" s="117"/>
      <c r="AF80" s="117"/>
      <c r="AG80" s="117"/>
      <c r="AH80" s="117"/>
      <c r="AI80" s="117"/>
      <c r="AJ80" s="117"/>
      <c r="AK80" s="117"/>
      <c r="AL80" s="117"/>
      <c r="AM80" s="117"/>
      <c r="AN80" s="117"/>
      <c r="AO80" s="117"/>
      <c r="AP80" s="117"/>
      <c r="AQ80" s="117"/>
      <c r="AR80" s="117"/>
      <c r="AS80" s="117"/>
      <c r="AT80" s="117"/>
      <c r="AU80" s="117"/>
      <c r="AV80" s="117"/>
      <c r="AW80" s="117"/>
      <c r="AX80" s="117"/>
      <c r="AY80" s="117"/>
      <c r="AZ80" s="117"/>
      <c r="BA80" s="117"/>
      <c r="BB80" s="117"/>
      <c r="BC80" s="117"/>
      <c r="BD80" s="117"/>
      <c r="BE80" s="117"/>
      <c r="BF80" s="117"/>
      <c r="BG80" s="117"/>
      <c r="BH80" s="117"/>
      <c r="BI80" s="117"/>
      <c r="BJ80" s="117"/>
      <c r="BK80" s="117"/>
      <c r="BL80" s="117"/>
      <c r="BM80" s="117"/>
      <c r="BN80" s="117"/>
      <c r="BO80" s="117"/>
      <c r="BP80" s="117"/>
      <c r="BQ80" s="117"/>
      <c r="BR80" s="117"/>
      <c r="BS80" s="117"/>
      <c r="BT80" s="117"/>
      <c r="BU80" s="117"/>
      <c r="BV80" s="117"/>
      <c r="BW80" s="117"/>
      <c r="BX80" s="117"/>
      <c r="BY80" s="117"/>
      <c r="BZ80" s="117"/>
      <c r="CA80" s="117"/>
      <c r="CB80" s="117"/>
      <c r="CC80" s="117"/>
      <c r="CD80" s="117"/>
      <c r="CE80" s="117"/>
      <c r="CF80" s="117"/>
      <c r="CG80" s="117"/>
      <c r="CH80" s="117"/>
      <c r="CI80" s="97"/>
      <c r="CJ80" s="97"/>
    </row>
    <row r="81" spans="1:88" x14ac:dyDescent="0.45">
      <c r="A81" s="97"/>
      <c r="B81" s="495"/>
      <c r="C81" s="435"/>
      <c r="D81" s="431"/>
      <c r="E81" s="439"/>
      <c r="F81" s="431" t="s">
        <v>414</v>
      </c>
      <c r="G81" s="431"/>
      <c r="H81" s="486"/>
      <c r="I81" s="486"/>
      <c r="J81" s="431"/>
      <c r="K81" s="431"/>
      <c r="L81" s="431"/>
      <c r="M81" s="257"/>
      <c r="N81" s="257"/>
      <c r="O81" s="257"/>
      <c r="P81" s="257"/>
      <c r="Q81" s="257"/>
      <c r="R81" s="257"/>
      <c r="S81" s="257"/>
      <c r="T81" s="257"/>
      <c r="U81" s="257"/>
      <c r="V81" s="257"/>
      <c r="W81" s="257" t="s">
        <v>280</v>
      </c>
      <c r="Y81" s="257"/>
      <c r="Z81" s="257" t="s">
        <v>769</v>
      </c>
      <c r="AA81" s="257"/>
      <c r="AB81" s="495"/>
      <c r="AC81" s="117"/>
      <c r="AD81" s="117"/>
      <c r="AE81" s="117"/>
      <c r="AF81" s="117"/>
      <c r="AG81" s="117"/>
      <c r="AH81" s="117"/>
      <c r="AI81" s="117"/>
      <c r="AJ81" s="117"/>
      <c r="AK81" s="117"/>
      <c r="AL81" s="117"/>
      <c r="AM81" s="117"/>
      <c r="AN81" s="117"/>
      <c r="AO81" s="117"/>
      <c r="AP81" s="117"/>
      <c r="AQ81" s="117"/>
      <c r="AR81" s="117"/>
      <c r="AS81" s="117"/>
      <c r="AT81" s="117"/>
      <c r="AU81" s="117"/>
      <c r="AV81" s="117"/>
      <c r="AW81" s="117"/>
      <c r="AX81" s="117"/>
      <c r="AY81" s="117"/>
      <c r="AZ81" s="117"/>
      <c r="BA81" s="117"/>
      <c r="BB81" s="117"/>
      <c r="BC81" s="117"/>
      <c r="BD81" s="117"/>
      <c r="BE81" s="117"/>
      <c r="BF81" s="117"/>
      <c r="BG81" s="117"/>
      <c r="BH81" s="117"/>
      <c r="BI81" s="117"/>
      <c r="BJ81" s="117"/>
      <c r="BK81" s="117"/>
      <c r="BL81" s="117"/>
      <c r="BM81" s="117"/>
      <c r="BN81" s="117"/>
      <c r="BO81" s="117"/>
      <c r="BP81" s="117"/>
      <c r="BQ81" s="117"/>
      <c r="BR81" s="117"/>
      <c r="BS81" s="117"/>
      <c r="BT81" s="117"/>
      <c r="BU81" s="117"/>
      <c r="BV81" s="117"/>
      <c r="BW81" s="117"/>
      <c r="BX81" s="117"/>
      <c r="BY81" s="117"/>
      <c r="BZ81" s="117"/>
      <c r="CA81" s="117"/>
      <c r="CB81" s="117"/>
      <c r="CC81" s="117"/>
      <c r="CD81" s="117"/>
      <c r="CE81" s="117"/>
      <c r="CF81" s="117"/>
      <c r="CG81" s="117"/>
      <c r="CH81" s="117"/>
      <c r="CI81" s="97"/>
      <c r="CJ81" s="97"/>
    </row>
    <row r="82" spans="1:88" x14ac:dyDescent="0.45">
      <c r="A82" s="97"/>
      <c r="B82" s="495"/>
      <c r="C82" s="143"/>
      <c r="D82" s="134"/>
      <c r="E82" s="204"/>
      <c r="F82" s="134" t="s">
        <v>262</v>
      </c>
      <c r="G82" s="134"/>
      <c r="H82" s="458"/>
      <c r="I82" s="458"/>
      <c r="J82" s="134"/>
      <c r="K82" s="134"/>
      <c r="L82" s="134"/>
      <c r="M82" s="134"/>
      <c r="N82" s="134"/>
      <c r="O82" s="134"/>
      <c r="P82" s="134"/>
      <c r="Q82" s="134"/>
      <c r="R82" s="134"/>
      <c r="S82" s="134"/>
      <c r="T82" s="134"/>
      <c r="U82" s="134"/>
      <c r="V82" s="134"/>
      <c r="W82" s="134" t="s">
        <v>370</v>
      </c>
      <c r="Y82" s="134"/>
      <c r="Z82" s="134" t="s">
        <v>262</v>
      </c>
      <c r="AA82" s="134"/>
      <c r="AB82" s="495"/>
      <c r="AC82" s="117"/>
      <c r="AD82" s="117"/>
      <c r="AE82" s="117"/>
      <c r="AF82" s="117"/>
      <c r="AG82" s="117"/>
      <c r="AH82" s="117"/>
      <c r="AI82" s="117"/>
      <c r="AJ82" s="117"/>
      <c r="AK82" s="117"/>
      <c r="AL82" s="117"/>
      <c r="AM82" s="117"/>
      <c r="AN82" s="117"/>
      <c r="AO82" s="117"/>
      <c r="AP82" s="117"/>
      <c r="AQ82" s="117"/>
      <c r="AR82" s="117"/>
      <c r="AS82" s="117"/>
      <c r="AT82" s="117"/>
      <c r="AU82" s="117"/>
      <c r="AV82" s="117"/>
      <c r="AW82" s="117"/>
      <c r="AX82" s="117"/>
      <c r="AY82" s="117"/>
      <c r="AZ82" s="117"/>
      <c r="BA82" s="117"/>
      <c r="BB82" s="117"/>
      <c r="BC82" s="117"/>
      <c r="BD82" s="117"/>
      <c r="BE82" s="117"/>
      <c r="BF82" s="117"/>
      <c r="BG82" s="117"/>
      <c r="BH82" s="117"/>
      <c r="BI82" s="117"/>
      <c r="BJ82" s="117"/>
      <c r="BK82" s="117"/>
      <c r="BL82" s="117"/>
      <c r="BM82" s="117"/>
      <c r="BN82" s="117"/>
      <c r="BO82" s="117"/>
      <c r="BP82" s="117"/>
      <c r="BQ82" s="117"/>
      <c r="BR82" s="117"/>
      <c r="BS82" s="117"/>
      <c r="BT82" s="117"/>
      <c r="BU82" s="117"/>
      <c r="BV82" s="117"/>
      <c r="BW82" s="117"/>
      <c r="BX82" s="117"/>
      <c r="BY82" s="117"/>
      <c r="BZ82" s="117"/>
      <c r="CA82" s="117"/>
      <c r="CB82" s="117"/>
      <c r="CC82" s="117"/>
      <c r="CD82" s="117"/>
      <c r="CE82" s="117"/>
      <c r="CF82" s="117"/>
      <c r="CG82" s="117"/>
      <c r="CH82" s="117"/>
      <c r="CI82" s="97"/>
      <c r="CJ82" s="97"/>
    </row>
    <row r="83" spans="1:88" ht="24" thickBot="1" x14ac:dyDescent="0.5">
      <c r="A83" s="97"/>
      <c r="B83" s="495"/>
      <c r="C83" s="144" t="s">
        <v>195</v>
      </c>
      <c r="D83" s="136"/>
      <c r="E83" s="136"/>
      <c r="F83" s="136" t="s">
        <v>188</v>
      </c>
      <c r="G83" s="199"/>
      <c r="H83" s="459"/>
      <c r="I83" s="459"/>
      <c r="J83" s="136"/>
      <c r="K83" s="136"/>
      <c r="L83" s="136"/>
      <c r="M83" s="136"/>
      <c r="N83" s="136"/>
      <c r="O83" s="136"/>
      <c r="P83" s="136"/>
      <c r="Q83" s="136"/>
      <c r="R83" s="136"/>
      <c r="S83" s="136"/>
      <c r="T83" s="136"/>
      <c r="U83" s="136"/>
      <c r="V83" s="136"/>
      <c r="W83" s="136" t="s">
        <v>269</v>
      </c>
      <c r="Y83" s="136"/>
      <c r="Z83" s="136" t="s">
        <v>708</v>
      </c>
      <c r="AA83" s="445"/>
      <c r="AB83" s="496"/>
      <c r="AC83" s="117"/>
      <c r="AD83" s="117"/>
      <c r="AE83" s="117"/>
      <c r="AF83" s="117"/>
      <c r="AG83" s="117"/>
      <c r="AH83" s="117"/>
      <c r="AI83" s="117"/>
      <c r="AJ83" s="117"/>
      <c r="AK83" s="117"/>
      <c r="AL83" s="117"/>
      <c r="AM83" s="117"/>
      <c r="AN83" s="117"/>
      <c r="AO83" s="117"/>
      <c r="AP83" s="117"/>
      <c r="AQ83" s="117"/>
      <c r="AR83" s="117"/>
      <c r="AS83" s="117"/>
      <c r="AT83" s="117"/>
      <c r="AU83" s="117"/>
      <c r="AV83" s="117"/>
      <c r="AW83" s="117"/>
      <c r="AX83" s="117"/>
      <c r="AY83" s="117"/>
      <c r="AZ83" s="117"/>
      <c r="BA83" s="117"/>
      <c r="BB83" s="117"/>
      <c r="BC83" s="117"/>
      <c r="BD83" s="117"/>
      <c r="BE83" s="117"/>
      <c r="BF83" s="117"/>
      <c r="BG83" s="117"/>
      <c r="BH83" s="117"/>
      <c r="BI83" s="117"/>
      <c r="BJ83" s="117"/>
      <c r="BK83" s="117"/>
      <c r="BL83" s="117"/>
      <c r="BM83" s="117"/>
      <c r="BN83" s="117"/>
      <c r="BO83" s="117"/>
      <c r="BP83" s="117"/>
      <c r="BQ83" s="117"/>
      <c r="BR83" s="117"/>
      <c r="BS83" s="117"/>
      <c r="BT83" s="117"/>
      <c r="BU83" s="117"/>
      <c r="BV83" s="117"/>
      <c r="BW83" s="117"/>
      <c r="BX83" s="117"/>
      <c r="BY83" s="117"/>
      <c r="BZ83" s="117"/>
      <c r="CA83" s="117"/>
      <c r="CB83" s="117"/>
      <c r="CC83" s="117"/>
      <c r="CD83" s="117"/>
      <c r="CE83" s="117"/>
      <c r="CF83" s="117"/>
      <c r="CG83" s="117"/>
      <c r="CH83" s="117"/>
      <c r="CI83" s="97"/>
      <c r="CJ83" s="97"/>
    </row>
    <row r="84" spans="1:88" ht="24" customHeight="1" thickTop="1" x14ac:dyDescent="0.45">
      <c r="A84" s="97"/>
      <c r="B84" s="497" t="s">
        <v>12</v>
      </c>
      <c r="C84" s="166" t="s">
        <v>198</v>
      </c>
      <c r="D84" s="167" t="s">
        <v>219</v>
      </c>
      <c r="E84" s="167"/>
      <c r="F84" s="167"/>
      <c r="G84" s="167"/>
      <c r="H84" s="464"/>
      <c r="I84" s="464" t="s">
        <v>263</v>
      </c>
      <c r="J84" s="167"/>
      <c r="K84" s="167"/>
      <c r="L84" s="167"/>
      <c r="M84" s="167" t="s">
        <v>334</v>
      </c>
      <c r="N84" s="167" t="s">
        <v>681</v>
      </c>
      <c r="O84" s="167" t="s">
        <v>324</v>
      </c>
      <c r="P84" s="167" t="s">
        <v>324</v>
      </c>
      <c r="Q84" s="167" t="s">
        <v>319</v>
      </c>
      <c r="R84" s="167"/>
      <c r="S84" s="167"/>
      <c r="T84" s="167" t="s">
        <v>289</v>
      </c>
      <c r="U84" s="167" t="s">
        <v>284</v>
      </c>
      <c r="V84" s="167" t="s">
        <v>284</v>
      </c>
      <c r="W84" s="167" t="s">
        <v>499</v>
      </c>
      <c r="X84" s="167" t="s">
        <v>535</v>
      </c>
      <c r="Y84" s="167"/>
      <c r="Z84" s="167"/>
      <c r="AA84" s="258"/>
      <c r="AB84" s="497" t="s">
        <v>12</v>
      </c>
      <c r="AC84" s="117"/>
      <c r="AD84" s="117"/>
      <c r="AE84" s="117"/>
      <c r="AF84" s="117"/>
      <c r="AG84" s="117"/>
      <c r="AH84" s="117"/>
      <c r="AI84" s="117"/>
      <c r="AJ84" s="117"/>
      <c r="AK84" s="117"/>
      <c r="AL84" s="117"/>
      <c r="AM84" s="117"/>
      <c r="AN84" s="117"/>
      <c r="AO84" s="117"/>
      <c r="AP84" s="117"/>
      <c r="AQ84" s="117"/>
      <c r="AR84" s="117"/>
      <c r="AS84" s="117"/>
      <c r="AT84" s="117"/>
      <c r="AU84" s="117"/>
      <c r="AV84" s="117"/>
      <c r="AW84" s="117"/>
      <c r="AX84" s="117"/>
      <c r="AY84" s="117"/>
      <c r="AZ84" s="117"/>
      <c r="BA84" s="117"/>
      <c r="BB84" s="117"/>
      <c r="BC84" s="117"/>
      <c r="BD84" s="117"/>
      <c r="BE84" s="117"/>
      <c r="BF84" s="117"/>
      <c r="BG84" s="117"/>
      <c r="BH84" s="117"/>
      <c r="BI84" s="117"/>
      <c r="BJ84" s="117"/>
      <c r="BK84" s="117"/>
      <c r="BL84" s="117"/>
      <c r="BM84" s="117"/>
      <c r="BN84" s="117"/>
      <c r="BO84" s="117"/>
      <c r="BP84" s="117"/>
      <c r="BQ84" s="117"/>
      <c r="BR84" s="117"/>
      <c r="BS84" s="117"/>
      <c r="BT84" s="117"/>
      <c r="BU84" s="117"/>
      <c r="BV84" s="117"/>
      <c r="BW84" s="117"/>
      <c r="BX84" s="117"/>
      <c r="BY84" s="117"/>
      <c r="BZ84" s="117"/>
      <c r="CA84" s="117"/>
      <c r="CB84" s="117"/>
      <c r="CC84" s="117"/>
      <c r="CD84" s="117"/>
      <c r="CE84" s="117"/>
      <c r="CF84" s="117"/>
      <c r="CG84" s="117"/>
      <c r="CH84" s="117"/>
      <c r="CI84" s="97"/>
      <c r="CJ84" s="97"/>
    </row>
    <row r="85" spans="1:88" ht="24" customHeight="1" thickBot="1" x14ac:dyDescent="0.5">
      <c r="A85" s="97"/>
      <c r="B85" s="498"/>
      <c r="C85" s="172"/>
      <c r="D85" s="258" t="s">
        <v>220</v>
      </c>
      <c r="E85" s="258"/>
      <c r="F85" s="258"/>
      <c r="G85" s="258"/>
      <c r="H85" s="483"/>
      <c r="I85" s="483" t="s">
        <v>264</v>
      </c>
      <c r="J85" s="171"/>
      <c r="K85" s="258"/>
      <c r="L85" s="258"/>
      <c r="M85" s="258" t="s">
        <v>335</v>
      </c>
      <c r="N85" s="258" t="s">
        <v>683</v>
      </c>
      <c r="O85" s="258" t="s">
        <v>298</v>
      </c>
      <c r="P85" s="258" t="s">
        <v>298</v>
      </c>
      <c r="Q85" s="258" t="s">
        <v>320</v>
      </c>
      <c r="R85" s="258"/>
      <c r="S85" s="258"/>
      <c r="T85" s="258" t="s">
        <v>345</v>
      </c>
      <c r="U85" s="258" t="s">
        <v>293</v>
      </c>
      <c r="V85" s="258" t="s">
        <v>293</v>
      </c>
      <c r="W85" s="258" t="s">
        <v>500</v>
      </c>
      <c r="X85" s="258" t="s">
        <v>536</v>
      </c>
      <c r="Y85" s="258"/>
      <c r="Z85" s="258"/>
      <c r="AA85" s="258"/>
      <c r="AB85" s="498"/>
      <c r="AC85" s="117"/>
      <c r="AD85" s="117"/>
      <c r="AE85" s="117"/>
      <c r="AF85" s="117"/>
      <c r="AG85" s="117"/>
      <c r="AH85" s="117"/>
      <c r="AI85" s="117"/>
      <c r="AJ85" s="117"/>
      <c r="AK85" s="117"/>
      <c r="AL85" s="117"/>
      <c r="AM85" s="117"/>
      <c r="AN85" s="117"/>
      <c r="AO85" s="117"/>
      <c r="AP85" s="117"/>
      <c r="AQ85" s="117"/>
      <c r="AR85" s="117"/>
      <c r="AS85" s="117"/>
      <c r="AT85" s="117"/>
      <c r="AU85" s="117"/>
      <c r="AV85" s="117"/>
      <c r="AW85" s="117"/>
      <c r="AX85" s="117"/>
      <c r="AY85" s="117"/>
      <c r="AZ85" s="117"/>
      <c r="BA85" s="117"/>
      <c r="BB85" s="117"/>
      <c r="BC85" s="117"/>
      <c r="BD85" s="117"/>
      <c r="BE85" s="117"/>
      <c r="BF85" s="117"/>
      <c r="BG85" s="117"/>
      <c r="BH85" s="117"/>
      <c r="BI85" s="117"/>
      <c r="BJ85" s="117"/>
      <c r="BK85" s="117"/>
      <c r="BL85" s="117"/>
      <c r="BM85" s="117"/>
      <c r="BN85" s="117"/>
      <c r="BO85" s="117"/>
      <c r="BP85" s="117"/>
      <c r="BQ85" s="117"/>
      <c r="BR85" s="117"/>
      <c r="BS85" s="117"/>
      <c r="BT85" s="117"/>
      <c r="BU85" s="117"/>
      <c r="BV85" s="117"/>
      <c r="BW85" s="117"/>
      <c r="BX85" s="117"/>
      <c r="BY85" s="117"/>
      <c r="BZ85" s="117"/>
      <c r="CA85" s="117"/>
      <c r="CB85" s="117"/>
      <c r="CC85" s="117"/>
      <c r="CD85" s="117"/>
      <c r="CE85" s="117"/>
      <c r="CF85" s="117"/>
      <c r="CG85" s="117"/>
      <c r="CH85" s="117"/>
      <c r="CI85" s="97"/>
      <c r="CJ85" s="97"/>
    </row>
    <row r="86" spans="1:88" x14ac:dyDescent="0.45">
      <c r="A86" s="98"/>
      <c r="B86" s="498"/>
      <c r="C86" s="168"/>
      <c r="D86" s="169" t="s">
        <v>267</v>
      </c>
      <c r="E86" s="169"/>
      <c r="F86" s="169"/>
      <c r="G86" s="169"/>
      <c r="H86" s="465"/>
      <c r="I86" s="465" t="s">
        <v>337</v>
      </c>
      <c r="J86" s="169"/>
      <c r="K86" s="169"/>
      <c r="L86" s="169"/>
      <c r="M86" s="169" t="s">
        <v>344</v>
      </c>
      <c r="N86" s="169" t="s">
        <v>558</v>
      </c>
      <c r="O86" s="169" t="s">
        <v>351</v>
      </c>
      <c r="P86" s="169" t="s">
        <v>215</v>
      </c>
      <c r="Q86" s="169" t="s">
        <v>412</v>
      </c>
      <c r="R86" s="169"/>
      <c r="S86" s="169"/>
      <c r="T86" s="169" t="s">
        <v>265</v>
      </c>
      <c r="U86" s="169" t="s">
        <v>372</v>
      </c>
      <c r="V86" s="169" t="s">
        <v>555</v>
      </c>
      <c r="W86" s="169" t="s">
        <v>216</v>
      </c>
      <c r="X86" s="169" t="s">
        <v>193</v>
      </c>
      <c r="Y86" s="169"/>
      <c r="Z86" s="169"/>
      <c r="AA86" s="169"/>
      <c r="AB86" s="498"/>
      <c r="AC86" s="164"/>
      <c r="AD86" s="164"/>
      <c r="AE86" s="164"/>
      <c r="AF86" s="164"/>
      <c r="AG86" s="164"/>
      <c r="AH86" s="164"/>
      <c r="AI86" s="164"/>
      <c r="AJ86" s="164"/>
      <c r="AK86" s="164"/>
      <c r="AL86" s="164"/>
      <c r="AM86" s="164"/>
      <c r="AN86" s="164"/>
      <c r="AO86" s="164"/>
      <c r="AP86" s="164"/>
      <c r="AQ86" s="164"/>
      <c r="AR86" s="164"/>
      <c r="AS86" s="164"/>
      <c r="AT86" s="164"/>
      <c r="AU86" s="164"/>
      <c r="AV86" s="164"/>
      <c r="AW86" s="164"/>
      <c r="AX86" s="164"/>
      <c r="AY86" s="164"/>
      <c r="AZ86" s="164"/>
      <c r="BA86" s="164"/>
      <c r="BB86" s="164"/>
      <c r="BC86" s="164"/>
      <c r="BD86" s="164"/>
      <c r="BE86" s="164"/>
      <c r="BF86" s="164"/>
      <c r="BG86" s="164"/>
      <c r="BH86" s="164"/>
      <c r="BI86" s="164"/>
      <c r="BJ86" s="164"/>
      <c r="BK86" s="164"/>
      <c r="BL86" s="164"/>
      <c r="BM86" s="164"/>
      <c r="BN86" s="164"/>
      <c r="BO86" s="164"/>
      <c r="BP86" s="164"/>
      <c r="BQ86" s="164"/>
      <c r="BR86" s="164"/>
      <c r="BS86" s="164"/>
      <c r="BT86" s="164"/>
      <c r="BU86" s="164"/>
      <c r="BV86" s="164"/>
      <c r="BW86" s="164"/>
      <c r="BX86" s="164"/>
      <c r="BY86" s="164"/>
      <c r="BZ86" s="164"/>
      <c r="CA86" s="164"/>
      <c r="CB86" s="164"/>
      <c r="CC86" s="164"/>
      <c r="CD86" s="164"/>
      <c r="CE86" s="164"/>
      <c r="CF86" s="164"/>
      <c r="CG86" s="117"/>
      <c r="CH86" s="117"/>
      <c r="CI86" s="97"/>
      <c r="CJ86" s="97"/>
    </row>
    <row r="87" spans="1:88" ht="24" thickBot="1" x14ac:dyDescent="0.5">
      <c r="A87" s="117"/>
      <c r="B87" s="498"/>
      <c r="C87" s="170" t="s">
        <v>199</v>
      </c>
      <c r="D87" s="171" t="s">
        <v>552</v>
      </c>
      <c r="E87" s="171"/>
      <c r="F87" s="171"/>
      <c r="G87" s="171"/>
      <c r="H87" s="466"/>
      <c r="I87" s="466" t="s">
        <v>453</v>
      </c>
      <c r="K87" s="208"/>
      <c r="L87" s="208"/>
      <c r="M87" s="208" t="s">
        <v>493</v>
      </c>
      <c r="N87" s="208" t="s">
        <v>660</v>
      </c>
      <c r="O87" s="208" t="s">
        <v>438</v>
      </c>
      <c r="P87" s="208" t="s">
        <v>531</v>
      </c>
      <c r="Q87" s="208" t="s">
        <v>736</v>
      </c>
      <c r="R87" s="208"/>
      <c r="S87" s="208"/>
      <c r="T87" s="208" t="s">
        <v>739</v>
      </c>
      <c r="U87" s="208" t="s">
        <v>273</v>
      </c>
      <c r="V87" s="208" t="s">
        <v>408</v>
      </c>
      <c r="W87" s="208" t="s">
        <v>481</v>
      </c>
      <c r="X87" s="208" t="s">
        <v>661</v>
      </c>
      <c r="Y87" s="208"/>
      <c r="Z87" s="208"/>
      <c r="AA87" s="447"/>
      <c r="AB87" s="498"/>
      <c r="AC87" s="117"/>
      <c r="AD87" s="117"/>
      <c r="AE87" s="117"/>
      <c r="AF87" s="117"/>
      <c r="AG87" s="117"/>
      <c r="AH87" s="117"/>
      <c r="AI87" s="117"/>
      <c r="AJ87" s="117"/>
      <c r="AK87" s="117"/>
      <c r="AL87" s="117"/>
      <c r="AM87" s="117"/>
      <c r="AN87" s="117"/>
      <c r="AO87" s="117"/>
      <c r="AP87" s="117"/>
      <c r="AQ87" s="117"/>
      <c r="AR87" s="117"/>
      <c r="AS87" s="117"/>
      <c r="AT87" s="117"/>
      <c r="AU87" s="117"/>
      <c r="AV87" s="117"/>
      <c r="AW87" s="117"/>
      <c r="AX87" s="117"/>
      <c r="AY87" s="117"/>
      <c r="AZ87" s="117"/>
      <c r="BA87" s="117"/>
      <c r="BB87" s="117"/>
      <c r="BC87" s="117"/>
      <c r="BD87" s="117"/>
      <c r="BE87" s="117"/>
      <c r="BF87" s="117"/>
      <c r="BG87" s="117"/>
      <c r="BH87" s="117"/>
      <c r="BI87" s="117"/>
      <c r="BJ87" s="117"/>
      <c r="BK87" s="117"/>
      <c r="BL87" s="117"/>
      <c r="BM87" s="117"/>
      <c r="BN87" s="117"/>
      <c r="BO87" s="117"/>
      <c r="BP87" s="117"/>
      <c r="BQ87" s="117"/>
      <c r="BR87" s="117"/>
      <c r="BS87" s="117"/>
      <c r="BT87" s="117"/>
      <c r="BU87" s="117"/>
      <c r="BV87" s="117"/>
      <c r="BW87" s="117"/>
      <c r="BX87" s="117"/>
      <c r="BY87" s="117"/>
      <c r="BZ87" s="117"/>
      <c r="CA87" s="117"/>
      <c r="CB87" s="117"/>
      <c r="CC87" s="117"/>
      <c r="CD87" s="117"/>
      <c r="CE87" s="117"/>
      <c r="CF87" s="117"/>
      <c r="CG87" s="117"/>
      <c r="CH87" s="117"/>
      <c r="CI87" s="97"/>
      <c r="CJ87" s="97"/>
    </row>
    <row r="88" spans="1:88" x14ac:dyDescent="0.45">
      <c r="A88" s="97"/>
      <c r="B88" s="498"/>
      <c r="C88" s="172" t="s">
        <v>199</v>
      </c>
      <c r="D88" s="167" t="s">
        <v>230</v>
      </c>
      <c r="E88" s="167" t="s">
        <v>441</v>
      </c>
      <c r="F88" s="167"/>
      <c r="G88" s="167"/>
      <c r="H88" s="464" t="s">
        <v>592</v>
      </c>
      <c r="I88" s="464" t="s">
        <v>255</v>
      </c>
      <c r="J88" s="167" t="s">
        <v>524</v>
      </c>
      <c r="K88" s="206" t="s">
        <v>460</v>
      </c>
      <c r="L88" s="167" t="s">
        <v>577</v>
      </c>
      <c r="M88" s="167" t="s">
        <v>311</v>
      </c>
      <c r="N88" s="167" t="s">
        <v>311</v>
      </c>
      <c r="O88" s="167" t="s">
        <v>322</v>
      </c>
      <c r="P88" s="167" t="s">
        <v>322</v>
      </c>
      <c r="Q88" s="167" t="s">
        <v>329</v>
      </c>
      <c r="R88" s="167" t="s">
        <v>472</v>
      </c>
      <c r="S88" s="167" t="s">
        <v>278</v>
      </c>
      <c r="T88" s="167" t="s">
        <v>284</v>
      </c>
      <c r="U88" s="167"/>
      <c r="V88" s="167" t="s">
        <v>329</v>
      </c>
      <c r="W88" s="167" t="s">
        <v>508</v>
      </c>
      <c r="X88" s="167" t="s">
        <v>508</v>
      </c>
      <c r="Y88" s="167" t="s">
        <v>655</v>
      </c>
      <c r="Z88" s="167"/>
      <c r="AA88" s="258"/>
      <c r="AB88" s="498"/>
      <c r="AC88" s="117"/>
      <c r="AD88" s="117"/>
      <c r="AE88" s="117"/>
      <c r="AF88" s="117"/>
      <c r="AG88" s="117"/>
      <c r="AH88" s="117"/>
      <c r="AI88" s="117"/>
      <c r="AJ88" s="117"/>
      <c r="AK88" s="117"/>
      <c r="AL88" s="117"/>
      <c r="AM88" s="117"/>
      <c r="AN88" s="117"/>
      <c r="AO88" s="117"/>
      <c r="AP88" s="117"/>
      <c r="AQ88" s="117"/>
      <c r="AR88" s="117"/>
      <c r="AS88" s="117"/>
      <c r="AT88" s="117"/>
      <c r="AU88" s="117"/>
      <c r="AV88" s="117"/>
      <c r="AW88" s="117"/>
      <c r="AX88" s="117"/>
      <c r="AY88" s="117"/>
      <c r="AZ88" s="117"/>
      <c r="BA88" s="117"/>
      <c r="BB88" s="117"/>
      <c r="BC88" s="117"/>
      <c r="BD88" s="117"/>
      <c r="BE88" s="117"/>
      <c r="BF88" s="117"/>
      <c r="BG88" s="117"/>
      <c r="BH88" s="117"/>
      <c r="BI88" s="117"/>
      <c r="BJ88" s="117"/>
      <c r="BK88" s="117"/>
      <c r="BL88" s="117"/>
      <c r="BM88" s="117"/>
      <c r="BN88" s="117"/>
      <c r="BO88" s="117"/>
      <c r="BP88" s="117"/>
      <c r="BQ88" s="117"/>
      <c r="BR88" s="117"/>
      <c r="BS88" s="117"/>
      <c r="BT88" s="117"/>
      <c r="BU88" s="117"/>
      <c r="BV88" s="117"/>
      <c r="BW88" s="117"/>
      <c r="BX88" s="117"/>
      <c r="BY88" s="117"/>
      <c r="BZ88" s="117"/>
      <c r="CA88" s="117"/>
      <c r="CB88" s="117"/>
      <c r="CC88" s="117"/>
      <c r="CD88" s="117"/>
      <c r="CE88" s="117"/>
      <c r="CF88" s="117"/>
      <c r="CG88" s="117"/>
      <c r="CH88" s="117"/>
      <c r="CI88" s="97"/>
      <c r="CJ88" s="97"/>
    </row>
    <row r="89" spans="1:88" x14ac:dyDescent="0.45">
      <c r="A89" s="97"/>
      <c r="B89" s="498"/>
      <c r="C89" s="172"/>
      <c r="D89" s="258" t="s">
        <v>231</v>
      </c>
      <c r="E89" s="258" t="s">
        <v>442</v>
      </c>
      <c r="F89" s="258"/>
      <c r="G89" s="258"/>
      <c r="H89" s="483" t="s">
        <v>593</v>
      </c>
      <c r="I89" s="483" t="s">
        <v>256</v>
      </c>
      <c r="J89" s="258" t="s">
        <v>525</v>
      </c>
      <c r="K89" s="441" t="s">
        <v>461</v>
      </c>
      <c r="L89" s="258" t="s">
        <v>578</v>
      </c>
      <c r="M89" s="258" t="s">
        <v>312</v>
      </c>
      <c r="N89" s="258" t="s">
        <v>312</v>
      </c>
      <c r="O89" s="258" t="s">
        <v>323</v>
      </c>
      <c r="P89" s="258" t="s">
        <v>323</v>
      </c>
      <c r="Q89" s="258" t="s">
        <v>330</v>
      </c>
      <c r="R89" s="258" t="s">
        <v>473</v>
      </c>
      <c r="S89" s="258" t="s">
        <v>279</v>
      </c>
      <c r="T89" s="258" t="s">
        <v>293</v>
      </c>
      <c r="U89" s="258"/>
      <c r="V89" s="258" t="s">
        <v>485</v>
      </c>
      <c r="W89" s="258" t="s">
        <v>514</v>
      </c>
      <c r="X89" s="258" t="s">
        <v>514</v>
      </c>
      <c r="Y89" s="258" t="s">
        <v>656</v>
      </c>
      <c r="Z89" s="258"/>
      <c r="AA89" s="258"/>
      <c r="AB89" s="498"/>
      <c r="AC89" s="117"/>
      <c r="AD89" s="117"/>
      <c r="AE89" s="117"/>
      <c r="AF89" s="117"/>
      <c r="AG89" s="117"/>
      <c r="AH89" s="117"/>
      <c r="AI89" s="117"/>
      <c r="AJ89" s="117"/>
      <c r="AK89" s="117"/>
      <c r="AL89" s="117"/>
      <c r="AM89" s="117"/>
      <c r="AN89" s="117"/>
      <c r="AO89" s="117"/>
      <c r="AP89" s="117"/>
      <c r="AQ89" s="117"/>
      <c r="AR89" s="117"/>
      <c r="AS89" s="117"/>
      <c r="AT89" s="117"/>
      <c r="AU89" s="117"/>
      <c r="AV89" s="117"/>
      <c r="AW89" s="117"/>
      <c r="AX89" s="117"/>
      <c r="AY89" s="117"/>
      <c r="AZ89" s="117"/>
      <c r="BA89" s="117"/>
      <c r="BB89" s="117"/>
      <c r="BC89" s="117"/>
      <c r="BD89" s="117"/>
      <c r="BE89" s="117"/>
      <c r="BF89" s="117"/>
      <c r="BG89" s="117"/>
      <c r="BH89" s="117"/>
      <c r="BI89" s="117"/>
      <c r="BJ89" s="117"/>
      <c r="BK89" s="117"/>
      <c r="BL89" s="117"/>
      <c r="BM89" s="117"/>
      <c r="BN89" s="117"/>
      <c r="BO89" s="117"/>
      <c r="BP89" s="117"/>
      <c r="BQ89" s="117"/>
      <c r="BR89" s="117"/>
      <c r="BS89" s="117"/>
      <c r="BT89" s="117"/>
      <c r="BU89" s="117"/>
      <c r="BV89" s="117"/>
      <c r="BW89" s="117"/>
      <c r="BX89" s="117"/>
      <c r="BY89" s="117"/>
      <c r="BZ89" s="117"/>
      <c r="CA89" s="117"/>
      <c r="CB89" s="117"/>
      <c r="CC89" s="117"/>
      <c r="CD89" s="117"/>
      <c r="CE89" s="117"/>
      <c r="CF89" s="117"/>
      <c r="CG89" s="117"/>
      <c r="CH89" s="117"/>
      <c r="CI89" s="97"/>
      <c r="CJ89" s="97"/>
    </row>
    <row r="90" spans="1:88" x14ac:dyDescent="0.45">
      <c r="A90" s="97"/>
      <c r="B90" s="498"/>
      <c r="C90" s="174"/>
      <c r="D90" s="169" t="s">
        <v>210</v>
      </c>
      <c r="E90" s="169" t="s">
        <v>234</v>
      </c>
      <c r="F90" s="169"/>
      <c r="G90" s="169"/>
      <c r="H90" s="465" t="s">
        <v>558</v>
      </c>
      <c r="I90" s="465" t="s">
        <v>336</v>
      </c>
      <c r="J90" s="169" t="s">
        <v>337</v>
      </c>
      <c r="K90" s="169" t="s">
        <v>262</v>
      </c>
      <c r="L90" s="169" t="s">
        <v>265</v>
      </c>
      <c r="M90" s="169" t="s">
        <v>405</v>
      </c>
      <c r="N90" s="169" t="s">
        <v>684</v>
      </c>
      <c r="O90" s="169" t="s">
        <v>207</v>
      </c>
      <c r="P90" s="169" t="s">
        <v>265</v>
      </c>
      <c r="Q90" s="169" t="s">
        <v>372</v>
      </c>
      <c r="R90" s="169" t="s">
        <v>755</v>
      </c>
      <c r="S90" s="169" t="s">
        <v>342</v>
      </c>
      <c r="T90" s="169" t="s">
        <v>325</v>
      </c>
      <c r="U90" s="169"/>
      <c r="V90" s="169" t="s">
        <v>555</v>
      </c>
      <c r="W90" s="169" t="s">
        <v>601</v>
      </c>
      <c r="X90" s="169" t="s">
        <v>601</v>
      </c>
      <c r="Y90" s="169" t="s">
        <v>659</v>
      </c>
      <c r="Z90" s="169"/>
      <c r="AA90" s="169"/>
      <c r="AB90" s="498"/>
      <c r="AC90" s="117"/>
      <c r="AD90" s="117"/>
      <c r="AE90" s="117"/>
      <c r="AF90" s="117"/>
      <c r="AG90" s="117"/>
      <c r="AH90" s="117"/>
      <c r="AI90" s="117"/>
      <c r="AJ90" s="117"/>
      <c r="AK90" s="117"/>
      <c r="AL90" s="117"/>
      <c r="AM90" s="117"/>
      <c r="AN90" s="117"/>
      <c r="AO90" s="117"/>
      <c r="AP90" s="117"/>
      <c r="AQ90" s="117"/>
      <c r="AR90" s="117"/>
      <c r="AS90" s="117"/>
      <c r="AT90" s="117"/>
      <c r="AU90" s="117"/>
      <c r="AV90" s="117"/>
      <c r="AW90" s="117"/>
      <c r="AX90" s="117"/>
      <c r="AY90" s="117"/>
      <c r="AZ90" s="117"/>
      <c r="BA90" s="117"/>
      <c r="BB90" s="117"/>
      <c r="BC90" s="117"/>
      <c r="BD90" s="117"/>
      <c r="BE90" s="117"/>
      <c r="BF90" s="117"/>
      <c r="BG90" s="117"/>
      <c r="BH90" s="117"/>
      <c r="BI90" s="117"/>
      <c r="BJ90" s="117"/>
      <c r="BK90" s="117"/>
      <c r="BL90" s="117"/>
      <c r="BM90" s="117"/>
      <c r="BN90" s="117"/>
      <c r="BO90" s="117"/>
      <c r="BP90" s="117"/>
      <c r="BQ90" s="117"/>
      <c r="BR90" s="117"/>
      <c r="BS90" s="117"/>
      <c r="BT90" s="117"/>
      <c r="BU90" s="117"/>
      <c r="BV90" s="117"/>
      <c r="BW90" s="117"/>
      <c r="BX90" s="117"/>
      <c r="BY90" s="117"/>
      <c r="BZ90" s="117"/>
      <c r="CA90" s="117"/>
      <c r="CB90" s="117"/>
      <c r="CC90" s="117"/>
      <c r="CD90" s="117"/>
      <c r="CE90" s="117"/>
      <c r="CF90" s="117"/>
      <c r="CG90" s="117"/>
      <c r="CH90" s="117"/>
      <c r="CI90" s="97"/>
      <c r="CJ90" s="97"/>
    </row>
    <row r="91" spans="1:88" ht="24" thickBot="1" x14ac:dyDescent="0.5">
      <c r="A91" s="117"/>
      <c r="B91" s="498"/>
      <c r="C91" s="170" t="s">
        <v>196</v>
      </c>
      <c r="D91" s="171" t="s">
        <v>232</v>
      </c>
      <c r="E91" s="171" t="s">
        <v>606</v>
      </c>
      <c r="F91" s="171"/>
      <c r="G91" s="171"/>
      <c r="H91" s="466" t="s">
        <v>594</v>
      </c>
      <c r="I91" s="466" t="s">
        <v>452</v>
      </c>
      <c r="J91" s="171" t="s">
        <v>453</v>
      </c>
      <c r="K91" s="208" t="s">
        <v>450</v>
      </c>
      <c r="L91" s="208" t="s">
        <v>752</v>
      </c>
      <c r="M91" s="208" t="s">
        <v>411</v>
      </c>
      <c r="N91" s="208" t="s">
        <v>299</v>
      </c>
      <c r="O91" s="208" t="s">
        <v>749</v>
      </c>
      <c r="P91" s="208" t="s">
        <v>745</v>
      </c>
      <c r="Q91" s="208" t="s">
        <v>362</v>
      </c>
      <c r="R91" s="208" t="s">
        <v>759</v>
      </c>
      <c r="S91" s="208" t="s">
        <v>380</v>
      </c>
      <c r="T91" s="208" t="s">
        <v>273</v>
      </c>
      <c r="U91" s="208"/>
      <c r="V91" s="208" t="s">
        <v>190</v>
      </c>
      <c r="W91" s="208" t="s">
        <v>274</v>
      </c>
      <c r="X91" s="208" t="s">
        <v>274</v>
      </c>
      <c r="Y91" s="208" t="s">
        <v>703</v>
      </c>
      <c r="Z91" s="208"/>
      <c r="AA91" s="447"/>
      <c r="AB91" s="498"/>
      <c r="AC91" s="117"/>
      <c r="AD91" s="117"/>
      <c r="AE91" s="117"/>
      <c r="AF91" s="117"/>
      <c r="AG91" s="117"/>
      <c r="AH91" s="117"/>
      <c r="AI91" s="117"/>
      <c r="AJ91" s="117"/>
      <c r="AK91" s="117"/>
      <c r="AL91" s="117"/>
      <c r="AM91" s="117"/>
      <c r="AN91" s="117"/>
      <c r="AO91" s="117"/>
      <c r="AP91" s="117"/>
      <c r="AQ91" s="117"/>
      <c r="AR91" s="117"/>
      <c r="AS91" s="117"/>
      <c r="AT91" s="117"/>
      <c r="AU91" s="117"/>
      <c r="AV91" s="117"/>
      <c r="AW91" s="117"/>
      <c r="AX91" s="117"/>
      <c r="AY91" s="117"/>
      <c r="AZ91" s="117"/>
      <c r="BA91" s="117"/>
      <c r="BB91" s="117"/>
      <c r="BC91" s="117"/>
      <c r="BD91" s="117"/>
      <c r="BE91" s="117"/>
      <c r="BF91" s="117"/>
      <c r="BG91" s="117"/>
      <c r="BH91" s="117"/>
      <c r="BI91" s="117"/>
      <c r="BJ91" s="117"/>
      <c r="BK91" s="117"/>
      <c r="BL91" s="117"/>
      <c r="BM91" s="117"/>
      <c r="BN91" s="117"/>
      <c r="BO91" s="117"/>
      <c r="BP91" s="117"/>
      <c r="BQ91" s="117"/>
      <c r="BR91" s="117"/>
      <c r="BS91" s="117"/>
      <c r="BT91" s="117"/>
      <c r="BU91" s="117"/>
      <c r="BV91" s="117"/>
      <c r="BW91" s="117"/>
      <c r="BX91" s="117"/>
      <c r="BY91" s="117"/>
      <c r="BZ91" s="117"/>
      <c r="CA91" s="117"/>
      <c r="CB91" s="117"/>
      <c r="CC91" s="117"/>
      <c r="CD91" s="117"/>
      <c r="CE91" s="117"/>
      <c r="CF91" s="117"/>
      <c r="CG91" s="117"/>
      <c r="CH91" s="117"/>
      <c r="CI91" s="97"/>
      <c r="CJ91" s="97"/>
    </row>
    <row r="92" spans="1:88" ht="27.75" customHeight="1" x14ac:dyDescent="0.45">
      <c r="A92" s="175"/>
      <c r="B92" s="498"/>
      <c r="C92" s="237"/>
      <c r="D92" s="240"/>
      <c r="E92" s="240"/>
      <c r="F92" s="240"/>
      <c r="G92" s="240"/>
      <c r="H92" s="479"/>
      <c r="I92" s="479"/>
      <c r="J92" s="240"/>
      <c r="K92" s="240"/>
      <c r="L92" s="240"/>
      <c r="M92" s="240"/>
      <c r="N92" s="240"/>
      <c r="O92" s="240"/>
      <c r="P92" s="240"/>
      <c r="Q92" s="240"/>
      <c r="R92" s="240"/>
      <c r="S92" s="240"/>
      <c r="T92" s="240"/>
      <c r="U92" s="240"/>
      <c r="V92" s="240"/>
      <c r="W92" s="240"/>
      <c r="X92" s="241"/>
      <c r="Y92" s="241"/>
      <c r="Z92" s="241"/>
      <c r="AA92" s="241"/>
      <c r="AB92" s="498"/>
      <c r="AC92" s="117"/>
      <c r="AD92" s="117"/>
      <c r="AE92" s="117"/>
      <c r="AF92" s="117"/>
      <c r="AG92" s="117"/>
      <c r="AH92" s="117"/>
      <c r="AI92" s="117"/>
      <c r="AJ92" s="117"/>
      <c r="AK92" s="117"/>
      <c r="AL92" s="117"/>
      <c r="AM92" s="117"/>
      <c r="AN92" s="117"/>
      <c r="AO92" s="117"/>
      <c r="AP92" s="117"/>
      <c r="AQ92" s="117"/>
      <c r="AR92" s="117"/>
      <c r="AS92" s="117"/>
      <c r="AT92" s="117"/>
      <c r="AU92" s="117"/>
      <c r="AV92" s="117"/>
      <c r="AW92" s="117"/>
      <c r="AX92" s="117"/>
      <c r="AY92" s="117"/>
      <c r="AZ92" s="117"/>
      <c r="BA92" s="117"/>
      <c r="BB92" s="117"/>
      <c r="BC92" s="117"/>
      <c r="BD92" s="117"/>
      <c r="BE92" s="117"/>
      <c r="BF92" s="117"/>
      <c r="BG92" s="117"/>
      <c r="BH92" s="117"/>
      <c r="BI92" s="117"/>
      <c r="BJ92" s="117"/>
      <c r="BK92" s="117"/>
      <c r="BL92" s="117"/>
      <c r="BM92" s="117"/>
      <c r="BN92" s="117"/>
      <c r="BO92" s="117"/>
      <c r="BP92" s="117"/>
      <c r="BQ92" s="117"/>
      <c r="BR92" s="117"/>
      <c r="BS92" s="117"/>
      <c r="BT92" s="117"/>
      <c r="BU92" s="117"/>
      <c r="BV92" s="117"/>
      <c r="BW92" s="117"/>
      <c r="BX92" s="117"/>
      <c r="BY92" s="117"/>
      <c r="BZ92" s="117"/>
      <c r="CA92" s="117"/>
      <c r="CB92" s="117"/>
      <c r="CC92" s="117"/>
      <c r="CD92" s="117"/>
      <c r="CE92" s="117"/>
      <c r="CF92" s="117"/>
      <c r="CG92" s="117"/>
      <c r="CH92" s="117"/>
      <c r="CI92" s="97"/>
      <c r="CJ92" s="97"/>
    </row>
    <row r="93" spans="1:88" ht="27.75" customHeight="1" x14ac:dyDescent="0.45">
      <c r="A93" s="175"/>
      <c r="B93" s="498"/>
      <c r="C93" s="238"/>
      <c r="D93" s="241"/>
      <c r="E93" s="241"/>
      <c r="F93" s="241"/>
      <c r="G93" s="241"/>
      <c r="H93" s="480"/>
      <c r="I93" s="480"/>
      <c r="J93" s="241"/>
      <c r="K93" s="241"/>
      <c r="L93" s="241"/>
      <c r="M93" s="241"/>
      <c r="N93" s="241"/>
      <c r="O93" s="241"/>
      <c r="P93" s="241"/>
      <c r="Q93" s="241"/>
      <c r="R93" s="241"/>
      <c r="S93" s="241"/>
      <c r="T93" s="241"/>
      <c r="U93" s="241"/>
      <c r="V93" s="241"/>
      <c r="W93" s="241"/>
      <c r="X93" s="241"/>
      <c r="Y93" s="241"/>
      <c r="Z93" s="241"/>
      <c r="AA93" s="241"/>
      <c r="AB93" s="498"/>
      <c r="AC93" s="117"/>
      <c r="AD93" s="117"/>
      <c r="AE93" s="117"/>
      <c r="AF93" s="117"/>
      <c r="AG93" s="117"/>
      <c r="AH93" s="117"/>
      <c r="AI93" s="117"/>
      <c r="AJ93" s="117"/>
      <c r="AK93" s="117"/>
      <c r="AL93" s="117"/>
      <c r="AM93" s="117"/>
      <c r="AN93" s="117"/>
      <c r="AO93" s="117"/>
      <c r="AP93" s="117"/>
      <c r="AQ93" s="117"/>
      <c r="AR93" s="117"/>
      <c r="AS93" s="117"/>
      <c r="AT93" s="117"/>
      <c r="AU93" s="117"/>
      <c r="AV93" s="117"/>
      <c r="AW93" s="117"/>
      <c r="AX93" s="117"/>
      <c r="AY93" s="117"/>
      <c r="AZ93" s="117"/>
      <c r="BA93" s="117"/>
      <c r="BB93" s="117"/>
      <c r="BC93" s="117"/>
      <c r="BD93" s="117"/>
      <c r="BE93" s="117"/>
      <c r="BF93" s="117"/>
      <c r="BG93" s="117"/>
      <c r="BH93" s="117"/>
      <c r="BI93" s="117"/>
      <c r="BJ93" s="117"/>
      <c r="BK93" s="117"/>
      <c r="BL93" s="117"/>
      <c r="BM93" s="117"/>
      <c r="BN93" s="117"/>
      <c r="BO93" s="117"/>
      <c r="BP93" s="117"/>
      <c r="BQ93" s="117"/>
      <c r="BR93" s="117"/>
      <c r="BS93" s="117"/>
      <c r="BT93" s="117"/>
      <c r="BU93" s="117"/>
      <c r="BV93" s="117"/>
      <c r="BW93" s="117"/>
      <c r="BX93" s="117"/>
      <c r="BY93" s="117"/>
      <c r="BZ93" s="117"/>
      <c r="CA93" s="117"/>
      <c r="CB93" s="117"/>
      <c r="CC93" s="117"/>
      <c r="CD93" s="117"/>
      <c r="CE93" s="117"/>
      <c r="CF93" s="117"/>
      <c r="CG93" s="117"/>
      <c r="CH93" s="117"/>
      <c r="CI93" s="97"/>
      <c r="CJ93" s="97"/>
    </row>
    <row r="94" spans="1:88" ht="30" customHeight="1" thickBot="1" x14ac:dyDescent="0.5">
      <c r="A94" s="175"/>
      <c r="B94" s="498"/>
      <c r="C94" s="239"/>
      <c r="D94" s="242"/>
      <c r="E94" s="242"/>
      <c r="F94" s="242"/>
      <c r="G94" s="242"/>
      <c r="H94" s="481"/>
      <c r="I94" s="481"/>
      <c r="J94" s="242"/>
      <c r="K94" s="242"/>
      <c r="L94" s="242"/>
      <c r="M94" s="242"/>
      <c r="N94" s="242"/>
      <c r="O94" s="242"/>
      <c r="P94" s="242"/>
      <c r="Q94" s="242"/>
      <c r="R94" s="242"/>
      <c r="S94" s="242"/>
      <c r="T94" s="242"/>
      <c r="U94" s="242"/>
      <c r="V94" s="242"/>
      <c r="W94" s="242"/>
      <c r="X94" s="241"/>
      <c r="Y94" s="241"/>
      <c r="Z94" s="241"/>
      <c r="AA94" s="241"/>
      <c r="AB94" s="498"/>
      <c r="AC94" s="117"/>
      <c r="AD94" s="117"/>
      <c r="AE94" s="117"/>
      <c r="AF94" s="117"/>
      <c r="AG94" s="117"/>
      <c r="AH94" s="117"/>
      <c r="AI94" s="117"/>
      <c r="AJ94" s="117"/>
      <c r="AK94" s="117"/>
      <c r="AL94" s="117"/>
      <c r="AM94" s="117"/>
      <c r="AN94" s="117"/>
      <c r="AO94" s="117"/>
      <c r="AP94" s="117"/>
      <c r="AQ94" s="117"/>
      <c r="AR94" s="117"/>
      <c r="AS94" s="117"/>
      <c r="AT94" s="117"/>
      <c r="AU94" s="117"/>
      <c r="AV94" s="117"/>
      <c r="AW94" s="117"/>
      <c r="AX94" s="117"/>
      <c r="AY94" s="117"/>
      <c r="AZ94" s="117"/>
      <c r="BA94" s="117"/>
      <c r="BB94" s="117"/>
      <c r="BC94" s="117"/>
      <c r="BD94" s="117"/>
      <c r="BE94" s="117"/>
      <c r="BF94" s="117"/>
      <c r="BG94" s="117"/>
      <c r="BH94" s="117"/>
      <c r="BI94" s="117"/>
      <c r="BJ94" s="117"/>
      <c r="BK94" s="117"/>
      <c r="BL94" s="117"/>
      <c r="BM94" s="117"/>
      <c r="BN94" s="117"/>
      <c r="BO94" s="117"/>
      <c r="BP94" s="117"/>
      <c r="BQ94" s="117"/>
      <c r="BR94" s="117"/>
      <c r="BS94" s="117"/>
      <c r="BT94" s="117"/>
      <c r="BU94" s="117"/>
      <c r="BV94" s="117"/>
      <c r="BW94" s="117"/>
      <c r="BX94" s="117"/>
      <c r="BY94" s="117"/>
      <c r="BZ94" s="117"/>
      <c r="CA94" s="117"/>
      <c r="CB94" s="117"/>
      <c r="CC94" s="117"/>
      <c r="CD94" s="117"/>
      <c r="CE94" s="117"/>
      <c r="CF94" s="117"/>
      <c r="CG94" s="117"/>
      <c r="CH94" s="117"/>
      <c r="CI94" s="97"/>
      <c r="CJ94" s="97"/>
    </row>
    <row r="95" spans="1:88" x14ac:dyDescent="0.45">
      <c r="A95" s="97"/>
      <c r="B95" s="498"/>
      <c r="C95" s="176" t="s">
        <v>197</v>
      </c>
      <c r="D95" s="167"/>
      <c r="E95" s="167"/>
      <c r="F95" s="167" t="s">
        <v>241</v>
      </c>
      <c r="G95" s="167" t="s">
        <v>621</v>
      </c>
      <c r="H95" s="469" t="s">
        <v>595</v>
      </c>
      <c r="I95" s="469" t="s">
        <v>260</v>
      </c>
      <c r="J95" s="206"/>
      <c r="K95" s="206"/>
      <c r="L95" s="206"/>
      <c r="M95" s="206" t="s">
        <v>306</v>
      </c>
      <c r="N95" s="206"/>
      <c r="O95" s="206" t="s">
        <v>740</v>
      </c>
      <c r="P95" s="206" t="s">
        <v>363</v>
      </c>
      <c r="Q95" s="206" t="s">
        <v>333</v>
      </c>
      <c r="R95" s="206"/>
      <c r="S95" s="206" t="s">
        <v>289</v>
      </c>
      <c r="T95" s="206"/>
      <c r="U95" s="206" t="s">
        <v>278</v>
      </c>
      <c r="V95" s="206" t="s">
        <v>278</v>
      </c>
      <c r="W95" s="206" t="s">
        <v>275</v>
      </c>
      <c r="X95" s="167" t="s">
        <v>515</v>
      </c>
      <c r="Y95" s="167" t="s">
        <v>653</v>
      </c>
      <c r="Z95" s="167"/>
      <c r="AA95" s="441"/>
      <c r="AB95" s="498"/>
      <c r="AC95" s="117"/>
      <c r="AD95" s="117"/>
      <c r="AE95" s="117"/>
      <c r="AF95" s="117"/>
      <c r="AG95" s="117"/>
      <c r="AH95" s="117"/>
      <c r="AI95" s="117"/>
      <c r="AJ95" s="117"/>
      <c r="AK95" s="117"/>
      <c r="AL95" s="117"/>
      <c r="AM95" s="117"/>
      <c r="AN95" s="117"/>
      <c r="AO95" s="117"/>
      <c r="AP95" s="117"/>
      <c r="AQ95" s="117"/>
      <c r="AR95" s="117"/>
      <c r="AS95" s="117"/>
      <c r="AT95" s="117"/>
      <c r="AU95" s="117"/>
      <c r="AV95" s="117"/>
      <c r="AW95" s="117"/>
      <c r="AX95" s="117"/>
      <c r="AY95" s="117"/>
      <c r="AZ95" s="117"/>
      <c r="BA95" s="117"/>
      <c r="BB95" s="117"/>
      <c r="BC95" s="117"/>
      <c r="BD95" s="117"/>
      <c r="BE95" s="117"/>
      <c r="BF95" s="117"/>
      <c r="BG95" s="117"/>
      <c r="BH95" s="117"/>
      <c r="BI95" s="117"/>
      <c r="BJ95" s="117"/>
      <c r="BK95" s="117"/>
      <c r="BL95" s="117"/>
      <c r="BM95" s="117"/>
      <c r="BN95" s="117"/>
      <c r="BO95" s="117"/>
      <c r="BP95" s="117"/>
      <c r="BQ95" s="117"/>
      <c r="BR95" s="117"/>
      <c r="BS95" s="117"/>
      <c r="BT95" s="117"/>
      <c r="BU95" s="117"/>
      <c r="BV95" s="117"/>
      <c r="BW95" s="117"/>
      <c r="BX95" s="117"/>
      <c r="BY95" s="117"/>
      <c r="BZ95" s="117"/>
      <c r="CA95" s="117"/>
      <c r="CB95" s="117"/>
      <c r="CC95" s="117"/>
      <c r="CD95" s="117"/>
      <c r="CE95" s="117"/>
      <c r="CF95" s="117"/>
      <c r="CG95" s="117"/>
      <c r="CH95" s="117"/>
      <c r="CI95" s="97"/>
      <c r="CJ95" s="97"/>
    </row>
    <row r="96" spans="1:88" x14ac:dyDescent="0.45">
      <c r="A96" s="97"/>
      <c r="B96" s="498"/>
      <c r="C96" s="440"/>
      <c r="D96" s="258"/>
      <c r="E96" s="258"/>
      <c r="F96" s="258" t="s">
        <v>242</v>
      </c>
      <c r="G96" s="258" t="s">
        <v>622</v>
      </c>
      <c r="H96" s="487" t="s">
        <v>596</v>
      </c>
      <c r="I96" s="487" t="s">
        <v>261</v>
      </c>
      <c r="J96" s="441"/>
      <c r="K96" s="441"/>
      <c r="L96" s="441"/>
      <c r="M96" s="441" t="s">
        <v>307</v>
      </c>
      <c r="N96" s="441"/>
      <c r="O96" s="441" t="s">
        <v>357</v>
      </c>
      <c r="P96" s="441" t="s">
        <v>364</v>
      </c>
      <c r="Q96" s="441" t="s">
        <v>410</v>
      </c>
      <c r="R96" s="441"/>
      <c r="S96" s="441" t="s">
        <v>345</v>
      </c>
      <c r="T96" s="441"/>
      <c r="U96" s="441" t="s">
        <v>279</v>
      </c>
      <c r="V96" s="441" t="s">
        <v>279</v>
      </c>
      <c r="W96" s="441" t="s">
        <v>276</v>
      </c>
      <c r="X96" s="258" t="s">
        <v>276</v>
      </c>
      <c r="Y96" s="258" t="s">
        <v>654</v>
      </c>
      <c r="Z96" s="258"/>
      <c r="AA96" s="441"/>
      <c r="AB96" s="498"/>
      <c r="AC96" s="117"/>
      <c r="AD96" s="117"/>
      <c r="AE96" s="117"/>
      <c r="AF96" s="117"/>
      <c r="AG96" s="117"/>
      <c r="AH96" s="117"/>
      <c r="AI96" s="117"/>
      <c r="AJ96" s="117"/>
      <c r="AK96" s="117"/>
      <c r="AL96" s="117"/>
      <c r="AM96" s="117"/>
      <c r="AN96" s="117"/>
      <c r="AO96" s="117"/>
      <c r="AP96" s="117"/>
      <c r="AQ96" s="117"/>
      <c r="AR96" s="117"/>
      <c r="AS96" s="117"/>
      <c r="AT96" s="117"/>
      <c r="AU96" s="117"/>
      <c r="AV96" s="117"/>
      <c r="AW96" s="117"/>
      <c r="AX96" s="117"/>
      <c r="AY96" s="117"/>
      <c r="AZ96" s="117"/>
      <c r="BA96" s="117"/>
      <c r="BB96" s="117"/>
      <c r="BC96" s="117"/>
      <c r="BD96" s="117"/>
      <c r="BE96" s="117"/>
      <c r="BF96" s="117"/>
      <c r="BG96" s="117"/>
      <c r="BH96" s="117"/>
      <c r="BI96" s="117"/>
      <c r="BJ96" s="117"/>
      <c r="BK96" s="117"/>
      <c r="BL96" s="117"/>
      <c r="BM96" s="117"/>
      <c r="BN96" s="117"/>
      <c r="BO96" s="117"/>
      <c r="BP96" s="117"/>
      <c r="BQ96" s="117"/>
      <c r="BR96" s="117"/>
      <c r="BS96" s="117"/>
      <c r="BT96" s="117"/>
      <c r="BU96" s="117"/>
      <c r="BV96" s="117"/>
      <c r="BW96" s="117"/>
      <c r="BX96" s="117"/>
      <c r="BY96" s="117"/>
      <c r="BZ96" s="117"/>
      <c r="CA96" s="117"/>
      <c r="CB96" s="117"/>
      <c r="CC96" s="117"/>
      <c r="CD96" s="117"/>
      <c r="CE96" s="117"/>
      <c r="CF96" s="117"/>
      <c r="CG96" s="117"/>
      <c r="CH96" s="117"/>
      <c r="CI96" s="97"/>
      <c r="CJ96" s="97"/>
    </row>
    <row r="97" spans="1:88" x14ac:dyDescent="0.45">
      <c r="A97" s="98"/>
      <c r="B97" s="498"/>
      <c r="C97" s="177"/>
      <c r="D97" s="169"/>
      <c r="E97" s="169"/>
      <c r="F97" s="169" t="s">
        <v>262</v>
      </c>
      <c r="G97" s="169" t="s">
        <v>193</v>
      </c>
      <c r="H97" s="465" t="s">
        <v>372</v>
      </c>
      <c r="I97" s="465" t="s">
        <v>405</v>
      </c>
      <c r="J97" s="169"/>
      <c r="K97" s="169"/>
      <c r="L97" s="169"/>
      <c r="M97" s="169" t="s">
        <v>214</v>
      </c>
      <c r="N97" s="169"/>
      <c r="O97" s="169" t="s">
        <v>417</v>
      </c>
      <c r="P97" s="169" t="s">
        <v>267</v>
      </c>
      <c r="Q97" s="169" t="s">
        <v>342</v>
      </c>
      <c r="R97" s="169"/>
      <c r="S97" s="169" t="s">
        <v>265</v>
      </c>
      <c r="T97" s="169"/>
      <c r="U97" s="169" t="s">
        <v>342</v>
      </c>
      <c r="V97" s="169" t="s">
        <v>342</v>
      </c>
      <c r="W97" s="169" t="s">
        <v>371</v>
      </c>
      <c r="X97" s="169" t="s">
        <v>373</v>
      </c>
      <c r="Y97" s="169" t="s">
        <v>397</v>
      </c>
      <c r="Z97" s="169"/>
      <c r="AA97" s="169"/>
      <c r="AB97" s="498"/>
      <c r="AC97" s="164"/>
      <c r="AD97" s="164"/>
      <c r="AE97" s="164"/>
      <c r="AF97" s="164"/>
      <c r="AG97" s="164"/>
      <c r="AH97" s="164"/>
      <c r="AI97" s="164"/>
      <c r="AJ97" s="164"/>
      <c r="AK97" s="164"/>
      <c r="AL97" s="164"/>
      <c r="AM97" s="164"/>
      <c r="AN97" s="164"/>
      <c r="AO97" s="164"/>
      <c r="AP97" s="164"/>
      <c r="AQ97" s="164"/>
      <c r="AR97" s="164"/>
      <c r="AS97" s="164"/>
      <c r="AT97" s="164"/>
      <c r="AU97" s="164"/>
      <c r="AV97" s="164"/>
      <c r="AW97" s="164"/>
      <c r="AX97" s="164"/>
      <c r="AY97" s="164"/>
      <c r="AZ97" s="164"/>
      <c r="BA97" s="164"/>
      <c r="BB97" s="164"/>
      <c r="BC97" s="164"/>
      <c r="BD97" s="164"/>
      <c r="BE97" s="164"/>
      <c r="BF97" s="164"/>
      <c r="BG97" s="164"/>
      <c r="BH97" s="164"/>
      <c r="BI97" s="164"/>
      <c r="BJ97" s="164"/>
      <c r="BK97" s="164"/>
      <c r="BL97" s="164"/>
      <c r="BM97" s="164"/>
      <c r="BN97" s="164"/>
      <c r="BO97" s="164"/>
      <c r="BP97" s="164"/>
      <c r="BQ97" s="164"/>
      <c r="BR97" s="164"/>
      <c r="BS97" s="164"/>
      <c r="BT97" s="164"/>
      <c r="BU97" s="164"/>
      <c r="BV97" s="164"/>
      <c r="BW97" s="164"/>
      <c r="BX97" s="164"/>
      <c r="BY97" s="164"/>
      <c r="BZ97" s="164"/>
      <c r="CA97" s="164"/>
      <c r="CB97" s="164"/>
      <c r="CC97" s="164"/>
      <c r="CD97" s="164"/>
      <c r="CE97" s="164"/>
      <c r="CF97" s="164"/>
      <c r="CG97" s="117"/>
      <c r="CH97" s="117"/>
      <c r="CI97" s="97"/>
      <c r="CJ97" s="97"/>
    </row>
    <row r="98" spans="1:88" ht="24" thickBot="1" x14ac:dyDescent="0.5">
      <c r="A98" s="117"/>
      <c r="B98" s="498"/>
      <c r="C98" s="178" t="s">
        <v>194</v>
      </c>
      <c r="D98" s="171"/>
      <c r="E98" s="171"/>
      <c r="F98" s="171" t="s">
        <v>208</v>
      </c>
      <c r="G98" s="171" t="s">
        <v>143</v>
      </c>
      <c r="H98" s="466" t="s">
        <v>458</v>
      </c>
      <c r="I98" s="466" t="s">
        <v>744</v>
      </c>
      <c r="J98" s="171"/>
      <c r="K98" s="171"/>
      <c r="L98" s="208"/>
      <c r="M98" s="208" t="s">
        <v>347</v>
      </c>
      <c r="N98" s="208"/>
      <c r="O98" s="208" t="s">
        <v>738</v>
      </c>
      <c r="P98" s="208" t="s">
        <v>365</v>
      </c>
      <c r="Q98" s="208" t="s">
        <v>277</v>
      </c>
      <c r="R98" s="208"/>
      <c r="S98" s="208" t="s">
        <v>739</v>
      </c>
      <c r="T98" s="208"/>
      <c r="U98" s="208" t="s">
        <v>380</v>
      </c>
      <c r="V98" s="208" t="s">
        <v>486</v>
      </c>
      <c r="W98" s="208" t="s">
        <v>662</v>
      </c>
      <c r="X98" s="208" t="s">
        <v>662</v>
      </c>
      <c r="Y98" s="208" t="s">
        <v>273</v>
      </c>
      <c r="Z98" s="208"/>
      <c r="AA98" s="447"/>
      <c r="AB98" s="498"/>
      <c r="AC98" s="117"/>
      <c r="AD98" s="117"/>
      <c r="AE98" s="117"/>
      <c r="AF98" s="117"/>
      <c r="AG98" s="117"/>
      <c r="AH98" s="117"/>
      <c r="AI98" s="117"/>
      <c r="AJ98" s="117"/>
      <c r="AK98" s="117"/>
      <c r="AL98" s="117"/>
      <c r="AM98" s="117"/>
      <c r="AN98" s="117"/>
      <c r="AO98" s="117"/>
      <c r="AP98" s="117"/>
      <c r="AQ98" s="117"/>
      <c r="AR98" s="117"/>
      <c r="AS98" s="117"/>
      <c r="AT98" s="117"/>
      <c r="AU98" s="117"/>
      <c r="AV98" s="117"/>
      <c r="AW98" s="117"/>
      <c r="AX98" s="117"/>
      <c r="AY98" s="117"/>
      <c r="AZ98" s="117"/>
      <c r="BA98" s="117"/>
      <c r="BB98" s="117"/>
      <c r="BC98" s="117"/>
      <c r="BD98" s="117"/>
      <c r="BE98" s="117"/>
      <c r="BF98" s="117"/>
      <c r="BG98" s="117"/>
      <c r="BH98" s="117"/>
      <c r="BI98" s="117"/>
      <c r="BJ98" s="117"/>
      <c r="BK98" s="117"/>
      <c r="BL98" s="117"/>
      <c r="BM98" s="117"/>
      <c r="BN98" s="117"/>
      <c r="BO98" s="117"/>
      <c r="BP98" s="117"/>
      <c r="BQ98" s="117"/>
      <c r="BR98" s="117"/>
      <c r="BS98" s="117"/>
      <c r="BT98" s="117"/>
      <c r="BU98" s="117"/>
      <c r="BV98" s="117"/>
      <c r="BW98" s="117"/>
      <c r="BX98" s="117"/>
      <c r="BY98" s="117"/>
      <c r="BZ98" s="117"/>
      <c r="CA98" s="117"/>
      <c r="CB98" s="117"/>
      <c r="CC98" s="117"/>
      <c r="CD98" s="117"/>
      <c r="CE98" s="117"/>
      <c r="CF98" s="117"/>
      <c r="CG98" s="117"/>
      <c r="CH98" s="117"/>
      <c r="CI98" s="97"/>
      <c r="CJ98" s="97"/>
    </row>
    <row r="99" spans="1:88" x14ac:dyDescent="0.45">
      <c r="A99" s="179"/>
      <c r="B99" s="498"/>
      <c r="C99" s="176" t="s">
        <v>194</v>
      </c>
      <c r="D99" s="167"/>
      <c r="E99" s="167"/>
      <c r="F99" s="167" t="s">
        <v>235</v>
      </c>
      <c r="G99" s="167" t="s">
        <v>617</v>
      </c>
      <c r="H99" s="464"/>
      <c r="I99" s="464"/>
      <c r="J99" s="167"/>
      <c r="K99" s="206"/>
      <c r="L99" s="206"/>
      <c r="M99" s="206"/>
      <c r="N99" s="206"/>
      <c r="O99" s="206"/>
      <c r="P99" s="206"/>
      <c r="Q99" s="206"/>
      <c r="R99" s="206"/>
      <c r="S99" s="206"/>
      <c r="T99" s="206"/>
      <c r="U99" s="206"/>
      <c r="V99" s="206"/>
      <c r="W99" s="206"/>
      <c r="X99" s="167"/>
      <c r="Y99" s="167"/>
      <c r="Z99" s="441" t="s">
        <v>777</v>
      </c>
      <c r="AA99" s="441"/>
      <c r="AB99" s="498"/>
      <c r="AC99" s="180"/>
      <c r="AD99" s="180"/>
      <c r="AE99" s="180"/>
      <c r="AF99" s="180"/>
      <c r="AG99" s="180"/>
      <c r="AH99" s="180"/>
      <c r="AI99" s="180"/>
      <c r="AJ99" s="180"/>
      <c r="AK99" s="180"/>
      <c r="AL99" s="180"/>
      <c r="AM99" s="180"/>
      <c r="AN99" s="180"/>
      <c r="AO99" s="180"/>
      <c r="AP99" s="180"/>
      <c r="AQ99" s="180"/>
      <c r="AR99" s="180"/>
      <c r="AS99" s="180"/>
      <c r="AT99" s="180"/>
      <c r="AU99" s="180"/>
      <c r="AV99" s="180"/>
      <c r="AW99" s="180"/>
      <c r="AX99" s="180"/>
      <c r="AY99" s="180"/>
      <c r="AZ99" s="180"/>
      <c r="BA99" s="180"/>
      <c r="BB99" s="180"/>
      <c r="BC99" s="180"/>
      <c r="BD99" s="180"/>
      <c r="BE99" s="180"/>
      <c r="BF99" s="180"/>
      <c r="BG99" s="180"/>
      <c r="BH99" s="180"/>
      <c r="BI99" s="180"/>
      <c r="BJ99" s="180"/>
      <c r="BK99" s="180"/>
      <c r="BL99" s="180"/>
      <c r="BM99" s="180"/>
      <c r="BN99" s="180"/>
      <c r="BO99" s="180"/>
      <c r="BP99" s="180"/>
      <c r="BQ99" s="180"/>
      <c r="BR99" s="180"/>
      <c r="BS99" s="180"/>
      <c r="BT99" s="180"/>
      <c r="BU99" s="180"/>
      <c r="BV99" s="180"/>
      <c r="BW99" s="180"/>
      <c r="BX99" s="180"/>
      <c r="BY99" s="180"/>
      <c r="BZ99" s="180"/>
      <c r="CA99" s="180"/>
      <c r="CB99" s="180"/>
      <c r="CC99" s="180"/>
      <c r="CD99" s="180"/>
      <c r="CE99" s="180"/>
      <c r="CF99" s="180"/>
      <c r="CG99" s="117"/>
      <c r="CH99" s="117"/>
      <c r="CI99" s="97"/>
      <c r="CJ99" s="97"/>
    </row>
    <row r="100" spans="1:88" x14ac:dyDescent="0.45">
      <c r="A100" s="179"/>
      <c r="B100" s="498"/>
      <c r="C100" s="440"/>
      <c r="D100" s="258"/>
      <c r="E100" s="258"/>
      <c r="F100" s="258" t="s">
        <v>236</v>
      </c>
      <c r="G100" s="258" t="s">
        <v>623</v>
      </c>
      <c r="H100" s="483"/>
      <c r="I100" s="483"/>
      <c r="J100" s="258"/>
      <c r="K100" s="441"/>
      <c r="L100" s="441"/>
      <c r="M100" s="441"/>
      <c r="N100" s="441"/>
      <c r="O100" s="441"/>
      <c r="P100" s="441"/>
      <c r="Q100" s="441"/>
      <c r="R100" s="441"/>
      <c r="S100" s="441"/>
      <c r="T100" s="441"/>
      <c r="U100" s="441"/>
      <c r="V100" s="441"/>
      <c r="W100" s="441"/>
      <c r="X100" s="258"/>
      <c r="Y100" s="258"/>
      <c r="Z100" s="441" t="s">
        <v>264</v>
      </c>
      <c r="AA100" s="441"/>
      <c r="AB100" s="498"/>
      <c r="AC100" s="180"/>
      <c r="AD100" s="180"/>
      <c r="AE100" s="180"/>
      <c r="AF100" s="180"/>
      <c r="AG100" s="180"/>
      <c r="AH100" s="180"/>
      <c r="AI100" s="180"/>
      <c r="AJ100" s="180"/>
      <c r="AK100" s="180"/>
      <c r="AL100" s="180"/>
      <c r="AM100" s="180"/>
      <c r="AN100" s="180"/>
      <c r="AO100" s="180"/>
      <c r="AP100" s="180"/>
      <c r="AQ100" s="180"/>
      <c r="AR100" s="180"/>
      <c r="AS100" s="180"/>
      <c r="AT100" s="180"/>
      <c r="AU100" s="180"/>
      <c r="AV100" s="180"/>
      <c r="AW100" s="180"/>
      <c r="AX100" s="180"/>
      <c r="AY100" s="180"/>
      <c r="AZ100" s="180"/>
      <c r="BA100" s="180"/>
      <c r="BB100" s="180"/>
      <c r="BC100" s="180"/>
      <c r="BD100" s="180"/>
      <c r="BE100" s="180"/>
      <c r="BF100" s="180"/>
      <c r="BG100" s="180"/>
      <c r="BH100" s="180"/>
      <c r="BI100" s="180"/>
      <c r="BJ100" s="180"/>
      <c r="BK100" s="180"/>
      <c r="BL100" s="180"/>
      <c r="BM100" s="180"/>
      <c r="BN100" s="180"/>
      <c r="BO100" s="180"/>
      <c r="BP100" s="180"/>
      <c r="BQ100" s="180"/>
      <c r="BR100" s="180"/>
      <c r="BS100" s="180"/>
      <c r="BT100" s="180"/>
      <c r="BU100" s="180"/>
      <c r="BV100" s="180"/>
      <c r="BW100" s="180"/>
      <c r="BX100" s="180"/>
      <c r="BY100" s="180"/>
      <c r="BZ100" s="180"/>
      <c r="CA100" s="180"/>
      <c r="CB100" s="180"/>
      <c r="CC100" s="180"/>
      <c r="CD100" s="180"/>
      <c r="CE100" s="180"/>
      <c r="CF100" s="180"/>
      <c r="CG100" s="117"/>
      <c r="CH100" s="117"/>
      <c r="CI100" s="97"/>
      <c r="CJ100" s="97"/>
    </row>
    <row r="101" spans="1:88" x14ac:dyDescent="0.45">
      <c r="A101" s="179"/>
      <c r="B101" s="498"/>
      <c r="C101" s="177"/>
      <c r="D101" s="169"/>
      <c r="E101" s="169"/>
      <c r="F101" s="169" t="s">
        <v>262</v>
      </c>
      <c r="G101" s="169" t="s">
        <v>193</v>
      </c>
      <c r="H101" s="465"/>
      <c r="I101" s="465"/>
      <c r="J101" s="169"/>
      <c r="K101" s="169"/>
      <c r="L101" s="169"/>
      <c r="M101" s="169"/>
      <c r="N101" s="169"/>
      <c r="O101" s="169"/>
      <c r="P101" s="169"/>
      <c r="Q101" s="169"/>
      <c r="R101" s="169"/>
      <c r="S101" s="169"/>
      <c r="T101" s="169"/>
      <c r="U101" s="169"/>
      <c r="V101" s="169"/>
      <c r="W101" s="169"/>
      <c r="X101" s="169"/>
      <c r="Y101" s="169"/>
      <c r="Z101" s="169" t="s">
        <v>262</v>
      </c>
      <c r="AA101" s="169"/>
      <c r="AB101" s="498"/>
      <c r="AC101" s="180"/>
      <c r="AD101" s="180"/>
      <c r="AE101" s="180"/>
      <c r="AF101" s="180"/>
      <c r="AG101" s="180"/>
      <c r="AH101" s="180"/>
      <c r="AI101" s="180"/>
      <c r="AJ101" s="180"/>
      <c r="AK101" s="180"/>
      <c r="AL101" s="180"/>
      <c r="AM101" s="180"/>
      <c r="AN101" s="180"/>
      <c r="AO101" s="180"/>
      <c r="AP101" s="180"/>
      <c r="AQ101" s="180"/>
      <c r="AR101" s="180"/>
      <c r="AS101" s="180"/>
      <c r="AT101" s="180"/>
      <c r="AU101" s="180"/>
      <c r="AV101" s="180"/>
      <c r="AW101" s="180"/>
      <c r="AX101" s="180"/>
      <c r="AY101" s="180"/>
      <c r="AZ101" s="180"/>
      <c r="BA101" s="180"/>
      <c r="BB101" s="180"/>
      <c r="BC101" s="180"/>
      <c r="BD101" s="180"/>
      <c r="BE101" s="180"/>
      <c r="BF101" s="180"/>
      <c r="BG101" s="180"/>
      <c r="BH101" s="180"/>
      <c r="BI101" s="180"/>
      <c r="BJ101" s="180"/>
      <c r="BK101" s="180"/>
      <c r="BL101" s="180"/>
      <c r="BM101" s="180"/>
      <c r="BN101" s="180"/>
      <c r="BO101" s="180"/>
      <c r="BP101" s="180"/>
      <c r="BQ101" s="180"/>
      <c r="BR101" s="180"/>
      <c r="BS101" s="180"/>
      <c r="BT101" s="180"/>
      <c r="BU101" s="180"/>
      <c r="BV101" s="180"/>
      <c r="BW101" s="180"/>
      <c r="BX101" s="180"/>
      <c r="BY101" s="180"/>
      <c r="BZ101" s="180"/>
      <c r="CA101" s="180"/>
      <c r="CB101" s="180"/>
      <c r="CC101" s="180"/>
      <c r="CD101" s="180"/>
      <c r="CE101" s="180"/>
      <c r="CF101" s="180"/>
      <c r="CG101" s="117"/>
      <c r="CH101" s="117"/>
      <c r="CI101" s="97"/>
      <c r="CJ101" s="97"/>
    </row>
    <row r="102" spans="1:88" ht="24" thickBot="1" x14ac:dyDescent="0.5">
      <c r="A102" s="180"/>
      <c r="B102" s="498"/>
      <c r="C102" s="178" t="s">
        <v>195</v>
      </c>
      <c r="D102" s="171"/>
      <c r="E102" s="171"/>
      <c r="F102" s="171" t="s">
        <v>143</v>
      </c>
      <c r="G102" s="171" t="s">
        <v>208</v>
      </c>
      <c r="H102" s="466"/>
      <c r="I102" s="466"/>
      <c r="J102" s="171"/>
      <c r="K102" s="208"/>
      <c r="L102" s="208"/>
      <c r="M102" s="208"/>
      <c r="N102" s="208"/>
      <c r="O102" s="208"/>
      <c r="P102" s="208"/>
      <c r="Q102" s="208"/>
      <c r="R102" s="208"/>
      <c r="S102" s="208"/>
      <c r="T102" s="208"/>
      <c r="U102" s="208"/>
      <c r="V102" s="208"/>
      <c r="W102" s="208"/>
      <c r="X102" s="208"/>
      <c r="Y102" s="208"/>
      <c r="Z102" s="447" t="s">
        <v>270</v>
      </c>
      <c r="AA102" s="447"/>
      <c r="AB102" s="499"/>
      <c r="AC102" s="180"/>
      <c r="AD102" s="180"/>
      <c r="AE102" s="180"/>
      <c r="AF102" s="180"/>
      <c r="AG102" s="180"/>
      <c r="AH102" s="180"/>
      <c r="AI102" s="180"/>
      <c r="AJ102" s="180"/>
      <c r="AK102" s="180"/>
      <c r="AL102" s="180"/>
      <c r="AM102" s="180"/>
      <c r="AN102" s="180"/>
      <c r="AO102" s="180"/>
      <c r="AP102" s="180"/>
      <c r="AQ102" s="180"/>
      <c r="AR102" s="180"/>
      <c r="AS102" s="180"/>
      <c r="AT102" s="180"/>
      <c r="AU102" s="180"/>
      <c r="AV102" s="180"/>
      <c r="AW102" s="180"/>
      <c r="AX102" s="180"/>
      <c r="AY102" s="180"/>
      <c r="AZ102" s="180"/>
      <c r="BA102" s="180"/>
      <c r="BB102" s="180"/>
      <c r="BC102" s="180"/>
      <c r="BD102" s="180"/>
      <c r="BE102" s="180"/>
      <c r="BF102" s="180"/>
      <c r="BG102" s="180"/>
      <c r="BH102" s="180"/>
      <c r="BI102" s="180"/>
      <c r="BJ102" s="180"/>
      <c r="BK102" s="180"/>
      <c r="BL102" s="180"/>
      <c r="BM102" s="180"/>
      <c r="BN102" s="180"/>
      <c r="BO102" s="180"/>
      <c r="BP102" s="180"/>
      <c r="BQ102" s="180"/>
      <c r="BR102" s="180"/>
      <c r="BS102" s="180"/>
      <c r="BT102" s="180"/>
      <c r="BU102" s="180"/>
      <c r="BV102" s="180"/>
      <c r="BW102" s="180"/>
      <c r="BX102" s="180"/>
      <c r="BY102" s="180"/>
      <c r="BZ102" s="180"/>
      <c r="CA102" s="180"/>
      <c r="CB102" s="180"/>
      <c r="CC102" s="180"/>
      <c r="CD102" s="180"/>
      <c r="CE102" s="180"/>
      <c r="CF102" s="180"/>
      <c r="CG102" s="117"/>
      <c r="CH102" s="117"/>
      <c r="CI102" s="97"/>
      <c r="CJ102" s="97"/>
    </row>
    <row r="103" spans="1:88" ht="24" customHeight="1" x14ac:dyDescent="0.45">
      <c r="A103" s="97"/>
      <c r="B103" s="502" t="s">
        <v>10</v>
      </c>
      <c r="C103" s="183" t="s">
        <v>198</v>
      </c>
      <c r="D103" s="130"/>
      <c r="E103" s="130"/>
      <c r="F103" s="130" t="s">
        <v>245</v>
      </c>
      <c r="G103" s="130" t="s">
        <v>257</v>
      </c>
      <c r="H103" s="130"/>
      <c r="I103" s="130"/>
      <c r="J103" s="130"/>
      <c r="K103" s="130"/>
      <c r="L103" s="130"/>
      <c r="M103" s="130"/>
      <c r="N103" s="130"/>
      <c r="O103" s="130"/>
      <c r="P103" s="130"/>
      <c r="Q103" s="130"/>
      <c r="R103" s="130"/>
      <c r="S103" s="130"/>
      <c r="T103" s="130"/>
      <c r="U103" s="130"/>
      <c r="V103" s="130"/>
      <c r="W103" s="130"/>
      <c r="X103" s="257"/>
      <c r="Y103" s="257"/>
      <c r="Z103" s="257" t="s">
        <v>772</v>
      </c>
      <c r="AA103" s="257"/>
      <c r="AB103" s="502" t="s">
        <v>10</v>
      </c>
      <c r="AC103" s="117"/>
      <c r="AD103" s="117"/>
      <c r="AE103" s="117"/>
      <c r="AF103" s="117"/>
      <c r="AG103" s="117"/>
      <c r="AH103" s="117"/>
      <c r="AI103" s="117"/>
      <c r="AJ103" s="117"/>
      <c r="AK103" s="117"/>
      <c r="AL103" s="117"/>
      <c r="AM103" s="117"/>
      <c r="AN103" s="117"/>
      <c r="AO103" s="117"/>
      <c r="AP103" s="117"/>
      <c r="AQ103" s="117"/>
      <c r="AR103" s="117"/>
      <c r="AS103" s="117"/>
      <c r="AT103" s="117"/>
      <c r="AU103" s="117"/>
      <c r="AV103" s="117"/>
      <c r="AW103" s="117"/>
      <c r="AX103" s="117"/>
      <c r="AY103" s="117"/>
      <c r="AZ103" s="117"/>
      <c r="BA103" s="117"/>
      <c r="BB103" s="117"/>
      <c r="BC103" s="117"/>
      <c r="BD103" s="117"/>
      <c r="BE103" s="117"/>
      <c r="BF103" s="117"/>
      <c r="BG103" s="117"/>
      <c r="BH103" s="117"/>
      <c r="BI103" s="117"/>
      <c r="BJ103" s="117"/>
      <c r="BK103" s="117"/>
      <c r="BL103" s="117"/>
      <c r="BM103" s="117"/>
      <c r="BN103" s="117"/>
      <c r="BO103" s="117"/>
      <c r="BP103" s="117"/>
      <c r="BQ103" s="117"/>
      <c r="BR103" s="117"/>
      <c r="BS103" s="117"/>
      <c r="BT103" s="117"/>
      <c r="BU103" s="117"/>
      <c r="BV103" s="117"/>
      <c r="BW103" s="117"/>
      <c r="BX103" s="117"/>
      <c r="BY103" s="117"/>
      <c r="BZ103" s="117"/>
      <c r="CA103" s="117"/>
      <c r="CB103" s="117"/>
      <c r="CC103" s="117"/>
      <c r="CD103" s="117"/>
      <c r="CE103" s="117"/>
      <c r="CF103" s="117"/>
      <c r="CG103" s="117"/>
      <c r="CH103" s="117"/>
      <c r="CI103" s="97"/>
      <c r="CJ103" s="97"/>
    </row>
    <row r="104" spans="1:88" ht="24" customHeight="1" x14ac:dyDescent="0.45">
      <c r="A104" s="97"/>
      <c r="B104" s="495"/>
      <c r="C104" s="183"/>
      <c r="D104" s="257"/>
      <c r="E104" s="257"/>
      <c r="F104" s="257" t="s">
        <v>246</v>
      </c>
      <c r="G104" s="257" t="s">
        <v>258</v>
      </c>
      <c r="H104" s="257"/>
      <c r="I104" s="257"/>
      <c r="J104" s="257"/>
      <c r="K104" s="257"/>
      <c r="L104" s="257"/>
      <c r="M104" s="257"/>
      <c r="N104" s="257"/>
      <c r="O104" s="257"/>
      <c r="P104" s="257"/>
      <c r="Q104" s="257"/>
      <c r="R104" s="257"/>
      <c r="S104" s="257"/>
      <c r="T104" s="257"/>
      <c r="U104" s="257"/>
      <c r="V104" s="257"/>
      <c r="W104" s="257"/>
      <c r="X104" s="257"/>
      <c r="Y104" s="257"/>
      <c r="Z104" s="257" t="s">
        <v>773</v>
      </c>
      <c r="AA104" s="257"/>
      <c r="AB104" s="495"/>
      <c r="AC104" s="117"/>
      <c r="AD104" s="117"/>
      <c r="AE104" s="117"/>
      <c r="AF104" s="117"/>
      <c r="AG104" s="117"/>
      <c r="AH104" s="117"/>
      <c r="AI104" s="117"/>
      <c r="AJ104" s="117"/>
      <c r="AK104" s="117"/>
      <c r="AL104" s="117"/>
      <c r="AM104" s="117"/>
      <c r="AN104" s="117"/>
      <c r="AO104" s="117"/>
      <c r="AP104" s="117"/>
      <c r="AQ104" s="117"/>
      <c r="AR104" s="117"/>
      <c r="AS104" s="117"/>
      <c r="AT104" s="117"/>
      <c r="AU104" s="117"/>
      <c r="AV104" s="117"/>
      <c r="AW104" s="117"/>
      <c r="AX104" s="117"/>
      <c r="AY104" s="117"/>
      <c r="AZ104" s="117"/>
      <c r="BA104" s="117"/>
      <c r="BB104" s="117"/>
      <c r="BC104" s="117"/>
      <c r="BD104" s="117"/>
      <c r="BE104" s="117"/>
      <c r="BF104" s="117"/>
      <c r="BG104" s="117"/>
      <c r="BH104" s="117"/>
      <c r="BI104" s="117"/>
      <c r="BJ104" s="117"/>
      <c r="BK104" s="117"/>
      <c r="BL104" s="117"/>
      <c r="BM104" s="117"/>
      <c r="BN104" s="117"/>
      <c r="BO104" s="117"/>
      <c r="BP104" s="117"/>
      <c r="BQ104" s="117"/>
      <c r="BR104" s="117"/>
      <c r="BS104" s="117"/>
      <c r="BT104" s="117"/>
      <c r="BU104" s="117"/>
      <c r="BV104" s="117"/>
      <c r="BW104" s="117"/>
      <c r="BX104" s="117"/>
      <c r="BY104" s="117"/>
      <c r="BZ104" s="117"/>
      <c r="CA104" s="117"/>
      <c r="CB104" s="117"/>
      <c r="CC104" s="117"/>
      <c r="CD104" s="117"/>
      <c r="CE104" s="117"/>
      <c r="CF104" s="117"/>
      <c r="CG104" s="117"/>
      <c r="CH104" s="117"/>
      <c r="CI104" s="97"/>
      <c r="CJ104" s="97"/>
    </row>
    <row r="105" spans="1:88" x14ac:dyDescent="0.45">
      <c r="A105" s="97"/>
      <c r="B105" s="495"/>
      <c r="C105" s="184"/>
      <c r="D105" s="134"/>
      <c r="E105" s="134"/>
      <c r="F105" s="134" t="s">
        <v>370</v>
      </c>
      <c r="G105" s="134" t="s">
        <v>262</v>
      </c>
      <c r="H105" s="134"/>
      <c r="I105" s="134"/>
      <c r="J105" s="134"/>
      <c r="K105" s="134"/>
      <c r="L105" s="134"/>
      <c r="M105" s="134"/>
      <c r="N105" s="134"/>
      <c r="O105" s="134"/>
      <c r="P105" s="134"/>
      <c r="Q105" s="134"/>
      <c r="R105" s="134"/>
      <c r="S105" s="134"/>
      <c r="T105" s="134"/>
      <c r="U105" s="134"/>
      <c r="V105" s="134"/>
      <c r="W105" s="134"/>
      <c r="X105" s="134"/>
      <c r="Y105" s="134"/>
      <c r="Z105" s="134" t="s">
        <v>221</v>
      </c>
      <c r="AA105" s="134"/>
      <c r="AB105" s="495"/>
      <c r="AC105" s="117"/>
      <c r="AD105" s="117"/>
      <c r="AE105" s="117"/>
      <c r="AF105" s="117"/>
      <c r="AG105" s="117"/>
      <c r="AH105" s="117"/>
      <c r="AI105" s="117"/>
      <c r="AJ105" s="117"/>
      <c r="AK105" s="117"/>
      <c r="AL105" s="117"/>
      <c r="AM105" s="117"/>
      <c r="AN105" s="117"/>
      <c r="AO105" s="117"/>
      <c r="AP105" s="117"/>
      <c r="AQ105" s="117"/>
      <c r="AR105" s="117"/>
      <c r="AS105" s="117"/>
      <c r="AT105" s="117"/>
      <c r="AU105" s="117"/>
      <c r="AV105" s="117"/>
      <c r="AW105" s="117"/>
      <c r="AX105" s="117"/>
      <c r="AY105" s="117"/>
      <c r="AZ105" s="117"/>
      <c r="BA105" s="117"/>
      <c r="BB105" s="117"/>
      <c r="BC105" s="117"/>
      <c r="BD105" s="117"/>
      <c r="BE105" s="117"/>
      <c r="BF105" s="117"/>
      <c r="BG105" s="117"/>
      <c r="BH105" s="117"/>
      <c r="BI105" s="117"/>
      <c r="BJ105" s="117"/>
      <c r="BK105" s="117"/>
      <c r="BL105" s="117"/>
      <c r="BM105" s="117"/>
      <c r="BN105" s="117"/>
      <c r="BO105" s="117"/>
      <c r="BP105" s="117"/>
      <c r="BQ105" s="117"/>
      <c r="BR105" s="117"/>
      <c r="BS105" s="117"/>
      <c r="BT105" s="117"/>
      <c r="BU105" s="117"/>
      <c r="BV105" s="117"/>
      <c r="BW105" s="117"/>
      <c r="BX105" s="117"/>
      <c r="BY105" s="117"/>
      <c r="BZ105" s="117"/>
      <c r="CA105" s="117"/>
      <c r="CB105" s="117"/>
      <c r="CC105" s="117"/>
      <c r="CD105" s="117"/>
      <c r="CE105" s="117"/>
      <c r="CF105" s="117"/>
      <c r="CG105" s="117"/>
      <c r="CH105" s="117"/>
      <c r="CI105" s="97"/>
      <c r="CJ105" s="97"/>
    </row>
    <row r="106" spans="1:88" ht="24" thickBot="1" x14ac:dyDescent="0.5">
      <c r="A106" s="117"/>
      <c r="B106" s="495"/>
      <c r="C106" s="185" t="s">
        <v>199</v>
      </c>
      <c r="D106" s="136"/>
      <c r="E106" s="136"/>
      <c r="F106" s="136" t="s">
        <v>605</v>
      </c>
      <c r="G106" s="136" t="s">
        <v>728</v>
      </c>
      <c r="H106" s="136"/>
      <c r="I106" s="136"/>
      <c r="J106" s="136"/>
      <c r="K106" s="136"/>
      <c r="L106" s="136"/>
      <c r="M106" s="136"/>
      <c r="N106" s="136"/>
      <c r="O106" s="136"/>
      <c r="P106" s="136"/>
      <c r="Q106" s="136"/>
      <c r="R106" s="136"/>
      <c r="S106" s="136"/>
      <c r="T106" s="136"/>
      <c r="U106" s="136"/>
      <c r="V106" s="136"/>
      <c r="W106" s="136"/>
      <c r="X106" s="445"/>
      <c r="Y106" s="445"/>
      <c r="Z106" s="445" t="s">
        <v>378</v>
      </c>
      <c r="AA106" s="445"/>
      <c r="AB106" s="495"/>
      <c r="AC106" s="117"/>
      <c r="AD106" s="117"/>
      <c r="AE106" s="117"/>
      <c r="AF106" s="117"/>
      <c r="AG106" s="117"/>
      <c r="AH106" s="117"/>
      <c r="AI106" s="117"/>
      <c r="AJ106" s="117"/>
      <c r="AK106" s="117"/>
      <c r="AL106" s="117"/>
      <c r="AM106" s="117"/>
      <c r="AN106" s="117"/>
      <c r="AO106" s="117"/>
      <c r="AP106" s="117"/>
      <c r="AQ106" s="117"/>
      <c r="AR106" s="117"/>
      <c r="AS106" s="117"/>
      <c r="AT106" s="117"/>
      <c r="AU106" s="117"/>
      <c r="AV106" s="117"/>
      <c r="AW106" s="117"/>
      <c r="AX106" s="117"/>
      <c r="AY106" s="117"/>
      <c r="AZ106" s="117"/>
      <c r="BA106" s="117"/>
      <c r="BB106" s="117"/>
      <c r="BC106" s="117"/>
      <c r="BD106" s="117"/>
      <c r="BE106" s="117"/>
      <c r="BF106" s="117"/>
      <c r="BG106" s="117"/>
      <c r="BH106" s="117"/>
      <c r="BI106" s="117"/>
      <c r="BJ106" s="117"/>
      <c r="BK106" s="117"/>
      <c r="BL106" s="117"/>
      <c r="BM106" s="117"/>
      <c r="BN106" s="117"/>
      <c r="BO106" s="117"/>
      <c r="BP106" s="117"/>
      <c r="BQ106" s="117"/>
      <c r="BR106" s="117"/>
      <c r="BS106" s="117"/>
      <c r="BT106" s="117"/>
      <c r="BU106" s="117"/>
      <c r="BV106" s="117"/>
      <c r="BW106" s="117"/>
      <c r="BX106" s="117"/>
      <c r="BY106" s="117"/>
      <c r="BZ106" s="117"/>
      <c r="CA106" s="117"/>
      <c r="CB106" s="117"/>
      <c r="CC106" s="117"/>
      <c r="CD106" s="117"/>
      <c r="CE106" s="117"/>
      <c r="CF106" s="117"/>
      <c r="CG106" s="117"/>
      <c r="CH106" s="117"/>
      <c r="CI106" s="97"/>
      <c r="CJ106" s="97"/>
    </row>
    <row r="107" spans="1:88" x14ac:dyDescent="0.45">
      <c r="A107" s="97"/>
      <c r="B107" s="495"/>
      <c r="C107" s="183" t="s">
        <v>199</v>
      </c>
      <c r="D107" s="130"/>
      <c r="E107" s="130"/>
      <c r="F107" s="130" t="s">
        <v>415</v>
      </c>
      <c r="G107" s="130" t="s">
        <v>590</v>
      </c>
      <c r="H107" s="130"/>
      <c r="I107" s="130"/>
      <c r="J107" s="130"/>
      <c r="K107" s="130"/>
      <c r="L107" s="130"/>
      <c r="M107" s="130"/>
      <c r="N107" s="130"/>
      <c r="O107" s="130"/>
      <c r="P107" s="130"/>
      <c r="Q107" s="130"/>
      <c r="R107" s="130"/>
      <c r="S107" s="130"/>
      <c r="T107" s="130"/>
      <c r="U107" s="130"/>
      <c r="V107" s="130"/>
      <c r="W107" s="130"/>
      <c r="X107" s="257"/>
      <c r="Y107" s="257"/>
      <c r="Z107" s="257" t="s">
        <v>778</v>
      </c>
      <c r="AA107" s="257"/>
      <c r="AB107" s="495"/>
      <c r="AC107" s="117"/>
      <c r="AD107" s="117"/>
      <c r="AE107" s="117"/>
      <c r="AF107" s="117"/>
      <c r="AG107" s="117"/>
      <c r="AH107" s="117"/>
      <c r="AI107" s="117"/>
      <c r="AJ107" s="117"/>
      <c r="AK107" s="117"/>
      <c r="AL107" s="117"/>
      <c r="AM107" s="117"/>
      <c r="AN107" s="117"/>
      <c r="AO107" s="117"/>
      <c r="AP107" s="117"/>
      <c r="AQ107" s="117"/>
      <c r="AR107" s="117"/>
      <c r="AS107" s="117"/>
      <c r="AT107" s="117"/>
      <c r="AU107" s="117"/>
      <c r="AV107" s="117"/>
      <c r="AW107" s="117"/>
      <c r="AX107" s="117"/>
      <c r="AY107" s="117"/>
      <c r="AZ107" s="117"/>
      <c r="BA107" s="117"/>
      <c r="BB107" s="117"/>
      <c r="BC107" s="117"/>
      <c r="BD107" s="117"/>
      <c r="BE107" s="117"/>
      <c r="BF107" s="117"/>
      <c r="BG107" s="117"/>
      <c r="BH107" s="117"/>
      <c r="BI107" s="117"/>
      <c r="BJ107" s="117"/>
      <c r="BK107" s="117"/>
      <c r="BL107" s="117"/>
      <c r="BM107" s="117"/>
      <c r="BN107" s="117"/>
      <c r="BO107" s="117"/>
      <c r="BP107" s="117"/>
      <c r="BQ107" s="117"/>
      <c r="BR107" s="117"/>
      <c r="BS107" s="117"/>
      <c r="BT107" s="117"/>
      <c r="BU107" s="117"/>
      <c r="BV107" s="117"/>
      <c r="BW107" s="117"/>
      <c r="BX107" s="117"/>
      <c r="BY107" s="117"/>
      <c r="BZ107" s="117"/>
      <c r="CA107" s="117"/>
      <c r="CB107" s="117"/>
      <c r="CC107" s="117"/>
      <c r="CD107" s="117"/>
      <c r="CE107" s="117"/>
      <c r="CF107" s="117"/>
      <c r="CG107" s="117"/>
      <c r="CH107" s="117"/>
      <c r="CI107" s="97"/>
      <c r="CJ107" s="97"/>
    </row>
    <row r="108" spans="1:88" x14ac:dyDescent="0.45">
      <c r="A108" s="97"/>
      <c r="B108" s="495"/>
      <c r="C108" s="183"/>
      <c r="D108" s="257"/>
      <c r="E108" s="257"/>
      <c r="F108" s="257" t="s">
        <v>414</v>
      </c>
      <c r="G108" s="257" t="s">
        <v>624</v>
      </c>
      <c r="H108" s="257"/>
      <c r="I108" s="257"/>
      <c r="J108" s="257"/>
      <c r="K108" s="257"/>
      <c r="L108" s="257"/>
      <c r="M108" s="257"/>
      <c r="N108" s="257"/>
      <c r="O108" s="257"/>
      <c r="P108" s="257"/>
      <c r="Q108" s="257"/>
      <c r="R108" s="257"/>
      <c r="S108" s="257"/>
      <c r="T108" s="257"/>
      <c r="U108" s="257"/>
      <c r="V108" s="257"/>
      <c r="W108" s="257"/>
      <c r="X108" s="257"/>
      <c r="Y108" s="257"/>
      <c r="Z108" s="257" t="s">
        <v>779</v>
      </c>
      <c r="AA108" s="257"/>
      <c r="AB108" s="495"/>
      <c r="AC108" s="117"/>
      <c r="AD108" s="117"/>
      <c r="AE108" s="117"/>
      <c r="AF108" s="117"/>
      <c r="AG108" s="117"/>
      <c r="AH108" s="117"/>
      <c r="AI108" s="117"/>
      <c r="AJ108" s="117"/>
      <c r="AK108" s="117"/>
      <c r="AL108" s="117"/>
      <c r="AM108" s="117"/>
      <c r="AN108" s="117"/>
      <c r="AO108" s="117"/>
      <c r="AP108" s="117"/>
      <c r="AQ108" s="117"/>
      <c r="AR108" s="117"/>
      <c r="AS108" s="117"/>
      <c r="AT108" s="117"/>
      <c r="AU108" s="117"/>
      <c r="AV108" s="117"/>
      <c r="AW108" s="117"/>
      <c r="AX108" s="117"/>
      <c r="AY108" s="117"/>
      <c r="AZ108" s="117"/>
      <c r="BA108" s="117"/>
      <c r="BB108" s="117"/>
      <c r="BC108" s="117"/>
      <c r="BD108" s="117"/>
      <c r="BE108" s="117"/>
      <c r="BF108" s="117"/>
      <c r="BG108" s="117"/>
      <c r="BH108" s="117"/>
      <c r="BI108" s="117"/>
      <c r="BJ108" s="117"/>
      <c r="BK108" s="117"/>
      <c r="BL108" s="117"/>
      <c r="BM108" s="117"/>
      <c r="BN108" s="117"/>
      <c r="BO108" s="117"/>
      <c r="BP108" s="117"/>
      <c r="BQ108" s="117"/>
      <c r="BR108" s="117"/>
      <c r="BS108" s="117"/>
      <c r="BT108" s="117"/>
      <c r="BU108" s="117"/>
      <c r="BV108" s="117"/>
      <c r="BW108" s="117"/>
      <c r="BX108" s="117"/>
      <c r="BY108" s="117"/>
      <c r="BZ108" s="117"/>
      <c r="CA108" s="117"/>
      <c r="CB108" s="117"/>
      <c r="CC108" s="117"/>
      <c r="CD108" s="117"/>
      <c r="CE108" s="117"/>
      <c r="CF108" s="117"/>
      <c r="CG108" s="117"/>
      <c r="CH108" s="117"/>
      <c r="CI108" s="97"/>
      <c r="CJ108" s="97"/>
    </row>
    <row r="109" spans="1:88" x14ac:dyDescent="0.45">
      <c r="A109" s="97"/>
      <c r="B109" s="495"/>
      <c r="C109" s="186"/>
      <c r="D109" s="134"/>
      <c r="E109" s="134"/>
      <c r="F109" s="134" t="s">
        <v>215</v>
      </c>
      <c r="G109" s="134" t="s">
        <v>262</v>
      </c>
      <c r="H109" s="134"/>
      <c r="I109" s="134"/>
      <c r="J109" s="134"/>
      <c r="K109" s="134"/>
      <c r="L109" s="134"/>
      <c r="M109" s="134"/>
      <c r="N109" s="134"/>
      <c r="O109" s="134"/>
      <c r="P109" s="134"/>
      <c r="Q109" s="134"/>
      <c r="R109" s="134"/>
      <c r="S109" s="134"/>
      <c r="T109" s="134"/>
      <c r="U109" s="134"/>
      <c r="V109" s="134"/>
      <c r="W109" s="134"/>
      <c r="X109" s="134"/>
      <c r="Y109" s="134"/>
      <c r="Z109" s="134" t="s">
        <v>372</v>
      </c>
      <c r="AA109" s="134"/>
      <c r="AB109" s="495"/>
      <c r="AC109" s="117"/>
      <c r="AD109" s="117"/>
      <c r="AE109" s="117"/>
      <c r="AF109" s="117"/>
      <c r="AG109" s="117"/>
      <c r="AH109" s="117"/>
      <c r="AI109" s="117"/>
      <c r="AJ109" s="117"/>
      <c r="AK109" s="117"/>
      <c r="AL109" s="117"/>
      <c r="AM109" s="117"/>
      <c r="AN109" s="117"/>
      <c r="AO109" s="117"/>
      <c r="AP109" s="117"/>
      <c r="AQ109" s="117"/>
      <c r="AR109" s="117"/>
      <c r="AS109" s="117"/>
      <c r="AT109" s="117"/>
      <c r="AU109" s="117"/>
      <c r="AV109" s="117"/>
      <c r="AW109" s="117"/>
      <c r="AX109" s="117"/>
      <c r="AY109" s="117"/>
      <c r="AZ109" s="117"/>
      <c r="BA109" s="117"/>
      <c r="BB109" s="117"/>
      <c r="BC109" s="117"/>
      <c r="BD109" s="117"/>
      <c r="BE109" s="117"/>
      <c r="BF109" s="117"/>
      <c r="BG109" s="117"/>
      <c r="BH109" s="117"/>
      <c r="BI109" s="117"/>
      <c r="BJ109" s="117"/>
      <c r="BK109" s="117"/>
      <c r="BL109" s="117"/>
      <c r="BM109" s="117"/>
      <c r="BN109" s="117"/>
      <c r="BO109" s="117"/>
      <c r="BP109" s="117"/>
      <c r="BQ109" s="117"/>
      <c r="BR109" s="117"/>
      <c r="BS109" s="117"/>
      <c r="BT109" s="117"/>
      <c r="BU109" s="117"/>
      <c r="BV109" s="117"/>
      <c r="BW109" s="117"/>
      <c r="BX109" s="117"/>
      <c r="BY109" s="117"/>
      <c r="BZ109" s="117"/>
      <c r="CA109" s="117"/>
      <c r="CB109" s="117"/>
      <c r="CC109" s="117"/>
      <c r="CD109" s="117"/>
      <c r="CE109" s="117"/>
      <c r="CF109" s="117"/>
      <c r="CG109" s="117"/>
      <c r="CH109" s="117"/>
      <c r="CI109" s="97"/>
      <c r="CJ109" s="97"/>
    </row>
    <row r="110" spans="1:88" ht="24" thickBot="1" x14ac:dyDescent="0.5">
      <c r="A110" s="175"/>
      <c r="B110" s="495"/>
      <c r="C110" s="185" t="s">
        <v>196</v>
      </c>
      <c r="D110" s="136"/>
      <c r="E110" s="136"/>
      <c r="F110" s="136" t="s">
        <v>544</v>
      </c>
      <c r="G110" s="136" t="s">
        <v>705</v>
      </c>
      <c r="H110" s="136"/>
      <c r="I110" s="136"/>
      <c r="J110" s="136"/>
      <c r="K110" s="136"/>
      <c r="L110" s="136"/>
      <c r="M110" s="136"/>
      <c r="N110" s="136"/>
      <c r="O110" s="136"/>
      <c r="P110" s="136"/>
      <c r="Q110" s="136"/>
      <c r="R110" s="136"/>
      <c r="S110" s="136"/>
      <c r="T110" s="136"/>
      <c r="U110" s="136"/>
      <c r="V110" s="136"/>
      <c r="W110" s="136"/>
      <c r="X110" s="445"/>
      <c r="Y110" s="445"/>
      <c r="Z110" s="445" t="s">
        <v>780</v>
      </c>
      <c r="AA110" s="445"/>
      <c r="AB110" s="495"/>
      <c r="AC110" s="175"/>
      <c r="AD110" s="175"/>
      <c r="AE110" s="175"/>
      <c r="AF110" s="175"/>
      <c r="AG110" s="175"/>
      <c r="AH110" s="175"/>
      <c r="AI110" s="175"/>
      <c r="AJ110" s="175"/>
      <c r="AK110" s="175"/>
      <c r="AL110" s="175"/>
      <c r="AM110" s="175"/>
      <c r="AN110" s="175"/>
      <c r="AO110" s="175"/>
      <c r="AP110" s="175"/>
      <c r="AQ110" s="175"/>
      <c r="AR110" s="175"/>
      <c r="AS110" s="175"/>
      <c r="AT110" s="175"/>
      <c r="AU110" s="175"/>
      <c r="AV110" s="175"/>
      <c r="AW110" s="175"/>
      <c r="AX110" s="175"/>
      <c r="AY110" s="175"/>
      <c r="AZ110" s="175"/>
      <c r="BA110" s="175"/>
      <c r="BB110" s="175"/>
      <c r="BC110" s="175"/>
      <c r="BD110" s="175"/>
      <c r="BE110" s="175"/>
      <c r="BF110" s="175"/>
      <c r="BG110" s="175"/>
      <c r="BH110" s="175"/>
      <c r="BI110" s="175"/>
      <c r="BJ110" s="175"/>
      <c r="BK110" s="175"/>
      <c r="BL110" s="175"/>
      <c r="BM110" s="175"/>
      <c r="BN110" s="175"/>
      <c r="BO110" s="175"/>
      <c r="BP110" s="175"/>
      <c r="BQ110" s="175"/>
      <c r="BR110" s="175"/>
      <c r="BS110" s="175"/>
      <c r="BT110" s="175"/>
      <c r="BU110" s="175"/>
      <c r="BV110" s="175"/>
      <c r="BW110" s="175"/>
      <c r="BX110" s="175"/>
      <c r="BY110" s="175"/>
      <c r="BZ110" s="175"/>
      <c r="CA110" s="175"/>
      <c r="CB110" s="175"/>
      <c r="CC110" s="175"/>
      <c r="CD110" s="175"/>
      <c r="CE110" s="175"/>
      <c r="CF110" s="175"/>
      <c r="CG110" s="117"/>
      <c r="CH110" s="117"/>
      <c r="CI110" s="97"/>
      <c r="CJ110" s="97"/>
    </row>
    <row r="111" spans="1:88" x14ac:dyDescent="0.45">
      <c r="A111" s="117"/>
      <c r="B111" s="495"/>
      <c r="C111" s="187">
        <v>1</v>
      </c>
      <c r="D111" s="188"/>
      <c r="E111" s="188"/>
      <c r="F111" s="188"/>
      <c r="G111" s="188"/>
      <c r="H111" s="188"/>
      <c r="I111" s="188"/>
      <c r="J111" s="188"/>
      <c r="K111" s="188"/>
      <c r="L111" s="189"/>
      <c r="M111" s="189"/>
      <c r="N111" s="189"/>
      <c r="O111" s="189"/>
      <c r="P111" s="189"/>
      <c r="Q111" s="189"/>
      <c r="R111" s="189"/>
      <c r="S111" s="189"/>
      <c r="T111" s="189"/>
      <c r="U111" s="189"/>
      <c r="V111" s="189"/>
      <c r="W111" s="189"/>
      <c r="X111" s="189"/>
      <c r="Y111" s="189"/>
      <c r="Z111" s="189"/>
      <c r="AA111" s="189"/>
      <c r="AB111" s="495"/>
      <c r="AC111" s="117"/>
      <c r="AD111" s="117"/>
      <c r="AE111" s="117"/>
      <c r="AF111" s="117"/>
      <c r="AG111" s="117"/>
      <c r="AH111" s="117"/>
      <c r="AI111" s="117"/>
      <c r="AJ111" s="117"/>
      <c r="AK111" s="117"/>
      <c r="AL111" s="117"/>
      <c r="AM111" s="117"/>
      <c r="AN111" s="117"/>
      <c r="AO111" s="117"/>
      <c r="AP111" s="117"/>
      <c r="AQ111" s="117"/>
      <c r="AR111" s="117"/>
      <c r="AS111" s="117"/>
      <c r="AT111" s="117"/>
      <c r="AU111" s="117"/>
      <c r="AV111" s="117"/>
      <c r="AW111" s="117"/>
      <c r="AX111" s="117"/>
      <c r="AY111" s="117"/>
      <c r="AZ111" s="117"/>
      <c r="BA111" s="117"/>
      <c r="BB111" s="117"/>
      <c r="BC111" s="117"/>
      <c r="BD111" s="117"/>
      <c r="BE111" s="117"/>
      <c r="BF111" s="117"/>
      <c r="BG111" s="117"/>
      <c r="BH111" s="117"/>
      <c r="BI111" s="117"/>
      <c r="BJ111" s="117"/>
      <c r="BK111" s="117"/>
      <c r="BL111" s="117"/>
      <c r="BM111" s="117"/>
      <c r="BN111" s="117"/>
      <c r="BO111" s="117"/>
      <c r="BP111" s="117"/>
      <c r="BQ111" s="117"/>
      <c r="BR111" s="117"/>
      <c r="BS111" s="117"/>
      <c r="BT111" s="117"/>
      <c r="BU111" s="117"/>
      <c r="BV111" s="117"/>
      <c r="BW111" s="117"/>
      <c r="BX111" s="117"/>
      <c r="BY111" s="117"/>
      <c r="BZ111" s="117"/>
      <c r="CA111" s="117"/>
      <c r="CB111" s="117"/>
      <c r="CC111" s="117"/>
      <c r="CD111" s="117"/>
      <c r="CE111" s="117"/>
      <c r="CF111" s="117"/>
      <c r="CG111" s="117"/>
      <c r="CH111" s="117"/>
      <c r="CI111" s="97"/>
      <c r="CJ111" s="97"/>
    </row>
    <row r="112" spans="1:88" x14ac:dyDescent="0.45">
      <c r="A112" s="117"/>
      <c r="B112" s="495"/>
      <c r="C112" s="190"/>
      <c r="D112" s="191"/>
      <c r="E112" s="191"/>
      <c r="F112" s="191"/>
      <c r="G112" s="191"/>
      <c r="H112" s="191"/>
      <c r="I112" s="191"/>
      <c r="J112" s="191"/>
      <c r="K112" s="191"/>
      <c r="L112" s="189"/>
      <c r="M112" s="189"/>
      <c r="N112" s="189"/>
      <c r="O112" s="189"/>
      <c r="P112" s="189"/>
      <c r="Q112" s="189"/>
      <c r="R112" s="189"/>
      <c r="S112" s="189"/>
      <c r="T112" s="189"/>
      <c r="U112" s="189"/>
      <c r="V112" s="189"/>
      <c r="W112" s="189"/>
      <c r="X112" s="189"/>
      <c r="Y112" s="189"/>
      <c r="Z112" s="189"/>
      <c r="AA112" s="189"/>
      <c r="AB112" s="495"/>
      <c r="AC112" s="117"/>
      <c r="AD112" s="117"/>
      <c r="AE112" s="117"/>
      <c r="AF112" s="117"/>
      <c r="AG112" s="117"/>
      <c r="AH112" s="117"/>
      <c r="AI112" s="117"/>
      <c r="AJ112" s="117"/>
      <c r="AK112" s="117"/>
      <c r="AL112" s="117"/>
      <c r="AM112" s="117"/>
      <c r="AN112" s="117"/>
      <c r="AO112" s="117"/>
      <c r="AP112" s="117"/>
      <c r="AQ112" s="117"/>
      <c r="AR112" s="117"/>
      <c r="AS112" s="117"/>
      <c r="AT112" s="117"/>
      <c r="AU112" s="117"/>
      <c r="AV112" s="117"/>
      <c r="AW112" s="117"/>
      <c r="AX112" s="117"/>
      <c r="AY112" s="117"/>
      <c r="AZ112" s="117"/>
      <c r="BA112" s="117"/>
      <c r="BB112" s="117"/>
      <c r="BC112" s="117"/>
      <c r="BD112" s="117"/>
      <c r="BE112" s="117"/>
      <c r="BF112" s="117"/>
      <c r="BG112" s="117"/>
      <c r="BH112" s="117"/>
      <c r="BI112" s="117"/>
      <c r="BJ112" s="117"/>
      <c r="BK112" s="117"/>
      <c r="BL112" s="117"/>
      <c r="BM112" s="117"/>
      <c r="BN112" s="117"/>
      <c r="BO112" s="117"/>
      <c r="BP112" s="117"/>
      <c r="BQ112" s="117"/>
      <c r="BR112" s="117"/>
      <c r="BS112" s="117"/>
      <c r="BT112" s="117"/>
      <c r="BU112" s="117"/>
      <c r="BV112" s="117"/>
      <c r="BW112" s="117"/>
      <c r="BX112" s="117"/>
      <c r="BY112" s="117"/>
      <c r="BZ112" s="117"/>
      <c r="CA112" s="117"/>
      <c r="CB112" s="117"/>
      <c r="CC112" s="117"/>
      <c r="CD112" s="117"/>
      <c r="CE112" s="117"/>
      <c r="CF112" s="117"/>
      <c r="CG112" s="117"/>
      <c r="CH112" s="117"/>
      <c r="CI112" s="97"/>
      <c r="CJ112" s="97"/>
    </row>
    <row r="113" spans="1:88" ht="24" thickBot="1" x14ac:dyDescent="0.5">
      <c r="A113" s="117"/>
      <c r="B113" s="495"/>
      <c r="C113" s="192">
        <v>2</v>
      </c>
      <c r="D113" s="191"/>
      <c r="E113" s="191"/>
      <c r="F113" s="191"/>
      <c r="G113" s="191"/>
      <c r="H113" s="191"/>
      <c r="I113" s="191"/>
      <c r="J113" s="191"/>
      <c r="K113" s="191"/>
      <c r="L113" s="189"/>
      <c r="M113" s="189"/>
      <c r="N113" s="189"/>
      <c r="O113" s="189"/>
      <c r="P113" s="189"/>
      <c r="Q113" s="189"/>
      <c r="R113" s="189"/>
      <c r="S113" s="189"/>
      <c r="T113" s="189"/>
      <c r="U113" s="189"/>
      <c r="V113" s="189"/>
      <c r="W113" s="189"/>
      <c r="X113" s="189"/>
      <c r="Y113" s="189"/>
      <c r="Z113" s="189"/>
      <c r="AA113" s="189"/>
      <c r="AB113" s="495"/>
      <c r="AC113" s="117"/>
      <c r="AD113" s="117"/>
      <c r="AE113" s="117"/>
      <c r="AF113" s="117"/>
      <c r="AG113" s="117"/>
      <c r="AH113" s="117"/>
      <c r="AI113" s="117"/>
      <c r="AJ113" s="117"/>
      <c r="AK113" s="117"/>
      <c r="AL113" s="117"/>
      <c r="AM113" s="117"/>
      <c r="AN113" s="117"/>
      <c r="AO113" s="117"/>
      <c r="AP113" s="117"/>
      <c r="AQ113" s="117"/>
      <c r="AR113" s="117"/>
      <c r="AS113" s="117"/>
      <c r="AT113" s="117"/>
      <c r="AU113" s="117"/>
      <c r="AV113" s="117"/>
      <c r="AW113" s="117"/>
      <c r="AX113" s="117"/>
      <c r="AY113" s="117"/>
      <c r="AZ113" s="117"/>
      <c r="BA113" s="117"/>
      <c r="BB113" s="117"/>
      <c r="BC113" s="117"/>
      <c r="BD113" s="117"/>
      <c r="BE113" s="117"/>
      <c r="BF113" s="117"/>
      <c r="BG113" s="117"/>
      <c r="BH113" s="117"/>
      <c r="BI113" s="117"/>
      <c r="BJ113" s="117"/>
      <c r="BK113" s="117"/>
      <c r="BL113" s="117"/>
      <c r="BM113" s="117"/>
      <c r="BN113" s="117"/>
      <c r="BO113" s="117"/>
      <c r="BP113" s="117"/>
      <c r="BQ113" s="117"/>
      <c r="BR113" s="117"/>
      <c r="BS113" s="117"/>
      <c r="BT113" s="117"/>
      <c r="BU113" s="117"/>
      <c r="BV113" s="117"/>
      <c r="BW113" s="117"/>
      <c r="BX113" s="117"/>
      <c r="BY113" s="117"/>
      <c r="BZ113" s="117"/>
      <c r="CA113" s="117"/>
      <c r="CB113" s="117"/>
      <c r="CC113" s="117"/>
      <c r="CD113" s="117"/>
      <c r="CE113" s="117"/>
      <c r="CF113" s="117"/>
      <c r="CG113" s="117"/>
      <c r="CH113" s="117"/>
      <c r="CI113" s="97"/>
      <c r="CJ113" s="97"/>
    </row>
    <row r="114" spans="1:88" x14ac:dyDescent="0.45">
      <c r="A114" s="117"/>
      <c r="B114" s="495"/>
      <c r="C114" s="193" t="s">
        <v>197</v>
      </c>
      <c r="D114" s="130"/>
      <c r="E114" s="130"/>
      <c r="F114" s="130" t="s">
        <v>237</v>
      </c>
      <c r="G114" s="131" t="s">
        <v>617</v>
      </c>
      <c r="H114" s="131"/>
      <c r="I114" s="131"/>
      <c r="J114" s="130"/>
      <c r="K114" s="130"/>
      <c r="L114" s="130"/>
      <c r="M114" s="130"/>
      <c r="N114" s="130"/>
      <c r="O114" s="130"/>
      <c r="P114" s="130"/>
      <c r="Q114" s="130"/>
      <c r="R114" s="130"/>
      <c r="S114" s="130"/>
      <c r="T114" s="130"/>
      <c r="U114" s="130"/>
      <c r="V114" s="130"/>
      <c r="W114" s="130"/>
      <c r="X114" s="257"/>
      <c r="Y114" s="257"/>
      <c r="Z114" s="257" t="s">
        <v>781</v>
      </c>
      <c r="AA114" s="257"/>
      <c r="AB114" s="495"/>
      <c r="AC114" s="117"/>
      <c r="AD114" s="117"/>
      <c r="AE114" s="117"/>
      <c r="AF114" s="117"/>
      <c r="AG114" s="117"/>
      <c r="AH114" s="117"/>
      <c r="AI114" s="117"/>
      <c r="AJ114" s="117"/>
      <c r="AK114" s="117"/>
      <c r="AL114" s="117"/>
      <c r="AM114" s="117"/>
      <c r="AN114" s="117"/>
      <c r="AO114" s="117"/>
      <c r="AP114" s="117"/>
      <c r="AQ114" s="117"/>
      <c r="AR114" s="117"/>
      <c r="AS114" s="117"/>
      <c r="AT114" s="117"/>
      <c r="AU114" s="117"/>
      <c r="AV114" s="117"/>
      <c r="AW114" s="117"/>
      <c r="AX114" s="117"/>
      <c r="AY114" s="117"/>
      <c r="AZ114" s="117"/>
      <c r="BA114" s="117"/>
      <c r="BB114" s="117"/>
      <c r="BC114" s="117"/>
      <c r="BD114" s="117"/>
      <c r="BE114" s="117"/>
      <c r="BF114" s="117"/>
      <c r="BG114" s="117"/>
      <c r="BH114" s="117"/>
      <c r="BI114" s="117"/>
      <c r="BJ114" s="117"/>
      <c r="BK114" s="117"/>
      <c r="BL114" s="117"/>
      <c r="BM114" s="117"/>
      <c r="BN114" s="117"/>
      <c r="BO114" s="117"/>
      <c r="BP114" s="117"/>
      <c r="BQ114" s="117"/>
      <c r="BR114" s="117"/>
      <c r="BS114" s="117"/>
      <c r="BT114" s="117"/>
      <c r="BU114" s="117"/>
      <c r="BV114" s="117"/>
      <c r="BW114" s="117"/>
      <c r="BX114" s="117"/>
      <c r="BY114" s="117"/>
      <c r="BZ114" s="117"/>
      <c r="CA114" s="117"/>
      <c r="CB114" s="117"/>
      <c r="CC114" s="117"/>
      <c r="CD114" s="117"/>
      <c r="CE114" s="117"/>
      <c r="CF114" s="117"/>
      <c r="CG114" s="117"/>
      <c r="CH114" s="117"/>
      <c r="CI114" s="97"/>
      <c r="CJ114" s="97"/>
    </row>
    <row r="115" spans="1:88" x14ac:dyDescent="0.45">
      <c r="A115" s="117"/>
      <c r="B115" s="495"/>
      <c r="C115" s="196"/>
      <c r="D115" s="257"/>
      <c r="E115" s="257"/>
      <c r="F115" s="257" t="s">
        <v>238</v>
      </c>
      <c r="G115" s="431" t="s">
        <v>618</v>
      </c>
      <c r="H115" s="431"/>
      <c r="I115" s="431"/>
      <c r="J115" s="257"/>
      <c r="K115" s="257"/>
      <c r="L115" s="257"/>
      <c r="M115" s="257"/>
      <c r="N115" s="257"/>
      <c r="O115" s="257"/>
      <c r="P115" s="257"/>
      <c r="Q115" s="257"/>
      <c r="R115" s="257"/>
      <c r="S115" s="257"/>
      <c r="T115" s="257"/>
      <c r="U115" s="257"/>
      <c r="V115" s="257"/>
      <c r="W115" s="257"/>
      <c r="X115" s="257"/>
      <c r="Y115" s="257"/>
      <c r="Z115" s="257" t="s">
        <v>782</v>
      </c>
      <c r="AA115" s="257"/>
      <c r="AB115" s="495"/>
      <c r="AC115" s="117"/>
      <c r="AD115" s="117"/>
      <c r="AE115" s="117"/>
      <c r="AF115" s="117"/>
      <c r="AG115" s="117"/>
      <c r="AH115" s="117"/>
      <c r="AI115" s="117"/>
      <c r="AJ115" s="117"/>
      <c r="AK115" s="117"/>
      <c r="AL115" s="117"/>
      <c r="AM115" s="117"/>
      <c r="AN115" s="117"/>
      <c r="AO115" s="117"/>
      <c r="AP115" s="117"/>
      <c r="AQ115" s="117"/>
      <c r="AR115" s="117"/>
      <c r="AS115" s="117"/>
      <c r="AT115" s="117"/>
      <c r="AU115" s="117"/>
      <c r="AV115" s="117"/>
      <c r="AW115" s="117"/>
      <c r="AX115" s="117"/>
      <c r="AY115" s="117"/>
      <c r="AZ115" s="117"/>
      <c r="BA115" s="117"/>
      <c r="BB115" s="117"/>
      <c r="BC115" s="117"/>
      <c r="BD115" s="117"/>
      <c r="BE115" s="117"/>
      <c r="BF115" s="117"/>
      <c r="BG115" s="117"/>
      <c r="BH115" s="117"/>
      <c r="BI115" s="117"/>
      <c r="BJ115" s="117"/>
      <c r="BK115" s="117"/>
      <c r="BL115" s="117"/>
      <c r="BM115" s="117"/>
      <c r="BN115" s="117"/>
      <c r="BO115" s="117"/>
      <c r="BP115" s="117"/>
      <c r="BQ115" s="117"/>
      <c r="BR115" s="117"/>
      <c r="BS115" s="117"/>
      <c r="BT115" s="117"/>
      <c r="BU115" s="117"/>
      <c r="BV115" s="117"/>
      <c r="BW115" s="117"/>
      <c r="BX115" s="117"/>
      <c r="BY115" s="117"/>
      <c r="BZ115" s="117"/>
      <c r="CA115" s="117"/>
      <c r="CB115" s="117"/>
      <c r="CC115" s="117"/>
      <c r="CD115" s="117"/>
      <c r="CE115" s="117"/>
      <c r="CF115" s="117"/>
      <c r="CG115" s="117"/>
      <c r="CH115" s="117"/>
      <c r="CI115" s="97"/>
      <c r="CJ115" s="97"/>
    </row>
    <row r="116" spans="1:88" x14ac:dyDescent="0.45">
      <c r="A116" s="117"/>
      <c r="B116" s="495"/>
      <c r="C116" s="194"/>
      <c r="D116" s="134"/>
      <c r="E116" s="134"/>
      <c r="F116" s="134" t="s">
        <v>392</v>
      </c>
      <c r="G116" s="134" t="s">
        <v>215</v>
      </c>
      <c r="H116" s="134"/>
      <c r="I116" s="134"/>
      <c r="J116" s="134"/>
      <c r="K116" s="134"/>
      <c r="L116" s="134"/>
      <c r="M116" s="134"/>
      <c r="N116" s="134"/>
      <c r="O116" s="134"/>
      <c r="P116" s="134"/>
      <c r="Q116" s="134"/>
      <c r="R116" s="134"/>
      <c r="S116" s="134"/>
      <c r="T116" s="134"/>
      <c r="U116" s="134"/>
      <c r="V116" s="134"/>
      <c r="W116" s="134"/>
      <c r="X116" s="134"/>
      <c r="Y116" s="134"/>
      <c r="Z116" s="134" t="s">
        <v>546</v>
      </c>
      <c r="AA116" s="134"/>
      <c r="AB116" s="495"/>
      <c r="AC116" s="117"/>
      <c r="AD116" s="117"/>
      <c r="AE116" s="117"/>
      <c r="AF116" s="117"/>
      <c r="AG116" s="117"/>
      <c r="AH116" s="117"/>
      <c r="AI116" s="117"/>
      <c r="AJ116" s="117"/>
      <c r="AK116" s="117"/>
      <c r="AL116" s="117"/>
      <c r="AM116" s="117"/>
      <c r="AN116" s="117"/>
      <c r="AO116" s="117"/>
      <c r="AP116" s="117"/>
      <c r="AQ116" s="117"/>
      <c r="AR116" s="117"/>
      <c r="AS116" s="117"/>
      <c r="AT116" s="117"/>
      <c r="AU116" s="117"/>
      <c r="AV116" s="117"/>
      <c r="AW116" s="117"/>
      <c r="AX116" s="117"/>
      <c r="AY116" s="117"/>
      <c r="AZ116" s="117"/>
      <c r="BA116" s="117"/>
      <c r="BB116" s="117"/>
      <c r="BC116" s="117"/>
      <c r="BD116" s="117"/>
      <c r="BE116" s="117"/>
      <c r="BF116" s="117"/>
      <c r="BG116" s="117"/>
      <c r="BH116" s="117"/>
      <c r="BI116" s="117"/>
      <c r="BJ116" s="117"/>
      <c r="BK116" s="117"/>
      <c r="BL116" s="117"/>
      <c r="BM116" s="117"/>
      <c r="BN116" s="117"/>
      <c r="BO116" s="117"/>
      <c r="BP116" s="117"/>
      <c r="BQ116" s="117"/>
      <c r="BR116" s="117"/>
      <c r="BS116" s="117"/>
      <c r="BT116" s="117"/>
      <c r="BU116" s="117"/>
      <c r="BV116" s="117"/>
      <c r="BW116" s="117"/>
      <c r="BX116" s="117"/>
      <c r="BY116" s="117"/>
      <c r="BZ116" s="117"/>
      <c r="CA116" s="117"/>
      <c r="CB116" s="117"/>
      <c r="CC116" s="117"/>
      <c r="CD116" s="117"/>
      <c r="CE116" s="117"/>
      <c r="CF116" s="117"/>
      <c r="CG116" s="117"/>
      <c r="CH116" s="117"/>
      <c r="CI116" s="97"/>
      <c r="CJ116" s="97"/>
    </row>
    <row r="117" spans="1:88" ht="24" thickBot="1" x14ac:dyDescent="0.5">
      <c r="A117" s="117"/>
      <c r="B117" s="495"/>
      <c r="C117" s="195" t="s">
        <v>194</v>
      </c>
      <c r="D117" s="136"/>
      <c r="E117" s="136"/>
      <c r="F117" s="136" t="s">
        <v>608</v>
      </c>
      <c r="G117" s="136" t="s">
        <v>390</v>
      </c>
      <c r="H117" s="136"/>
      <c r="I117" s="136"/>
      <c r="J117" s="136"/>
      <c r="K117" s="136"/>
      <c r="L117" s="136"/>
      <c r="M117" s="136"/>
      <c r="N117" s="136"/>
      <c r="O117" s="136"/>
      <c r="P117" s="136"/>
      <c r="Q117" s="136"/>
      <c r="R117" s="136"/>
      <c r="S117" s="136"/>
      <c r="T117" s="136"/>
      <c r="U117" s="136"/>
      <c r="V117" s="136"/>
      <c r="W117" s="136"/>
      <c r="X117" s="445"/>
      <c r="Y117" s="445"/>
      <c r="Z117" s="445" t="s">
        <v>783</v>
      </c>
      <c r="AA117" s="445"/>
      <c r="AB117" s="495"/>
      <c r="AC117" s="117"/>
      <c r="AD117" s="117"/>
      <c r="AE117" s="117"/>
      <c r="AF117" s="117"/>
      <c r="AG117" s="117"/>
      <c r="AH117" s="117"/>
      <c r="AI117" s="117"/>
      <c r="AJ117" s="117"/>
      <c r="AK117" s="117"/>
      <c r="AL117" s="117"/>
      <c r="AM117" s="117"/>
      <c r="AN117" s="117"/>
      <c r="AO117" s="117"/>
      <c r="AP117" s="117"/>
      <c r="AQ117" s="117"/>
      <c r="AR117" s="117"/>
      <c r="AS117" s="117"/>
      <c r="AT117" s="117"/>
      <c r="AU117" s="117"/>
      <c r="AV117" s="117"/>
      <c r="AW117" s="117"/>
      <c r="AX117" s="117"/>
      <c r="AY117" s="117"/>
      <c r="AZ117" s="117"/>
      <c r="BA117" s="117"/>
      <c r="BB117" s="117"/>
      <c r="BC117" s="117"/>
      <c r="BD117" s="117"/>
      <c r="BE117" s="117"/>
      <c r="BF117" s="117"/>
      <c r="BG117" s="117"/>
      <c r="BH117" s="117"/>
      <c r="BI117" s="117"/>
      <c r="BJ117" s="117"/>
      <c r="BK117" s="117"/>
      <c r="BL117" s="117"/>
      <c r="BM117" s="117"/>
      <c r="BN117" s="117"/>
      <c r="BO117" s="117"/>
      <c r="BP117" s="117"/>
      <c r="BQ117" s="117"/>
      <c r="BR117" s="117"/>
      <c r="BS117" s="117"/>
      <c r="BT117" s="117"/>
      <c r="BU117" s="117"/>
      <c r="BV117" s="117"/>
      <c r="BW117" s="117"/>
      <c r="BX117" s="117"/>
      <c r="BY117" s="117"/>
      <c r="BZ117" s="117"/>
      <c r="CA117" s="117"/>
      <c r="CB117" s="117"/>
      <c r="CC117" s="117"/>
      <c r="CD117" s="117"/>
      <c r="CE117" s="117"/>
      <c r="CF117" s="117"/>
      <c r="CG117" s="117"/>
      <c r="CH117" s="117"/>
      <c r="CI117" s="97"/>
      <c r="CJ117" s="97"/>
    </row>
    <row r="118" spans="1:88" x14ac:dyDescent="0.45">
      <c r="A118" s="117"/>
      <c r="B118" s="495"/>
      <c r="C118" s="196" t="s">
        <v>194</v>
      </c>
      <c r="D118" s="130"/>
      <c r="E118" s="130"/>
      <c r="F118" s="130" t="s">
        <v>243</v>
      </c>
      <c r="G118" s="130" t="s">
        <v>621</v>
      </c>
      <c r="H118" s="130"/>
      <c r="I118" s="130"/>
      <c r="J118" s="130"/>
      <c r="K118" s="130"/>
      <c r="L118" s="130"/>
      <c r="M118" s="130"/>
      <c r="N118" s="130"/>
      <c r="O118" s="130"/>
      <c r="P118" s="130"/>
      <c r="Q118" s="130"/>
      <c r="R118" s="130"/>
      <c r="S118" s="130"/>
      <c r="T118" s="130"/>
      <c r="U118" s="130"/>
      <c r="V118" s="130"/>
      <c r="W118" s="130"/>
      <c r="X118" s="257"/>
      <c r="Y118" s="257"/>
      <c r="Z118" s="257"/>
      <c r="AA118" s="257"/>
      <c r="AB118" s="495"/>
      <c r="AC118" s="117"/>
      <c r="AD118" s="117"/>
      <c r="AE118" s="117"/>
      <c r="AF118" s="117"/>
      <c r="AG118" s="117"/>
      <c r="AH118" s="117"/>
      <c r="AI118" s="117"/>
      <c r="AJ118" s="117"/>
      <c r="AK118" s="117"/>
      <c r="AL118" s="117"/>
      <c r="AM118" s="117"/>
      <c r="AN118" s="117"/>
      <c r="AO118" s="117"/>
      <c r="AP118" s="117"/>
      <c r="AQ118" s="117"/>
      <c r="AR118" s="117"/>
      <c r="AS118" s="117"/>
      <c r="AT118" s="117"/>
      <c r="AU118" s="117"/>
      <c r="AV118" s="117"/>
      <c r="AW118" s="117"/>
      <c r="AX118" s="117"/>
      <c r="AY118" s="117"/>
      <c r="AZ118" s="117"/>
      <c r="BA118" s="117"/>
      <c r="BB118" s="117"/>
      <c r="BC118" s="117"/>
      <c r="BD118" s="117"/>
      <c r="BE118" s="117"/>
      <c r="BF118" s="117"/>
      <c r="BG118" s="117"/>
      <c r="BH118" s="117"/>
      <c r="BI118" s="117"/>
      <c r="BJ118" s="117"/>
      <c r="BK118" s="117"/>
      <c r="BL118" s="117"/>
      <c r="BM118" s="117"/>
      <c r="BN118" s="117"/>
      <c r="BO118" s="117"/>
      <c r="BP118" s="117"/>
      <c r="BQ118" s="117"/>
      <c r="BR118" s="117"/>
      <c r="BS118" s="117"/>
      <c r="BT118" s="117"/>
      <c r="BU118" s="117"/>
      <c r="BV118" s="117"/>
      <c r="BW118" s="117"/>
      <c r="BX118" s="117"/>
      <c r="BY118" s="117"/>
      <c r="BZ118" s="117"/>
      <c r="CA118" s="117"/>
      <c r="CB118" s="117"/>
      <c r="CC118" s="117"/>
      <c r="CD118" s="117"/>
      <c r="CE118" s="117"/>
      <c r="CF118" s="117"/>
      <c r="CG118" s="117"/>
      <c r="CH118" s="117"/>
      <c r="CI118" s="97"/>
      <c r="CJ118" s="97"/>
    </row>
    <row r="119" spans="1:88" x14ac:dyDescent="0.45">
      <c r="A119" s="117"/>
      <c r="B119" s="495"/>
      <c r="C119" s="196"/>
      <c r="D119" s="257"/>
      <c r="E119" s="257"/>
      <c r="F119" s="257" t="s">
        <v>244</v>
      </c>
      <c r="G119" s="257" t="s">
        <v>622</v>
      </c>
      <c r="H119" s="257"/>
      <c r="I119" s="257"/>
      <c r="J119" s="257"/>
      <c r="K119" s="257"/>
      <c r="L119" s="257"/>
      <c r="M119" s="257"/>
      <c r="N119" s="257"/>
      <c r="O119" s="257"/>
      <c r="P119" s="257"/>
      <c r="Q119" s="257"/>
      <c r="R119" s="257"/>
      <c r="S119" s="257"/>
      <c r="T119" s="257"/>
      <c r="U119" s="257"/>
      <c r="V119" s="257"/>
      <c r="W119" s="257"/>
      <c r="X119" s="257"/>
      <c r="Y119" s="257"/>
      <c r="Z119" s="257"/>
      <c r="AA119" s="257"/>
      <c r="AB119" s="495"/>
      <c r="AC119" s="117"/>
      <c r="AD119" s="117"/>
      <c r="AE119" s="117"/>
      <c r="AF119" s="117"/>
      <c r="AG119" s="117"/>
      <c r="AH119" s="117"/>
      <c r="AI119" s="117"/>
      <c r="AJ119" s="117"/>
      <c r="AK119" s="117"/>
      <c r="AL119" s="117"/>
      <c r="AM119" s="117"/>
      <c r="AN119" s="117"/>
      <c r="AO119" s="117"/>
      <c r="AP119" s="117"/>
      <c r="AQ119" s="117"/>
      <c r="AR119" s="117"/>
      <c r="AS119" s="117"/>
      <c r="AT119" s="117"/>
      <c r="AU119" s="117"/>
      <c r="AV119" s="117"/>
      <c r="AW119" s="117"/>
      <c r="AX119" s="117"/>
      <c r="AY119" s="117"/>
      <c r="AZ119" s="117"/>
      <c r="BA119" s="117"/>
      <c r="BB119" s="117"/>
      <c r="BC119" s="117"/>
      <c r="BD119" s="117"/>
      <c r="BE119" s="117"/>
      <c r="BF119" s="117"/>
      <c r="BG119" s="117"/>
      <c r="BH119" s="117"/>
      <c r="BI119" s="117"/>
      <c r="BJ119" s="117"/>
      <c r="BK119" s="117"/>
      <c r="BL119" s="117"/>
      <c r="BM119" s="117"/>
      <c r="BN119" s="117"/>
      <c r="BO119" s="117"/>
      <c r="BP119" s="117"/>
      <c r="BQ119" s="117"/>
      <c r="BR119" s="117"/>
      <c r="BS119" s="117"/>
      <c r="BT119" s="117"/>
      <c r="BU119" s="117"/>
      <c r="BV119" s="117"/>
      <c r="BW119" s="117"/>
      <c r="BX119" s="117"/>
      <c r="BY119" s="117"/>
      <c r="BZ119" s="117"/>
      <c r="CA119" s="117"/>
      <c r="CB119" s="117"/>
      <c r="CC119" s="117"/>
      <c r="CD119" s="117"/>
      <c r="CE119" s="117"/>
      <c r="CF119" s="117"/>
      <c r="CG119" s="117"/>
      <c r="CH119" s="117"/>
      <c r="CI119" s="97"/>
      <c r="CJ119" s="97"/>
    </row>
    <row r="120" spans="1:88" x14ac:dyDescent="0.45">
      <c r="A120" s="164"/>
      <c r="B120" s="495"/>
      <c r="C120" s="194"/>
      <c r="D120" s="134"/>
      <c r="E120" s="134"/>
      <c r="F120" s="134" t="s">
        <v>215</v>
      </c>
      <c r="G120" s="134" t="s">
        <v>193</v>
      </c>
      <c r="H120" s="134"/>
      <c r="I120" s="134"/>
      <c r="J120" s="134"/>
      <c r="K120" s="134"/>
      <c r="L120" s="134"/>
      <c r="M120" s="134"/>
      <c r="N120" s="134"/>
      <c r="O120" s="134"/>
      <c r="P120" s="134"/>
      <c r="Q120" s="134"/>
      <c r="R120" s="134"/>
      <c r="S120" s="134"/>
      <c r="T120" s="134"/>
      <c r="U120" s="134"/>
      <c r="V120" s="134"/>
      <c r="W120" s="134"/>
      <c r="X120" s="134"/>
      <c r="Y120" s="134"/>
      <c r="Z120" s="134"/>
      <c r="AA120" s="134"/>
      <c r="AB120" s="495"/>
      <c r="AC120" s="164"/>
      <c r="AD120" s="164"/>
      <c r="AE120" s="164"/>
      <c r="AF120" s="164"/>
      <c r="AG120" s="164"/>
      <c r="AH120" s="164"/>
      <c r="AI120" s="164"/>
      <c r="AJ120" s="164"/>
      <c r="AK120" s="164"/>
      <c r="AL120" s="164"/>
      <c r="AM120" s="164"/>
      <c r="AN120" s="164"/>
      <c r="AO120" s="164"/>
      <c r="AP120" s="164"/>
      <c r="AQ120" s="164"/>
      <c r="AR120" s="164"/>
      <c r="AS120" s="164"/>
      <c r="AT120" s="164"/>
      <c r="AU120" s="164"/>
      <c r="AV120" s="164"/>
      <c r="AW120" s="164"/>
      <c r="AX120" s="164"/>
      <c r="AY120" s="164"/>
      <c r="AZ120" s="164"/>
      <c r="BA120" s="164"/>
      <c r="BB120" s="164"/>
      <c r="BC120" s="164"/>
      <c r="BD120" s="164"/>
      <c r="BE120" s="164"/>
      <c r="BF120" s="164"/>
      <c r="BG120" s="164"/>
      <c r="BH120" s="164"/>
      <c r="BI120" s="164"/>
      <c r="BJ120" s="164"/>
      <c r="BK120" s="164"/>
      <c r="BL120" s="164"/>
      <c r="BM120" s="164"/>
      <c r="BN120" s="164"/>
      <c r="BO120" s="164"/>
      <c r="BP120" s="164"/>
      <c r="BQ120" s="164"/>
      <c r="BR120" s="164"/>
      <c r="BS120" s="164"/>
      <c r="BT120" s="164"/>
      <c r="BU120" s="164"/>
      <c r="BV120" s="164"/>
      <c r="BW120" s="164"/>
      <c r="BX120" s="164"/>
      <c r="BY120" s="164"/>
      <c r="BZ120" s="164"/>
      <c r="CA120" s="164"/>
      <c r="CB120" s="164"/>
      <c r="CC120" s="164"/>
      <c r="CD120" s="164"/>
      <c r="CE120" s="164"/>
      <c r="CF120" s="164"/>
      <c r="CG120" s="117"/>
      <c r="CH120" s="117"/>
      <c r="CI120" s="97"/>
      <c r="CJ120" s="97"/>
    </row>
    <row r="121" spans="1:88" ht="24" thickBot="1" x14ac:dyDescent="0.5">
      <c r="A121" s="164"/>
      <c r="B121" s="495"/>
      <c r="C121" s="195" t="s">
        <v>195</v>
      </c>
      <c r="D121" s="136"/>
      <c r="E121" s="136"/>
      <c r="F121" s="136" t="s">
        <v>519</v>
      </c>
      <c r="G121" s="136" t="s">
        <v>545</v>
      </c>
      <c r="H121" s="136"/>
      <c r="I121" s="136"/>
      <c r="J121" s="136"/>
      <c r="K121" s="136"/>
      <c r="L121" s="136"/>
      <c r="M121" s="136"/>
      <c r="N121" s="136"/>
      <c r="O121" s="136"/>
      <c r="P121" s="136"/>
      <c r="Q121" s="136"/>
      <c r="R121" s="136"/>
      <c r="S121" s="136"/>
      <c r="T121" s="136"/>
      <c r="U121" s="136"/>
      <c r="V121" s="136"/>
      <c r="W121" s="136"/>
      <c r="X121" s="445"/>
      <c r="Y121" s="445"/>
      <c r="Z121" s="445"/>
      <c r="AA121" s="445"/>
      <c r="AB121" s="506"/>
      <c r="AC121" s="164"/>
      <c r="AD121" s="164"/>
      <c r="AE121" s="164"/>
      <c r="AF121" s="164"/>
      <c r="AG121" s="164"/>
      <c r="AH121" s="164"/>
      <c r="AI121" s="164"/>
      <c r="AJ121" s="164"/>
      <c r="AK121" s="164"/>
      <c r="AL121" s="164"/>
      <c r="AM121" s="164"/>
      <c r="AN121" s="164"/>
      <c r="AO121" s="164"/>
      <c r="AP121" s="164"/>
      <c r="AQ121" s="164"/>
      <c r="AR121" s="164"/>
      <c r="AS121" s="164"/>
      <c r="AT121" s="164"/>
      <c r="AU121" s="164"/>
      <c r="AV121" s="164"/>
      <c r="AW121" s="164"/>
      <c r="AX121" s="164"/>
      <c r="AY121" s="164"/>
      <c r="AZ121" s="164"/>
      <c r="BA121" s="164"/>
      <c r="BB121" s="164"/>
      <c r="BC121" s="164"/>
      <c r="BD121" s="164"/>
      <c r="BE121" s="164"/>
      <c r="BF121" s="164"/>
      <c r="BG121" s="164"/>
      <c r="BH121" s="164"/>
      <c r="BI121" s="164"/>
      <c r="BJ121" s="164"/>
      <c r="BK121" s="164"/>
      <c r="BL121" s="164"/>
      <c r="BM121" s="164"/>
      <c r="BN121" s="164"/>
      <c r="BO121" s="164"/>
      <c r="BP121" s="164"/>
      <c r="BQ121" s="164"/>
      <c r="BR121" s="164"/>
      <c r="BS121" s="164"/>
      <c r="BT121" s="164"/>
      <c r="BU121" s="164"/>
      <c r="BV121" s="164"/>
      <c r="BW121" s="164"/>
      <c r="BX121" s="164"/>
      <c r="BY121" s="164"/>
      <c r="BZ121" s="164"/>
      <c r="CA121" s="164"/>
      <c r="CB121" s="164"/>
      <c r="CC121" s="164"/>
      <c r="CD121" s="164"/>
      <c r="CE121" s="164"/>
      <c r="CF121" s="164"/>
      <c r="CG121" s="117"/>
      <c r="CH121" s="117"/>
      <c r="CI121" s="97"/>
      <c r="CJ121" s="97"/>
    </row>
    <row r="122" spans="1:88" ht="24" customHeight="1" thickTop="1" x14ac:dyDescent="0.45">
      <c r="A122" s="97"/>
      <c r="B122" s="494" t="s">
        <v>113</v>
      </c>
      <c r="C122" s="243">
        <v>7</v>
      </c>
      <c r="D122" s="243"/>
      <c r="E122" s="243"/>
      <c r="F122" s="243" t="s">
        <v>235</v>
      </c>
      <c r="G122" s="243" t="s">
        <v>619</v>
      </c>
      <c r="H122" s="243"/>
      <c r="I122" s="243"/>
      <c r="J122" s="243"/>
      <c r="K122" s="243"/>
      <c r="L122" s="243"/>
      <c r="M122" s="243"/>
      <c r="N122" s="243"/>
      <c r="O122" s="243"/>
      <c r="P122" s="243"/>
      <c r="Q122" s="243"/>
      <c r="R122" s="243"/>
      <c r="S122" s="243"/>
      <c r="T122" s="243"/>
      <c r="U122" s="243"/>
      <c r="V122" s="243"/>
      <c r="W122" s="243"/>
      <c r="X122" s="243"/>
      <c r="Y122" s="243"/>
      <c r="Z122" s="243"/>
      <c r="AA122" s="243"/>
      <c r="AB122" s="505" t="s">
        <v>118</v>
      </c>
      <c r="AC122" s="117"/>
      <c r="AD122" s="117"/>
      <c r="AE122" s="117"/>
      <c r="AF122" s="117"/>
      <c r="AG122" s="117"/>
      <c r="AH122" s="117"/>
      <c r="AI122" s="117"/>
      <c r="AJ122" s="117"/>
      <c r="AK122" s="117"/>
      <c r="AL122" s="117"/>
      <c r="AM122" s="117"/>
      <c r="AN122" s="117"/>
      <c r="AO122" s="117"/>
      <c r="AP122" s="117"/>
      <c r="AQ122" s="117"/>
      <c r="AR122" s="117"/>
      <c r="AS122" s="117"/>
      <c r="AT122" s="117"/>
      <c r="AU122" s="117"/>
      <c r="AV122" s="117"/>
      <c r="AW122" s="117"/>
      <c r="AX122" s="117"/>
      <c r="AY122" s="117"/>
      <c r="AZ122" s="117"/>
      <c r="BA122" s="117"/>
      <c r="BB122" s="117"/>
      <c r="BC122" s="117"/>
      <c r="BD122" s="117"/>
      <c r="BE122" s="117"/>
      <c r="BF122" s="117"/>
      <c r="BG122" s="117"/>
      <c r="BH122" s="117"/>
      <c r="BI122" s="117"/>
      <c r="BJ122" s="117"/>
      <c r="BK122" s="117"/>
      <c r="BL122" s="117"/>
      <c r="BM122" s="117"/>
      <c r="BN122" s="117"/>
      <c r="BO122" s="117"/>
      <c r="BP122" s="117"/>
      <c r="BQ122" s="117"/>
      <c r="BR122" s="117"/>
      <c r="BS122" s="117"/>
      <c r="BT122" s="117"/>
      <c r="BU122" s="117"/>
      <c r="BV122" s="117"/>
      <c r="BW122" s="117"/>
      <c r="BX122" s="117"/>
      <c r="BY122" s="117"/>
      <c r="BZ122" s="117"/>
      <c r="CA122" s="117"/>
      <c r="CB122" s="117"/>
      <c r="CC122" s="117"/>
      <c r="CD122" s="117"/>
      <c r="CE122" s="117"/>
      <c r="CF122" s="117"/>
      <c r="CG122" s="117"/>
      <c r="CH122" s="117"/>
      <c r="CI122" s="97"/>
      <c r="CJ122" s="97"/>
    </row>
    <row r="123" spans="1:88" ht="24" customHeight="1" x14ac:dyDescent="0.45">
      <c r="A123" s="97"/>
      <c r="B123" s="495"/>
      <c r="C123" s="259"/>
      <c r="D123" s="259"/>
      <c r="E123" s="259"/>
      <c r="F123" s="259" t="s">
        <v>236</v>
      </c>
      <c r="G123" s="259" t="s">
        <v>620</v>
      </c>
      <c r="H123" s="259"/>
      <c r="I123" s="259"/>
      <c r="J123" s="259"/>
      <c r="K123" s="259"/>
      <c r="L123" s="259"/>
      <c r="M123" s="259"/>
      <c r="N123" s="259"/>
      <c r="O123" s="259"/>
      <c r="P123" s="259"/>
      <c r="Q123" s="259"/>
      <c r="R123" s="259"/>
      <c r="S123" s="259"/>
      <c r="T123" s="259"/>
      <c r="U123" s="259"/>
      <c r="V123" s="259"/>
      <c r="W123" s="259"/>
      <c r="X123" s="259"/>
      <c r="Y123" s="259"/>
      <c r="Z123" s="259"/>
      <c r="AA123" s="259"/>
      <c r="AB123" s="495"/>
      <c r="AC123" s="117"/>
      <c r="AD123" s="117"/>
      <c r="AE123" s="117"/>
      <c r="AF123" s="117"/>
      <c r="AG123" s="117"/>
      <c r="AH123" s="117"/>
      <c r="AI123" s="117"/>
      <c r="AJ123" s="117"/>
      <c r="AK123" s="117"/>
      <c r="AL123" s="117"/>
      <c r="AM123" s="117"/>
      <c r="AN123" s="117"/>
      <c r="AO123" s="117"/>
      <c r="AP123" s="117"/>
      <c r="AQ123" s="117"/>
      <c r="AR123" s="117"/>
      <c r="AS123" s="117"/>
      <c r="AT123" s="117"/>
      <c r="AU123" s="117"/>
      <c r="AV123" s="117"/>
      <c r="AW123" s="117"/>
      <c r="AX123" s="117"/>
      <c r="AY123" s="117"/>
      <c r="AZ123" s="117"/>
      <c r="BA123" s="117"/>
      <c r="BB123" s="117"/>
      <c r="BC123" s="117"/>
      <c r="BD123" s="117"/>
      <c r="BE123" s="117"/>
      <c r="BF123" s="117"/>
      <c r="BG123" s="117"/>
      <c r="BH123" s="117"/>
      <c r="BI123" s="117"/>
      <c r="BJ123" s="117"/>
      <c r="BK123" s="117"/>
      <c r="BL123" s="117"/>
      <c r="BM123" s="117"/>
      <c r="BN123" s="117"/>
      <c r="BO123" s="117"/>
      <c r="BP123" s="117"/>
      <c r="BQ123" s="117"/>
      <c r="BR123" s="117"/>
      <c r="BS123" s="117"/>
      <c r="BT123" s="117"/>
      <c r="BU123" s="117"/>
      <c r="BV123" s="117"/>
      <c r="BW123" s="117"/>
      <c r="BX123" s="117"/>
      <c r="BY123" s="117"/>
      <c r="BZ123" s="117"/>
      <c r="CA123" s="117"/>
      <c r="CB123" s="117"/>
      <c r="CC123" s="117"/>
      <c r="CD123" s="117"/>
      <c r="CE123" s="117"/>
      <c r="CF123" s="117"/>
      <c r="CG123" s="117"/>
      <c r="CH123" s="117"/>
      <c r="CI123" s="97"/>
      <c r="CJ123" s="97"/>
    </row>
    <row r="124" spans="1:88" x14ac:dyDescent="0.45">
      <c r="A124" s="97"/>
      <c r="B124" s="495"/>
      <c r="C124" s="244"/>
      <c r="D124" s="244"/>
      <c r="E124" s="244"/>
      <c r="F124" s="244" t="s">
        <v>351</v>
      </c>
      <c r="G124" s="244" t="s">
        <v>215</v>
      </c>
      <c r="H124" s="244"/>
      <c r="I124" s="244"/>
      <c r="J124" s="244"/>
      <c r="K124" s="244"/>
      <c r="L124" s="244"/>
      <c r="M124" s="244"/>
      <c r="N124" s="244"/>
      <c r="O124" s="244"/>
      <c r="P124" s="244"/>
      <c r="Q124" s="244"/>
      <c r="R124" s="244"/>
      <c r="S124" s="244"/>
      <c r="T124" s="244"/>
      <c r="U124" s="244"/>
      <c r="V124" s="244"/>
      <c r="W124" s="244"/>
      <c r="X124" s="244"/>
      <c r="Y124" s="244"/>
      <c r="Z124" s="244"/>
      <c r="AA124" s="244"/>
      <c r="AB124" s="495"/>
      <c r="AC124" s="117"/>
      <c r="AD124" s="117"/>
      <c r="AE124" s="117"/>
      <c r="AF124" s="117"/>
      <c r="AG124" s="117"/>
      <c r="AH124" s="117"/>
      <c r="AI124" s="117"/>
      <c r="AJ124" s="117"/>
      <c r="AK124" s="117"/>
      <c r="AL124" s="117"/>
      <c r="AM124" s="117"/>
      <c r="AN124" s="117"/>
      <c r="AO124" s="117"/>
      <c r="AP124" s="117"/>
      <c r="AQ124" s="117"/>
      <c r="AR124" s="117"/>
      <c r="AS124" s="117"/>
      <c r="AT124" s="117"/>
      <c r="AU124" s="117"/>
      <c r="AV124" s="117"/>
      <c r="AW124" s="117"/>
      <c r="AX124" s="117"/>
      <c r="AY124" s="117"/>
      <c r="AZ124" s="117"/>
      <c r="BA124" s="117"/>
      <c r="BB124" s="117"/>
      <c r="BC124" s="117"/>
      <c r="BD124" s="117"/>
      <c r="BE124" s="117"/>
      <c r="BF124" s="117"/>
      <c r="BG124" s="117"/>
      <c r="BH124" s="117"/>
      <c r="BI124" s="117"/>
      <c r="BJ124" s="117"/>
      <c r="BK124" s="117"/>
      <c r="BL124" s="117"/>
      <c r="BM124" s="117"/>
      <c r="BN124" s="117"/>
      <c r="BO124" s="117"/>
      <c r="BP124" s="117"/>
      <c r="BQ124" s="117"/>
      <c r="BR124" s="117"/>
      <c r="BS124" s="117"/>
      <c r="BT124" s="117"/>
      <c r="BU124" s="117"/>
      <c r="BV124" s="117"/>
      <c r="BW124" s="117"/>
      <c r="BX124" s="117"/>
      <c r="BY124" s="117"/>
      <c r="BZ124" s="117"/>
      <c r="CA124" s="117"/>
      <c r="CB124" s="117"/>
      <c r="CC124" s="117"/>
      <c r="CD124" s="117"/>
      <c r="CE124" s="117"/>
      <c r="CF124" s="117"/>
      <c r="CG124" s="117"/>
      <c r="CH124" s="117"/>
      <c r="CI124" s="97"/>
      <c r="CJ124" s="97"/>
    </row>
    <row r="125" spans="1:88" ht="24" thickBot="1" x14ac:dyDescent="0.5">
      <c r="A125" s="117"/>
      <c r="B125" s="495"/>
      <c r="C125" s="245">
        <v>8</v>
      </c>
      <c r="D125" s="245"/>
      <c r="E125" s="245"/>
      <c r="F125" s="245" t="s">
        <v>609</v>
      </c>
      <c r="G125" s="245" t="s">
        <v>213</v>
      </c>
      <c r="H125" s="245"/>
      <c r="I125" s="245"/>
      <c r="J125" s="245"/>
      <c r="K125" s="245"/>
      <c r="L125" s="245"/>
      <c r="M125" s="245"/>
      <c r="N125" s="245"/>
      <c r="O125" s="245"/>
      <c r="P125" s="245"/>
      <c r="Q125" s="245"/>
      <c r="R125" s="245"/>
      <c r="S125" s="245"/>
      <c r="T125" s="245"/>
      <c r="U125" s="245"/>
      <c r="V125" s="245"/>
      <c r="W125" s="245"/>
      <c r="X125" s="448"/>
      <c r="Y125" s="448"/>
      <c r="Z125" s="448"/>
      <c r="AA125" s="448"/>
      <c r="AB125" s="495"/>
      <c r="AC125" s="117"/>
      <c r="AD125" s="117"/>
      <c r="AE125" s="117"/>
      <c r="AF125" s="117"/>
      <c r="AG125" s="117"/>
      <c r="AH125" s="117"/>
      <c r="AI125" s="117"/>
      <c r="AJ125" s="117"/>
      <c r="AK125" s="117"/>
      <c r="AL125" s="117"/>
      <c r="AM125" s="117"/>
      <c r="AN125" s="117"/>
      <c r="AO125" s="117"/>
      <c r="AP125" s="117"/>
      <c r="AQ125" s="117"/>
      <c r="AR125" s="117"/>
      <c r="AS125" s="117"/>
      <c r="AT125" s="117"/>
      <c r="AU125" s="117"/>
      <c r="AV125" s="117"/>
      <c r="AW125" s="117"/>
      <c r="AX125" s="117"/>
      <c r="AY125" s="117"/>
      <c r="AZ125" s="117"/>
      <c r="BA125" s="117"/>
      <c r="BB125" s="117"/>
      <c r="BC125" s="117"/>
      <c r="BD125" s="117"/>
      <c r="BE125" s="117"/>
      <c r="BF125" s="117"/>
      <c r="BG125" s="117"/>
      <c r="BH125" s="117"/>
      <c r="BI125" s="117"/>
      <c r="BJ125" s="117"/>
      <c r="BK125" s="117"/>
      <c r="BL125" s="117"/>
      <c r="BM125" s="117"/>
      <c r="BN125" s="117"/>
      <c r="BO125" s="117"/>
      <c r="BP125" s="117"/>
      <c r="BQ125" s="117"/>
      <c r="BR125" s="117"/>
      <c r="BS125" s="117"/>
      <c r="BT125" s="117"/>
      <c r="BU125" s="117"/>
      <c r="BV125" s="117"/>
      <c r="BW125" s="117"/>
      <c r="BX125" s="117"/>
      <c r="BY125" s="117"/>
      <c r="BZ125" s="117"/>
      <c r="CA125" s="117"/>
      <c r="CB125" s="117"/>
      <c r="CC125" s="117"/>
      <c r="CD125" s="117"/>
      <c r="CE125" s="117"/>
      <c r="CF125" s="117"/>
      <c r="CG125" s="117"/>
      <c r="CH125" s="117"/>
      <c r="CI125" s="97"/>
      <c r="CJ125" s="97"/>
    </row>
    <row r="126" spans="1:88" x14ac:dyDescent="0.45">
      <c r="A126" s="97"/>
      <c r="B126" s="495"/>
      <c r="C126" s="243">
        <v>8</v>
      </c>
      <c r="D126" s="243"/>
      <c r="E126" s="243"/>
      <c r="F126" s="243"/>
      <c r="G126" s="243" t="s">
        <v>625</v>
      </c>
      <c r="H126" s="243"/>
      <c r="I126" s="243"/>
      <c r="J126" s="243"/>
      <c r="K126" s="243"/>
      <c r="L126" s="243"/>
      <c r="M126" s="243"/>
      <c r="N126" s="243"/>
      <c r="O126" s="243"/>
      <c r="P126" s="243"/>
      <c r="Q126" s="243"/>
      <c r="R126" s="243"/>
      <c r="S126" s="243"/>
      <c r="T126" s="243"/>
      <c r="U126" s="243"/>
      <c r="V126" s="243"/>
      <c r="W126" s="243"/>
      <c r="X126" s="259"/>
      <c r="Y126" s="259"/>
      <c r="Z126" s="259"/>
      <c r="AA126" s="259"/>
      <c r="AB126" s="495"/>
      <c r="AC126" s="117"/>
      <c r="AD126" s="117"/>
      <c r="AE126" s="117"/>
      <c r="AF126" s="117"/>
      <c r="AG126" s="117"/>
      <c r="AH126" s="117"/>
      <c r="AI126" s="117"/>
      <c r="AJ126" s="117"/>
      <c r="AK126" s="117"/>
      <c r="AL126" s="117"/>
      <c r="AM126" s="117"/>
      <c r="AN126" s="117"/>
      <c r="AO126" s="117"/>
      <c r="AP126" s="117"/>
      <c r="AQ126" s="117"/>
      <c r="AR126" s="117"/>
      <c r="AS126" s="117"/>
      <c r="AT126" s="117"/>
      <c r="AU126" s="117"/>
      <c r="AV126" s="117"/>
      <c r="AW126" s="117"/>
      <c r="AX126" s="117"/>
      <c r="AY126" s="117"/>
      <c r="AZ126" s="117"/>
      <c r="BA126" s="117"/>
      <c r="BB126" s="117"/>
      <c r="BC126" s="117"/>
      <c r="BD126" s="117"/>
      <c r="BE126" s="117"/>
      <c r="BF126" s="117"/>
      <c r="BG126" s="117"/>
      <c r="BH126" s="117"/>
      <c r="BI126" s="117"/>
      <c r="BJ126" s="117"/>
      <c r="BK126" s="117"/>
      <c r="BL126" s="117"/>
      <c r="BM126" s="117"/>
      <c r="BN126" s="117"/>
      <c r="BO126" s="117"/>
      <c r="BP126" s="117"/>
      <c r="BQ126" s="117"/>
      <c r="BR126" s="117"/>
      <c r="BS126" s="117"/>
      <c r="BT126" s="117"/>
      <c r="BU126" s="117"/>
      <c r="BV126" s="117"/>
      <c r="BW126" s="117"/>
      <c r="BX126" s="117"/>
      <c r="BY126" s="117"/>
      <c r="BZ126" s="117"/>
      <c r="CA126" s="117"/>
      <c r="CB126" s="117"/>
      <c r="CC126" s="117"/>
      <c r="CD126" s="117"/>
      <c r="CE126" s="117"/>
      <c r="CF126" s="117"/>
      <c r="CG126" s="117"/>
      <c r="CH126" s="117"/>
      <c r="CI126" s="97"/>
      <c r="CJ126" s="97"/>
    </row>
    <row r="127" spans="1:88" x14ac:dyDescent="0.45">
      <c r="A127" s="97"/>
      <c r="B127" s="495"/>
      <c r="C127" s="259"/>
      <c r="D127" s="259"/>
      <c r="E127" s="259"/>
      <c r="F127" s="259"/>
      <c r="G127" s="259" t="s">
        <v>626</v>
      </c>
      <c r="H127" s="259"/>
      <c r="I127" s="259"/>
      <c r="J127" s="259"/>
      <c r="K127" s="259"/>
      <c r="L127" s="259"/>
      <c r="M127" s="259"/>
      <c r="N127" s="259"/>
      <c r="O127" s="259"/>
      <c r="P127" s="259"/>
      <c r="Q127" s="259"/>
      <c r="R127" s="259"/>
      <c r="S127" s="259"/>
      <c r="T127" s="259"/>
      <c r="U127" s="259"/>
      <c r="V127" s="259"/>
      <c r="W127" s="259"/>
      <c r="X127" s="259"/>
      <c r="Y127" s="259"/>
      <c r="Z127" s="259"/>
      <c r="AA127" s="259"/>
      <c r="AB127" s="495"/>
      <c r="AC127" s="117"/>
      <c r="AD127" s="117"/>
      <c r="AE127" s="117"/>
      <c r="AF127" s="117"/>
      <c r="AG127" s="117"/>
      <c r="AH127" s="117"/>
      <c r="AI127" s="117"/>
      <c r="AJ127" s="117"/>
      <c r="AK127" s="117"/>
      <c r="AL127" s="117"/>
      <c r="AM127" s="117"/>
      <c r="AN127" s="117"/>
      <c r="AO127" s="117"/>
      <c r="AP127" s="117"/>
      <c r="AQ127" s="117"/>
      <c r="AR127" s="117"/>
      <c r="AS127" s="117"/>
      <c r="AT127" s="117"/>
      <c r="AU127" s="117"/>
      <c r="AV127" s="117"/>
      <c r="AW127" s="117"/>
      <c r="AX127" s="117"/>
      <c r="AY127" s="117"/>
      <c r="AZ127" s="117"/>
      <c r="BA127" s="117"/>
      <c r="BB127" s="117"/>
      <c r="BC127" s="117"/>
      <c r="BD127" s="117"/>
      <c r="BE127" s="117"/>
      <c r="BF127" s="117"/>
      <c r="BG127" s="117"/>
      <c r="BH127" s="117"/>
      <c r="BI127" s="117"/>
      <c r="BJ127" s="117"/>
      <c r="BK127" s="117"/>
      <c r="BL127" s="117"/>
      <c r="BM127" s="117"/>
      <c r="BN127" s="117"/>
      <c r="BO127" s="117"/>
      <c r="BP127" s="117"/>
      <c r="BQ127" s="117"/>
      <c r="BR127" s="117"/>
      <c r="BS127" s="117"/>
      <c r="BT127" s="117"/>
      <c r="BU127" s="117"/>
      <c r="BV127" s="117"/>
      <c r="BW127" s="117"/>
      <c r="BX127" s="117"/>
      <c r="BY127" s="117"/>
      <c r="BZ127" s="117"/>
      <c r="CA127" s="117"/>
      <c r="CB127" s="117"/>
      <c r="CC127" s="117"/>
      <c r="CD127" s="117"/>
      <c r="CE127" s="117"/>
      <c r="CF127" s="117"/>
      <c r="CG127" s="117"/>
      <c r="CH127" s="117"/>
      <c r="CI127" s="97"/>
      <c r="CJ127" s="97"/>
    </row>
    <row r="128" spans="1:88" x14ac:dyDescent="0.45">
      <c r="A128" s="98"/>
      <c r="B128" s="495"/>
      <c r="C128" s="244"/>
      <c r="D128" s="244"/>
      <c r="E128" s="244"/>
      <c r="F128" s="244"/>
      <c r="G128" s="244" t="s">
        <v>215</v>
      </c>
      <c r="H128" s="244"/>
      <c r="I128" s="244"/>
      <c r="J128" s="244"/>
      <c r="K128" s="244"/>
      <c r="L128" s="244"/>
      <c r="M128" s="244"/>
      <c r="N128" s="244"/>
      <c r="O128" s="244"/>
      <c r="P128" s="244"/>
      <c r="Q128" s="244"/>
      <c r="R128" s="244"/>
      <c r="S128" s="244"/>
      <c r="T128" s="244"/>
      <c r="U128" s="244"/>
      <c r="V128" s="244"/>
      <c r="W128" s="244"/>
      <c r="X128" s="244"/>
      <c r="Y128" s="244"/>
      <c r="Z128" s="244"/>
      <c r="AA128" s="244"/>
      <c r="AB128" s="495"/>
      <c r="AC128" s="164"/>
      <c r="AD128" s="164"/>
      <c r="AE128" s="164"/>
      <c r="AF128" s="164"/>
      <c r="AG128" s="164"/>
      <c r="AH128" s="164"/>
      <c r="AI128" s="164"/>
      <c r="AJ128" s="164"/>
      <c r="AK128" s="164"/>
      <c r="AL128" s="164"/>
      <c r="AM128" s="164"/>
      <c r="AN128" s="164"/>
      <c r="AO128" s="164"/>
      <c r="AP128" s="164"/>
      <c r="AQ128" s="164"/>
      <c r="AR128" s="164"/>
      <c r="AS128" s="164"/>
      <c r="AT128" s="164"/>
      <c r="AU128" s="164"/>
      <c r="AV128" s="164"/>
      <c r="AW128" s="164"/>
      <c r="AX128" s="164"/>
      <c r="AY128" s="164"/>
      <c r="AZ128" s="164"/>
      <c r="BA128" s="164"/>
      <c r="BB128" s="164"/>
      <c r="BC128" s="164"/>
      <c r="BD128" s="164"/>
      <c r="BE128" s="164"/>
      <c r="BF128" s="164"/>
      <c r="BG128" s="164"/>
      <c r="BH128" s="164"/>
      <c r="BI128" s="164"/>
      <c r="BJ128" s="164"/>
      <c r="BK128" s="164"/>
      <c r="BL128" s="164"/>
      <c r="BM128" s="164"/>
      <c r="BN128" s="164"/>
      <c r="BO128" s="164"/>
      <c r="BP128" s="164"/>
      <c r="BQ128" s="164"/>
      <c r="BR128" s="164"/>
      <c r="BS128" s="164"/>
      <c r="BT128" s="164"/>
      <c r="BU128" s="164"/>
      <c r="BV128" s="164"/>
      <c r="BW128" s="164"/>
      <c r="BX128" s="164"/>
      <c r="BY128" s="164"/>
      <c r="BZ128" s="164"/>
      <c r="CA128" s="164"/>
      <c r="CB128" s="164"/>
      <c r="CC128" s="164"/>
      <c r="CD128" s="164"/>
      <c r="CE128" s="164"/>
      <c r="CF128" s="164"/>
      <c r="CG128" s="117"/>
      <c r="CH128" s="117"/>
      <c r="CI128" s="97"/>
      <c r="CJ128" s="97"/>
    </row>
    <row r="129" spans="1:88" ht="24" thickBot="1" x14ac:dyDescent="0.5">
      <c r="A129" s="117"/>
      <c r="B129" s="495"/>
      <c r="C129" s="245">
        <v>9</v>
      </c>
      <c r="D129" s="245"/>
      <c r="E129" s="245"/>
      <c r="F129" s="245"/>
      <c r="G129" s="245" t="s">
        <v>629</v>
      </c>
      <c r="H129" s="245"/>
      <c r="I129" s="245"/>
      <c r="J129" s="245"/>
      <c r="K129" s="245"/>
      <c r="L129" s="245"/>
      <c r="M129" s="245"/>
      <c r="N129" s="245"/>
      <c r="O129" s="245"/>
      <c r="P129" s="245"/>
      <c r="Q129" s="245"/>
      <c r="R129" s="245"/>
      <c r="S129" s="245"/>
      <c r="T129" s="245"/>
      <c r="U129" s="245"/>
      <c r="V129" s="245"/>
      <c r="W129" s="245"/>
      <c r="X129" s="448"/>
      <c r="Y129" s="448"/>
      <c r="Z129" s="448"/>
      <c r="AA129" s="448"/>
      <c r="AB129" s="495"/>
      <c r="AC129" s="117"/>
      <c r="AD129" s="117"/>
      <c r="AE129" s="117"/>
      <c r="AF129" s="117"/>
      <c r="AG129" s="117"/>
      <c r="AH129" s="117"/>
      <c r="AI129" s="117"/>
      <c r="AJ129" s="117"/>
      <c r="AK129" s="117"/>
      <c r="AL129" s="117"/>
      <c r="AM129" s="117"/>
      <c r="AN129" s="117"/>
      <c r="AO129" s="117"/>
      <c r="AP129" s="117"/>
      <c r="AQ129" s="117"/>
      <c r="AR129" s="117"/>
      <c r="AS129" s="117"/>
      <c r="AT129" s="117"/>
      <c r="AU129" s="117"/>
      <c r="AV129" s="117"/>
      <c r="AW129" s="117"/>
      <c r="AX129" s="117"/>
      <c r="AY129" s="117"/>
      <c r="AZ129" s="117"/>
      <c r="BA129" s="117"/>
      <c r="BB129" s="117"/>
      <c r="BC129" s="117"/>
      <c r="BD129" s="117"/>
      <c r="BE129" s="117"/>
      <c r="BF129" s="117"/>
      <c r="BG129" s="117"/>
      <c r="BH129" s="117"/>
      <c r="BI129" s="117"/>
      <c r="BJ129" s="117"/>
      <c r="BK129" s="117"/>
      <c r="BL129" s="117"/>
      <c r="BM129" s="117"/>
      <c r="BN129" s="117"/>
      <c r="BO129" s="117"/>
      <c r="BP129" s="117"/>
      <c r="BQ129" s="117"/>
      <c r="BR129" s="117"/>
      <c r="BS129" s="117"/>
      <c r="BT129" s="117"/>
      <c r="BU129" s="117"/>
      <c r="BV129" s="117"/>
      <c r="BW129" s="117"/>
      <c r="BX129" s="117"/>
      <c r="BY129" s="117"/>
      <c r="BZ129" s="117"/>
      <c r="CA129" s="117"/>
      <c r="CB129" s="117"/>
      <c r="CC129" s="117"/>
      <c r="CD129" s="117"/>
      <c r="CE129" s="117"/>
      <c r="CF129" s="117"/>
      <c r="CG129" s="117"/>
      <c r="CH129" s="117"/>
      <c r="CI129" s="97"/>
      <c r="CJ129" s="97"/>
    </row>
    <row r="130" spans="1:88" x14ac:dyDescent="0.45">
      <c r="A130" s="97"/>
      <c r="B130" s="495"/>
      <c r="C130" s="243">
        <v>9</v>
      </c>
      <c r="D130" s="243"/>
      <c r="E130" s="243"/>
      <c r="F130" s="243"/>
      <c r="G130" s="243" t="s">
        <v>590</v>
      </c>
      <c r="H130" s="243"/>
      <c r="I130" s="243"/>
      <c r="J130" s="243"/>
      <c r="K130" s="243"/>
      <c r="L130" s="243"/>
      <c r="M130" s="243"/>
      <c r="N130" s="243"/>
      <c r="O130" s="243"/>
      <c r="P130" s="243"/>
      <c r="Q130" s="243"/>
      <c r="R130" s="243"/>
      <c r="S130" s="243"/>
      <c r="T130" s="243"/>
      <c r="U130" s="243"/>
      <c r="V130" s="243"/>
      <c r="W130" s="243"/>
      <c r="X130" s="259"/>
      <c r="Y130" s="259"/>
      <c r="Z130" s="259"/>
      <c r="AA130" s="259"/>
      <c r="AB130" s="495"/>
      <c r="AC130" s="117"/>
      <c r="AD130" s="117"/>
      <c r="AE130" s="117"/>
      <c r="AF130" s="117"/>
      <c r="AG130" s="117"/>
      <c r="AH130" s="117"/>
      <c r="AI130" s="117"/>
      <c r="AJ130" s="117"/>
      <c r="AK130" s="117"/>
      <c r="AL130" s="117"/>
      <c r="AM130" s="117"/>
      <c r="AN130" s="117"/>
      <c r="AO130" s="117"/>
      <c r="AP130" s="117"/>
      <c r="AQ130" s="117"/>
      <c r="AR130" s="117"/>
      <c r="AS130" s="117"/>
      <c r="AT130" s="117"/>
      <c r="AU130" s="117"/>
      <c r="AV130" s="117"/>
      <c r="AW130" s="117"/>
      <c r="AX130" s="117"/>
      <c r="AY130" s="117"/>
      <c r="AZ130" s="117"/>
      <c r="BA130" s="117"/>
      <c r="BB130" s="117"/>
      <c r="BC130" s="117"/>
      <c r="BD130" s="117"/>
      <c r="BE130" s="117"/>
      <c r="BF130" s="117"/>
      <c r="BG130" s="117"/>
      <c r="BH130" s="117"/>
      <c r="BI130" s="117"/>
      <c r="BJ130" s="117"/>
      <c r="BK130" s="117"/>
      <c r="BL130" s="117"/>
      <c r="BM130" s="117"/>
      <c r="BN130" s="117"/>
      <c r="BO130" s="117"/>
      <c r="BP130" s="117"/>
      <c r="BQ130" s="117"/>
      <c r="BR130" s="117"/>
      <c r="BS130" s="117"/>
      <c r="BT130" s="117"/>
      <c r="BU130" s="117"/>
      <c r="BV130" s="117"/>
      <c r="BW130" s="117"/>
      <c r="BX130" s="117"/>
      <c r="BY130" s="117"/>
      <c r="BZ130" s="117"/>
      <c r="CA130" s="117"/>
      <c r="CB130" s="117"/>
      <c r="CC130" s="117"/>
      <c r="CD130" s="117"/>
      <c r="CE130" s="117"/>
      <c r="CF130" s="117"/>
      <c r="CG130" s="117"/>
      <c r="CH130" s="117"/>
      <c r="CI130" s="97"/>
      <c r="CJ130" s="97"/>
    </row>
    <row r="131" spans="1:88" x14ac:dyDescent="0.45">
      <c r="A131" s="97"/>
      <c r="B131" s="495"/>
      <c r="C131" s="259"/>
      <c r="D131" s="259"/>
      <c r="E131" s="259"/>
      <c r="F131" s="259"/>
      <c r="G131" s="259" t="s">
        <v>624</v>
      </c>
      <c r="H131" s="259"/>
      <c r="I131" s="259"/>
      <c r="J131" s="259"/>
      <c r="K131" s="259"/>
      <c r="L131" s="259"/>
      <c r="M131" s="259"/>
      <c r="N131" s="259"/>
      <c r="O131" s="259"/>
      <c r="P131" s="259"/>
      <c r="Q131" s="259"/>
      <c r="R131" s="259"/>
      <c r="S131" s="259"/>
      <c r="T131" s="259"/>
      <c r="U131" s="259"/>
      <c r="V131" s="259"/>
      <c r="W131" s="259"/>
      <c r="X131" s="259"/>
      <c r="Y131" s="259"/>
      <c r="Z131" s="259"/>
      <c r="AA131" s="259"/>
      <c r="AB131" s="495"/>
      <c r="AC131" s="117"/>
      <c r="AD131" s="117"/>
      <c r="AE131" s="117"/>
      <c r="AF131" s="117"/>
      <c r="AG131" s="117"/>
      <c r="AH131" s="117"/>
      <c r="AI131" s="117"/>
      <c r="AJ131" s="117"/>
      <c r="AK131" s="117"/>
      <c r="AL131" s="117"/>
      <c r="AM131" s="117"/>
      <c r="AN131" s="117"/>
      <c r="AO131" s="117"/>
      <c r="AP131" s="117"/>
      <c r="AQ131" s="117"/>
      <c r="AR131" s="117"/>
      <c r="AS131" s="117"/>
      <c r="AT131" s="117"/>
      <c r="AU131" s="117"/>
      <c r="AV131" s="117"/>
      <c r="AW131" s="117"/>
      <c r="AX131" s="117"/>
      <c r="AY131" s="117"/>
      <c r="AZ131" s="117"/>
      <c r="BA131" s="117"/>
      <c r="BB131" s="117"/>
      <c r="BC131" s="117"/>
      <c r="BD131" s="117"/>
      <c r="BE131" s="117"/>
      <c r="BF131" s="117"/>
      <c r="BG131" s="117"/>
      <c r="BH131" s="117"/>
      <c r="BI131" s="117"/>
      <c r="BJ131" s="117"/>
      <c r="BK131" s="117"/>
      <c r="BL131" s="117"/>
      <c r="BM131" s="117"/>
      <c r="BN131" s="117"/>
      <c r="BO131" s="117"/>
      <c r="BP131" s="117"/>
      <c r="BQ131" s="117"/>
      <c r="BR131" s="117"/>
      <c r="BS131" s="117"/>
      <c r="BT131" s="117"/>
      <c r="BU131" s="117"/>
      <c r="BV131" s="117"/>
      <c r="BW131" s="117"/>
      <c r="BX131" s="117"/>
      <c r="BY131" s="117"/>
      <c r="BZ131" s="117"/>
      <c r="CA131" s="117"/>
      <c r="CB131" s="117"/>
      <c r="CC131" s="117"/>
      <c r="CD131" s="117"/>
      <c r="CE131" s="117"/>
      <c r="CF131" s="117"/>
      <c r="CG131" s="117"/>
      <c r="CH131" s="117"/>
      <c r="CI131" s="97"/>
      <c r="CJ131" s="97"/>
    </row>
    <row r="132" spans="1:88" x14ac:dyDescent="0.45">
      <c r="A132" s="98"/>
      <c r="B132" s="495"/>
      <c r="C132" s="244"/>
      <c r="D132" s="244"/>
      <c r="E132" s="244"/>
      <c r="F132" s="244"/>
      <c r="G132" s="244" t="s">
        <v>215</v>
      </c>
      <c r="H132" s="244"/>
      <c r="I132" s="244"/>
      <c r="J132" s="244"/>
      <c r="K132" s="244"/>
      <c r="L132" s="244"/>
      <c r="M132" s="244"/>
      <c r="N132" s="244"/>
      <c r="O132" s="244"/>
      <c r="P132" s="244"/>
      <c r="Q132" s="244"/>
      <c r="R132" s="244"/>
      <c r="S132" s="244"/>
      <c r="T132" s="244"/>
      <c r="U132" s="244"/>
      <c r="V132" s="244"/>
      <c r="W132" s="244"/>
      <c r="X132" s="244"/>
      <c r="Y132" s="244"/>
      <c r="Z132" s="244"/>
      <c r="AA132" s="244"/>
      <c r="AB132" s="495"/>
      <c r="AC132" s="164"/>
      <c r="AD132" s="164"/>
      <c r="AE132" s="164"/>
      <c r="AF132" s="164"/>
      <c r="AG132" s="164"/>
      <c r="AH132" s="164"/>
      <c r="AI132" s="164"/>
      <c r="AJ132" s="164"/>
      <c r="AK132" s="164"/>
      <c r="AL132" s="164"/>
      <c r="AM132" s="164"/>
      <c r="AN132" s="164"/>
      <c r="AO132" s="164"/>
      <c r="AP132" s="164"/>
      <c r="AQ132" s="164"/>
      <c r="AR132" s="164"/>
      <c r="AS132" s="164"/>
      <c r="AT132" s="164"/>
      <c r="AU132" s="164"/>
      <c r="AV132" s="164"/>
      <c r="AW132" s="164"/>
      <c r="AX132" s="164"/>
      <c r="AY132" s="164"/>
      <c r="AZ132" s="164"/>
      <c r="BA132" s="164"/>
      <c r="BB132" s="164"/>
      <c r="BC132" s="164"/>
      <c r="BD132" s="164"/>
      <c r="BE132" s="164"/>
      <c r="BF132" s="164"/>
      <c r="BG132" s="164"/>
      <c r="BH132" s="164"/>
      <c r="BI132" s="164"/>
      <c r="BJ132" s="164"/>
      <c r="BK132" s="164"/>
      <c r="BL132" s="164"/>
      <c r="BM132" s="164"/>
      <c r="BN132" s="164"/>
      <c r="BO132" s="164"/>
      <c r="BP132" s="164"/>
      <c r="BQ132" s="164"/>
      <c r="BR132" s="164"/>
      <c r="BS132" s="164"/>
      <c r="BT132" s="164"/>
      <c r="BU132" s="164"/>
      <c r="BV132" s="164"/>
      <c r="BW132" s="164"/>
      <c r="BX132" s="164"/>
      <c r="BY132" s="164"/>
      <c r="BZ132" s="164"/>
      <c r="CA132" s="164"/>
      <c r="CB132" s="164"/>
      <c r="CC132" s="164"/>
      <c r="CD132" s="164"/>
      <c r="CE132" s="164"/>
      <c r="CF132" s="164"/>
      <c r="CG132" s="117"/>
      <c r="CH132" s="117"/>
      <c r="CI132" s="97"/>
      <c r="CJ132" s="97"/>
    </row>
    <row r="133" spans="1:88" ht="24" thickBot="1" x14ac:dyDescent="0.5">
      <c r="A133" s="117"/>
      <c r="B133" s="495"/>
      <c r="C133" s="245">
        <v>10</v>
      </c>
      <c r="D133" s="245"/>
      <c r="E133" s="245"/>
      <c r="F133" s="245"/>
      <c r="G133" s="245" t="s">
        <v>449</v>
      </c>
      <c r="H133" s="245"/>
      <c r="I133" s="245"/>
      <c r="J133" s="245"/>
      <c r="K133" s="245"/>
      <c r="L133" s="245"/>
      <c r="M133" s="245"/>
      <c r="N133" s="245"/>
      <c r="O133" s="245"/>
      <c r="P133" s="245"/>
      <c r="Q133" s="245"/>
      <c r="R133" s="245"/>
      <c r="S133" s="245"/>
      <c r="T133" s="245"/>
      <c r="U133" s="245"/>
      <c r="V133" s="245"/>
      <c r="W133" s="245"/>
      <c r="X133" s="448"/>
      <c r="Y133" s="448"/>
      <c r="Z133" s="448"/>
      <c r="AA133" s="448"/>
      <c r="AB133" s="495"/>
      <c r="AC133" s="117"/>
      <c r="AD133" s="117"/>
      <c r="AE133" s="117"/>
      <c r="AF133" s="117"/>
      <c r="AG133" s="117"/>
      <c r="AH133" s="117"/>
      <c r="AI133" s="117"/>
      <c r="AJ133" s="117"/>
      <c r="AK133" s="117"/>
      <c r="AL133" s="117"/>
      <c r="AM133" s="117"/>
      <c r="AN133" s="117"/>
      <c r="AO133" s="117"/>
      <c r="AP133" s="117"/>
      <c r="AQ133" s="117"/>
      <c r="AR133" s="117"/>
      <c r="AS133" s="117"/>
      <c r="AT133" s="117"/>
      <c r="AU133" s="117"/>
      <c r="AV133" s="117"/>
      <c r="AW133" s="117"/>
      <c r="AX133" s="117"/>
      <c r="AY133" s="117"/>
      <c r="AZ133" s="117"/>
      <c r="BA133" s="117"/>
      <c r="BB133" s="117"/>
      <c r="BC133" s="117"/>
      <c r="BD133" s="117"/>
      <c r="BE133" s="117"/>
      <c r="BF133" s="117"/>
      <c r="BG133" s="117"/>
      <c r="BH133" s="117"/>
      <c r="BI133" s="117"/>
      <c r="BJ133" s="117"/>
      <c r="BK133" s="117"/>
      <c r="BL133" s="117"/>
      <c r="BM133" s="117"/>
      <c r="BN133" s="117"/>
      <c r="BO133" s="117"/>
      <c r="BP133" s="117"/>
      <c r="BQ133" s="117"/>
      <c r="BR133" s="117"/>
      <c r="BS133" s="117"/>
      <c r="BT133" s="117"/>
      <c r="BU133" s="117"/>
      <c r="BV133" s="117"/>
      <c r="BW133" s="117"/>
      <c r="BX133" s="117"/>
      <c r="BY133" s="117"/>
      <c r="BZ133" s="117"/>
      <c r="CA133" s="117"/>
      <c r="CB133" s="117"/>
      <c r="CC133" s="117"/>
      <c r="CD133" s="117"/>
      <c r="CE133" s="117"/>
      <c r="CF133" s="117"/>
      <c r="CG133" s="117"/>
      <c r="CH133" s="117"/>
      <c r="CI133" s="97"/>
      <c r="CJ133" s="97"/>
    </row>
    <row r="134" spans="1:88" x14ac:dyDescent="0.45">
      <c r="A134" s="97"/>
      <c r="B134" s="495"/>
      <c r="C134" s="243">
        <v>10</v>
      </c>
      <c r="D134" s="243"/>
      <c r="E134" s="243"/>
      <c r="F134" s="243"/>
      <c r="G134" s="243"/>
      <c r="H134" s="243"/>
      <c r="I134" s="243"/>
      <c r="J134" s="243"/>
      <c r="K134" s="243"/>
      <c r="L134" s="243"/>
      <c r="M134" s="243"/>
      <c r="N134" s="243"/>
      <c r="O134" s="243"/>
      <c r="P134" s="243"/>
      <c r="Q134" s="243"/>
      <c r="R134" s="243"/>
      <c r="S134" s="243"/>
      <c r="T134" s="243"/>
      <c r="U134" s="243"/>
      <c r="V134" s="243"/>
      <c r="W134" s="243"/>
      <c r="X134" s="259"/>
      <c r="Y134" s="259"/>
      <c r="Z134" s="259"/>
      <c r="AA134" s="259"/>
      <c r="AB134" s="495"/>
      <c r="AC134" s="117"/>
      <c r="AD134" s="117"/>
      <c r="AE134" s="117"/>
      <c r="AF134" s="117"/>
      <c r="AG134" s="117"/>
      <c r="AH134" s="117"/>
      <c r="AI134" s="117"/>
      <c r="AJ134" s="117"/>
      <c r="AK134" s="117"/>
      <c r="AL134" s="117"/>
      <c r="AM134" s="117"/>
      <c r="AN134" s="117"/>
      <c r="AO134" s="117"/>
      <c r="AP134" s="117"/>
      <c r="AQ134" s="117"/>
      <c r="AR134" s="117"/>
      <c r="AS134" s="117"/>
      <c r="AT134" s="117"/>
      <c r="AU134" s="117"/>
      <c r="AV134" s="117"/>
      <c r="AW134" s="117"/>
      <c r="AX134" s="117"/>
      <c r="AY134" s="117"/>
      <c r="AZ134" s="117"/>
      <c r="BA134" s="117"/>
      <c r="BB134" s="117"/>
      <c r="BC134" s="117"/>
      <c r="BD134" s="117"/>
      <c r="BE134" s="117"/>
      <c r="BF134" s="117"/>
      <c r="BG134" s="117"/>
      <c r="BH134" s="117"/>
      <c r="BI134" s="117"/>
      <c r="BJ134" s="117"/>
      <c r="BK134" s="117"/>
      <c r="BL134" s="117"/>
      <c r="BM134" s="117"/>
      <c r="BN134" s="117"/>
      <c r="BO134" s="117"/>
      <c r="BP134" s="117"/>
      <c r="BQ134" s="117"/>
      <c r="BR134" s="117"/>
      <c r="BS134" s="117"/>
      <c r="BT134" s="117"/>
      <c r="BU134" s="117"/>
      <c r="BV134" s="117"/>
      <c r="BW134" s="117"/>
      <c r="BX134" s="117"/>
      <c r="BY134" s="117"/>
      <c r="BZ134" s="117"/>
      <c r="CA134" s="117"/>
      <c r="CB134" s="117"/>
      <c r="CC134" s="117"/>
      <c r="CD134" s="117"/>
      <c r="CE134" s="117"/>
      <c r="CF134" s="117"/>
      <c r="CG134" s="117"/>
      <c r="CH134" s="117"/>
      <c r="CI134" s="97"/>
      <c r="CJ134" s="97"/>
    </row>
    <row r="135" spans="1:88" x14ac:dyDescent="0.45">
      <c r="A135" s="97"/>
      <c r="B135" s="495"/>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495"/>
      <c r="AC135" s="117"/>
      <c r="AD135" s="117"/>
      <c r="AE135" s="117"/>
      <c r="AF135" s="117"/>
      <c r="AG135" s="117"/>
      <c r="AH135" s="117"/>
      <c r="AI135" s="117"/>
      <c r="AJ135" s="117"/>
      <c r="AK135" s="117"/>
      <c r="AL135" s="117"/>
      <c r="AM135" s="117"/>
      <c r="AN135" s="117"/>
      <c r="AO135" s="117"/>
      <c r="AP135" s="117"/>
      <c r="AQ135" s="117"/>
      <c r="AR135" s="117"/>
      <c r="AS135" s="117"/>
      <c r="AT135" s="117"/>
      <c r="AU135" s="117"/>
      <c r="AV135" s="117"/>
      <c r="AW135" s="117"/>
      <c r="AX135" s="117"/>
      <c r="AY135" s="117"/>
      <c r="AZ135" s="117"/>
      <c r="BA135" s="117"/>
      <c r="BB135" s="117"/>
      <c r="BC135" s="117"/>
      <c r="BD135" s="117"/>
      <c r="BE135" s="117"/>
      <c r="BF135" s="117"/>
      <c r="BG135" s="117"/>
      <c r="BH135" s="117"/>
      <c r="BI135" s="117"/>
      <c r="BJ135" s="117"/>
      <c r="BK135" s="117"/>
      <c r="BL135" s="117"/>
      <c r="BM135" s="117"/>
      <c r="BN135" s="117"/>
      <c r="BO135" s="117"/>
      <c r="BP135" s="117"/>
      <c r="BQ135" s="117"/>
      <c r="BR135" s="117"/>
      <c r="BS135" s="117"/>
      <c r="BT135" s="117"/>
      <c r="BU135" s="117"/>
      <c r="BV135" s="117"/>
      <c r="BW135" s="117"/>
      <c r="BX135" s="117"/>
      <c r="BY135" s="117"/>
      <c r="BZ135" s="117"/>
      <c r="CA135" s="117"/>
      <c r="CB135" s="117"/>
      <c r="CC135" s="117"/>
      <c r="CD135" s="117"/>
      <c r="CE135" s="117"/>
      <c r="CF135" s="117"/>
      <c r="CG135" s="117"/>
      <c r="CH135" s="117"/>
      <c r="CI135" s="97"/>
      <c r="CJ135" s="97"/>
    </row>
    <row r="136" spans="1:88" ht="24" thickBot="1" x14ac:dyDescent="0.5">
      <c r="A136" s="117"/>
      <c r="B136" s="495"/>
      <c r="C136" s="245">
        <v>11</v>
      </c>
      <c r="D136" s="245"/>
      <c r="E136" s="245"/>
      <c r="F136" s="245"/>
      <c r="G136" s="245"/>
      <c r="H136" s="245"/>
      <c r="I136" s="245"/>
      <c r="J136" s="245"/>
      <c r="K136" s="245"/>
      <c r="L136" s="245"/>
      <c r="M136" s="245"/>
      <c r="N136" s="245"/>
      <c r="O136" s="245"/>
      <c r="P136" s="245"/>
      <c r="Q136" s="245"/>
      <c r="R136" s="245"/>
      <c r="S136" s="245"/>
      <c r="T136" s="245"/>
      <c r="U136" s="245"/>
      <c r="V136" s="245"/>
      <c r="W136" s="245"/>
      <c r="X136" s="448"/>
      <c r="Y136" s="448"/>
      <c r="Z136" s="448"/>
      <c r="AA136" s="448"/>
      <c r="AB136" s="495"/>
      <c r="AC136" s="117"/>
      <c r="AD136" s="117"/>
      <c r="AE136" s="117"/>
      <c r="AF136" s="117"/>
      <c r="AG136" s="117"/>
      <c r="AH136" s="117"/>
      <c r="AI136" s="117"/>
      <c r="AJ136" s="117"/>
      <c r="AK136" s="117"/>
      <c r="AL136" s="117"/>
      <c r="AM136" s="117"/>
      <c r="AN136" s="117"/>
      <c r="AO136" s="117"/>
      <c r="AP136" s="117"/>
      <c r="AQ136" s="117"/>
      <c r="AR136" s="117"/>
      <c r="AS136" s="117"/>
      <c r="AT136" s="117"/>
      <c r="AU136" s="117"/>
      <c r="AV136" s="117"/>
      <c r="AW136" s="117"/>
      <c r="AX136" s="117"/>
      <c r="AY136" s="117"/>
      <c r="AZ136" s="117"/>
      <c r="BA136" s="117"/>
      <c r="BB136" s="117"/>
      <c r="BC136" s="117"/>
      <c r="BD136" s="117"/>
      <c r="BE136" s="117"/>
      <c r="BF136" s="117"/>
      <c r="BG136" s="117"/>
      <c r="BH136" s="117"/>
      <c r="BI136" s="117"/>
      <c r="BJ136" s="117"/>
      <c r="BK136" s="117"/>
      <c r="BL136" s="117"/>
      <c r="BM136" s="117"/>
      <c r="BN136" s="117"/>
      <c r="BO136" s="117"/>
      <c r="BP136" s="117"/>
      <c r="BQ136" s="117"/>
      <c r="BR136" s="117"/>
      <c r="BS136" s="117"/>
      <c r="BT136" s="117"/>
      <c r="BU136" s="117"/>
      <c r="BV136" s="117"/>
      <c r="BW136" s="117"/>
      <c r="BX136" s="117"/>
      <c r="BY136" s="117"/>
      <c r="BZ136" s="117"/>
      <c r="CA136" s="117"/>
      <c r="CB136" s="117"/>
      <c r="CC136" s="117"/>
      <c r="CD136" s="117"/>
      <c r="CE136" s="117"/>
      <c r="CF136" s="117"/>
      <c r="CG136" s="117"/>
      <c r="CH136" s="117"/>
      <c r="CI136" s="97"/>
      <c r="CJ136" s="97"/>
    </row>
    <row r="137" spans="1:88" x14ac:dyDescent="0.45">
      <c r="A137" s="97"/>
      <c r="B137" s="495"/>
      <c r="C137" s="243">
        <v>11</v>
      </c>
      <c r="D137" s="243"/>
      <c r="E137" s="243"/>
      <c r="F137" s="243"/>
      <c r="G137" s="243"/>
      <c r="H137" s="243"/>
      <c r="I137" s="243"/>
      <c r="J137" s="243"/>
      <c r="K137" s="243"/>
      <c r="L137" s="243"/>
      <c r="M137" s="243"/>
      <c r="N137" s="243"/>
      <c r="O137" s="243"/>
      <c r="P137" s="243"/>
      <c r="Q137" s="243"/>
      <c r="R137" s="243"/>
      <c r="S137" s="243"/>
      <c r="T137" s="243"/>
      <c r="U137" s="243"/>
      <c r="V137" s="243"/>
      <c r="W137" s="243"/>
      <c r="X137" s="259"/>
      <c r="Y137" s="259"/>
      <c r="Z137" s="259"/>
      <c r="AA137" s="259"/>
      <c r="AB137" s="495"/>
      <c r="AC137" s="117"/>
      <c r="AD137" s="117"/>
      <c r="AE137" s="117"/>
      <c r="AF137" s="117"/>
      <c r="AG137" s="117"/>
      <c r="AH137" s="117"/>
      <c r="AI137" s="117"/>
      <c r="AJ137" s="117"/>
      <c r="AK137" s="117"/>
      <c r="AL137" s="117"/>
      <c r="AM137" s="117"/>
      <c r="AN137" s="117"/>
      <c r="AO137" s="117"/>
      <c r="AP137" s="117"/>
      <c r="AQ137" s="117"/>
      <c r="AR137" s="117"/>
      <c r="AS137" s="117"/>
      <c r="AT137" s="117"/>
      <c r="AU137" s="117"/>
      <c r="AV137" s="117"/>
      <c r="AW137" s="117"/>
      <c r="AX137" s="117"/>
      <c r="AY137" s="117"/>
      <c r="AZ137" s="117"/>
      <c r="BA137" s="117"/>
      <c r="BB137" s="117"/>
      <c r="BC137" s="117"/>
      <c r="BD137" s="117"/>
      <c r="BE137" s="117"/>
      <c r="BF137" s="117"/>
      <c r="BG137" s="117"/>
      <c r="BH137" s="117"/>
      <c r="BI137" s="117"/>
      <c r="BJ137" s="117"/>
      <c r="BK137" s="117"/>
      <c r="BL137" s="117"/>
      <c r="BM137" s="117"/>
      <c r="BN137" s="117"/>
      <c r="BO137" s="117"/>
      <c r="BP137" s="117"/>
      <c r="BQ137" s="117"/>
      <c r="BR137" s="117"/>
      <c r="BS137" s="117"/>
      <c r="BT137" s="117"/>
      <c r="BU137" s="117"/>
      <c r="BV137" s="117"/>
      <c r="BW137" s="117"/>
      <c r="BX137" s="117"/>
      <c r="BY137" s="117"/>
      <c r="BZ137" s="117"/>
      <c r="CA137" s="117"/>
      <c r="CB137" s="117"/>
      <c r="CC137" s="117"/>
      <c r="CD137" s="117"/>
      <c r="CE137" s="117"/>
      <c r="CF137" s="117"/>
      <c r="CG137" s="117"/>
      <c r="CH137" s="117"/>
      <c r="CI137" s="97"/>
      <c r="CJ137" s="97"/>
    </row>
    <row r="138" spans="1:88" x14ac:dyDescent="0.45">
      <c r="A138" s="98"/>
      <c r="B138" s="495"/>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495"/>
      <c r="AC138" s="164"/>
      <c r="AD138" s="164"/>
      <c r="AE138" s="164"/>
      <c r="AF138" s="164"/>
      <c r="AG138" s="164"/>
      <c r="AH138" s="164"/>
      <c r="AI138" s="164"/>
      <c r="AJ138" s="164"/>
      <c r="AK138" s="164"/>
      <c r="AL138" s="164"/>
      <c r="AM138" s="164"/>
      <c r="AN138" s="164"/>
      <c r="AO138" s="164"/>
      <c r="AP138" s="164"/>
      <c r="AQ138" s="164"/>
      <c r="AR138" s="164"/>
      <c r="AS138" s="164"/>
      <c r="AT138" s="164"/>
      <c r="AU138" s="164"/>
      <c r="AV138" s="164"/>
      <c r="AW138" s="164"/>
      <c r="AX138" s="164"/>
      <c r="AY138" s="164"/>
      <c r="AZ138" s="164"/>
      <c r="BA138" s="164"/>
      <c r="BB138" s="164"/>
      <c r="BC138" s="164"/>
      <c r="BD138" s="164"/>
      <c r="BE138" s="164"/>
      <c r="BF138" s="164"/>
      <c r="BG138" s="164"/>
      <c r="BH138" s="164"/>
      <c r="BI138" s="164"/>
      <c r="BJ138" s="164"/>
      <c r="BK138" s="164"/>
      <c r="BL138" s="164"/>
      <c r="BM138" s="164"/>
      <c r="BN138" s="164"/>
      <c r="BO138" s="164"/>
      <c r="BP138" s="164"/>
      <c r="BQ138" s="164"/>
      <c r="BR138" s="164"/>
      <c r="BS138" s="164"/>
      <c r="BT138" s="164"/>
      <c r="BU138" s="164"/>
      <c r="BV138" s="164"/>
      <c r="BW138" s="164"/>
      <c r="BX138" s="164"/>
      <c r="BY138" s="164"/>
      <c r="BZ138" s="164"/>
      <c r="CA138" s="164"/>
      <c r="CB138" s="164"/>
      <c r="CC138" s="164"/>
      <c r="CD138" s="164"/>
      <c r="CE138" s="164"/>
      <c r="CF138" s="164"/>
      <c r="CG138" s="117"/>
      <c r="CH138" s="117"/>
      <c r="CI138" s="97"/>
      <c r="CJ138" s="97"/>
    </row>
    <row r="139" spans="1:88" ht="24" thickBot="1" x14ac:dyDescent="0.5">
      <c r="A139" s="117"/>
      <c r="B139" s="495"/>
      <c r="C139" s="245">
        <v>12</v>
      </c>
      <c r="D139" s="245"/>
      <c r="E139" s="245"/>
      <c r="F139" s="245"/>
      <c r="G139" s="245"/>
      <c r="H139" s="245"/>
      <c r="I139" s="245"/>
      <c r="J139" s="245"/>
      <c r="K139" s="245"/>
      <c r="L139" s="245"/>
      <c r="M139" s="245"/>
      <c r="N139" s="245"/>
      <c r="O139" s="245"/>
      <c r="P139" s="245"/>
      <c r="Q139" s="245"/>
      <c r="R139" s="245"/>
      <c r="S139" s="245"/>
      <c r="T139" s="245"/>
      <c r="U139" s="245"/>
      <c r="V139" s="245"/>
      <c r="W139" s="245"/>
      <c r="X139" s="448"/>
      <c r="Y139" s="448"/>
      <c r="Z139" s="448"/>
      <c r="AA139" s="448"/>
      <c r="AB139" s="495"/>
      <c r="AC139" s="117"/>
      <c r="AD139" s="117"/>
      <c r="AE139" s="117"/>
      <c r="AF139" s="117"/>
      <c r="AG139" s="117"/>
      <c r="AH139" s="117"/>
      <c r="AI139" s="117"/>
      <c r="AJ139" s="117"/>
      <c r="AK139" s="117"/>
      <c r="AL139" s="117"/>
      <c r="AM139" s="117"/>
      <c r="AN139" s="117"/>
      <c r="AO139" s="117"/>
      <c r="AP139" s="117"/>
      <c r="AQ139" s="117"/>
      <c r="AR139" s="117"/>
      <c r="AS139" s="117"/>
      <c r="AT139" s="117"/>
      <c r="AU139" s="117"/>
      <c r="AV139" s="117"/>
      <c r="AW139" s="117"/>
      <c r="AX139" s="117"/>
      <c r="AY139" s="117"/>
      <c r="AZ139" s="117"/>
      <c r="BA139" s="117"/>
      <c r="BB139" s="117"/>
      <c r="BC139" s="117"/>
      <c r="BD139" s="117"/>
      <c r="BE139" s="117"/>
      <c r="BF139" s="117"/>
      <c r="BG139" s="117"/>
      <c r="BH139" s="117"/>
      <c r="BI139" s="117"/>
      <c r="BJ139" s="117"/>
      <c r="BK139" s="117"/>
      <c r="BL139" s="117"/>
      <c r="BM139" s="117"/>
      <c r="BN139" s="117"/>
      <c r="BO139" s="117"/>
      <c r="BP139" s="117"/>
      <c r="BQ139" s="117"/>
      <c r="BR139" s="117"/>
      <c r="BS139" s="117"/>
      <c r="BT139" s="117"/>
      <c r="BU139" s="117"/>
      <c r="BV139" s="117"/>
      <c r="BW139" s="117"/>
      <c r="BX139" s="117"/>
      <c r="BY139" s="117"/>
      <c r="BZ139" s="117"/>
      <c r="CA139" s="117"/>
      <c r="CB139" s="117"/>
      <c r="CC139" s="117"/>
      <c r="CD139" s="117"/>
      <c r="CE139" s="117"/>
      <c r="CF139" s="117"/>
      <c r="CG139" s="117"/>
      <c r="CH139" s="117"/>
      <c r="CI139" s="97"/>
      <c r="CJ139" s="97"/>
    </row>
    <row r="140" spans="1:88" x14ac:dyDescent="0.45">
      <c r="A140" s="97"/>
      <c r="B140" s="495"/>
      <c r="C140" s="243">
        <v>12</v>
      </c>
      <c r="D140" s="243"/>
      <c r="E140" s="243"/>
      <c r="F140" s="243"/>
      <c r="G140" s="243"/>
      <c r="H140" s="243"/>
      <c r="I140" s="243"/>
      <c r="J140" s="243"/>
      <c r="K140" s="243"/>
      <c r="L140" s="243"/>
      <c r="M140" s="243"/>
      <c r="N140" s="243"/>
      <c r="O140" s="243"/>
      <c r="P140" s="243"/>
      <c r="Q140" s="243"/>
      <c r="R140" s="243"/>
      <c r="S140" s="243"/>
      <c r="T140" s="243"/>
      <c r="U140" s="243"/>
      <c r="V140" s="243"/>
      <c r="W140" s="243"/>
      <c r="X140" s="259"/>
      <c r="Y140" s="259"/>
      <c r="Z140" s="259"/>
      <c r="AA140" s="259"/>
      <c r="AB140" s="495"/>
      <c r="AC140" s="117"/>
      <c r="AD140" s="117"/>
      <c r="AE140" s="117"/>
      <c r="AF140" s="117"/>
      <c r="AG140" s="117"/>
      <c r="AH140" s="117"/>
      <c r="AI140" s="117"/>
      <c r="AJ140" s="117"/>
      <c r="AK140" s="117"/>
      <c r="AL140" s="117"/>
      <c r="AM140" s="117"/>
      <c r="AN140" s="117"/>
      <c r="AO140" s="117"/>
      <c r="AP140" s="117"/>
      <c r="AQ140" s="117"/>
      <c r="AR140" s="117"/>
      <c r="AS140" s="117"/>
      <c r="AT140" s="117"/>
      <c r="AU140" s="117"/>
      <c r="AV140" s="117"/>
      <c r="AW140" s="117"/>
      <c r="AX140" s="117"/>
      <c r="AY140" s="117"/>
      <c r="AZ140" s="117"/>
      <c r="BA140" s="117"/>
      <c r="BB140" s="117"/>
      <c r="BC140" s="117"/>
      <c r="BD140" s="117"/>
      <c r="BE140" s="117"/>
      <c r="BF140" s="117"/>
      <c r="BG140" s="117"/>
      <c r="BH140" s="117"/>
      <c r="BI140" s="117"/>
      <c r="BJ140" s="117"/>
      <c r="BK140" s="117"/>
      <c r="BL140" s="117"/>
      <c r="BM140" s="117"/>
      <c r="BN140" s="117"/>
      <c r="BO140" s="117"/>
      <c r="BP140" s="117"/>
      <c r="BQ140" s="117"/>
      <c r="BR140" s="117"/>
      <c r="BS140" s="117"/>
      <c r="BT140" s="117"/>
      <c r="BU140" s="117"/>
      <c r="BV140" s="117"/>
      <c r="BW140" s="117"/>
      <c r="BX140" s="117"/>
      <c r="BY140" s="117"/>
      <c r="BZ140" s="117"/>
      <c r="CA140" s="117"/>
      <c r="CB140" s="117"/>
      <c r="CC140" s="117"/>
      <c r="CD140" s="117"/>
      <c r="CE140" s="117"/>
      <c r="CF140" s="117"/>
      <c r="CG140" s="117"/>
      <c r="CH140" s="117"/>
      <c r="CI140" s="97"/>
      <c r="CJ140" s="97"/>
    </row>
    <row r="141" spans="1:88" x14ac:dyDescent="0.45">
      <c r="A141" s="98"/>
      <c r="B141" s="495"/>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495"/>
      <c r="AC141" s="164"/>
      <c r="AD141" s="164"/>
      <c r="AE141" s="164"/>
      <c r="AF141" s="164"/>
      <c r="AG141" s="164"/>
      <c r="AH141" s="164"/>
      <c r="AI141" s="164"/>
      <c r="AJ141" s="164"/>
      <c r="AK141" s="164"/>
      <c r="AL141" s="164"/>
      <c r="AM141" s="164"/>
      <c r="AN141" s="164"/>
      <c r="AO141" s="164"/>
      <c r="AP141" s="164"/>
      <c r="AQ141" s="164"/>
      <c r="AR141" s="164"/>
      <c r="AS141" s="164"/>
      <c r="AT141" s="164"/>
      <c r="AU141" s="164"/>
      <c r="AV141" s="164"/>
      <c r="AW141" s="164"/>
      <c r="AX141" s="164"/>
      <c r="AY141" s="164"/>
      <c r="AZ141" s="164"/>
      <c r="BA141" s="164"/>
      <c r="BB141" s="164"/>
      <c r="BC141" s="164"/>
      <c r="BD141" s="164"/>
      <c r="BE141" s="164"/>
      <c r="BF141" s="164"/>
      <c r="BG141" s="164"/>
      <c r="BH141" s="164"/>
      <c r="BI141" s="164"/>
      <c r="BJ141" s="164"/>
      <c r="BK141" s="164"/>
      <c r="BL141" s="164"/>
      <c r="BM141" s="164"/>
      <c r="BN141" s="164"/>
      <c r="BO141" s="164"/>
      <c r="BP141" s="164"/>
      <c r="BQ141" s="164"/>
      <c r="BR141" s="164"/>
      <c r="BS141" s="164"/>
      <c r="BT141" s="164"/>
      <c r="BU141" s="164"/>
      <c r="BV141" s="164"/>
      <c r="BW141" s="164"/>
      <c r="BX141" s="164"/>
      <c r="BY141" s="164"/>
      <c r="BZ141" s="164"/>
      <c r="CA141" s="164"/>
      <c r="CB141" s="164"/>
      <c r="CC141" s="164"/>
      <c r="CD141" s="164"/>
      <c r="CE141" s="164"/>
      <c r="CF141" s="164"/>
      <c r="CG141" s="117"/>
      <c r="CH141" s="117"/>
      <c r="CI141" s="97"/>
      <c r="CJ141" s="97"/>
    </row>
    <row r="142" spans="1:88" ht="24" thickBot="1" x14ac:dyDescent="0.5">
      <c r="A142" s="97"/>
      <c r="B142" s="495"/>
      <c r="C142" s="245">
        <v>1</v>
      </c>
      <c r="D142" s="245"/>
      <c r="E142" s="245"/>
      <c r="F142" s="245"/>
      <c r="G142" s="245"/>
      <c r="H142" s="245"/>
      <c r="I142" s="245"/>
      <c r="J142" s="245"/>
      <c r="K142" s="245"/>
      <c r="L142" s="245"/>
      <c r="M142" s="245"/>
      <c r="N142" s="245"/>
      <c r="O142" s="245"/>
      <c r="P142" s="245"/>
      <c r="Q142" s="245"/>
      <c r="R142" s="245"/>
      <c r="S142" s="245"/>
      <c r="T142" s="245"/>
      <c r="U142" s="245"/>
      <c r="V142" s="245"/>
      <c r="W142" s="245"/>
      <c r="X142" s="448"/>
      <c r="Y142" s="448"/>
      <c r="Z142" s="448"/>
      <c r="AA142" s="448"/>
      <c r="AB142" s="495"/>
      <c r="AC142" s="117"/>
      <c r="AD142" s="117"/>
      <c r="AE142" s="117"/>
      <c r="AF142" s="117"/>
      <c r="AG142" s="117"/>
      <c r="AH142" s="117"/>
      <c r="AI142" s="117"/>
      <c r="AJ142" s="117"/>
      <c r="AK142" s="117"/>
      <c r="AL142" s="117"/>
      <c r="AM142" s="117"/>
      <c r="AN142" s="117"/>
      <c r="AO142" s="117"/>
      <c r="AP142" s="117"/>
      <c r="AQ142" s="117"/>
      <c r="AR142" s="117"/>
      <c r="AS142" s="117"/>
      <c r="AT142" s="117"/>
      <c r="AU142" s="117"/>
      <c r="AV142" s="117"/>
      <c r="AW142" s="117"/>
      <c r="AX142" s="117"/>
      <c r="AY142" s="117"/>
      <c r="AZ142" s="117"/>
      <c r="BA142" s="117"/>
      <c r="BB142" s="117"/>
      <c r="BC142" s="117"/>
      <c r="BD142" s="117"/>
      <c r="BE142" s="117"/>
      <c r="BF142" s="117"/>
      <c r="BG142" s="117"/>
      <c r="BH142" s="117"/>
      <c r="BI142" s="117"/>
      <c r="BJ142" s="117"/>
      <c r="BK142" s="117"/>
      <c r="BL142" s="117"/>
      <c r="BM142" s="117"/>
      <c r="BN142" s="117"/>
      <c r="BO142" s="117"/>
      <c r="BP142" s="117"/>
      <c r="BQ142" s="117"/>
      <c r="BR142" s="117"/>
      <c r="BS142" s="117"/>
      <c r="BT142" s="117"/>
      <c r="BU142" s="117"/>
      <c r="BV142" s="117"/>
      <c r="BW142" s="117"/>
      <c r="BX142" s="117"/>
      <c r="BY142" s="117"/>
      <c r="BZ142" s="117"/>
      <c r="CA142" s="117"/>
      <c r="CB142" s="117"/>
      <c r="CC142" s="117"/>
      <c r="CD142" s="117"/>
      <c r="CE142" s="117"/>
      <c r="CF142" s="117"/>
      <c r="CG142" s="117"/>
      <c r="CH142" s="117"/>
      <c r="CI142" s="97"/>
      <c r="CJ142" s="97"/>
    </row>
    <row r="143" spans="1:88" ht="27" customHeight="1" x14ac:dyDescent="0.45">
      <c r="A143" s="97"/>
      <c r="B143" s="495"/>
      <c r="C143" s="231"/>
      <c r="D143" s="231"/>
      <c r="E143" s="231"/>
      <c r="F143" s="231"/>
      <c r="G143" s="231"/>
      <c r="H143" s="231"/>
      <c r="I143" s="231"/>
      <c r="J143" s="231"/>
      <c r="K143" s="231"/>
      <c r="L143" s="231"/>
      <c r="M143" s="231"/>
      <c r="N143" s="231"/>
      <c r="O143" s="231"/>
      <c r="P143" s="231"/>
      <c r="Q143" s="231"/>
      <c r="R143" s="231"/>
      <c r="S143" s="231"/>
      <c r="T143" s="231"/>
      <c r="U143" s="231"/>
      <c r="V143" s="231"/>
      <c r="W143" s="231"/>
      <c r="X143" s="232"/>
      <c r="Y143" s="232"/>
      <c r="Z143" s="232"/>
      <c r="AA143" s="232"/>
      <c r="AB143" s="495"/>
      <c r="AC143" s="117"/>
      <c r="AD143" s="117"/>
      <c r="AE143" s="117"/>
      <c r="AF143" s="117"/>
      <c r="AG143" s="117"/>
      <c r="AH143" s="117"/>
      <c r="AI143" s="117"/>
      <c r="AJ143" s="117"/>
      <c r="AK143" s="117"/>
      <c r="AL143" s="117"/>
      <c r="AM143" s="117"/>
      <c r="AN143" s="117"/>
      <c r="AO143" s="117"/>
      <c r="AP143" s="117"/>
      <c r="AQ143" s="117"/>
      <c r="AR143" s="117"/>
      <c r="AS143" s="117"/>
      <c r="AT143" s="117"/>
      <c r="AU143" s="117"/>
      <c r="AV143" s="117"/>
      <c r="AW143" s="117"/>
      <c r="AX143" s="117"/>
      <c r="AY143" s="117"/>
      <c r="AZ143" s="117"/>
      <c r="BA143" s="117"/>
      <c r="BB143" s="117"/>
      <c r="BC143" s="117"/>
      <c r="BD143" s="117"/>
      <c r="BE143" s="117"/>
      <c r="BF143" s="117"/>
      <c r="BG143" s="117"/>
      <c r="BH143" s="117"/>
      <c r="BI143" s="117"/>
      <c r="BJ143" s="117"/>
      <c r="BK143" s="117"/>
      <c r="BL143" s="117"/>
      <c r="BM143" s="117"/>
      <c r="BN143" s="117"/>
      <c r="BO143" s="117"/>
      <c r="BP143" s="117"/>
      <c r="BQ143" s="117"/>
      <c r="BR143" s="117"/>
      <c r="BS143" s="117"/>
      <c r="BT143" s="117"/>
      <c r="BU143" s="117"/>
      <c r="BV143" s="117"/>
      <c r="BW143" s="117"/>
      <c r="BX143" s="117"/>
      <c r="BY143" s="117"/>
      <c r="BZ143" s="117"/>
      <c r="CA143" s="117"/>
      <c r="CB143" s="117"/>
      <c r="CC143" s="117"/>
      <c r="CD143" s="117"/>
      <c r="CE143" s="117"/>
      <c r="CF143" s="117"/>
      <c r="CG143" s="117"/>
      <c r="CH143" s="117"/>
      <c r="CI143" s="97"/>
      <c r="CJ143" s="97"/>
    </row>
    <row r="144" spans="1:88" ht="22.5" customHeight="1" x14ac:dyDescent="0.45">
      <c r="A144" s="165"/>
      <c r="B144" s="495"/>
      <c r="C144" s="232"/>
      <c r="D144" s="232"/>
      <c r="E144" s="232"/>
      <c r="F144" s="232"/>
      <c r="G144" s="232"/>
      <c r="H144" s="232"/>
      <c r="I144" s="232"/>
      <c r="J144" s="232"/>
      <c r="K144" s="232"/>
      <c r="L144" s="232"/>
      <c r="M144" s="232"/>
      <c r="N144" s="232"/>
      <c r="O144" s="232"/>
      <c r="P144" s="232"/>
      <c r="Q144" s="232"/>
      <c r="R144" s="232"/>
      <c r="S144" s="232"/>
      <c r="T144" s="232"/>
      <c r="U144" s="232"/>
      <c r="V144" s="232"/>
      <c r="W144" s="232"/>
      <c r="X144" s="232"/>
      <c r="Y144" s="232"/>
      <c r="Z144" s="232"/>
      <c r="AA144" s="232"/>
      <c r="AB144" s="495"/>
      <c r="AC144" s="201"/>
      <c r="AD144" s="201"/>
      <c r="AE144" s="201"/>
      <c r="AF144" s="201"/>
      <c r="AG144" s="201"/>
      <c r="AH144" s="201"/>
      <c r="AI144" s="201"/>
      <c r="AJ144" s="201"/>
      <c r="AK144" s="201"/>
      <c r="AL144" s="201"/>
      <c r="AM144" s="201"/>
      <c r="AN144" s="201"/>
      <c r="AO144" s="201"/>
      <c r="AP144" s="201"/>
      <c r="AQ144" s="201"/>
      <c r="AR144" s="201"/>
      <c r="AS144" s="201"/>
      <c r="AT144" s="201"/>
      <c r="AU144" s="201"/>
      <c r="AV144" s="201"/>
      <c r="AW144" s="201"/>
      <c r="AX144" s="201"/>
      <c r="AY144" s="201"/>
      <c r="AZ144" s="201"/>
      <c r="BA144" s="201"/>
      <c r="BB144" s="201"/>
      <c r="BC144" s="201"/>
      <c r="BD144" s="201"/>
      <c r="BE144" s="201"/>
      <c r="BF144" s="201"/>
      <c r="BG144" s="201"/>
      <c r="BH144" s="201"/>
      <c r="BI144" s="201"/>
      <c r="BJ144" s="201"/>
      <c r="BK144" s="201"/>
      <c r="BL144" s="201"/>
      <c r="BM144" s="201"/>
      <c r="BN144" s="201"/>
      <c r="BO144" s="201"/>
      <c r="BP144" s="201"/>
      <c r="BQ144" s="201"/>
      <c r="BR144" s="201"/>
      <c r="BS144" s="201"/>
      <c r="BT144" s="201"/>
      <c r="BU144" s="201"/>
      <c r="BV144" s="201"/>
      <c r="BW144" s="201"/>
      <c r="BX144" s="201"/>
      <c r="BY144" s="201"/>
      <c r="BZ144" s="201"/>
      <c r="CA144" s="201"/>
      <c r="CB144" s="201"/>
      <c r="CC144" s="201"/>
      <c r="CD144" s="201"/>
      <c r="CE144" s="201"/>
      <c r="CF144" s="201"/>
      <c r="CG144" s="117"/>
      <c r="CH144" s="117"/>
      <c r="CI144" s="97"/>
      <c r="CJ144" s="97"/>
    </row>
    <row r="145" spans="1:88" ht="28.5" customHeight="1" thickBot="1" x14ac:dyDescent="0.5">
      <c r="A145" s="97"/>
      <c r="B145" s="495"/>
      <c r="C145" s="233"/>
      <c r="D145" s="233"/>
      <c r="E145" s="233"/>
      <c r="F145" s="233"/>
      <c r="G145" s="233"/>
      <c r="H145" s="233"/>
      <c r="I145" s="233"/>
      <c r="J145" s="233"/>
      <c r="K145" s="233"/>
      <c r="L145" s="233"/>
      <c r="M145" s="233"/>
      <c r="N145" s="233"/>
      <c r="O145" s="233"/>
      <c r="P145" s="233"/>
      <c r="Q145" s="233"/>
      <c r="R145" s="233"/>
      <c r="S145" s="233"/>
      <c r="T145" s="233"/>
      <c r="U145" s="233"/>
      <c r="V145" s="233"/>
      <c r="W145" s="233"/>
      <c r="X145" s="232"/>
      <c r="Y145" s="232"/>
      <c r="Z145" s="232"/>
      <c r="AA145" s="232"/>
      <c r="AB145" s="495"/>
      <c r="AC145" s="117"/>
      <c r="AD145" s="117"/>
      <c r="AE145" s="117"/>
      <c r="AF145" s="117"/>
      <c r="AG145" s="117"/>
      <c r="AH145" s="117"/>
      <c r="AI145" s="117"/>
      <c r="AJ145" s="117"/>
      <c r="AK145" s="117"/>
      <c r="AL145" s="117"/>
      <c r="AM145" s="117"/>
      <c r="AN145" s="117"/>
      <c r="AO145" s="117"/>
      <c r="AP145" s="117"/>
      <c r="AQ145" s="117"/>
      <c r="AR145" s="117"/>
      <c r="AS145" s="117"/>
      <c r="AT145" s="117"/>
      <c r="AU145" s="117"/>
      <c r="AV145" s="117"/>
      <c r="AW145" s="117"/>
      <c r="AX145" s="117"/>
      <c r="AY145" s="117"/>
      <c r="AZ145" s="117"/>
      <c r="BA145" s="117"/>
      <c r="BB145" s="117"/>
      <c r="BC145" s="117"/>
      <c r="BD145" s="117"/>
      <c r="BE145" s="117"/>
      <c r="BF145" s="117"/>
      <c r="BG145" s="117"/>
      <c r="BH145" s="117"/>
      <c r="BI145" s="117"/>
      <c r="BJ145" s="117"/>
      <c r="BK145" s="117"/>
      <c r="BL145" s="117"/>
      <c r="BM145" s="117"/>
      <c r="BN145" s="117"/>
      <c r="BO145" s="117"/>
      <c r="BP145" s="117"/>
      <c r="BQ145" s="117"/>
      <c r="BR145" s="117"/>
      <c r="BS145" s="117"/>
      <c r="BT145" s="117"/>
      <c r="BU145" s="117"/>
      <c r="BV145" s="117"/>
      <c r="BW145" s="117"/>
      <c r="BX145" s="117"/>
      <c r="BY145" s="117"/>
      <c r="BZ145" s="117"/>
      <c r="CA145" s="117"/>
      <c r="CB145" s="117"/>
      <c r="CC145" s="117"/>
      <c r="CD145" s="117"/>
      <c r="CE145" s="117"/>
      <c r="CF145" s="117"/>
      <c r="CG145" s="117"/>
      <c r="CH145" s="117"/>
      <c r="CI145" s="97"/>
      <c r="CJ145" s="97"/>
    </row>
    <row r="146" spans="1:88" x14ac:dyDescent="0.45">
      <c r="A146" s="97"/>
      <c r="B146" s="495"/>
      <c r="C146" s="243">
        <v>2</v>
      </c>
      <c r="D146" s="243"/>
      <c r="E146" s="243"/>
      <c r="F146" s="243"/>
      <c r="G146" s="243"/>
      <c r="H146" s="243"/>
      <c r="I146" s="243"/>
      <c r="J146" s="243"/>
      <c r="K146" s="243"/>
      <c r="L146" s="243"/>
      <c r="M146" s="243"/>
      <c r="N146" s="243"/>
      <c r="O146" s="243"/>
      <c r="P146" s="243"/>
      <c r="Q146" s="243"/>
      <c r="R146" s="243"/>
      <c r="S146" s="243"/>
      <c r="T146" s="243"/>
      <c r="U146" s="243"/>
      <c r="V146" s="243"/>
      <c r="W146" s="243"/>
      <c r="X146" s="259"/>
      <c r="Y146" s="259"/>
      <c r="Z146" s="259"/>
      <c r="AA146" s="259"/>
      <c r="AB146" s="495"/>
      <c r="AC146" s="117"/>
      <c r="AD146" s="117"/>
      <c r="AE146" s="117"/>
      <c r="AF146" s="117"/>
      <c r="AG146" s="117"/>
      <c r="AH146" s="117"/>
      <c r="AI146" s="117"/>
      <c r="AJ146" s="117"/>
      <c r="AK146" s="117"/>
      <c r="AL146" s="117"/>
      <c r="AM146" s="117"/>
      <c r="AN146" s="117"/>
      <c r="AO146" s="117"/>
      <c r="AP146" s="117"/>
      <c r="AQ146" s="117"/>
      <c r="AR146" s="117"/>
      <c r="AS146" s="117"/>
      <c r="AT146" s="117"/>
      <c r="AU146" s="117"/>
      <c r="AV146" s="117"/>
      <c r="AW146" s="117"/>
      <c r="AX146" s="117"/>
      <c r="AY146" s="117"/>
      <c r="AZ146" s="117"/>
      <c r="BA146" s="117"/>
      <c r="BB146" s="117"/>
      <c r="BC146" s="117"/>
      <c r="BD146" s="117"/>
      <c r="BE146" s="117"/>
      <c r="BF146" s="117"/>
      <c r="BG146" s="117"/>
      <c r="BH146" s="117"/>
      <c r="BI146" s="117"/>
      <c r="BJ146" s="117"/>
      <c r="BK146" s="117"/>
      <c r="BL146" s="117"/>
      <c r="BM146" s="117"/>
      <c r="BN146" s="117"/>
      <c r="BO146" s="117"/>
      <c r="BP146" s="117"/>
      <c r="BQ146" s="117"/>
      <c r="BR146" s="117"/>
      <c r="BS146" s="117"/>
      <c r="BT146" s="117"/>
      <c r="BU146" s="117"/>
      <c r="BV146" s="117"/>
      <c r="BW146" s="117"/>
      <c r="BX146" s="117"/>
      <c r="BY146" s="117"/>
      <c r="BZ146" s="117"/>
      <c r="CA146" s="117"/>
      <c r="CB146" s="117"/>
      <c r="CC146" s="117"/>
      <c r="CD146" s="117"/>
      <c r="CE146" s="117"/>
      <c r="CF146" s="117"/>
      <c r="CG146" s="117"/>
      <c r="CH146" s="117"/>
      <c r="CI146" s="97"/>
      <c r="CJ146" s="97"/>
    </row>
    <row r="147" spans="1:88" x14ac:dyDescent="0.45">
      <c r="A147" s="97"/>
      <c r="B147" s="495"/>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495"/>
      <c r="AC147" s="117"/>
      <c r="AD147" s="117"/>
      <c r="AE147" s="117"/>
      <c r="AF147" s="117"/>
      <c r="AG147" s="117"/>
      <c r="AH147" s="117"/>
      <c r="AI147" s="117"/>
      <c r="AJ147" s="117"/>
      <c r="AK147" s="117"/>
      <c r="AL147" s="117"/>
      <c r="AM147" s="117"/>
      <c r="AN147" s="117"/>
      <c r="AO147" s="117"/>
      <c r="AP147" s="117"/>
      <c r="AQ147" s="117"/>
      <c r="AR147" s="117"/>
      <c r="AS147" s="117"/>
      <c r="AT147" s="117"/>
      <c r="AU147" s="117"/>
      <c r="AV147" s="117"/>
      <c r="AW147" s="117"/>
      <c r="AX147" s="117"/>
      <c r="AY147" s="117"/>
      <c r="AZ147" s="117"/>
      <c r="BA147" s="117"/>
      <c r="BB147" s="117"/>
      <c r="BC147" s="117"/>
      <c r="BD147" s="117"/>
      <c r="BE147" s="117"/>
      <c r="BF147" s="117"/>
      <c r="BG147" s="117"/>
      <c r="BH147" s="117"/>
      <c r="BI147" s="117"/>
      <c r="BJ147" s="117"/>
      <c r="BK147" s="117"/>
      <c r="BL147" s="117"/>
      <c r="BM147" s="117"/>
      <c r="BN147" s="117"/>
      <c r="BO147" s="117"/>
      <c r="BP147" s="117"/>
      <c r="BQ147" s="117"/>
      <c r="BR147" s="117"/>
      <c r="BS147" s="117"/>
      <c r="BT147" s="117"/>
      <c r="BU147" s="117"/>
      <c r="BV147" s="117"/>
      <c r="BW147" s="117"/>
      <c r="BX147" s="117"/>
      <c r="BY147" s="117"/>
      <c r="BZ147" s="117"/>
      <c r="CA147" s="117"/>
      <c r="CB147" s="117"/>
      <c r="CC147" s="117"/>
      <c r="CD147" s="117"/>
      <c r="CE147" s="117"/>
      <c r="CF147" s="117"/>
      <c r="CG147" s="117"/>
      <c r="CH147" s="117"/>
      <c r="CI147" s="97"/>
      <c r="CJ147" s="97"/>
    </row>
    <row r="148" spans="1:88" ht="24" thickBot="1" x14ac:dyDescent="0.5">
      <c r="A148" s="97"/>
      <c r="B148" s="495"/>
      <c r="C148" s="245">
        <v>3</v>
      </c>
      <c r="D148" s="245"/>
      <c r="E148" s="245"/>
      <c r="F148" s="245"/>
      <c r="G148" s="245"/>
      <c r="H148" s="245"/>
      <c r="I148" s="245"/>
      <c r="J148" s="245"/>
      <c r="K148" s="245"/>
      <c r="L148" s="245"/>
      <c r="M148" s="245"/>
      <c r="N148" s="245"/>
      <c r="O148" s="245"/>
      <c r="P148" s="245"/>
      <c r="Q148" s="245"/>
      <c r="R148" s="245"/>
      <c r="S148" s="245"/>
      <c r="T148" s="245"/>
      <c r="U148" s="245"/>
      <c r="V148" s="245"/>
      <c r="W148" s="245"/>
      <c r="X148" s="448"/>
      <c r="Y148" s="448"/>
      <c r="Z148" s="448"/>
      <c r="AA148" s="448"/>
      <c r="AB148" s="495"/>
      <c r="AC148" s="117"/>
      <c r="AD148" s="117"/>
      <c r="AE148" s="117"/>
      <c r="AF148" s="117"/>
      <c r="AG148" s="117"/>
      <c r="AH148" s="117"/>
      <c r="AI148" s="117"/>
      <c r="AJ148" s="117"/>
      <c r="AK148" s="117"/>
      <c r="AL148" s="117"/>
      <c r="AM148" s="117"/>
      <c r="AN148" s="117"/>
      <c r="AO148" s="117"/>
      <c r="AP148" s="117"/>
      <c r="AQ148" s="117"/>
      <c r="AR148" s="117"/>
      <c r="AS148" s="117"/>
      <c r="AT148" s="117"/>
      <c r="AU148" s="117"/>
      <c r="AV148" s="117"/>
      <c r="AW148" s="117"/>
      <c r="AX148" s="117"/>
      <c r="AY148" s="117"/>
      <c r="AZ148" s="117"/>
      <c r="BA148" s="117"/>
      <c r="BB148" s="117"/>
      <c r="BC148" s="117"/>
      <c r="BD148" s="117"/>
      <c r="BE148" s="117"/>
      <c r="BF148" s="117"/>
      <c r="BG148" s="117"/>
      <c r="BH148" s="117"/>
      <c r="BI148" s="117"/>
      <c r="BJ148" s="117"/>
      <c r="BK148" s="117"/>
      <c r="BL148" s="117"/>
      <c r="BM148" s="117"/>
      <c r="BN148" s="117"/>
      <c r="BO148" s="117"/>
      <c r="BP148" s="117"/>
      <c r="BQ148" s="117"/>
      <c r="BR148" s="117"/>
      <c r="BS148" s="117"/>
      <c r="BT148" s="117"/>
      <c r="BU148" s="117"/>
      <c r="BV148" s="117"/>
      <c r="BW148" s="117"/>
      <c r="BX148" s="117"/>
      <c r="BY148" s="117"/>
      <c r="BZ148" s="117"/>
      <c r="CA148" s="117"/>
      <c r="CB148" s="117"/>
      <c r="CC148" s="117"/>
      <c r="CD148" s="117"/>
      <c r="CE148" s="117"/>
      <c r="CF148" s="117"/>
      <c r="CG148" s="117"/>
      <c r="CH148" s="117"/>
      <c r="CI148" s="97"/>
      <c r="CJ148" s="97"/>
    </row>
    <row r="149" spans="1:88" x14ac:dyDescent="0.45">
      <c r="A149" s="97"/>
      <c r="B149" s="495"/>
      <c r="C149" s="243">
        <v>3</v>
      </c>
      <c r="D149" s="243"/>
      <c r="E149" s="243"/>
      <c r="F149" s="243"/>
      <c r="G149" s="243"/>
      <c r="H149" s="243"/>
      <c r="I149" s="243"/>
      <c r="J149" s="243"/>
      <c r="K149" s="243"/>
      <c r="L149" s="243"/>
      <c r="M149" s="243"/>
      <c r="N149" s="243"/>
      <c r="O149" s="243"/>
      <c r="P149" s="243"/>
      <c r="Q149" s="243"/>
      <c r="R149" s="243"/>
      <c r="S149" s="243"/>
      <c r="T149" s="243"/>
      <c r="U149" s="243"/>
      <c r="V149" s="243"/>
      <c r="W149" s="243"/>
      <c r="X149" s="259"/>
      <c r="Y149" s="259"/>
      <c r="Z149" s="259"/>
      <c r="AA149" s="259"/>
      <c r="AB149" s="495"/>
      <c r="AC149" s="117"/>
      <c r="AD149" s="117"/>
      <c r="AE149" s="117"/>
      <c r="AF149" s="117"/>
      <c r="AG149" s="117"/>
      <c r="AH149" s="117"/>
      <c r="AI149" s="117"/>
      <c r="AJ149" s="117"/>
      <c r="AK149" s="117"/>
      <c r="AL149" s="117"/>
      <c r="AM149" s="117"/>
      <c r="AN149" s="117"/>
      <c r="AO149" s="117"/>
      <c r="AP149" s="117"/>
      <c r="AQ149" s="117"/>
      <c r="AR149" s="117"/>
      <c r="AS149" s="117"/>
      <c r="AT149" s="117"/>
      <c r="AU149" s="117"/>
      <c r="AV149" s="117"/>
      <c r="AW149" s="117"/>
      <c r="AX149" s="117"/>
      <c r="AY149" s="117"/>
      <c r="AZ149" s="117"/>
      <c r="BA149" s="117"/>
      <c r="BB149" s="117"/>
      <c r="BC149" s="117"/>
      <c r="BD149" s="117"/>
      <c r="BE149" s="117"/>
      <c r="BF149" s="117"/>
      <c r="BG149" s="117"/>
      <c r="BH149" s="117"/>
      <c r="BI149" s="117"/>
      <c r="BJ149" s="117"/>
      <c r="BK149" s="117"/>
      <c r="BL149" s="117"/>
      <c r="BM149" s="117"/>
      <c r="BN149" s="117"/>
      <c r="BO149" s="117"/>
      <c r="BP149" s="117"/>
      <c r="BQ149" s="117"/>
      <c r="BR149" s="117"/>
      <c r="BS149" s="117"/>
      <c r="BT149" s="117"/>
      <c r="BU149" s="117"/>
      <c r="BV149" s="117"/>
      <c r="BW149" s="117"/>
      <c r="BX149" s="117"/>
      <c r="BY149" s="117"/>
      <c r="BZ149" s="117"/>
      <c r="CA149" s="117"/>
      <c r="CB149" s="117"/>
      <c r="CC149" s="117"/>
      <c r="CD149" s="117"/>
      <c r="CE149" s="117"/>
      <c r="CF149" s="117"/>
      <c r="CG149" s="117"/>
      <c r="CH149" s="117"/>
      <c r="CI149" s="97"/>
      <c r="CJ149" s="97"/>
    </row>
    <row r="150" spans="1:88" x14ac:dyDescent="0.45">
      <c r="A150" s="97"/>
      <c r="B150" s="495"/>
      <c r="C150" s="244"/>
      <c r="D150" s="244"/>
      <c r="E150" s="244"/>
      <c r="F150" s="244"/>
      <c r="G150" s="244"/>
      <c r="H150" s="244"/>
      <c r="I150" s="244"/>
      <c r="J150" s="244"/>
      <c r="K150" s="244"/>
      <c r="L150" s="244"/>
      <c r="M150" s="244"/>
      <c r="N150" s="244"/>
      <c r="O150" s="244"/>
      <c r="P150" s="244"/>
      <c r="Q150" s="244"/>
      <c r="R150" s="244"/>
      <c r="S150" s="244"/>
      <c r="T150" s="244"/>
      <c r="U150" s="244"/>
      <c r="V150" s="244"/>
      <c r="W150" s="244"/>
      <c r="X150" s="244"/>
      <c r="Y150" s="244"/>
      <c r="Z150" s="244"/>
      <c r="AA150" s="244"/>
      <c r="AB150" s="495"/>
      <c r="AC150" s="117"/>
      <c r="AD150" s="117"/>
      <c r="AE150" s="117"/>
      <c r="AF150" s="117"/>
      <c r="AG150" s="117"/>
      <c r="AH150" s="117"/>
      <c r="AI150" s="117"/>
      <c r="AJ150" s="117"/>
      <c r="AK150" s="117"/>
      <c r="AL150" s="117"/>
      <c r="AM150" s="117"/>
      <c r="AN150" s="117"/>
      <c r="AO150" s="117"/>
      <c r="AP150" s="117"/>
      <c r="AQ150" s="117"/>
      <c r="AR150" s="117"/>
      <c r="AS150" s="117"/>
      <c r="AT150" s="117"/>
      <c r="AU150" s="117"/>
      <c r="AV150" s="117"/>
      <c r="AW150" s="117"/>
      <c r="AX150" s="117"/>
      <c r="AY150" s="117"/>
      <c r="AZ150" s="117"/>
      <c r="BA150" s="117"/>
      <c r="BB150" s="117"/>
      <c r="BC150" s="117"/>
      <c r="BD150" s="117"/>
      <c r="BE150" s="117"/>
      <c r="BF150" s="117"/>
      <c r="BG150" s="117"/>
      <c r="BH150" s="117"/>
      <c r="BI150" s="117"/>
      <c r="BJ150" s="117"/>
      <c r="BK150" s="117"/>
      <c r="BL150" s="117"/>
      <c r="BM150" s="117"/>
      <c r="BN150" s="117"/>
      <c r="BO150" s="117"/>
      <c r="BP150" s="117"/>
      <c r="BQ150" s="117"/>
      <c r="BR150" s="117"/>
      <c r="BS150" s="117"/>
      <c r="BT150" s="117"/>
      <c r="BU150" s="117"/>
      <c r="BV150" s="117"/>
      <c r="BW150" s="117"/>
      <c r="BX150" s="117"/>
      <c r="BY150" s="117"/>
      <c r="BZ150" s="117"/>
      <c r="CA150" s="117"/>
      <c r="CB150" s="117"/>
      <c r="CC150" s="117"/>
      <c r="CD150" s="117"/>
      <c r="CE150" s="117"/>
      <c r="CF150" s="117"/>
      <c r="CG150" s="117"/>
      <c r="CH150" s="117"/>
      <c r="CI150" s="97"/>
      <c r="CJ150" s="97"/>
    </row>
    <row r="151" spans="1:88" ht="24" thickBot="1" x14ac:dyDescent="0.5">
      <c r="A151" s="97"/>
      <c r="B151" s="495"/>
      <c r="C151" s="245">
        <v>4</v>
      </c>
      <c r="D151" s="245"/>
      <c r="E151" s="245"/>
      <c r="F151" s="245"/>
      <c r="G151" s="245"/>
      <c r="H151" s="245"/>
      <c r="I151" s="245"/>
      <c r="J151" s="245"/>
      <c r="K151" s="245"/>
      <c r="L151" s="245"/>
      <c r="M151" s="245"/>
      <c r="N151" s="245"/>
      <c r="O151" s="245"/>
      <c r="P151" s="245"/>
      <c r="Q151" s="245"/>
      <c r="R151" s="245"/>
      <c r="S151" s="245"/>
      <c r="T151" s="245"/>
      <c r="U151" s="245"/>
      <c r="V151" s="245"/>
      <c r="W151" s="245"/>
      <c r="X151" s="448"/>
      <c r="Y151" s="448"/>
      <c r="Z151" s="448"/>
      <c r="AA151" s="448"/>
      <c r="AB151" s="495"/>
      <c r="AC151" s="117"/>
      <c r="AD151" s="117"/>
      <c r="AE151" s="117"/>
      <c r="AF151" s="117"/>
      <c r="AG151" s="117"/>
      <c r="AH151" s="117"/>
      <c r="AI151" s="117"/>
      <c r="AJ151" s="117"/>
      <c r="AK151" s="117"/>
      <c r="AL151" s="117"/>
      <c r="AM151" s="117"/>
      <c r="AN151" s="117"/>
      <c r="AO151" s="117"/>
      <c r="AP151" s="117"/>
      <c r="AQ151" s="117"/>
      <c r="AR151" s="117"/>
      <c r="AS151" s="117"/>
      <c r="AT151" s="117"/>
      <c r="AU151" s="117"/>
      <c r="AV151" s="117"/>
      <c r="AW151" s="117"/>
      <c r="AX151" s="117"/>
      <c r="AY151" s="117"/>
      <c r="AZ151" s="117"/>
      <c r="BA151" s="117"/>
      <c r="BB151" s="117"/>
      <c r="BC151" s="117"/>
      <c r="BD151" s="117"/>
      <c r="BE151" s="117"/>
      <c r="BF151" s="117"/>
      <c r="BG151" s="117"/>
      <c r="BH151" s="117"/>
      <c r="BI151" s="117"/>
      <c r="BJ151" s="117"/>
      <c r="BK151" s="117"/>
      <c r="BL151" s="117"/>
      <c r="BM151" s="117"/>
      <c r="BN151" s="117"/>
      <c r="BO151" s="117"/>
      <c r="BP151" s="117"/>
      <c r="BQ151" s="117"/>
      <c r="BR151" s="117"/>
      <c r="BS151" s="117"/>
      <c r="BT151" s="117"/>
      <c r="BU151" s="117"/>
      <c r="BV151" s="117"/>
      <c r="BW151" s="117"/>
      <c r="BX151" s="117"/>
      <c r="BY151" s="117"/>
      <c r="BZ151" s="117"/>
      <c r="CA151" s="117"/>
      <c r="CB151" s="117"/>
      <c r="CC151" s="117"/>
      <c r="CD151" s="117"/>
      <c r="CE151" s="117"/>
      <c r="CF151" s="117"/>
      <c r="CG151" s="117"/>
      <c r="CH151" s="117"/>
      <c r="CI151" s="97"/>
      <c r="CJ151" s="97"/>
    </row>
    <row r="152" spans="1:88" x14ac:dyDescent="0.45">
      <c r="A152" s="97"/>
      <c r="B152" s="495"/>
      <c r="C152" s="243">
        <v>4</v>
      </c>
      <c r="D152" s="243"/>
      <c r="E152" s="243"/>
      <c r="F152" s="243"/>
      <c r="G152" s="243"/>
      <c r="H152" s="243"/>
      <c r="I152" s="243"/>
      <c r="J152" s="243"/>
      <c r="K152" s="243"/>
      <c r="L152" s="243"/>
      <c r="M152" s="243"/>
      <c r="N152" s="243"/>
      <c r="O152" s="243"/>
      <c r="P152" s="243"/>
      <c r="Q152" s="243"/>
      <c r="R152" s="243"/>
      <c r="S152" s="243"/>
      <c r="T152" s="243"/>
      <c r="U152" s="243"/>
      <c r="V152" s="243"/>
      <c r="W152" s="243"/>
      <c r="X152" s="259"/>
      <c r="Y152" s="259"/>
      <c r="Z152" s="259"/>
      <c r="AA152" s="259"/>
      <c r="AB152" s="495"/>
      <c r="AC152" s="117"/>
      <c r="AD152" s="117"/>
      <c r="AE152" s="117"/>
      <c r="AF152" s="117"/>
      <c r="AG152" s="117"/>
      <c r="AH152" s="117"/>
      <c r="AI152" s="117"/>
      <c r="AJ152" s="117"/>
      <c r="AK152" s="117"/>
      <c r="AL152" s="117"/>
      <c r="AM152" s="117"/>
      <c r="AN152" s="117"/>
      <c r="AO152" s="117"/>
      <c r="AP152" s="117"/>
      <c r="AQ152" s="117"/>
      <c r="AR152" s="117"/>
      <c r="AS152" s="117"/>
      <c r="AT152" s="117"/>
      <c r="AU152" s="117"/>
      <c r="AV152" s="117"/>
      <c r="AW152" s="117"/>
      <c r="AX152" s="117"/>
      <c r="AY152" s="117"/>
      <c r="AZ152" s="117"/>
      <c r="BA152" s="117"/>
      <c r="BB152" s="117"/>
      <c r="BC152" s="117"/>
      <c r="BD152" s="117"/>
      <c r="BE152" s="117"/>
      <c r="BF152" s="117"/>
      <c r="BG152" s="117"/>
      <c r="BH152" s="117"/>
      <c r="BI152" s="117"/>
      <c r="BJ152" s="117"/>
      <c r="BK152" s="117"/>
      <c r="BL152" s="117"/>
      <c r="BM152" s="117"/>
      <c r="BN152" s="117"/>
      <c r="BO152" s="117"/>
      <c r="BP152" s="117"/>
      <c r="BQ152" s="117"/>
      <c r="BR152" s="117"/>
      <c r="BS152" s="117"/>
      <c r="BT152" s="117"/>
      <c r="BU152" s="117"/>
      <c r="BV152" s="117"/>
      <c r="BW152" s="117"/>
      <c r="BX152" s="117"/>
      <c r="BY152" s="117"/>
      <c r="BZ152" s="117"/>
      <c r="CA152" s="117"/>
      <c r="CB152" s="117"/>
      <c r="CC152" s="117"/>
      <c r="CD152" s="117"/>
      <c r="CE152" s="117"/>
      <c r="CF152" s="117"/>
      <c r="CG152" s="117"/>
      <c r="CH152" s="117"/>
      <c r="CI152" s="97"/>
      <c r="CJ152" s="97"/>
    </row>
    <row r="153" spans="1:88" x14ac:dyDescent="0.45">
      <c r="A153" s="97"/>
      <c r="B153" s="495"/>
      <c r="C153" s="244"/>
      <c r="D153" s="244"/>
      <c r="E153" s="244"/>
      <c r="F153" s="244"/>
      <c r="G153" s="244"/>
      <c r="H153" s="244"/>
      <c r="I153" s="244"/>
      <c r="J153" s="244"/>
      <c r="K153" s="244"/>
      <c r="L153" s="244"/>
      <c r="M153" s="244"/>
      <c r="N153" s="244"/>
      <c r="O153" s="244"/>
      <c r="P153" s="244"/>
      <c r="Q153" s="244"/>
      <c r="R153" s="244"/>
      <c r="S153" s="244"/>
      <c r="T153" s="244"/>
      <c r="U153" s="244"/>
      <c r="V153" s="244"/>
      <c r="W153" s="244"/>
      <c r="X153" s="244"/>
      <c r="Y153" s="244"/>
      <c r="Z153" s="244"/>
      <c r="AA153" s="244"/>
      <c r="AB153" s="495"/>
      <c r="AC153" s="117"/>
      <c r="AD153" s="117"/>
      <c r="AE153" s="117"/>
      <c r="AF153" s="117"/>
      <c r="AG153" s="117"/>
      <c r="AH153" s="117"/>
      <c r="AI153" s="117"/>
      <c r="AJ153" s="117"/>
      <c r="AK153" s="117"/>
      <c r="AL153" s="117"/>
      <c r="AM153" s="117"/>
      <c r="AN153" s="117"/>
      <c r="AO153" s="117"/>
      <c r="AP153" s="117"/>
      <c r="AQ153" s="117"/>
      <c r="AR153" s="117"/>
      <c r="AS153" s="117"/>
      <c r="AT153" s="117"/>
      <c r="AU153" s="117"/>
      <c r="AV153" s="117"/>
      <c r="AW153" s="117"/>
      <c r="AX153" s="117"/>
      <c r="AY153" s="117"/>
      <c r="AZ153" s="117"/>
      <c r="BA153" s="117"/>
      <c r="BB153" s="117"/>
      <c r="BC153" s="117"/>
      <c r="BD153" s="117"/>
      <c r="BE153" s="117"/>
      <c r="BF153" s="117"/>
      <c r="BG153" s="117"/>
      <c r="BH153" s="117"/>
      <c r="BI153" s="117"/>
      <c r="BJ153" s="117"/>
      <c r="BK153" s="117"/>
      <c r="BL153" s="117"/>
      <c r="BM153" s="117"/>
      <c r="BN153" s="117"/>
      <c r="BO153" s="117"/>
      <c r="BP153" s="117"/>
      <c r="BQ153" s="117"/>
      <c r="BR153" s="117"/>
      <c r="BS153" s="117"/>
      <c r="BT153" s="117"/>
      <c r="BU153" s="117"/>
      <c r="BV153" s="117"/>
      <c r="BW153" s="117"/>
      <c r="BX153" s="117"/>
      <c r="BY153" s="117"/>
      <c r="BZ153" s="117"/>
      <c r="CA153" s="117"/>
      <c r="CB153" s="117"/>
      <c r="CC153" s="117"/>
      <c r="CD153" s="117"/>
      <c r="CE153" s="117"/>
      <c r="CF153" s="117"/>
      <c r="CG153" s="117"/>
      <c r="CH153" s="117"/>
      <c r="CI153" s="97"/>
      <c r="CJ153" s="97"/>
    </row>
    <row r="154" spans="1:88" ht="24" thickBot="1" x14ac:dyDescent="0.5">
      <c r="A154" s="97"/>
      <c r="B154" s="495"/>
      <c r="C154" s="245">
        <v>5</v>
      </c>
      <c r="D154" s="245"/>
      <c r="E154" s="245"/>
      <c r="F154" s="245"/>
      <c r="G154" s="245"/>
      <c r="H154" s="245"/>
      <c r="I154" s="245"/>
      <c r="J154" s="245"/>
      <c r="K154" s="245"/>
      <c r="L154" s="245"/>
      <c r="M154" s="245"/>
      <c r="N154" s="245"/>
      <c r="O154" s="245"/>
      <c r="P154" s="245"/>
      <c r="Q154" s="245"/>
      <c r="R154" s="245"/>
      <c r="S154" s="245"/>
      <c r="T154" s="245"/>
      <c r="U154" s="245"/>
      <c r="V154" s="245"/>
      <c r="W154" s="245"/>
      <c r="X154" s="448"/>
      <c r="Y154" s="448"/>
      <c r="Z154" s="448"/>
      <c r="AA154" s="448"/>
      <c r="AB154" s="495"/>
      <c r="AC154" s="117"/>
      <c r="AD154" s="117"/>
      <c r="AE154" s="117"/>
      <c r="AF154" s="117"/>
      <c r="AG154" s="117"/>
      <c r="AH154" s="117"/>
      <c r="AI154" s="117"/>
      <c r="AJ154" s="117"/>
      <c r="AK154" s="117"/>
      <c r="AL154" s="117"/>
      <c r="AM154" s="117"/>
      <c r="AN154" s="117"/>
      <c r="AO154" s="117"/>
      <c r="AP154" s="117"/>
      <c r="AQ154" s="117"/>
      <c r="AR154" s="117"/>
      <c r="AS154" s="117"/>
      <c r="AT154" s="117"/>
      <c r="AU154" s="117"/>
      <c r="AV154" s="117"/>
      <c r="AW154" s="117"/>
      <c r="AX154" s="117"/>
      <c r="AY154" s="117"/>
      <c r="AZ154" s="117"/>
      <c r="BA154" s="117"/>
      <c r="BB154" s="117"/>
      <c r="BC154" s="117"/>
      <c r="BD154" s="117"/>
      <c r="BE154" s="117"/>
      <c r="BF154" s="117"/>
      <c r="BG154" s="117"/>
      <c r="BH154" s="117"/>
      <c r="BI154" s="117"/>
      <c r="BJ154" s="117"/>
      <c r="BK154" s="117"/>
      <c r="BL154" s="117"/>
      <c r="BM154" s="117"/>
      <c r="BN154" s="117"/>
      <c r="BO154" s="117"/>
      <c r="BP154" s="117"/>
      <c r="BQ154" s="117"/>
      <c r="BR154" s="117"/>
      <c r="BS154" s="117"/>
      <c r="BT154" s="117"/>
      <c r="BU154" s="117"/>
      <c r="BV154" s="117"/>
      <c r="BW154" s="117"/>
      <c r="BX154" s="117"/>
      <c r="BY154" s="117"/>
      <c r="BZ154" s="117"/>
      <c r="CA154" s="117"/>
      <c r="CB154" s="117"/>
      <c r="CC154" s="117"/>
      <c r="CD154" s="117"/>
      <c r="CE154" s="117"/>
      <c r="CF154" s="117"/>
      <c r="CG154" s="117"/>
      <c r="CH154" s="117"/>
      <c r="CI154" s="97"/>
      <c r="CJ154" s="97"/>
    </row>
    <row r="155" spans="1:88" x14ac:dyDescent="0.45">
      <c r="A155" s="97"/>
      <c r="B155" s="495"/>
      <c r="C155" s="243">
        <v>5</v>
      </c>
      <c r="D155" s="243"/>
      <c r="E155" s="243"/>
      <c r="F155" s="243"/>
      <c r="G155" s="243"/>
      <c r="H155" s="243"/>
      <c r="I155" s="243"/>
      <c r="J155" s="243"/>
      <c r="K155" s="243"/>
      <c r="L155" s="243"/>
      <c r="M155" s="243"/>
      <c r="N155" s="243"/>
      <c r="O155" s="243"/>
      <c r="P155" s="243"/>
      <c r="Q155" s="243"/>
      <c r="R155" s="243"/>
      <c r="S155" s="243"/>
      <c r="T155" s="243"/>
      <c r="U155" s="243"/>
      <c r="V155" s="243"/>
      <c r="W155" s="243"/>
      <c r="X155" s="259"/>
      <c r="Y155" s="259"/>
      <c r="Z155" s="259"/>
      <c r="AA155" s="259"/>
      <c r="AB155" s="495"/>
      <c r="AC155" s="117"/>
      <c r="AD155" s="117"/>
      <c r="AE155" s="117"/>
      <c r="AF155" s="117"/>
      <c r="AG155" s="117"/>
      <c r="AH155" s="117"/>
      <c r="AI155" s="117"/>
      <c r="AJ155" s="117"/>
      <c r="AK155" s="117"/>
      <c r="AL155" s="117"/>
      <c r="AM155" s="117"/>
      <c r="AN155" s="117"/>
      <c r="AO155" s="117"/>
      <c r="AP155" s="117"/>
      <c r="AQ155" s="117"/>
      <c r="AR155" s="117"/>
      <c r="AS155" s="117"/>
      <c r="AT155" s="117"/>
      <c r="AU155" s="117"/>
      <c r="AV155" s="117"/>
      <c r="AW155" s="117"/>
      <c r="AX155" s="117"/>
      <c r="AY155" s="117"/>
      <c r="AZ155" s="117"/>
      <c r="BA155" s="117"/>
      <c r="BB155" s="117"/>
      <c r="BC155" s="117"/>
      <c r="BD155" s="117"/>
      <c r="BE155" s="117"/>
      <c r="BF155" s="117"/>
      <c r="BG155" s="117"/>
      <c r="BH155" s="117"/>
      <c r="BI155" s="117"/>
      <c r="BJ155" s="117"/>
      <c r="BK155" s="117"/>
      <c r="BL155" s="117"/>
      <c r="BM155" s="117"/>
      <c r="BN155" s="117"/>
      <c r="BO155" s="117"/>
      <c r="BP155" s="117"/>
      <c r="BQ155" s="117"/>
      <c r="BR155" s="117"/>
      <c r="BS155" s="117"/>
      <c r="BT155" s="117"/>
      <c r="BU155" s="117"/>
      <c r="BV155" s="117"/>
      <c r="BW155" s="117"/>
      <c r="BX155" s="117"/>
      <c r="BY155" s="117"/>
      <c r="BZ155" s="117"/>
      <c r="CA155" s="117"/>
      <c r="CB155" s="117"/>
      <c r="CC155" s="117"/>
      <c r="CD155" s="117"/>
      <c r="CE155" s="117"/>
      <c r="CF155" s="117"/>
      <c r="CG155" s="117"/>
      <c r="CH155" s="117"/>
      <c r="CI155" s="97"/>
      <c r="CJ155" s="97"/>
    </row>
    <row r="156" spans="1:88" x14ac:dyDescent="0.45">
      <c r="A156" s="97"/>
      <c r="B156" s="495"/>
      <c r="C156" s="244"/>
      <c r="D156" s="244"/>
      <c r="E156" s="244"/>
      <c r="F156" s="244"/>
      <c r="G156" s="244"/>
      <c r="H156" s="244"/>
      <c r="I156" s="244"/>
      <c r="J156" s="244"/>
      <c r="K156" s="244"/>
      <c r="L156" s="244"/>
      <c r="M156" s="244"/>
      <c r="N156" s="244"/>
      <c r="O156" s="244"/>
      <c r="P156" s="244"/>
      <c r="Q156" s="244"/>
      <c r="R156" s="244"/>
      <c r="S156" s="244"/>
      <c r="T156" s="244"/>
      <c r="U156" s="244"/>
      <c r="V156" s="244"/>
      <c r="W156" s="244"/>
      <c r="X156" s="244"/>
      <c r="Y156" s="244"/>
      <c r="Z156" s="244"/>
      <c r="AA156" s="244"/>
      <c r="AB156" s="495"/>
      <c r="AC156" s="117"/>
      <c r="AD156" s="117"/>
      <c r="AE156" s="117"/>
      <c r="AF156" s="117"/>
      <c r="AG156" s="117"/>
      <c r="AH156" s="117"/>
      <c r="AI156" s="117"/>
      <c r="AJ156" s="117"/>
      <c r="AK156" s="117"/>
      <c r="AL156" s="117"/>
      <c r="AM156" s="117"/>
      <c r="AN156" s="117"/>
      <c r="AO156" s="117"/>
      <c r="AP156" s="117"/>
      <c r="AQ156" s="117"/>
      <c r="AR156" s="117"/>
      <c r="AS156" s="117"/>
      <c r="AT156" s="117"/>
      <c r="AU156" s="117"/>
      <c r="AV156" s="117"/>
      <c r="AW156" s="117"/>
      <c r="AX156" s="117"/>
      <c r="AY156" s="117"/>
      <c r="AZ156" s="117"/>
      <c r="BA156" s="117"/>
      <c r="BB156" s="117"/>
      <c r="BC156" s="117"/>
      <c r="BD156" s="117"/>
      <c r="BE156" s="117"/>
      <c r="BF156" s="117"/>
      <c r="BG156" s="117"/>
      <c r="BH156" s="117"/>
      <c r="BI156" s="117"/>
      <c r="BJ156" s="117"/>
      <c r="BK156" s="117"/>
      <c r="BL156" s="117"/>
      <c r="BM156" s="117"/>
      <c r="BN156" s="117"/>
      <c r="BO156" s="117"/>
      <c r="BP156" s="117"/>
      <c r="BQ156" s="117"/>
      <c r="BR156" s="117"/>
      <c r="BS156" s="117"/>
      <c r="BT156" s="117"/>
      <c r="BU156" s="117"/>
      <c r="BV156" s="117"/>
      <c r="BW156" s="117"/>
      <c r="BX156" s="117"/>
      <c r="BY156" s="117"/>
      <c r="BZ156" s="117"/>
      <c r="CA156" s="117"/>
      <c r="CB156" s="117"/>
      <c r="CC156" s="117"/>
      <c r="CD156" s="117"/>
      <c r="CE156" s="117"/>
      <c r="CF156" s="117"/>
      <c r="CG156" s="117"/>
      <c r="CH156" s="117"/>
      <c r="CI156" s="97"/>
      <c r="CJ156" s="97"/>
    </row>
    <row r="157" spans="1:88" ht="24" thickBot="1" x14ac:dyDescent="0.5">
      <c r="A157" s="97"/>
      <c r="B157" s="495"/>
      <c r="C157" s="245">
        <v>6</v>
      </c>
      <c r="D157" s="245"/>
      <c r="E157" s="245"/>
      <c r="F157" s="245"/>
      <c r="G157" s="245"/>
      <c r="H157" s="245"/>
      <c r="I157" s="245"/>
      <c r="J157" s="245"/>
      <c r="K157" s="245"/>
      <c r="L157" s="245"/>
      <c r="M157" s="245"/>
      <c r="N157" s="245"/>
      <c r="O157" s="245"/>
      <c r="P157" s="245"/>
      <c r="Q157" s="245"/>
      <c r="R157" s="245"/>
      <c r="S157" s="245"/>
      <c r="T157" s="245"/>
      <c r="U157" s="245"/>
      <c r="V157" s="245"/>
      <c r="W157" s="245"/>
      <c r="X157" s="448"/>
      <c r="Y157" s="448"/>
      <c r="Z157" s="448"/>
      <c r="AA157" s="448"/>
      <c r="AB157" s="495"/>
      <c r="AC157" s="117"/>
      <c r="AD157" s="117"/>
      <c r="AE157" s="117"/>
      <c r="AF157" s="117"/>
      <c r="AG157" s="117"/>
      <c r="AH157" s="117"/>
      <c r="AI157" s="117"/>
      <c r="AJ157" s="117"/>
      <c r="AK157" s="117"/>
      <c r="AL157" s="117"/>
      <c r="AM157" s="117"/>
      <c r="AN157" s="117"/>
      <c r="AO157" s="117"/>
      <c r="AP157" s="117"/>
      <c r="AQ157" s="117"/>
      <c r="AR157" s="117"/>
      <c r="AS157" s="117"/>
      <c r="AT157" s="117"/>
      <c r="AU157" s="117"/>
      <c r="AV157" s="117"/>
      <c r="AW157" s="117"/>
      <c r="AX157" s="117"/>
      <c r="AY157" s="117"/>
      <c r="AZ157" s="117"/>
      <c r="BA157" s="117"/>
      <c r="BB157" s="117"/>
      <c r="BC157" s="117"/>
      <c r="BD157" s="117"/>
      <c r="BE157" s="117"/>
      <c r="BF157" s="117"/>
      <c r="BG157" s="117"/>
      <c r="BH157" s="117"/>
      <c r="BI157" s="117"/>
      <c r="BJ157" s="117"/>
      <c r="BK157" s="117"/>
      <c r="BL157" s="117"/>
      <c r="BM157" s="117"/>
      <c r="BN157" s="117"/>
      <c r="BO157" s="117"/>
      <c r="BP157" s="117"/>
      <c r="BQ157" s="117"/>
      <c r="BR157" s="117"/>
      <c r="BS157" s="117"/>
      <c r="BT157" s="117"/>
      <c r="BU157" s="117"/>
      <c r="BV157" s="117"/>
      <c r="BW157" s="117"/>
      <c r="BX157" s="117"/>
      <c r="BY157" s="117"/>
      <c r="BZ157" s="117"/>
      <c r="CA157" s="117"/>
      <c r="CB157" s="117"/>
      <c r="CC157" s="117"/>
      <c r="CD157" s="117"/>
      <c r="CE157" s="117"/>
      <c r="CF157" s="117"/>
      <c r="CG157" s="117"/>
      <c r="CH157" s="117"/>
      <c r="CI157" s="97"/>
      <c r="CJ157" s="97"/>
    </row>
    <row r="158" spans="1:88" x14ac:dyDescent="0.45">
      <c r="A158" s="97"/>
      <c r="B158" s="495"/>
      <c r="C158" s="243">
        <v>6</v>
      </c>
      <c r="D158" s="243"/>
      <c r="E158" s="243"/>
      <c r="F158" s="243"/>
      <c r="G158" s="243"/>
      <c r="H158" s="243"/>
      <c r="I158" s="243"/>
      <c r="J158" s="243"/>
      <c r="K158" s="243"/>
      <c r="L158" s="243"/>
      <c r="M158" s="243"/>
      <c r="N158" s="243"/>
      <c r="O158" s="243"/>
      <c r="P158" s="243"/>
      <c r="Q158" s="243"/>
      <c r="R158" s="243"/>
      <c r="S158" s="243"/>
      <c r="T158" s="243"/>
      <c r="U158" s="243"/>
      <c r="V158" s="243"/>
      <c r="W158" s="243"/>
      <c r="X158" s="259"/>
      <c r="Y158" s="259"/>
      <c r="Z158" s="259"/>
      <c r="AA158" s="259"/>
      <c r="AB158" s="495"/>
      <c r="AC158" s="117"/>
      <c r="AD158" s="117"/>
      <c r="AE158" s="117"/>
      <c r="AF158" s="117"/>
      <c r="AG158" s="117"/>
      <c r="AH158" s="117"/>
      <c r="AI158" s="117"/>
      <c r="AJ158" s="117"/>
      <c r="AK158" s="117"/>
      <c r="AL158" s="117"/>
      <c r="AM158" s="117"/>
      <c r="AN158" s="117"/>
      <c r="AO158" s="117"/>
      <c r="AP158" s="117"/>
      <c r="AQ158" s="117"/>
      <c r="AR158" s="117"/>
      <c r="AS158" s="117"/>
      <c r="AT158" s="117"/>
      <c r="AU158" s="117"/>
      <c r="AV158" s="117"/>
      <c r="AW158" s="117"/>
      <c r="AX158" s="117"/>
      <c r="AY158" s="117"/>
      <c r="AZ158" s="117"/>
      <c r="BA158" s="117"/>
      <c r="BB158" s="117"/>
      <c r="BC158" s="117"/>
      <c r="BD158" s="117"/>
      <c r="BE158" s="117"/>
      <c r="BF158" s="117"/>
      <c r="BG158" s="117"/>
      <c r="BH158" s="117"/>
      <c r="BI158" s="117"/>
      <c r="BJ158" s="117"/>
      <c r="BK158" s="117"/>
      <c r="BL158" s="117"/>
      <c r="BM158" s="117"/>
      <c r="BN158" s="117"/>
      <c r="BO158" s="117"/>
      <c r="BP158" s="117"/>
      <c r="BQ158" s="117"/>
      <c r="BR158" s="117"/>
      <c r="BS158" s="117"/>
      <c r="BT158" s="117"/>
      <c r="BU158" s="117"/>
      <c r="BV158" s="117"/>
      <c r="BW158" s="117"/>
      <c r="BX158" s="117"/>
      <c r="BY158" s="117"/>
      <c r="BZ158" s="117"/>
      <c r="CA158" s="117"/>
      <c r="CB158" s="117"/>
      <c r="CC158" s="117"/>
      <c r="CD158" s="117"/>
      <c r="CE158" s="117"/>
      <c r="CF158" s="117"/>
      <c r="CG158" s="117"/>
      <c r="CH158" s="117"/>
      <c r="CI158" s="97"/>
      <c r="CJ158" s="97"/>
    </row>
    <row r="159" spans="1:88" x14ac:dyDescent="0.45">
      <c r="A159" s="97"/>
      <c r="B159" s="495"/>
      <c r="C159" s="244"/>
      <c r="D159" s="244"/>
      <c r="E159" s="244"/>
      <c r="F159" s="244"/>
      <c r="G159" s="244"/>
      <c r="H159" s="244"/>
      <c r="I159" s="244"/>
      <c r="J159" s="244"/>
      <c r="K159" s="244"/>
      <c r="L159" s="244"/>
      <c r="M159" s="244"/>
      <c r="N159" s="244"/>
      <c r="O159" s="244"/>
      <c r="P159" s="244"/>
      <c r="Q159" s="244"/>
      <c r="R159" s="244"/>
      <c r="S159" s="244"/>
      <c r="T159" s="244"/>
      <c r="U159" s="244"/>
      <c r="V159" s="244"/>
      <c r="W159" s="244"/>
      <c r="X159" s="244"/>
      <c r="Y159" s="244"/>
      <c r="Z159" s="244"/>
      <c r="AA159" s="244"/>
      <c r="AB159" s="495"/>
      <c r="AC159" s="117"/>
      <c r="AD159" s="117"/>
      <c r="AE159" s="117"/>
      <c r="AF159" s="117"/>
      <c r="AG159" s="117"/>
      <c r="AH159" s="117"/>
      <c r="AI159" s="117"/>
      <c r="AJ159" s="117"/>
      <c r="AK159" s="117"/>
      <c r="AL159" s="117"/>
      <c r="AM159" s="117"/>
      <c r="AN159" s="117"/>
      <c r="AO159" s="117"/>
      <c r="AP159" s="117"/>
      <c r="AQ159" s="117"/>
      <c r="AR159" s="117"/>
      <c r="AS159" s="117"/>
      <c r="AT159" s="117"/>
      <c r="AU159" s="117"/>
      <c r="AV159" s="117"/>
      <c r="AW159" s="117"/>
      <c r="AX159" s="117"/>
      <c r="AY159" s="117"/>
      <c r="AZ159" s="117"/>
      <c r="BA159" s="117"/>
      <c r="BB159" s="117"/>
      <c r="BC159" s="117"/>
      <c r="BD159" s="117"/>
      <c r="BE159" s="117"/>
      <c r="BF159" s="117"/>
      <c r="BG159" s="117"/>
      <c r="BH159" s="117"/>
      <c r="BI159" s="117"/>
      <c r="BJ159" s="117"/>
      <c r="BK159" s="117"/>
      <c r="BL159" s="117"/>
      <c r="BM159" s="117"/>
      <c r="BN159" s="117"/>
      <c r="BO159" s="117"/>
      <c r="BP159" s="117"/>
      <c r="BQ159" s="117"/>
      <c r="BR159" s="117"/>
      <c r="BS159" s="117"/>
      <c r="BT159" s="117"/>
      <c r="BU159" s="117"/>
      <c r="BV159" s="117"/>
      <c r="BW159" s="117"/>
      <c r="BX159" s="117"/>
      <c r="BY159" s="117"/>
      <c r="BZ159" s="117"/>
      <c r="CA159" s="117"/>
      <c r="CB159" s="117"/>
      <c r="CC159" s="117"/>
      <c r="CD159" s="117"/>
      <c r="CE159" s="117"/>
      <c r="CF159" s="117"/>
      <c r="CG159" s="117"/>
      <c r="CH159" s="117"/>
      <c r="CI159" s="97"/>
      <c r="CJ159" s="97"/>
    </row>
    <row r="160" spans="1:88" ht="24" thickBot="1" x14ac:dyDescent="0.5">
      <c r="A160" s="97"/>
      <c r="B160" s="495"/>
      <c r="C160" s="245">
        <v>7</v>
      </c>
      <c r="D160" s="245"/>
      <c r="E160" s="245"/>
      <c r="F160" s="245"/>
      <c r="G160" s="245"/>
      <c r="H160" s="245"/>
      <c r="I160" s="245"/>
      <c r="J160" s="245"/>
      <c r="K160" s="245"/>
      <c r="L160" s="245"/>
      <c r="M160" s="245"/>
      <c r="N160" s="245"/>
      <c r="O160" s="245"/>
      <c r="P160" s="245"/>
      <c r="Q160" s="245"/>
      <c r="R160" s="245"/>
      <c r="S160" s="245"/>
      <c r="T160" s="245"/>
      <c r="U160" s="245"/>
      <c r="V160" s="245"/>
      <c r="W160" s="245"/>
      <c r="X160" s="448"/>
      <c r="Y160" s="448"/>
      <c r="Z160" s="448"/>
      <c r="AA160" s="448"/>
      <c r="AB160" s="495"/>
      <c r="AC160" s="117"/>
      <c r="AD160" s="117"/>
      <c r="AE160" s="117"/>
      <c r="AF160" s="117"/>
      <c r="AG160" s="117"/>
      <c r="AH160" s="117"/>
      <c r="AI160" s="117"/>
      <c r="AJ160" s="117"/>
      <c r="AK160" s="117"/>
      <c r="AL160" s="117"/>
      <c r="AM160" s="117"/>
      <c r="AN160" s="117"/>
      <c r="AO160" s="117"/>
      <c r="AP160" s="117"/>
      <c r="AQ160" s="117"/>
      <c r="AR160" s="117"/>
      <c r="AS160" s="117"/>
      <c r="AT160" s="117"/>
      <c r="AU160" s="117"/>
      <c r="AV160" s="117"/>
      <c r="AW160" s="117"/>
      <c r="AX160" s="117"/>
      <c r="AY160" s="117"/>
      <c r="AZ160" s="117"/>
      <c r="BA160" s="117"/>
      <c r="BB160" s="117"/>
      <c r="BC160" s="117"/>
      <c r="BD160" s="117"/>
      <c r="BE160" s="117"/>
      <c r="BF160" s="117"/>
      <c r="BG160" s="117"/>
      <c r="BH160" s="117"/>
      <c r="BI160" s="117"/>
      <c r="BJ160" s="117"/>
      <c r="BK160" s="117"/>
      <c r="BL160" s="117"/>
      <c r="BM160" s="117"/>
      <c r="BN160" s="117"/>
      <c r="BO160" s="117"/>
      <c r="BP160" s="117"/>
      <c r="BQ160" s="117"/>
      <c r="BR160" s="117"/>
      <c r="BS160" s="117"/>
      <c r="BT160" s="117"/>
      <c r="BU160" s="117"/>
      <c r="BV160" s="117"/>
      <c r="BW160" s="117"/>
      <c r="BX160" s="117"/>
      <c r="BY160" s="117"/>
      <c r="BZ160" s="117"/>
      <c r="CA160" s="117"/>
      <c r="CB160" s="117"/>
      <c r="CC160" s="117"/>
      <c r="CD160" s="117"/>
      <c r="CE160" s="117"/>
      <c r="CF160" s="117"/>
      <c r="CG160" s="117"/>
      <c r="CH160" s="117"/>
      <c r="CI160" s="97"/>
      <c r="CJ160" s="97"/>
    </row>
    <row r="161" spans="1:88" x14ac:dyDescent="0.45">
      <c r="A161" s="97"/>
      <c r="B161" s="495"/>
      <c r="C161" s="243">
        <v>7</v>
      </c>
      <c r="D161" s="243"/>
      <c r="E161" s="243"/>
      <c r="F161" s="243"/>
      <c r="G161" s="243"/>
      <c r="H161" s="243"/>
      <c r="I161" s="243"/>
      <c r="J161" s="243"/>
      <c r="K161" s="243"/>
      <c r="L161" s="243"/>
      <c r="M161" s="243"/>
      <c r="N161" s="243"/>
      <c r="O161" s="243"/>
      <c r="P161" s="243"/>
      <c r="Q161" s="243"/>
      <c r="R161" s="243"/>
      <c r="S161" s="243"/>
      <c r="T161" s="243"/>
      <c r="U161" s="243"/>
      <c r="V161" s="243"/>
      <c r="W161" s="243"/>
      <c r="X161" s="259"/>
      <c r="Y161" s="259"/>
      <c r="Z161" s="259"/>
      <c r="AA161" s="259"/>
      <c r="AB161" s="495"/>
      <c r="AC161" s="117"/>
      <c r="AD161" s="117"/>
      <c r="AE161" s="117"/>
      <c r="AF161" s="117"/>
      <c r="AG161" s="117"/>
      <c r="AH161" s="117"/>
      <c r="AI161" s="117"/>
      <c r="AJ161" s="117"/>
      <c r="AK161" s="117"/>
      <c r="AL161" s="117"/>
      <c r="AM161" s="117"/>
      <c r="AN161" s="117"/>
      <c r="AO161" s="117"/>
      <c r="AP161" s="117"/>
      <c r="AQ161" s="117"/>
      <c r="AR161" s="117"/>
      <c r="AS161" s="117"/>
      <c r="AT161" s="117"/>
      <c r="AU161" s="117"/>
      <c r="AV161" s="117"/>
      <c r="AW161" s="117"/>
      <c r="AX161" s="117"/>
      <c r="AY161" s="117"/>
      <c r="AZ161" s="117"/>
      <c r="BA161" s="117"/>
      <c r="BB161" s="117"/>
      <c r="BC161" s="117"/>
      <c r="BD161" s="117"/>
      <c r="BE161" s="117"/>
      <c r="BF161" s="117"/>
      <c r="BG161" s="117"/>
      <c r="BH161" s="117"/>
      <c r="BI161" s="117"/>
      <c r="BJ161" s="117"/>
      <c r="BK161" s="117"/>
      <c r="BL161" s="117"/>
      <c r="BM161" s="117"/>
      <c r="BN161" s="117"/>
      <c r="BO161" s="117"/>
      <c r="BP161" s="117"/>
      <c r="BQ161" s="117"/>
      <c r="BR161" s="117"/>
      <c r="BS161" s="117"/>
      <c r="BT161" s="117"/>
      <c r="BU161" s="117"/>
      <c r="BV161" s="117"/>
      <c r="BW161" s="117"/>
      <c r="BX161" s="117"/>
      <c r="BY161" s="117"/>
      <c r="BZ161" s="117"/>
      <c r="CA161" s="117"/>
      <c r="CB161" s="117"/>
      <c r="CC161" s="117"/>
      <c r="CD161" s="117"/>
      <c r="CE161" s="117"/>
      <c r="CF161" s="117"/>
      <c r="CG161" s="117"/>
      <c r="CH161" s="117"/>
      <c r="CI161" s="97"/>
      <c r="CJ161" s="97"/>
    </row>
    <row r="162" spans="1:88" x14ac:dyDescent="0.45">
      <c r="A162" s="97"/>
      <c r="B162" s="495"/>
      <c r="C162" s="244"/>
      <c r="D162" s="244"/>
      <c r="E162" s="244"/>
      <c r="F162" s="244"/>
      <c r="G162" s="244"/>
      <c r="H162" s="244"/>
      <c r="I162" s="244"/>
      <c r="J162" s="244"/>
      <c r="K162" s="244"/>
      <c r="L162" s="244"/>
      <c r="M162" s="244"/>
      <c r="N162" s="244"/>
      <c r="O162" s="244"/>
      <c r="P162" s="244"/>
      <c r="Q162" s="244"/>
      <c r="R162" s="244"/>
      <c r="S162" s="244"/>
      <c r="T162" s="244"/>
      <c r="U162" s="244"/>
      <c r="V162" s="244"/>
      <c r="W162" s="244"/>
      <c r="X162" s="244"/>
      <c r="Y162" s="244"/>
      <c r="Z162" s="244"/>
      <c r="AA162" s="244"/>
      <c r="AB162" s="495"/>
      <c r="AC162" s="117"/>
      <c r="AD162" s="117"/>
      <c r="AE162" s="117"/>
      <c r="AF162" s="117"/>
      <c r="AG162" s="117"/>
      <c r="AH162" s="117"/>
      <c r="AI162" s="117"/>
      <c r="AJ162" s="117"/>
      <c r="AK162" s="117"/>
      <c r="AL162" s="117"/>
      <c r="AM162" s="117"/>
      <c r="AN162" s="117"/>
      <c r="AO162" s="117"/>
      <c r="AP162" s="117"/>
      <c r="AQ162" s="117"/>
      <c r="AR162" s="117"/>
      <c r="AS162" s="117"/>
      <c r="AT162" s="117"/>
      <c r="AU162" s="117"/>
      <c r="AV162" s="117"/>
      <c r="AW162" s="117"/>
      <c r="AX162" s="117"/>
      <c r="AY162" s="117"/>
      <c r="AZ162" s="117"/>
      <c r="BA162" s="117"/>
      <c r="BB162" s="117"/>
      <c r="BC162" s="117"/>
      <c r="BD162" s="117"/>
      <c r="BE162" s="117"/>
      <c r="BF162" s="117"/>
      <c r="BG162" s="117"/>
      <c r="BH162" s="117"/>
      <c r="BI162" s="117"/>
      <c r="BJ162" s="117"/>
      <c r="BK162" s="117"/>
      <c r="BL162" s="117"/>
      <c r="BM162" s="117"/>
      <c r="BN162" s="117"/>
      <c r="BO162" s="117"/>
      <c r="BP162" s="117"/>
      <c r="BQ162" s="117"/>
      <c r="BR162" s="117"/>
      <c r="BS162" s="117"/>
      <c r="BT162" s="117"/>
      <c r="BU162" s="117"/>
      <c r="BV162" s="117"/>
      <c r="BW162" s="117"/>
      <c r="BX162" s="117"/>
      <c r="BY162" s="117"/>
      <c r="BZ162" s="117"/>
      <c r="CA162" s="117"/>
      <c r="CB162" s="117"/>
      <c r="CC162" s="117"/>
      <c r="CD162" s="117"/>
      <c r="CE162" s="117"/>
      <c r="CF162" s="117"/>
      <c r="CG162" s="117"/>
      <c r="CH162" s="117"/>
      <c r="CI162" s="97"/>
      <c r="CJ162" s="97"/>
    </row>
    <row r="163" spans="1:88" ht="24" thickBot="1" x14ac:dyDescent="0.5">
      <c r="A163" s="97"/>
      <c r="B163" s="496"/>
      <c r="C163" s="245">
        <v>8</v>
      </c>
      <c r="D163" s="245"/>
      <c r="E163" s="245"/>
      <c r="F163" s="245"/>
      <c r="G163" s="245"/>
      <c r="H163" s="245"/>
      <c r="I163" s="245"/>
      <c r="J163" s="245"/>
      <c r="K163" s="245"/>
      <c r="L163" s="245"/>
      <c r="M163" s="245"/>
      <c r="N163" s="245"/>
      <c r="O163" s="245"/>
      <c r="P163" s="245"/>
      <c r="Q163" s="245"/>
      <c r="R163" s="245"/>
      <c r="S163" s="245"/>
      <c r="T163" s="245"/>
      <c r="U163" s="245"/>
      <c r="V163" s="245"/>
      <c r="W163" s="245"/>
      <c r="X163" s="245"/>
      <c r="Y163" s="245"/>
      <c r="Z163" s="245"/>
      <c r="AA163" s="245"/>
      <c r="AB163" s="506"/>
      <c r="AC163" s="117"/>
      <c r="AD163" s="117"/>
      <c r="AE163" s="117"/>
      <c r="AF163" s="117"/>
      <c r="AG163" s="117"/>
      <c r="AH163" s="117"/>
      <c r="AI163" s="117"/>
      <c r="AJ163" s="117"/>
      <c r="AK163" s="117"/>
      <c r="AL163" s="117"/>
      <c r="AM163" s="117"/>
      <c r="AN163" s="117"/>
      <c r="AO163" s="117"/>
      <c r="AP163" s="117"/>
      <c r="AQ163" s="117"/>
      <c r="AR163" s="117"/>
      <c r="AS163" s="117"/>
      <c r="AT163" s="117"/>
      <c r="AU163" s="117"/>
      <c r="AV163" s="117"/>
      <c r="AW163" s="117"/>
      <c r="AX163" s="117"/>
      <c r="AY163" s="117"/>
      <c r="AZ163" s="117"/>
      <c r="BA163" s="117"/>
      <c r="BB163" s="117"/>
      <c r="BC163" s="117"/>
      <c r="BD163" s="117"/>
      <c r="BE163" s="117"/>
      <c r="BF163" s="117"/>
      <c r="BG163" s="117"/>
      <c r="BH163" s="117"/>
      <c r="BI163" s="117"/>
      <c r="BJ163" s="117"/>
      <c r="BK163" s="117"/>
      <c r="BL163" s="117"/>
      <c r="BM163" s="117"/>
      <c r="BN163" s="117"/>
      <c r="BO163" s="117"/>
      <c r="BP163" s="117"/>
      <c r="BQ163" s="117"/>
      <c r="BR163" s="117"/>
      <c r="BS163" s="117"/>
      <c r="BT163" s="117"/>
      <c r="BU163" s="117"/>
      <c r="BV163" s="117"/>
      <c r="BW163" s="117"/>
      <c r="BX163" s="117"/>
      <c r="BY163" s="117"/>
      <c r="BZ163" s="117"/>
      <c r="CA163" s="117"/>
      <c r="CB163" s="117"/>
      <c r="CC163" s="117"/>
      <c r="CD163" s="117"/>
      <c r="CE163" s="117"/>
      <c r="CF163" s="117"/>
      <c r="CG163" s="117"/>
      <c r="CH163" s="117"/>
      <c r="CI163" s="97"/>
      <c r="CJ163" s="97"/>
    </row>
    <row r="164" spans="1:88" ht="24" thickTop="1" x14ac:dyDescent="0.45"/>
  </sheetData>
  <mergeCells count="17">
    <mergeCell ref="AB122:AB163"/>
    <mergeCell ref="AB103:AB121"/>
    <mergeCell ref="AB46:AB64"/>
    <mergeCell ref="AB27:AB45"/>
    <mergeCell ref="AB8:AB26"/>
    <mergeCell ref="B122:B163"/>
    <mergeCell ref="B84:B102"/>
    <mergeCell ref="B27:B45"/>
    <mergeCell ref="B46:B64"/>
    <mergeCell ref="B103:B121"/>
    <mergeCell ref="B65:B83"/>
    <mergeCell ref="B8:B26"/>
    <mergeCell ref="J4:L4"/>
    <mergeCell ref="AB65:AB83"/>
    <mergeCell ref="AB84:AB102"/>
    <mergeCell ref="D1:AK1"/>
    <mergeCell ref="B2:AK2"/>
  </mergeCells>
  <phoneticPr fontId="16" type="noConversion"/>
  <conditionalFormatting sqref="G71:I71">
    <cfRule type="duplicateValues" dxfId="561" priority="262" stopIfTrue="1"/>
  </conditionalFormatting>
  <conditionalFormatting sqref="G72:I72">
    <cfRule type="duplicateValues" dxfId="560" priority="263" stopIfTrue="1"/>
  </conditionalFormatting>
  <conditionalFormatting sqref="V30 M30:S30 T34:U34">
    <cfRule type="duplicateValues" dxfId="559" priority="242" stopIfTrue="1"/>
  </conditionalFormatting>
  <conditionalFormatting sqref="AA33 V33:W33 M33:S33 D33:E33 J29 G33:I33">
    <cfRule type="duplicateValues" dxfId="558" priority="16987" stopIfTrue="1"/>
    <cfRule type="duplicateValues" dxfId="557" priority="16988" stopIfTrue="1"/>
  </conditionalFormatting>
  <conditionalFormatting sqref="AA34 V34:W34 M34:S34 D34:E34 J30 G34:I34">
    <cfRule type="duplicateValues" dxfId="556" priority="17002" stopIfTrue="1"/>
  </conditionalFormatting>
  <conditionalFormatting sqref="W29 E29:I29 K29:L29 AA29">
    <cfRule type="duplicateValues" dxfId="555" priority="17051" stopIfTrue="1"/>
  </conditionalFormatting>
  <conditionalFormatting sqref="W30 E30:I30 K30:L30 AA30">
    <cfRule type="duplicateValues" dxfId="554" priority="17053" stopIfTrue="1"/>
  </conditionalFormatting>
  <conditionalFormatting sqref="W71 J71:L71 D71:F71 AA71">
    <cfRule type="duplicateValues" dxfId="553" priority="17162" stopIfTrue="1"/>
  </conditionalFormatting>
  <conditionalFormatting sqref="W72 J72:L72 D72:F72 AA72">
    <cfRule type="duplicateValues" dxfId="552" priority="17197" stopIfTrue="1"/>
  </conditionalFormatting>
  <conditionalFormatting sqref="V49:W49 F49:S49 AA49">
    <cfRule type="duplicateValues" dxfId="551" priority="17889" stopIfTrue="1"/>
  </conditionalFormatting>
  <conditionalFormatting sqref="AA67 F67:W67">
    <cfRule type="duplicateValues" dxfId="550" priority="17891" stopIfTrue="1"/>
  </conditionalFormatting>
  <conditionalFormatting sqref="AA14 S14:W14 D14:N14">
    <cfRule type="duplicateValues" dxfId="549" priority="18094" stopIfTrue="1"/>
  </conditionalFormatting>
  <conditionalFormatting sqref="AA15 S15:W15 D15:N15">
    <cfRule type="duplicateValues" dxfId="548" priority="18095" stopIfTrue="1"/>
  </conditionalFormatting>
  <conditionalFormatting sqref="AA21 D21:W21">
    <cfRule type="duplicateValues" dxfId="547" priority="18106" stopIfTrue="1"/>
  </conditionalFormatting>
  <conditionalFormatting sqref="AA22 D22:W22">
    <cfRule type="duplicateValues" dxfId="546" priority="18107" stopIfTrue="1"/>
  </conditionalFormatting>
  <conditionalFormatting sqref="AA25 D25:N25 Q25:W25">
    <cfRule type="duplicateValues" dxfId="545" priority="18116" stopIfTrue="1"/>
  </conditionalFormatting>
  <conditionalFormatting sqref="AA26 D26:N26 Q26:W26">
    <cfRule type="duplicateValues" dxfId="544" priority="18117" stopIfTrue="1"/>
  </conditionalFormatting>
  <conditionalFormatting sqref="AA40 J40:W40 E40">
    <cfRule type="duplicateValues" dxfId="543" priority="18122" stopIfTrue="1"/>
    <cfRule type="duplicateValues" dxfId="542" priority="18123" stopIfTrue="1"/>
  </conditionalFormatting>
  <conditionalFormatting sqref="AA44 D44:E44 M44:W44 L33 K44 G44:I44">
    <cfRule type="duplicateValues" dxfId="541" priority="18128" stopIfTrue="1"/>
    <cfRule type="duplicateValues" dxfId="540" priority="18129" stopIfTrue="1"/>
  </conditionalFormatting>
  <conditionalFormatting sqref="AA45 D45:E45 M45:W45 L34 K45 G45:I45">
    <cfRule type="duplicateValues" dxfId="539" priority="18136" stopIfTrue="1"/>
  </conditionalFormatting>
  <conditionalFormatting sqref="AA41 J41:W41 E41">
    <cfRule type="duplicateValues" dxfId="538" priority="18139" stopIfTrue="1"/>
  </conditionalFormatting>
  <conditionalFormatting sqref="AA48 V48:W48 D48:S48">
    <cfRule type="duplicateValues" dxfId="537" priority="18142" stopIfTrue="1"/>
  </conditionalFormatting>
  <conditionalFormatting sqref="AA52 D52:W52">
    <cfRule type="duplicateValues" dxfId="536" priority="18145" stopIfTrue="1"/>
  </conditionalFormatting>
  <conditionalFormatting sqref="AA59 D59:W59">
    <cfRule type="duplicateValues" dxfId="535" priority="18148" stopIfTrue="1"/>
  </conditionalFormatting>
  <conditionalFormatting sqref="AA63 D63:W63">
    <cfRule type="duplicateValues" dxfId="534" priority="18151" stopIfTrue="1"/>
  </conditionalFormatting>
  <conditionalFormatting sqref="AA64 D64:W64">
    <cfRule type="duplicateValues" dxfId="533" priority="18156" stopIfTrue="1"/>
  </conditionalFormatting>
  <conditionalFormatting sqref="AA60 D60:W60">
    <cfRule type="duplicateValues" dxfId="532" priority="18159" stopIfTrue="1"/>
  </conditionalFormatting>
  <conditionalFormatting sqref="AA53 D53:W53">
    <cfRule type="duplicateValues" dxfId="531" priority="18162" stopIfTrue="1"/>
  </conditionalFormatting>
  <conditionalFormatting sqref="AA78 D78:W78">
    <cfRule type="duplicateValues" dxfId="530" priority="18169" stopIfTrue="1"/>
  </conditionalFormatting>
  <conditionalFormatting sqref="AA82 D82:W82">
    <cfRule type="duplicateValues" dxfId="529" priority="18171" stopIfTrue="1"/>
  </conditionalFormatting>
  <conditionalFormatting sqref="AA83 D83:W83">
    <cfRule type="duplicateValues" dxfId="528" priority="18176" stopIfTrue="1"/>
  </conditionalFormatting>
  <conditionalFormatting sqref="AA79 D79:W79">
    <cfRule type="duplicateValues" dxfId="527" priority="18178" stopIfTrue="1"/>
  </conditionalFormatting>
  <conditionalFormatting sqref="AA68 D68:W68">
    <cfRule type="duplicateValues" dxfId="526" priority="18183" stopIfTrue="1"/>
  </conditionalFormatting>
  <conditionalFormatting sqref="AA86 D86:W86">
    <cfRule type="duplicateValues" dxfId="525" priority="18184" stopIfTrue="1"/>
  </conditionalFormatting>
  <conditionalFormatting sqref="AA90 D90:J90 L90:W90">
    <cfRule type="duplicateValues" dxfId="524" priority="18187" stopIfTrue="1"/>
  </conditionalFormatting>
  <conditionalFormatting sqref="AA97 D97:J97 K90 L97:W97">
    <cfRule type="duplicateValues" dxfId="523" priority="18190" stopIfTrue="1"/>
  </conditionalFormatting>
  <conditionalFormatting sqref="AA101 D101:E101 G101:W101">
    <cfRule type="duplicateValues" dxfId="522" priority="18193" stopIfTrue="1"/>
  </conditionalFormatting>
  <conditionalFormatting sqref="AA102 D102:E102 G102:W102">
    <cfRule type="duplicateValues" dxfId="521" priority="18198" stopIfTrue="1"/>
  </conditionalFormatting>
  <conditionalFormatting sqref="AA98 D98:J98 K91 L98:W98">
    <cfRule type="duplicateValues" dxfId="520" priority="18201" stopIfTrue="1"/>
  </conditionalFormatting>
  <conditionalFormatting sqref="AA91 D91:J91 L91:W91">
    <cfRule type="duplicateValues" dxfId="519" priority="18204" stopIfTrue="1"/>
  </conditionalFormatting>
  <conditionalFormatting sqref="AA87 D87:I87 K87:W87 J85">
    <cfRule type="duplicateValues" dxfId="518" priority="18207" stopIfTrue="1"/>
  </conditionalFormatting>
  <conditionalFormatting sqref="AA67 D67:W67">
    <cfRule type="duplicateValues" dxfId="517" priority="18254" stopIfTrue="1"/>
  </conditionalFormatting>
  <conditionalFormatting sqref="O11:R11">
    <cfRule type="duplicateValues" dxfId="516" priority="232" stopIfTrue="1"/>
  </conditionalFormatting>
  <conditionalFormatting sqref="O10:R10">
    <cfRule type="duplicateValues" dxfId="515" priority="233" stopIfTrue="1"/>
  </conditionalFormatting>
  <conditionalFormatting sqref="T48:U48">
    <cfRule type="duplicateValues" dxfId="514" priority="230" stopIfTrue="1"/>
  </conditionalFormatting>
  <conditionalFormatting sqref="T49">
    <cfRule type="duplicateValues" dxfId="513" priority="229" stopIfTrue="1"/>
  </conditionalFormatting>
  <conditionalFormatting sqref="K97">
    <cfRule type="duplicateValues" dxfId="512" priority="227" stopIfTrue="1"/>
  </conditionalFormatting>
  <conditionalFormatting sqref="K98">
    <cfRule type="duplicateValues" dxfId="511" priority="228" stopIfTrue="1"/>
  </conditionalFormatting>
  <conditionalFormatting sqref="J33:K33">
    <cfRule type="duplicateValues" dxfId="510" priority="222" stopIfTrue="1"/>
  </conditionalFormatting>
  <conditionalFormatting sqref="J34:K34">
    <cfRule type="duplicateValues" dxfId="509" priority="223" stopIfTrue="1"/>
  </conditionalFormatting>
  <conditionalFormatting sqref="X15">
    <cfRule type="duplicateValues" dxfId="508" priority="220" stopIfTrue="1"/>
  </conditionalFormatting>
  <conditionalFormatting sqref="X14">
    <cfRule type="duplicateValues" dxfId="507" priority="221" stopIfTrue="1"/>
  </conditionalFormatting>
  <conditionalFormatting sqref="X22">
    <cfRule type="duplicateValues" dxfId="506" priority="218" stopIfTrue="1"/>
  </conditionalFormatting>
  <conditionalFormatting sqref="X21">
    <cfRule type="duplicateValues" dxfId="505" priority="219" stopIfTrue="1"/>
  </conditionalFormatting>
  <conditionalFormatting sqref="X26">
    <cfRule type="duplicateValues" dxfId="504" priority="216" stopIfTrue="1"/>
  </conditionalFormatting>
  <conditionalFormatting sqref="X25">
    <cfRule type="duplicateValues" dxfId="503" priority="217" stopIfTrue="1"/>
  </conditionalFormatting>
  <conditionalFormatting sqref="X29">
    <cfRule type="duplicateValues" dxfId="502" priority="214" stopIfTrue="1"/>
  </conditionalFormatting>
  <conditionalFormatting sqref="X30">
    <cfRule type="duplicateValues" dxfId="501" priority="215" stopIfTrue="1"/>
  </conditionalFormatting>
  <conditionalFormatting sqref="X33">
    <cfRule type="duplicateValues" dxfId="500" priority="212" stopIfTrue="1"/>
  </conditionalFormatting>
  <conditionalFormatting sqref="X34">
    <cfRule type="duplicateValues" dxfId="499" priority="213" stopIfTrue="1"/>
  </conditionalFormatting>
  <conditionalFormatting sqref="X40">
    <cfRule type="duplicateValues" dxfId="498" priority="210" stopIfTrue="1"/>
  </conditionalFormatting>
  <conditionalFormatting sqref="X41">
    <cfRule type="duplicateValues" dxfId="497" priority="211" stopIfTrue="1"/>
  </conditionalFormatting>
  <conditionalFormatting sqref="X44">
    <cfRule type="duplicateValues" dxfId="496" priority="208" stopIfTrue="1"/>
  </conditionalFormatting>
  <conditionalFormatting sqref="X45">
    <cfRule type="duplicateValues" dxfId="495" priority="209" stopIfTrue="1"/>
  </conditionalFormatting>
  <conditionalFormatting sqref="X48">
    <cfRule type="duplicateValues" dxfId="494" priority="207" stopIfTrue="1"/>
  </conditionalFormatting>
  <conditionalFormatting sqref="X49">
    <cfRule type="duplicateValues" dxfId="493" priority="206" stopIfTrue="1"/>
  </conditionalFormatting>
  <conditionalFormatting sqref="X59 X63">
    <cfRule type="duplicateValues" dxfId="492" priority="205" stopIfTrue="1"/>
  </conditionalFormatting>
  <conditionalFormatting sqref="X60">
    <cfRule type="duplicateValues" dxfId="491" priority="204" stopIfTrue="1"/>
  </conditionalFormatting>
  <conditionalFormatting sqref="X67">
    <cfRule type="duplicateValues" dxfId="490" priority="201" stopIfTrue="1"/>
  </conditionalFormatting>
  <conditionalFormatting sqref="X68">
    <cfRule type="duplicateValues" dxfId="489" priority="202" stopIfTrue="1"/>
  </conditionalFormatting>
  <conditionalFormatting sqref="X67">
    <cfRule type="duplicateValues" dxfId="488" priority="203" stopIfTrue="1"/>
  </conditionalFormatting>
  <conditionalFormatting sqref="X71 X78">
    <cfRule type="duplicateValues" dxfId="487" priority="198" stopIfTrue="1"/>
  </conditionalFormatting>
  <conditionalFormatting sqref="X72 X79">
    <cfRule type="duplicateValues" dxfId="486" priority="199" stopIfTrue="1"/>
  </conditionalFormatting>
  <conditionalFormatting sqref="X78">
    <cfRule type="duplicateValues" dxfId="485" priority="200" stopIfTrue="1"/>
  </conditionalFormatting>
  <conditionalFormatting sqref="X86 X90">
    <cfRule type="duplicateValues" dxfId="484" priority="196" stopIfTrue="1"/>
  </conditionalFormatting>
  <conditionalFormatting sqref="X87 X91">
    <cfRule type="duplicateValues" dxfId="483" priority="197" stopIfTrue="1"/>
  </conditionalFormatting>
  <conditionalFormatting sqref="X97 X101">
    <cfRule type="duplicateValues" dxfId="482" priority="194" stopIfTrue="1"/>
  </conditionalFormatting>
  <conditionalFormatting sqref="X98 X102">
    <cfRule type="duplicateValues" dxfId="481" priority="195" stopIfTrue="1"/>
  </conditionalFormatting>
  <conditionalFormatting sqref="F44">
    <cfRule type="duplicateValues" dxfId="480" priority="184" stopIfTrue="1"/>
    <cfRule type="duplicateValues" dxfId="479" priority="185" stopIfTrue="1"/>
  </conditionalFormatting>
  <conditionalFormatting sqref="F45">
    <cfRule type="duplicateValues" dxfId="478" priority="183" stopIfTrue="1"/>
  </conditionalFormatting>
  <conditionalFormatting sqref="F44">
    <cfRule type="duplicateValues" dxfId="477" priority="186" stopIfTrue="1"/>
    <cfRule type="duplicateValues" dxfId="476" priority="187" stopIfTrue="1"/>
  </conditionalFormatting>
  <conditionalFormatting sqref="F45">
    <cfRule type="duplicateValues" dxfId="475" priority="188" stopIfTrue="1"/>
  </conditionalFormatting>
  <conditionalFormatting sqref="F33">
    <cfRule type="duplicateValues" dxfId="474" priority="180" stopIfTrue="1"/>
    <cfRule type="duplicateValues" dxfId="473" priority="181" stopIfTrue="1"/>
  </conditionalFormatting>
  <conditionalFormatting sqref="F34">
    <cfRule type="duplicateValues" dxfId="472" priority="182" stopIfTrue="1"/>
  </conditionalFormatting>
  <conditionalFormatting sqref="V29 M29:S29 T33:U33">
    <cfRule type="duplicateValues" dxfId="471" priority="19427" stopIfTrue="1"/>
  </conditionalFormatting>
  <conditionalFormatting sqref="AA11 S11:X11 D11:N11 O15:Q15">
    <cfRule type="duplicateValues" dxfId="470" priority="19855" stopIfTrue="1"/>
  </conditionalFormatting>
  <conditionalFormatting sqref="AA10 S10:X10 D10:N10 O14:Q14">
    <cfRule type="duplicateValues" dxfId="469" priority="19858" stopIfTrue="1"/>
  </conditionalFormatting>
  <conditionalFormatting sqref="G40:I40">
    <cfRule type="duplicateValues" dxfId="468" priority="166" stopIfTrue="1"/>
    <cfRule type="duplicateValues" dxfId="467" priority="167" stopIfTrue="1"/>
  </conditionalFormatting>
  <conditionalFormatting sqref="G41:I41">
    <cfRule type="duplicateValues" dxfId="466" priority="168" stopIfTrue="1"/>
  </conditionalFormatting>
  <conditionalFormatting sqref="F40">
    <cfRule type="duplicateValues" dxfId="465" priority="161" stopIfTrue="1"/>
    <cfRule type="duplicateValues" dxfId="464" priority="162" stopIfTrue="1"/>
  </conditionalFormatting>
  <conditionalFormatting sqref="F41">
    <cfRule type="duplicateValues" dxfId="463" priority="160" stopIfTrue="1"/>
  </conditionalFormatting>
  <conditionalFormatting sqref="F40">
    <cfRule type="duplicateValues" dxfId="462" priority="163" stopIfTrue="1"/>
    <cfRule type="duplicateValues" dxfId="461" priority="164" stopIfTrue="1"/>
  </conditionalFormatting>
  <conditionalFormatting sqref="F41">
    <cfRule type="duplicateValues" dxfId="460" priority="165" stopIfTrue="1"/>
  </conditionalFormatting>
  <conditionalFormatting sqref="T29:U29">
    <cfRule type="duplicateValues" dxfId="459" priority="157" stopIfTrue="1"/>
    <cfRule type="duplicateValues" dxfId="458" priority="158" stopIfTrue="1"/>
  </conditionalFormatting>
  <conditionalFormatting sqref="T30:U30">
    <cfRule type="duplicateValues" dxfId="457" priority="159" stopIfTrue="1"/>
  </conditionalFormatting>
  <conditionalFormatting sqref="L44">
    <cfRule type="duplicateValues" dxfId="456" priority="101" stopIfTrue="1"/>
    <cfRule type="duplicateValues" dxfId="455" priority="102" stopIfTrue="1"/>
  </conditionalFormatting>
  <conditionalFormatting sqref="L45">
    <cfRule type="duplicateValues" dxfId="454" priority="103" stopIfTrue="1"/>
  </conditionalFormatting>
  <conditionalFormatting sqref="O25:P25">
    <cfRule type="duplicateValues" dxfId="453" priority="99" stopIfTrue="1"/>
  </conditionalFormatting>
  <conditionalFormatting sqref="O26:P26">
    <cfRule type="duplicateValues" dxfId="452" priority="100" stopIfTrue="1"/>
  </conditionalFormatting>
  <conditionalFormatting sqref="R15">
    <cfRule type="duplicateValues" dxfId="451" priority="97" stopIfTrue="1"/>
  </conditionalFormatting>
  <conditionalFormatting sqref="R14">
    <cfRule type="duplicateValues" dxfId="450" priority="98" stopIfTrue="1"/>
  </conditionalFormatting>
  <conditionalFormatting sqref="X52">
    <cfRule type="duplicateValues" dxfId="449" priority="95" stopIfTrue="1"/>
  </conditionalFormatting>
  <conditionalFormatting sqref="X53">
    <cfRule type="duplicateValues" dxfId="448" priority="96" stopIfTrue="1"/>
  </conditionalFormatting>
  <conditionalFormatting sqref="Y15">
    <cfRule type="duplicateValues" dxfId="447" priority="86" stopIfTrue="1"/>
  </conditionalFormatting>
  <conditionalFormatting sqref="Y14">
    <cfRule type="duplicateValues" dxfId="446" priority="87" stopIfTrue="1"/>
  </conditionalFormatting>
  <conditionalFormatting sqref="Y11">
    <cfRule type="duplicateValues" dxfId="445" priority="88" stopIfTrue="1"/>
  </conditionalFormatting>
  <conditionalFormatting sqref="Y10">
    <cfRule type="duplicateValues" dxfId="444" priority="89" stopIfTrue="1"/>
  </conditionalFormatting>
  <conditionalFormatting sqref="Y26:Z26">
    <cfRule type="duplicateValues" dxfId="443" priority="82" stopIfTrue="1"/>
  </conditionalFormatting>
  <conditionalFormatting sqref="Y25:Z25">
    <cfRule type="duplicateValues" dxfId="442" priority="83" stopIfTrue="1"/>
  </conditionalFormatting>
  <conditionalFormatting sqref="Y22">
    <cfRule type="duplicateValues" dxfId="441" priority="84" stopIfTrue="1"/>
  </conditionalFormatting>
  <conditionalFormatting sqref="Y21">
    <cfRule type="duplicateValues" dxfId="440" priority="85" stopIfTrue="1"/>
  </conditionalFormatting>
  <conditionalFormatting sqref="Y78">
    <cfRule type="duplicateValues" dxfId="439" priority="78" stopIfTrue="1"/>
  </conditionalFormatting>
  <conditionalFormatting sqref="Y82">
    <cfRule type="duplicateValues" dxfId="438" priority="79" stopIfTrue="1"/>
  </conditionalFormatting>
  <conditionalFormatting sqref="Y83">
    <cfRule type="duplicateValues" dxfId="437" priority="80" stopIfTrue="1"/>
  </conditionalFormatting>
  <conditionalFormatting sqref="Y79">
    <cfRule type="duplicateValues" dxfId="436" priority="81" stopIfTrue="1"/>
  </conditionalFormatting>
  <conditionalFormatting sqref="Y86">
    <cfRule type="duplicateValues" dxfId="435" priority="74" stopIfTrue="1"/>
  </conditionalFormatting>
  <conditionalFormatting sqref="Y90">
    <cfRule type="duplicateValues" dxfId="434" priority="75" stopIfTrue="1"/>
  </conditionalFormatting>
  <conditionalFormatting sqref="Y91">
    <cfRule type="duplicateValues" dxfId="433" priority="76" stopIfTrue="1"/>
  </conditionalFormatting>
  <conditionalFormatting sqref="Y87">
    <cfRule type="duplicateValues" dxfId="432" priority="77" stopIfTrue="1"/>
  </conditionalFormatting>
  <conditionalFormatting sqref="Y97">
    <cfRule type="duplicateValues" dxfId="431" priority="70" stopIfTrue="1"/>
  </conditionalFormatting>
  <conditionalFormatting sqref="Y101:Z101">
    <cfRule type="duplicateValues" dxfId="430" priority="71" stopIfTrue="1"/>
  </conditionalFormatting>
  <conditionalFormatting sqref="Y102:Z102">
    <cfRule type="duplicateValues" dxfId="429" priority="72" stopIfTrue="1"/>
  </conditionalFormatting>
  <conditionalFormatting sqref="Y98">
    <cfRule type="duplicateValues" dxfId="428" priority="73" stopIfTrue="1"/>
  </conditionalFormatting>
  <conditionalFormatting sqref="Y67">
    <cfRule type="duplicateValues" dxfId="427" priority="65" stopIfTrue="1"/>
  </conditionalFormatting>
  <conditionalFormatting sqref="Y68">
    <cfRule type="duplicateValues" dxfId="426" priority="66" stopIfTrue="1"/>
  </conditionalFormatting>
  <conditionalFormatting sqref="Y67">
    <cfRule type="duplicateValues" dxfId="425" priority="67" stopIfTrue="1"/>
  </conditionalFormatting>
  <conditionalFormatting sqref="Y71">
    <cfRule type="duplicateValues" dxfId="424" priority="68" stopIfTrue="1"/>
  </conditionalFormatting>
  <conditionalFormatting sqref="Y72">
    <cfRule type="duplicateValues" dxfId="423" priority="69" stopIfTrue="1"/>
  </conditionalFormatting>
  <conditionalFormatting sqref="Y59">
    <cfRule type="duplicateValues" dxfId="422" priority="61" stopIfTrue="1"/>
  </conditionalFormatting>
  <conditionalFormatting sqref="Y63">
    <cfRule type="duplicateValues" dxfId="421" priority="62" stopIfTrue="1"/>
  </conditionalFormatting>
  <conditionalFormatting sqref="Y64">
    <cfRule type="duplicateValues" dxfId="420" priority="63" stopIfTrue="1"/>
  </conditionalFormatting>
  <conditionalFormatting sqref="Y60">
    <cfRule type="duplicateValues" dxfId="419" priority="64" stopIfTrue="1"/>
  </conditionalFormatting>
  <conditionalFormatting sqref="Y48">
    <cfRule type="duplicateValues" dxfId="418" priority="57" stopIfTrue="1"/>
  </conditionalFormatting>
  <conditionalFormatting sqref="Y52">
    <cfRule type="duplicateValues" dxfId="417" priority="58" stopIfTrue="1"/>
  </conditionalFormatting>
  <conditionalFormatting sqref="Y53">
    <cfRule type="duplicateValues" dxfId="416" priority="59" stopIfTrue="1"/>
  </conditionalFormatting>
  <conditionalFormatting sqref="Y49">
    <cfRule type="duplicateValues" dxfId="415" priority="60" stopIfTrue="1"/>
  </conditionalFormatting>
  <conditionalFormatting sqref="Y40">
    <cfRule type="duplicateValues" dxfId="414" priority="51" stopIfTrue="1"/>
    <cfRule type="duplicateValues" dxfId="413" priority="52" stopIfTrue="1"/>
  </conditionalFormatting>
  <conditionalFormatting sqref="Y44">
    <cfRule type="duplicateValues" dxfId="412" priority="53" stopIfTrue="1"/>
    <cfRule type="duplicateValues" dxfId="411" priority="54" stopIfTrue="1"/>
  </conditionalFormatting>
  <conditionalFormatting sqref="Y45">
    <cfRule type="duplicateValues" dxfId="410" priority="55" stopIfTrue="1"/>
  </conditionalFormatting>
  <conditionalFormatting sqref="Y41">
    <cfRule type="duplicateValues" dxfId="409" priority="56" stopIfTrue="1"/>
  </conditionalFormatting>
  <conditionalFormatting sqref="Y29:Z29">
    <cfRule type="duplicateValues" dxfId="408" priority="45" stopIfTrue="1"/>
    <cfRule type="duplicateValues" dxfId="407" priority="46" stopIfTrue="1"/>
  </conditionalFormatting>
  <conditionalFormatting sqref="Y33">
    <cfRule type="duplicateValues" dxfId="406" priority="47" stopIfTrue="1"/>
    <cfRule type="duplicateValues" dxfId="405" priority="48" stopIfTrue="1"/>
  </conditionalFormatting>
  <conditionalFormatting sqref="Y34">
    <cfRule type="duplicateValues" dxfId="404" priority="49" stopIfTrue="1"/>
  </conditionalFormatting>
  <conditionalFormatting sqref="Y30:Z30">
    <cfRule type="duplicateValues" dxfId="403" priority="50" stopIfTrue="1"/>
  </conditionalFormatting>
  <conditionalFormatting sqref="F101">
    <cfRule type="duplicateValues" dxfId="402" priority="43" stopIfTrue="1"/>
  </conditionalFormatting>
  <conditionalFormatting sqref="F102">
    <cfRule type="duplicateValues" dxfId="401" priority="44" stopIfTrue="1"/>
  </conditionalFormatting>
  <conditionalFormatting sqref="X64">
    <cfRule type="duplicateValues" dxfId="400" priority="42" stopIfTrue="1"/>
  </conditionalFormatting>
  <conditionalFormatting sqref="U49">
    <cfRule type="duplicateValues" dxfId="399" priority="41" stopIfTrue="1"/>
  </conditionalFormatting>
  <conditionalFormatting sqref="D40">
    <cfRule type="duplicateValues" dxfId="398" priority="38" stopIfTrue="1"/>
    <cfRule type="duplicateValues" dxfId="397" priority="39" stopIfTrue="1"/>
  </conditionalFormatting>
  <conditionalFormatting sqref="D41">
    <cfRule type="duplicateValues" dxfId="396" priority="40" stopIfTrue="1"/>
  </conditionalFormatting>
  <conditionalFormatting sqref="M71:V71">
    <cfRule type="duplicateValues" dxfId="395" priority="21783" stopIfTrue="1"/>
  </conditionalFormatting>
  <conditionalFormatting sqref="M72:V72">
    <cfRule type="duplicateValues" dxfId="394" priority="21785" stopIfTrue="1"/>
  </conditionalFormatting>
  <conditionalFormatting sqref="D120:AA120">
    <cfRule type="duplicateValues" dxfId="393" priority="21795" stopIfTrue="1"/>
  </conditionalFormatting>
  <conditionalFormatting sqref="D105:AA105">
    <cfRule type="duplicateValues" dxfId="392" priority="21797" stopIfTrue="1"/>
  </conditionalFormatting>
  <conditionalFormatting sqref="D109:AA109">
    <cfRule type="duplicateValues" dxfId="391" priority="21799" stopIfTrue="1"/>
  </conditionalFormatting>
  <conditionalFormatting sqref="D116:AA116">
    <cfRule type="duplicateValues" dxfId="390" priority="21801" stopIfTrue="1"/>
  </conditionalFormatting>
  <conditionalFormatting sqref="D106:AA106">
    <cfRule type="duplicateValues" dxfId="389" priority="21803" stopIfTrue="1"/>
  </conditionalFormatting>
  <conditionalFormatting sqref="D110:AA110">
    <cfRule type="duplicateValues" dxfId="388" priority="21805" stopIfTrue="1"/>
  </conditionalFormatting>
  <conditionalFormatting sqref="D117:AA117">
    <cfRule type="duplicateValues" dxfId="387" priority="21807" stopIfTrue="1"/>
  </conditionalFormatting>
  <conditionalFormatting sqref="D121:AA121">
    <cfRule type="duplicateValues" dxfId="386" priority="21809" stopIfTrue="1"/>
  </conditionalFormatting>
  <conditionalFormatting sqref="D124:AA124">
    <cfRule type="duplicateValues" dxfId="385" priority="21811" stopIfTrue="1"/>
  </conditionalFormatting>
  <conditionalFormatting sqref="D128:AA128">
    <cfRule type="duplicateValues" dxfId="384" priority="21813" stopIfTrue="1"/>
  </conditionalFormatting>
  <conditionalFormatting sqref="D132:AA132">
    <cfRule type="duplicateValues" dxfId="383" priority="21815" stopIfTrue="1"/>
  </conditionalFormatting>
  <conditionalFormatting sqref="D135:AA135">
    <cfRule type="duplicateValues" dxfId="382" priority="21817" stopIfTrue="1"/>
  </conditionalFormatting>
  <conditionalFormatting sqref="D138:AA138">
    <cfRule type="duplicateValues" dxfId="381" priority="21819" stopIfTrue="1"/>
  </conditionalFormatting>
  <conditionalFormatting sqref="D141:AA141">
    <cfRule type="duplicateValues" dxfId="380" priority="21821" stopIfTrue="1"/>
  </conditionalFormatting>
  <conditionalFormatting sqref="D147:AA147">
    <cfRule type="duplicateValues" dxfId="379" priority="21823" stopIfTrue="1"/>
  </conditionalFormatting>
  <conditionalFormatting sqref="D150:AA150">
    <cfRule type="duplicateValues" dxfId="378" priority="21825" stopIfTrue="1"/>
  </conditionalFormatting>
  <conditionalFormatting sqref="D153:AA153">
    <cfRule type="duplicateValues" dxfId="377" priority="21827" stopIfTrue="1"/>
  </conditionalFormatting>
  <conditionalFormatting sqref="D156:AA156">
    <cfRule type="duplicateValues" dxfId="376" priority="21829" stopIfTrue="1"/>
  </conditionalFormatting>
  <conditionalFormatting sqref="D159:AA159">
    <cfRule type="duplicateValues" dxfId="375" priority="21831" stopIfTrue="1"/>
  </conditionalFormatting>
  <conditionalFormatting sqref="D162:AA162">
    <cfRule type="duplicateValues" dxfId="374" priority="21833" stopIfTrue="1"/>
  </conditionalFormatting>
  <conditionalFormatting sqref="D125:AA125">
    <cfRule type="duplicateValues" dxfId="373" priority="21835" stopIfTrue="1"/>
  </conditionalFormatting>
  <conditionalFormatting sqref="D129:AA129">
    <cfRule type="duplicateValues" dxfId="372" priority="21837" stopIfTrue="1"/>
  </conditionalFormatting>
  <conditionalFormatting sqref="D133:AA133">
    <cfRule type="duplicateValues" dxfId="371" priority="21839" stopIfTrue="1"/>
  </conditionalFormatting>
  <conditionalFormatting sqref="D136:AA136">
    <cfRule type="duplicateValues" dxfId="370" priority="21841" stopIfTrue="1"/>
  </conditionalFormatting>
  <conditionalFormatting sqref="D139:AA139">
    <cfRule type="duplicateValues" dxfId="369" priority="21843" stopIfTrue="1"/>
  </conditionalFormatting>
  <conditionalFormatting sqref="D142:AA142">
    <cfRule type="duplicateValues" dxfId="368" priority="21845" stopIfTrue="1"/>
  </conditionalFormatting>
  <conditionalFormatting sqref="D148:AA148">
    <cfRule type="duplicateValues" dxfId="367" priority="21847" stopIfTrue="1"/>
  </conditionalFormatting>
  <conditionalFormatting sqref="D151:AA151">
    <cfRule type="duplicateValues" dxfId="366" priority="21849" stopIfTrue="1"/>
  </conditionalFormatting>
  <conditionalFormatting sqref="D154:AA154">
    <cfRule type="duplicateValues" dxfId="365" priority="21851" stopIfTrue="1"/>
  </conditionalFormatting>
  <conditionalFormatting sqref="D157:AA157">
    <cfRule type="duplicateValues" dxfId="364" priority="21853" stopIfTrue="1"/>
  </conditionalFormatting>
  <conditionalFormatting sqref="D160:AA160">
    <cfRule type="duplicateValues" dxfId="363" priority="21855" stopIfTrue="1"/>
  </conditionalFormatting>
  <conditionalFormatting sqref="D163:AA163">
    <cfRule type="duplicateValues" dxfId="362" priority="21857" stopIfTrue="1"/>
  </conditionalFormatting>
  <conditionalFormatting sqref="Z11">
    <cfRule type="duplicateValues" dxfId="38" priority="36" stopIfTrue="1"/>
  </conditionalFormatting>
  <conditionalFormatting sqref="Z10">
    <cfRule type="duplicateValues" dxfId="37" priority="37" stopIfTrue="1"/>
  </conditionalFormatting>
  <conditionalFormatting sqref="Z15">
    <cfRule type="duplicateValues" dxfId="36" priority="34" stopIfTrue="1"/>
  </conditionalFormatting>
  <conditionalFormatting sqref="Z14">
    <cfRule type="duplicateValues" dxfId="35" priority="35" stopIfTrue="1"/>
  </conditionalFormatting>
  <conditionalFormatting sqref="Z22">
    <cfRule type="duplicateValues" dxfId="34" priority="32" stopIfTrue="1"/>
  </conditionalFormatting>
  <conditionalFormatting sqref="Z21">
    <cfRule type="duplicateValues" dxfId="33" priority="33" stopIfTrue="1"/>
  </conditionalFormatting>
  <conditionalFormatting sqref="Z33">
    <cfRule type="duplicateValues" dxfId="32" priority="29" stopIfTrue="1"/>
    <cfRule type="duplicateValues" dxfId="31" priority="30" stopIfTrue="1"/>
  </conditionalFormatting>
  <conditionalFormatting sqref="Z34">
    <cfRule type="duplicateValues" dxfId="30" priority="31" stopIfTrue="1"/>
  </conditionalFormatting>
  <conditionalFormatting sqref="Z40">
    <cfRule type="duplicateValues" dxfId="29" priority="26" stopIfTrue="1"/>
    <cfRule type="duplicateValues" dxfId="28" priority="27" stopIfTrue="1"/>
  </conditionalFormatting>
  <conditionalFormatting sqref="Z41">
    <cfRule type="duplicateValues" dxfId="27" priority="28" stopIfTrue="1"/>
  </conditionalFormatting>
  <conditionalFormatting sqref="Z44">
    <cfRule type="duplicateValues" dxfId="26" priority="23" stopIfTrue="1"/>
    <cfRule type="duplicateValues" dxfId="25" priority="24" stopIfTrue="1"/>
  </conditionalFormatting>
  <conditionalFormatting sqref="Z45">
    <cfRule type="duplicateValues" dxfId="24" priority="25" stopIfTrue="1"/>
  </conditionalFormatting>
  <conditionalFormatting sqref="Z48">
    <cfRule type="duplicateValues" dxfId="23" priority="21" stopIfTrue="1"/>
  </conditionalFormatting>
  <conditionalFormatting sqref="Z49">
    <cfRule type="duplicateValues" dxfId="22" priority="22" stopIfTrue="1"/>
  </conditionalFormatting>
  <conditionalFormatting sqref="Z52">
    <cfRule type="duplicateValues" dxfId="21" priority="19" stopIfTrue="1"/>
  </conditionalFormatting>
  <conditionalFormatting sqref="Z53">
    <cfRule type="duplicateValues" dxfId="20" priority="20" stopIfTrue="1"/>
  </conditionalFormatting>
  <conditionalFormatting sqref="Z59">
    <cfRule type="duplicateValues" dxfId="19" priority="17" stopIfTrue="1"/>
  </conditionalFormatting>
  <conditionalFormatting sqref="Z60">
    <cfRule type="duplicateValues" dxfId="18" priority="18" stopIfTrue="1"/>
  </conditionalFormatting>
  <conditionalFormatting sqref="Z63">
    <cfRule type="duplicateValues" dxfId="17" priority="15" stopIfTrue="1"/>
  </conditionalFormatting>
  <conditionalFormatting sqref="Z64">
    <cfRule type="duplicateValues" dxfId="16" priority="16" stopIfTrue="1"/>
  </conditionalFormatting>
  <conditionalFormatting sqref="Z67">
    <cfRule type="duplicateValues" dxfId="15" priority="13" stopIfTrue="1"/>
  </conditionalFormatting>
  <conditionalFormatting sqref="Z68">
    <cfRule type="duplicateValues" dxfId="14" priority="14" stopIfTrue="1"/>
  </conditionalFormatting>
  <conditionalFormatting sqref="Z71">
    <cfRule type="duplicateValues" dxfId="11" priority="11" stopIfTrue="1"/>
  </conditionalFormatting>
  <conditionalFormatting sqref="Z72">
    <cfRule type="duplicateValues" dxfId="10" priority="12" stopIfTrue="1"/>
  </conditionalFormatting>
  <conditionalFormatting sqref="Z78">
    <cfRule type="duplicateValues" dxfId="9" priority="9" stopIfTrue="1"/>
  </conditionalFormatting>
  <conditionalFormatting sqref="Z79">
    <cfRule type="duplicateValues" dxfId="8" priority="10" stopIfTrue="1"/>
  </conditionalFormatting>
  <conditionalFormatting sqref="Z82">
    <cfRule type="duplicateValues" dxfId="7" priority="7" stopIfTrue="1"/>
  </conditionalFormatting>
  <conditionalFormatting sqref="Z83">
    <cfRule type="duplicateValues" dxfId="6" priority="8" stopIfTrue="1"/>
  </conditionalFormatting>
  <conditionalFormatting sqref="Z86">
    <cfRule type="duplicateValues" dxfId="5" priority="5" stopIfTrue="1"/>
  </conditionalFormatting>
  <conditionalFormatting sqref="Z87">
    <cfRule type="duplicateValues" dxfId="4" priority="6" stopIfTrue="1"/>
  </conditionalFormatting>
  <conditionalFormatting sqref="Z90">
    <cfRule type="duplicateValues" dxfId="3" priority="3" stopIfTrue="1"/>
  </conditionalFormatting>
  <conditionalFormatting sqref="Z91">
    <cfRule type="duplicateValues" dxfId="2" priority="4" stopIfTrue="1"/>
  </conditionalFormatting>
  <conditionalFormatting sqref="Z97">
    <cfRule type="duplicateValues" dxfId="1" priority="1" stopIfTrue="1"/>
  </conditionalFormatting>
  <conditionalFormatting sqref="Z98">
    <cfRule type="duplicateValues" dxfId="0" priority="2" stopIfTrue="1"/>
  </conditionalFormatting>
  <pageMargins left="0" right="0" top="0" bottom="0" header="0.55000000000000004" footer="0.3"/>
  <pageSetup paperSize="615" scale="40" fitToWidth="0" pageOrder="overThenDown" orientation="portrait" horizontalDpi="4294967293" r:id="rId1"/>
  <colBreaks count="2" manualBreakCount="2">
    <brk id="38" max="1048575" man="1"/>
    <brk id="8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W285"/>
  <sheetViews>
    <sheetView zoomScale="55" zoomScaleNormal="55" workbookViewId="0">
      <pane xSplit="3" ySplit="11" topLeftCell="Q198" activePane="bottomRight" state="frozen"/>
      <selection pane="topRight" activeCell="D1" sqref="D1"/>
      <selection pane="bottomLeft" activeCell="A6" sqref="A6"/>
      <selection pane="bottomRight" activeCell="D13" sqref="D13"/>
    </sheetView>
  </sheetViews>
  <sheetFormatPr defaultColWidth="8.90625" defaultRowHeight="15" x14ac:dyDescent="0.25"/>
  <cols>
    <col min="1" max="2" width="8.90625" style="7"/>
    <col min="3" max="3" width="14.1796875" style="7" bestFit="1" customWidth="1"/>
    <col min="4" max="4" width="13.90625" style="7" bestFit="1" customWidth="1"/>
    <col min="5" max="5" width="14.81640625" style="7" bestFit="1" customWidth="1"/>
    <col min="6" max="6" width="16.36328125" style="7" bestFit="1" customWidth="1"/>
    <col min="7" max="7" width="13.81640625" style="7" bestFit="1" customWidth="1"/>
    <col min="8" max="8" width="13.90625" style="7" bestFit="1" customWidth="1"/>
    <col min="9" max="9" width="14" style="7" bestFit="1" customWidth="1"/>
    <col min="10" max="10" width="10.6328125" style="7" bestFit="1" customWidth="1"/>
    <col min="11" max="11" width="13.1796875" style="7" bestFit="1" customWidth="1"/>
    <col min="12" max="12" width="12.36328125" style="7" bestFit="1" customWidth="1"/>
    <col min="13" max="13" width="13.90625" style="7" bestFit="1" customWidth="1"/>
    <col min="14" max="14" width="15.6328125" style="7" bestFit="1" customWidth="1"/>
    <col min="15" max="16" width="13.90625" style="7" bestFit="1" customWidth="1"/>
    <col min="17" max="17" width="15.6328125" style="7" bestFit="1" customWidth="1"/>
    <col min="18" max="19" width="13.90625" style="7" bestFit="1" customWidth="1"/>
    <col min="20" max="20" width="15.6328125" style="7" bestFit="1" customWidth="1"/>
    <col min="21" max="21" width="13.453125" style="7" bestFit="1" customWidth="1"/>
    <col min="22" max="22" width="14" style="7" bestFit="1" customWidth="1"/>
    <col min="23" max="23" width="12.6328125" style="7" bestFit="1" customWidth="1"/>
    <col min="24" max="24" width="13.54296875" style="7" bestFit="1" customWidth="1"/>
    <col min="25" max="25" width="12.08984375" style="7" bestFit="1" customWidth="1"/>
    <col min="26" max="27" width="11" style="7" bestFit="1" customWidth="1"/>
    <col min="28" max="28" width="10.08984375" style="7" bestFit="1" customWidth="1"/>
    <col min="29" max="29" width="11.81640625" style="7" customWidth="1"/>
    <col min="30" max="32" width="12.1796875" style="7" bestFit="1" customWidth="1"/>
    <col min="33" max="34" width="12.1796875" style="7" customWidth="1"/>
    <col min="35" max="16384" width="8.90625" style="96"/>
  </cols>
  <sheetData>
    <row r="1" spans="1:153" ht="15.6" hidden="1" thickBot="1" x14ac:dyDescent="0.3"/>
    <row r="2" spans="1:153" ht="28.8" hidden="1" thickBot="1" x14ac:dyDescent="0.55000000000000004">
      <c r="N2" s="510" t="s">
        <v>60</v>
      </c>
      <c r="O2" s="510"/>
      <c r="P2" s="510"/>
      <c r="Q2" s="510"/>
      <c r="R2" s="510"/>
      <c r="S2" s="510"/>
      <c r="T2" s="510"/>
      <c r="U2" s="510"/>
      <c r="V2" s="510"/>
      <c r="W2" s="510"/>
      <c r="X2" s="510"/>
    </row>
    <row r="3" spans="1:153" ht="21" hidden="1" thickBot="1" x14ac:dyDescent="0.4">
      <c r="N3" s="511" t="s">
        <v>63</v>
      </c>
      <c r="O3" s="511"/>
      <c r="P3" s="511"/>
      <c r="Q3" s="511"/>
      <c r="R3" s="511"/>
      <c r="S3" s="511"/>
      <c r="T3" s="511"/>
      <c r="U3" s="511"/>
      <c r="V3" s="511"/>
      <c r="W3" s="511"/>
      <c r="X3" s="511"/>
    </row>
    <row r="4" spans="1:153" ht="21" hidden="1" thickBot="1" x14ac:dyDescent="0.4">
      <c r="N4" s="511" t="s">
        <v>61</v>
      </c>
      <c r="O4" s="511"/>
      <c r="P4" s="511"/>
      <c r="Q4" s="511"/>
      <c r="R4" s="511"/>
      <c r="S4" s="511"/>
      <c r="T4" s="511"/>
      <c r="U4" s="511"/>
      <c r="V4" s="511"/>
      <c r="W4" s="511"/>
      <c r="X4" s="511"/>
    </row>
    <row r="5" spans="1:153" ht="16.2" hidden="1" thickBot="1" x14ac:dyDescent="0.35">
      <c r="N5" s="512" t="s">
        <v>62</v>
      </c>
      <c r="O5" s="512"/>
      <c r="P5" s="512"/>
      <c r="Q5" s="512"/>
      <c r="R5" s="512"/>
      <c r="S5" s="512"/>
      <c r="T5" s="512"/>
      <c r="U5" s="512"/>
      <c r="V5" s="512"/>
      <c r="W5" s="512"/>
      <c r="X5" s="512"/>
    </row>
    <row r="6" spans="1:153" ht="16.2" hidden="1" thickBot="1" x14ac:dyDescent="0.35">
      <c r="N6" s="512" t="s">
        <v>64</v>
      </c>
      <c r="O6" s="512"/>
      <c r="P6" s="512"/>
      <c r="Q6" s="512"/>
      <c r="R6" s="512"/>
      <c r="S6" s="512"/>
      <c r="T6" s="512"/>
      <c r="U6" s="512"/>
      <c r="V6" s="512"/>
    </row>
    <row r="7" spans="1:153" ht="15.6" hidden="1" thickBot="1" x14ac:dyDescent="0.3"/>
    <row r="8" spans="1:153" ht="15.6" hidden="1" thickBot="1" x14ac:dyDescent="0.3"/>
    <row r="9" spans="1:153" ht="27" thickTop="1" x14ac:dyDescent="0.45">
      <c r="A9" s="90"/>
      <c r="B9" s="1" t="s">
        <v>0</v>
      </c>
      <c r="C9" s="2" t="s">
        <v>1</v>
      </c>
      <c r="D9" s="91" t="s">
        <v>193</v>
      </c>
      <c r="E9" s="91" t="s">
        <v>92</v>
      </c>
      <c r="F9" s="91" t="s">
        <v>21</v>
      </c>
      <c r="G9" s="91" t="s">
        <v>24</v>
      </c>
      <c r="H9" s="91" t="s">
        <v>19</v>
      </c>
      <c r="I9" s="91" t="s">
        <v>29</v>
      </c>
      <c r="J9" s="91" t="s">
        <v>4</v>
      </c>
      <c r="K9" s="91" t="s">
        <v>13</v>
      </c>
      <c r="L9" s="91" t="s">
        <v>20</v>
      </c>
      <c r="M9" s="91" t="s">
        <v>27</v>
      </c>
      <c r="N9" s="91" t="s">
        <v>5</v>
      </c>
      <c r="O9" s="91" t="s">
        <v>26</v>
      </c>
      <c r="P9" s="91" t="s">
        <v>15</v>
      </c>
      <c r="Q9" s="91" t="s">
        <v>6</v>
      </c>
      <c r="R9" s="91" t="s">
        <v>14</v>
      </c>
      <c r="S9" s="91" t="s">
        <v>46</v>
      </c>
      <c r="T9" s="91" t="s">
        <v>16</v>
      </c>
      <c r="U9" s="91" t="s">
        <v>18</v>
      </c>
      <c r="V9" s="91" t="s">
        <v>17</v>
      </c>
      <c r="W9" s="91" t="s">
        <v>23</v>
      </c>
      <c r="X9" s="91" t="s">
        <v>22</v>
      </c>
      <c r="Y9" s="91" t="s">
        <v>53</v>
      </c>
      <c r="Z9" s="91" t="s">
        <v>30</v>
      </c>
      <c r="AA9" s="91" t="s">
        <v>59</v>
      </c>
      <c r="AB9" s="91" t="s">
        <v>57</v>
      </c>
      <c r="AC9" s="91" t="s">
        <v>86</v>
      </c>
      <c r="AD9" s="91" t="s">
        <v>85</v>
      </c>
      <c r="AE9" s="91" t="s">
        <v>84</v>
      </c>
      <c r="AF9" s="91" t="s">
        <v>136</v>
      </c>
      <c r="AG9" s="91" t="s">
        <v>93</v>
      </c>
      <c r="AH9" s="263" t="s">
        <v>87</v>
      </c>
      <c r="AI9" s="287" t="s">
        <v>1</v>
      </c>
      <c r="AJ9" s="1" t="s">
        <v>0</v>
      </c>
    </row>
    <row r="10" spans="1:153" ht="26.4" x14ac:dyDescent="0.45">
      <c r="A10" s="90"/>
      <c r="B10" s="3" t="s">
        <v>2</v>
      </c>
      <c r="C10" s="4" t="s">
        <v>0</v>
      </c>
      <c r="D10" s="92" t="s">
        <v>40</v>
      </c>
      <c r="E10" s="92" t="s">
        <v>31</v>
      </c>
      <c r="F10" s="92" t="s">
        <v>35</v>
      </c>
      <c r="G10" s="92" t="s">
        <v>32</v>
      </c>
      <c r="H10" s="92" t="s">
        <v>33</v>
      </c>
      <c r="I10" s="92" t="s">
        <v>34</v>
      </c>
      <c r="J10" s="92" t="s">
        <v>36</v>
      </c>
      <c r="K10" s="92" t="s">
        <v>37</v>
      </c>
      <c r="L10" s="92" t="s">
        <v>38</v>
      </c>
      <c r="M10" s="92" t="s">
        <v>39</v>
      </c>
      <c r="N10" s="92" t="s">
        <v>41</v>
      </c>
      <c r="O10" s="92" t="s">
        <v>42</v>
      </c>
      <c r="P10" s="92" t="s">
        <v>43</v>
      </c>
      <c r="Q10" s="92" t="s">
        <v>44</v>
      </c>
      <c r="R10" s="92" t="s">
        <v>45</v>
      </c>
      <c r="S10" s="92" t="s">
        <v>47</v>
      </c>
      <c r="T10" s="92" t="s">
        <v>48</v>
      </c>
      <c r="U10" s="92" t="s">
        <v>49</v>
      </c>
      <c r="V10" s="92" t="s">
        <v>50</v>
      </c>
      <c r="W10" s="92" t="s">
        <v>51</v>
      </c>
      <c r="X10" s="92" t="s">
        <v>52</v>
      </c>
      <c r="Y10" s="92" t="s">
        <v>54</v>
      </c>
      <c r="Z10" s="92" t="s">
        <v>55</v>
      </c>
      <c r="AA10" s="92" t="s">
        <v>56</v>
      </c>
      <c r="AB10" s="92" t="s">
        <v>58</v>
      </c>
      <c r="AC10" s="289" t="s">
        <v>137</v>
      </c>
      <c r="AD10" s="92" t="s">
        <v>137</v>
      </c>
      <c r="AE10" s="92" t="s">
        <v>137</v>
      </c>
      <c r="AF10" s="289" t="s">
        <v>192</v>
      </c>
      <c r="AG10" s="92" t="s">
        <v>137</v>
      </c>
      <c r="AH10" s="264" t="s">
        <v>137</v>
      </c>
      <c r="AI10" s="288" t="s">
        <v>0</v>
      </c>
      <c r="AJ10" s="3" t="s">
        <v>2</v>
      </c>
    </row>
    <row r="11" spans="1:153" ht="27" thickBot="1" x14ac:dyDescent="0.5">
      <c r="A11" s="90"/>
      <c r="B11" s="3"/>
      <c r="C11" s="4" t="s">
        <v>3</v>
      </c>
      <c r="D11" s="93">
        <v>40</v>
      </c>
      <c r="E11" s="93">
        <v>70</v>
      </c>
      <c r="F11" s="93">
        <v>40</v>
      </c>
      <c r="G11" s="93">
        <v>30</v>
      </c>
      <c r="H11" s="93">
        <v>30</v>
      </c>
      <c r="I11" s="93">
        <v>20</v>
      </c>
      <c r="J11" s="93">
        <v>40</v>
      </c>
      <c r="K11" s="93">
        <v>35</v>
      </c>
      <c r="L11" s="93">
        <v>40</v>
      </c>
      <c r="M11" s="93">
        <v>35</v>
      </c>
      <c r="N11" s="93">
        <v>70</v>
      </c>
      <c r="O11" s="93">
        <v>35</v>
      </c>
      <c r="P11" s="93">
        <v>20</v>
      </c>
      <c r="Q11" s="93">
        <v>70</v>
      </c>
      <c r="R11" s="93">
        <v>35</v>
      </c>
      <c r="S11" s="93">
        <v>35</v>
      </c>
      <c r="T11" s="93">
        <v>70</v>
      </c>
      <c r="U11" s="93">
        <v>45</v>
      </c>
      <c r="V11" s="93">
        <v>45</v>
      </c>
      <c r="W11" s="93">
        <v>45</v>
      </c>
      <c r="X11" s="93">
        <v>40</v>
      </c>
      <c r="Y11" s="93">
        <v>30</v>
      </c>
      <c r="Z11" s="93">
        <v>80</v>
      </c>
      <c r="AA11" s="93">
        <v>80</v>
      </c>
      <c r="AB11" s="93">
        <v>80</v>
      </c>
      <c r="AC11" s="93">
        <v>80</v>
      </c>
      <c r="AD11" s="93">
        <v>80</v>
      </c>
      <c r="AE11" s="93">
        <v>60</v>
      </c>
      <c r="AF11" s="93">
        <v>60</v>
      </c>
      <c r="AG11" s="93">
        <v>60</v>
      </c>
      <c r="AH11" s="265">
        <v>60</v>
      </c>
      <c r="AI11" s="288" t="s">
        <v>3</v>
      </c>
      <c r="AJ11" s="3"/>
    </row>
    <row r="12" spans="1:153" ht="27" thickTop="1" x14ac:dyDescent="0.45">
      <c r="B12" s="522" t="s">
        <v>11</v>
      </c>
      <c r="C12" s="38">
        <v>7</v>
      </c>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266"/>
      <c r="AD12" s="266"/>
      <c r="AE12" s="266"/>
      <c r="AF12" s="266"/>
      <c r="AG12" s="266"/>
      <c r="AH12" s="266"/>
      <c r="AI12" s="38">
        <v>7</v>
      </c>
      <c r="AJ12" s="522" t="s">
        <v>11</v>
      </c>
      <c r="EW12" s="532"/>
    </row>
    <row r="13" spans="1:153" ht="26.4" x14ac:dyDescent="0.45">
      <c r="B13" s="523"/>
      <c r="C13" s="39"/>
      <c r="D13" s="12">
        <f>COUNTIF(TIMETABLE!D10:W10,"EA005")</f>
        <v>0</v>
      </c>
      <c r="E13" s="12">
        <f>COUNTIF(TIMETABLE!D10:W10,"EA006")</f>
        <v>0</v>
      </c>
      <c r="F13" s="12">
        <f>COUNTIF(TIMETABLE!D10:W10,"EA009/10")</f>
        <v>0</v>
      </c>
      <c r="G13" s="12">
        <f>COUNTIF(TIMETABLE!D10:W10,"EA012")</f>
        <v>0</v>
      </c>
      <c r="H13" s="12">
        <f>COUNTIF(TIMETABLE!D10:W10,"EA015")</f>
        <v>0</v>
      </c>
      <c r="I13" s="12">
        <f>COUNTIF(TIMETABLE!D10:W10,"EA104")</f>
        <v>0</v>
      </c>
      <c r="J13" s="12">
        <f>COUNTIF(TIMETABLE!D10:W10,"EA105")</f>
        <v>0</v>
      </c>
      <c r="K13" s="12">
        <f>COUNTIF(TIMETABLE!D10:W10,"EA107")</f>
        <v>0</v>
      </c>
      <c r="L13" s="12">
        <f>COUNTIF(TIMETABLE!D10:W10,"EA108")</f>
        <v>0</v>
      </c>
      <c r="M13" s="12">
        <f>COUNTIF(TIMETABLE!D10:W10,"EB006")</f>
        <v>0</v>
      </c>
      <c r="N13" s="12">
        <f>COUNTIF(TIMETABLE!D10:W10,"EB007")</f>
        <v>0</v>
      </c>
      <c r="O13" s="12">
        <f>COUNTIF(TIMETABLE!D10:W10,"EB013")</f>
        <v>0</v>
      </c>
      <c r="P13" s="12">
        <f>COUNTIF(TIMETABLE!L10:W10,"EB104")</f>
        <v>0</v>
      </c>
      <c r="Q13" s="12">
        <f>COUNTIF(TIMETABLE!D10:W10,"EB105")</f>
        <v>0</v>
      </c>
      <c r="R13" s="12">
        <f>COUNTIF(TIMETABLE!D10:W10,"EB107")</f>
        <v>0</v>
      </c>
      <c r="S13" s="12">
        <f>COUNTIF(TIMETABLE!D10:W10,"EB109")</f>
        <v>0</v>
      </c>
      <c r="T13" s="12">
        <f>COUNTIF(TIMETABLE!D10:W10,"EB110")</f>
        <v>0</v>
      </c>
      <c r="U13" s="12">
        <f>COUNTIF(TIMETABLE!D10:W10,"MA111")</f>
        <v>0</v>
      </c>
      <c r="V13" s="12">
        <f>COUNTIF(TIMETABLE!D10:W10,"MA209")</f>
        <v>0</v>
      </c>
      <c r="W13" s="12">
        <f>COUNTIF(TIMETABLE!D10:W10,"MA212")</f>
        <v>0</v>
      </c>
      <c r="X13" s="12">
        <f>COUNTIF(TIMETABLE!D10:W10,"DO3")</f>
        <v>0</v>
      </c>
      <c r="Y13" s="12">
        <f>COUNTIF(TIMETABLE!D10:W10,"RM2")</f>
        <v>0</v>
      </c>
      <c r="Z13" s="12">
        <f>COUNTIF(TIMETABLE!D10:W10,"MZ01")</f>
        <v>0</v>
      </c>
      <c r="AA13" s="12">
        <f>COUNTIF(TIMETABLE!D10:W10,"MZ02")</f>
        <v>0</v>
      </c>
      <c r="AB13" s="12">
        <f>COUNTIF(TIMETABLE!D10:W10,"RM3")</f>
        <v>0</v>
      </c>
      <c r="AC13" s="267">
        <f>COUNTIF(TIMETABLE!D10:W10,"FET203")</f>
        <v>0</v>
      </c>
      <c r="AD13" s="267">
        <f>COUNTIF(TIMETABLE!D10:W10,"FET205")</f>
        <v>0</v>
      </c>
      <c r="AE13" s="267">
        <f>COUNTIF(TIMETABLE!D10:W10,"FET207")</f>
        <v>0</v>
      </c>
      <c r="AF13" s="267">
        <f>COUNTIF(TIMETABLE!D10:W10,"FET208")</f>
        <v>0</v>
      </c>
      <c r="AG13" s="267">
        <f>COUNTIF(TIMETABLE!D10:W10,"FET209")</f>
        <v>0</v>
      </c>
      <c r="AH13" s="267">
        <f>COUNTIF(TIMETABLE!D10:W10,"FET210")</f>
        <v>0</v>
      </c>
      <c r="AI13" s="39"/>
      <c r="AJ13" s="523"/>
      <c r="EW13" s="532"/>
    </row>
    <row r="14" spans="1:153" ht="27" thickBot="1" x14ac:dyDescent="0.5">
      <c r="B14" s="523"/>
      <c r="C14" s="11">
        <v>8</v>
      </c>
      <c r="D14" s="77"/>
      <c r="E14" s="77"/>
      <c r="F14" s="77"/>
      <c r="G14" s="77"/>
      <c r="H14" s="77"/>
      <c r="I14" s="77"/>
      <c r="J14" s="77"/>
      <c r="K14" s="77"/>
      <c r="L14" s="77"/>
      <c r="M14" s="77"/>
      <c r="N14" s="77"/>
      <c r="O14" s="77"/>
      <c r="P14" s="77"/>
      <c r="Q14" s="77"/>
      <c r="R14" s="77"/>
      <c r="S14" s="77"/>
      <c r="T14" s="77"/>
      <c r="U14" s="77"/>
      <c r="V14" s="77"/>
      <c r="W14" s="77"/>
      <c r="X14" s="77"/>
      <c r="Y14" s="77"/>
      <c r="Z14" s="77"/>
      <c r="AA14" s="77"/>
      <c r="AB14" s="77"/>
      <c r="AC14" s="268"/>
      <c r="AD14" s="268"/>
      <c r="AE14" s="268"/>
      <c r="AF14" s="268"/>
      <c r="AG14" s="268"/>
      <c r="AH14" s="268"/>
      <c r="AI14" s="11">
        <v>8</v>
      </c>
      <c r="AJ14" s="523"/>
      <c r="EW14" s="532"/>
    </row>
    <row r="15" spans="1:153" ht="26.4" x14ac:dyDescent="0.45">
      <c r="B15" s="523"/>
      <c r="C15" s="16">
        <v>8</v>
      </c>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266"/>
      <c r="AD15" s="266"/>
      <c r="AE15" s="266"/>
      <c r="AF15" s="266"/>
      <c r="AG15" s="266"/>
      <c r="AH15" s="266"/>
      <c r="AI15" s="16">
        <v>8</v>
      </c>
      <c r="AJ15" s="523"/>
      <c r="EW15" s="532"/>
    </row>
    <row r="16" spans="1:153" ht="26.4" x14ac:dyDescent="0.45">
      <c r="B16" s="523"/>
      <c r="C16" s="16"/>
      <c r="D16" s="12" t="e">
        <f>COUNTIF(TIMETABLE!#REF!,"EA005")</f>
        <v>#REF!</v>
      </c>
      <c r="E16" s="12" t="e">
        <f>COUNTIF(TIMETABLE!#REF!,"EA006")</f>
        <v>#REF!</v>
      </c>
      <c r="F16" s="12" t="e">
        <f>COUNTIF(TIMETABLE!#REF!,"EA009/10")</f>
        <v>#REF!</v>
      </c>
      <c r="G16" s="12" t="e">
        <f>COUNTIF(TIMETABLE!#REF!,"EA012")</f>
        <v>#REF!</v>
      </c>
      <c r="H16" s="12" t="e">
        <f>COUNTIF(TIMETABLE!#REF!,"EA015")</f>
        <v>#REF!</v>
      </c>
      <c r="I16" s="12" t="e">
        <f>COUNTIF(TIMETABLE!#REF!,"EA104")</f>
        <v>#REF!</v>
      </c>
      <c r="J16" s="12" t="e">
        <f>COUNTIF(TIMETABLE!#REF!,"EA105")</f>
        <v>#REF!</v>
      </c>
      <c r="K16" s="12" t="e">
        <f>COUNTIF(TIMETABLE!#REF!,"EA107")</f>
        <v>#REF!</v>
      </c>
      <c r="L16" s="12" t="e">
        <f>COUNTIF(TIMETABLE!#REF!,"EA108")</f>
        <v>#REF!</v>
      </c>
      <c r="M16" s="12" t="e">
        <f>COUNTIF(TIMETABLE!#REF!,"EB006")</f>
        <v>#REF!</v>
      </c>
      <c r="N16" s="12" t="e">
        <f>COUNTIF(TIMETABLE!#REF!,"EB007")</f>
        <v>#REF!</v>
      </c>
      <c r="O16" s="12" t="e">
        <f>COUNTIF(TIMETABLE!#REF!,"EB013")</f>
        <v>#REF!</v>
      </c>
      <c r="P16" s="12" t="e">
        <f>COUNTIF(TIMETABLE!#REF!,"EB104")</f>
        <v>#REF!</v>
      </c>
      <c r="Q16" s="12" t="e">
        <f>COUNTIF(TIMETABLE!#REF!,"EB105")</f>
        <v>#REF!</v>
      </c>
      <c r="R16" s="12" t="e">
        <f>COUNTIF(TIMETABLE!#REF!,"EB107")</f>
        <v>#REF!</v>
      </c>
      <c r="S16" s="12" t="e">
        <f>COUNTIF(TIMETABLE!#REF!,"EB109")</f>
        <v>#REF!</v>
      </c>
      <c r="T16" s="12" t="e">
        <f>COUNTIF(TIMETABLE!#REF!,"EB110")</f>
        <v>#REF!</v>
      </c>
      <c r="U16" s="12" t="e">
        <f>COUNTIF(TIMETABLE!#REF!,"MA111")</f>
        <v>#REF!</v>
      </c>
      <c r="V16" s="12" t="e">
        <f>COUNTIF(TIMETABLE!#REF!,"MA209")</f>
        <v>#REF!</v>
      </c>
      <c r="W16" s="12" t="e">
        <f>COUNTIF(TIMETABLE!#REF!,"MA212")</f>
        <v>#REF!</v>
      </c>
      <c r="X16" s="12" t="e">
        <f>COUNTIF(TIMETABLE!#REF!,"DO3")</f>
        <v>#REF!</v>
      </c>
      <c r="Y16" s="12" t="e">
        <f>COUNTIF(TIMETABLE!#REF!,"RM2")</f>
        <v>#REF!</v>
      </c>
      <c r="Z16" s="12" t="e">
        <f>COUNTIF(TIMETABLE!#REF!,"MZ01")</f>
        <v>#REF!</v>
      </c>
      <c r="AA16" s="12" t="e">
        <f>COUNTIF(TIMETABLE!#REF!,"MZ02")</f>
        <v>#REF!</v>
      </c>
      <c r="AB16" s="12" t="e">
        <f>COUNTIF(TIMETABLE!#REF!,"RM3")</f>
        <v>#REF!</v>
      </c>
      <c r="AC16" s="267" t="e">
        <f>COUNTIF(TIMETABLE!#REF!,"FET203")</f>
        <v>#REF!</v>
      </c>
      <c r="AD16" s="267" t="e">
        <f>COUNTIF(TIMETABLE!#REF!,"FET205")</f>
        <v>#REF!</v>
      </c>
      <c r="AE16" s="267" t="e">
        <f>COUNTIF(TIMETABLE!#REF!,"FET207")</f>
        <v>#REF!</v>
      </c>
      <c r="AF16" s="267" t="e">
        <f>COUNTIF(TIMETABLE!#REF!,"FET208")</f>
        <v>#REF!</v>
      </c>
      <c r="AG16" s="267" t="e">
        <f>COUNTIF(TIMETABLE!#REF!,"FET209")</f>
        <v>#REF!</v>
      </c>
      <c r="AH16" s="267" t="e">
        <f>COUNTIF(TIMETABLE!#REF!,"FET210")</f>
        <v>#REF!</v>
      </c>
      <c r="AI16" s="16"/>
      <c r="AJ16" s="523"/>
      <c r="EW16" s="532"/>
    </row>
    <row r="17" spans="2:153" ht="27" thickBot="1" x14ac:dyDescent="0.5">
      <c r="B17" s="523"/>
      <c r="C17" s="11">
        <v>9</v>
      </c>
      <c r="D17" s="77"/>
      <c r="E17" s="77"/>
      <c r="F17" s="77"/>
      <c r="G17" s="77"/>
      <c r="H17" s="77"/>
      <c r="I17" s="77"/>
      <c r="J17" s="77"/>
      <c r="K17" s="77"/>
      <c r="L17" s="77"/>
      <c r="M17" s="77"/>
      <c r="N17" s="77"/>
      <c r="O17" s="77"/>
      <c r="P17" s="77"/>
      <c r="Q17" s="77"/>
      <c r="R17" s="77"/>
      <c r="S17" s="77"/>
      <c r="T17" s="77"/>
      <c r="U17" s="77"/>
      <c r="V17" s="77"/>
      <c r="W17" s="77"/>
      <c r="X17" s="77"/>
      <c r="Y17" s="77"/>
      <c r="Z17" s="77"/>
      <c r="AA17" s="77"/>
      <c r="AB17" s="77"/>
      <c r="AC17" s="268"/>
      <c r="AD17" s="268"/>
      <c r="AE17" s="268"/>
      <c r="AF17" s="268"/>
      <c r="AG17" s="268"/>
      <c r="AH17" s="268"/>
      <c r="AI17" s="11">
        <v>9</v>
      </c>
      <c r="AJ17" s="523"/>
      <c r="EW17" s="532"/>
    </row>
    <row r="18" spans="2:153" ht="26.4" x14ac:dyDescent="0.45">
      <c r="B18" s="523"/>
      <c r="C18" s="16">
        <v>9</v>
      </c>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266"/>
      <c r="AD18" s="266"/>
      <c r="AE18" s="266"/>
      <c r="AF18" s="266"/>
      <c r="AG18" s="266"/>
      <c r="AH18" s="266"/>
      <c r="AI18" s="16">
        <v>9</v>
      </c>
      <c r="AJ18" s="523"/>
      <c r="EW18" s="532"/>
    </row>
    <row r="19" spans="2:153" ht="26.4" x14ac:dyDescent="0.45">
      <c r="B19" s="523"/>
      <c r="C19" s="40"/>
      <c r="D19" s="12" t="e">
        <f>COUNTIF(TIMETABLE!#REF!,"EA005")</f>
        <v>#REF!</v>
      </c>
      <c r="E19" s="12" t="e">
        <f>COUNTIF(TIMETABLE!#REF!,"EA006")</f>
        <v>#REF!</v>
      </c>
      <c r="F19" s="12" t="e">
        <f>COUNTIF(TIMETABLE!#REF!,"EA009/10")</f>
        <v>#REF!</v>
      </c>
      <c r="G19" s="12" t="e">
        <f>COUNTIF(TIMETABLE!#REF!,"EA012")</f>
        <v>#REF!</v>
      </c>
      <c r="H19" s="12" t="e">
        <f>COUNTIF(TIMETABLE!#REF!,"EA015")</f>
        <v>#REF!</v>
      </c>
      <c r="I19" s="12" t="e">
        <f>COUNTIF(TIMETABLE!#REF!,"EA104")</f>
        <v>#REF!</v>
      </c>
      <c r="J19" s="12" t="e">
        <f>COUNTIF(TIMETABLE!#REF!,"EA105")</f>
        <v>#REF!</v>
      </c>
      <c r="K19" s="12" t="e">
        <f>COUNTIF(TIMETABLE!#REF!,"EA107")</f>
        <v>#REF!</v>
      </c>
      <c r="L19" s="12" t="e">
        <f>COUNTIF(TIMETABLE!#REF!,"EA108")</f>
        <v>#REF!</v>
      </c>
      <c r="M19" s="12" t="e">
        <f>COUNTIF(TIMETABLE!#REF!,"EB006")</f>
        <v>#REF!</v>
      </c>
      <c r="N19" s="12" t="e">
        <f>COUNTIF(TIMETABLE!#REF!,"EB007")</f>
        <v>#REF!</v>
      </c>
      <c r="O19" s="12" t="e">
        <f>COUNTIF(TIMETABLE!#REF!,"EB013")</f>
        <v>#REF!</v>
      </c>
      <c r="P19" s="12" t="e">
        <f>COUNTIF(TIMETABLE!#REF!,"EB104")</f>
        <v>#REF!</v>
      </c>
      <c r="Q19" s="12" t="e">
        <f>COUNTIF(TIMETABLE!#REF!,"EB105")</f>
        <v>#REF!</v>
      </c>
      <c r="R19" s="12" t="e">
        <f>COUNTIF(TIMETABLE!#REF!,"EB107")</f>
        <v>#REF!</v>
      </c>
      <c r="S19" s="12" t="e">
        <f>COUNTIF(TIMETABLE!#REF!,"EB109")</f>
        <v>#REF!</v>
      </c>
      <c r="T19" s="12" t="e">
        <f>COUNTIF(TIMETABLE!#REF!,"EB110")</f>
        <v>#REF!</v>
      </c>
      <c r="U19" s="12" t="e">
        <f>COUNTIF(TIMETABLE!#REF!,"MA111")</f>
        <v>#REF!</v>
      </c>
      <c r="V19" s="12" t="e">
        <f>COUNTIF(TIMETABLE!#REF!,"MA209")</f>
        <v>#REF!</v>
      </c>
      <c r="W19" s="12" t="e">
        <f>COUNTIF(TIMETABLE!#REF!,"MA212")</f>
        <v>#REF!</v>
      </c>
      <c r="X19" s="12" t="e">
        <f>COUNTIF(TIMETABLE!#REF!,"DO3")</f>
        <v>#REF!</v>
      </c>
      <c r="Y19" s="12" t="e">
        <f>COUNTIF(TIMETABLE!#REF!,"RM2")</f>
        <v>#REF!</v>
      </c>
      <c r="Z19" s="12" t="e">
        <f>COUNTIF(TIMETABLE!#REF!,"MZ01")</f>
        <v>#REF!</v>
      </c>
      <c r="AA19" s="12" t="e">
        <f>COUNTIF(TIMETABLE!#REF!,"MZ02")</f>
        <v>#REF!</v>
      </c>
      <c r="AB19" s="12" t="e">
        <f>COUNTIF(TIMETABLE!#REF!,"RM3")</f>
        <v>#REF!</v>
      </c>
      <c r="AC19" s="267" t="e">
        <f>COUNTIF(TIMETABLE!#REF!,"FET203")</f>
        <v>#REF!</v>
      </c>
      <c r="AD19" s="267" t="e">
        <f>COUNTIF(TIMETABLE!#REF!,"FET205")</f>
        <v>#REF!</v>
      </c>
      <c r="AE19" s="267" t="e">
        <f>COUNTIF(TIMETABLE!#REF!,"FET207")</f>
        <v>#REF!</v>
      </c>
      <c r="AF19" s="267" t="e">
        <f>COUNTIF(TIMETABLE!#REF!,"FET208")</f>
        <v>#REF!</v>
      </c>
      <c r="AG19" s="267" t="e">
        <f>COUNTIF(TIMETABLE!#REF!,"FET209")</f>
        <v>#REF!</v>
      </c>
      <c r="AH19" s="267" t="e">
        <f>COUNTIF(TIMETABLE!#REF!,"FET210")</f>
        <v>#REF!</v>
      </c>
      <c r="AI19" s="40"/>
      <c r="AJ19" s="523"/>
      <c r="EW19" s="532"/>
    </row>
    <row r="20" spans="2:153" ht="27" thickBot="1" x14ac:dyDescent="0.5">
      <c r="B20" s="523"/>
      <c r="C20" s="11">
        <v>10</v>
      </c>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268"/>
      <c r="AD20" s="268"/>
      <c r="AE20" s="268"/>
      <c r="AF20" s="268"/>
      <c r="AG20" s="268"/>
      <c r="AH20" s="268"/>
      <c r="AI20" s="11">
        <v>10</v>
      </c>
      <c r="AJ20" s="523"/>
      <c r="EW20" s="532"/>
    </row>
    <row r="21" spans="2:153" ht="26.4" x14ac:dyDescent="0.45">
      <c r="B21" s="523"/>
      <c r="C21" s="16">
        <v>10</v>
      </c>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266"/>
      <c r="AD21" s="266"/>
      <c r="AE21" s="266"/>
      <c r="AF21" s="266"/>
      <c r="AG21" s="266"/>
      <c r="AH21" s="266"/>
      <c r="AI21" s="16">
        <v>10</v>
      </c>
      <c r="AJ21" s="523"/>
      <c r="EW21" s="532"/>
    </row>
    <row r="22" spans="2:153" ht="26.4" x14ac:dyDescent="0.45">
      <c r="B22" s="523"/>
      <c r="C22" s="8"/>
      <c r="D22" s="12">
        <f>COUNTIF(TIMETABLE!D14:W14,"EA005")</f>
        <v>0</v>
      </c>
      <c r="E22" s="12">
        <f>COUNTIF(TIMETABLE!D14:W14,"EA006")</f>
        <v>0</v>
      </c>
      <c r="F22" s="12">
        <f>COUNTIF(TIMETABLE!D14:W14,"EA009/10")</f>
        <v>0</v>
      </c>
      <c r="G22" s="12">
        <f>COUNTIF(TIMETABLE!D14:W14,"EA012")</f>
        <v>0</v>
      </c>
      <c r="H22" s="12">
        <f>COUNTIF(TIMETABLE!D14:W14,"EA015")</f>
        <v>0</v>
      </c>
      <c r="I22" s="12">
        <f>COUNTIF(TIMETABLE!D14:W14,"EA104")</f>
        <v>0</v>
      </c>
      <c r="J22" s="12">
        <f>COUNTIF(TIMETABLE!D14:W14,"EA105")</f>
        <v>0</v>
      </c>
      <c r="K22" s="12">
        <f>COUNTIF(TIMETABLE!D14:W14,"EA107")</f>
        <v>0</v>
      </c>
      <c r="L22" s="12">
        <f>COUNTIF(TIMETABLE!D14:W14,"EA108")</f>
        <v>0</v>
      </c>
      <c r="M22" s="12">
        <f>COUNTIF(TIMETABLE!D14:W14,"EB006")</f>
        <v>0</v>
      </c>
      <c r="N22" s="12">
        <f>COUNTIF(TIMETABLE!D14:W14,"EB007")</f>
        <v>0</v>
      </c>
      <c r="O22" s="12">
        <f>COUNTIF(TIMETABLE!D14:W14,"EB013")</f>
        <v>0</v>
      </c>
      <c r="P22" s="12">
        <f>COUNTIF(TIMETABLE!L14:W14,"EB104")</f>
        <v>0</v>
      </c>
      <c r="Q22" s="12">
        <f>COUNTIF(TIMETABLE!D14:W14,"EB105")</f>
        <v>0</v>
      </c>
      <c r="R22" s="12">
        <f>COUNTIF(TIMETABLE!D14:W14,"EB107")</f>
        <v>0</v>
      </c>
      <c r="S22" s="12">
        <f>COUNTIF(TIMETABLE!D14:W14,"EB109")</f>
        <v>0</v>
      </c>
      <c r="T22" s="12">
        <f>COUNTIF(TIMETABLE!D14:W14,"EB110")</f>
        <v>0</v>
      </c>
      <c r="U22" s="12">
        <f>COUNTIF(TIMETABLE!D14:W14,"MA111")</f>
        <v>0</v>
      </c>
      <c r="V22" s="12">
        <f>COUNTIF(TIMETABLE!D14:W14,"MA209")</f>
        <v>0</v>
      </c>
      <c r="W22" s="12">
        <f>COUNTIF(TIMETABLE!D14:W14,"MA212")</f>
        <v>0</v>
      </c>
      <c r="X22" s="12">
        <f>COUNTIF(TIMETABLE!D14:W14,"DO3")</f>
        <v>1</v>
      </c>
      <c r="Y22" s="12">
        <f>COUNTIF(TIMETABLE!D14:W14,"RM2")</f>
        <v>0</v>
      </c>
      <c r="Z22" s="12">
        <f>COUNTIF(TIMETABLE!D14:W14,"MZ01")</f>
        <v>0</v>
      </c>
      <c r="AA22" s="12">
        <f>COUNTIF(TIMETABLE!D14:W14,"MZ02")</f>
        <v>0</v>
      </c>
      <c r="AB22" s="12">
        <f>COUNTIF(TIMETABLE!D14:W14,"RM3")</f>
        <v>0</v>
      </c>
      <c r="AC22" s="267">
        <f>COUNTIF(TIMETABLE!D14:W14,"FET203")</f>
        <v>0</v>
      </c>
      <c r="AD22" s="267">
        <f>COUNTIF(TIMETABLE!D14:W14,"FET205")</f>
        <v>0</v>
      </c>
      <c r="AE22" s="267">
        <f>COUNTIF(TIMETABLE!D14:W14,"FET207")</f>
        <v>0</v>
      </c>
      <c r="AF22" s="267">
        <f>COUNTIF(TIMETABLE!D14:W14,"FET208")</f>
        <v>0</v>
      </c>
      <c r="AG22" s="267">
        <f>COUNTIF(TIMETABLE!D14:W14,"FET209")</f>
        <v>0</v>
      </c>
      <c r="AH22" s="267">
        <f>COUNTIF(TIMETABLE!D14:W14,"FET210")</f>
        <v>0</v>
      </c>
      <c r="AI22" s="8"/>
      <c r="AJ22" s="523"/>
      <c r="EW22" s="532"/>
    </row>
    <row r="23" spans="2:153" ht="27" thickBot="1" x14ac:dyDescent="0.5">
      <c r="B23" s="523"/>
      <c r="C23" s="11">
        <v>11</v>
      </c>
      <c r="D23" s="77"/>
      <c r="E23" s="77"/>
      <c r="F23" s="77"/>
      <c r="G23" s="77"/>
      <c r="H23" s="77"/>
      <c r="I23" s="77"/>
      <c r="J23" s="77"/>
      <c r="K23" s="77"/>
      <c r="L23" s="77"/>
      <c r="M23" s="77"/>
      <c r="N23" s="77"/>
      <c r="O23" s="77"/>
      <c r="P23" s="77"/>
      <c r="Q23" s="77"/>
      <c r="R23" s="77"/>
      <c r="S23" s="77"/>
      <c r="T23" s="77"/>
      <c r="U23" s="77"/>
      <c r="V23" s="77"/>
      <c r="W23" s="77"/>
      <c r="X23" s="77"/>
      <c r="Y23" s="77"/>
      <c r="Z23" s="77"/>
      <c r="AA23" s="77"/>
      <c r="AB23" s="77"/>
      <c r="AC23" s="268"/>
      <c r="AD23" s="268"/>
      <c r="AE23" s="268"/>
      <c r="AF23" s="268"/>
      <c r="AG23" s="268"/>
      <c r="AH23" s="268"/>
      <c r="AI23" s="11">
        <v>11</v>
      </c>
      <c r="AJ23" s="523"/>
      <c r="EW23" s="532"/>
    </row>
    <row r="24" spans="2:153" ht="26.4" x14ac:dyDescent="0.45">
      <c r="B24" s="523"/>
      <c r="C24" s="16">
        <v>11</v>
      </c>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266"/>
      <c r="AD24" s="266"/>
      <c r="AE24" s="266"/>
      <c r="AF24" s="266"/>
      <c r="AG24" s="266"/>
      <c r="AH24" s="266"/>
      <c r="AI24" s="16">
        <v>11</v>
      </c>
      <c r="AJ24" s="523"/>
      <c r="EW24" s="532"/>
    </row>
    <row r="25" spans="2:153" ht="26.4" x14ac:dyDescent="0.45">
      <c r="B25" s="523"/>
      <c r="C25" s="39"/>
      <c r="D25" s="12" t="e">
        <f>COUNTIF(TIMETABLE!#REF!,"EA005")</f>
        <v>#REF!</v>
      </c>
      <c r="E25" s="12" t="e">
        <f>COUNTIF(TIMETABLE!#REF!,"EA006")</f>
        <v>#REF!</v>
      </c>
      <c r="F25" s="12" t="e">
        <f>COUNTIF(TIMETABLE!#REF!,"EA009/10")</f>
        <v>#REF!</v>
      </c>
      <c r="G25" s="12" t="e">
        <f>COUNTIF(TIMETABLE!#REF!,"EA012")</f>
        <v>#REF!</v>
      </c>
      <c r="H25" s="12" t="e">
        <f>COUNTIF(TIMETABLE!#REF!,"EA015")</f>
        <v>#REF!</v>
      </c>
      <c r="I25" s="12" t="e">
        <f>COUNTIF(TIMETABLE!#REF!,"EA104")</f>
        <v>#REF!</v>
      </c>
      <c r="J25" s="12" t="e">
        <f>COUNTIF(TIMETABLE!#REF!,"EA105")</f>
        <v>#REF!</v>
      </c>
      <c r="K25" s="12" t="e">
        <f>COUNTIF(TIMETABLE!#REF!,"EA107")</f>
        <v>#REF!</v>
      </c>
      <c r="L25" s="12" t="e">
        <f>COUNTIF(TIMETABLE!#REF!,"EA108")</f>
        <v>#REF!</v>
      </c>
      <c r="M25" s="12" t="e">
        <f>COUNTIF(TIMETABLE!#REF!,"EB006")</f>
        <v>#REF!</v>
      </c>
      <c r="N25" s="12" t="e">
        <f>COUNTIF(TIMETABLE!#REF!,"EB007")</f>
        <v>#REF!</v>
      </c>
      <c r="O25" s="12" t="e">
        <f>COUNTIF(TIMETABLE!#REF!,"EB013")</f>
        <v>#REF!</v>
      </c>
      <c r="P25" s="12" t="e">
        <f>COUNTIF(TIMETABLE!#REF!,"EB104")</f>
        <v>#REF!</v>
      </c>
      <c r="Q25" s="12" t="e">
        <f>COUNTIF(TIMETABLE!#REF!,"EB105")</f>
        <v>#REF!</v>
      </c>
      <c r="R25" s="12" t="e">
        <f>COUNTIF(TIMETABLE!#REF!,"EB107")</f>
        <v>#REF!</v>
      </c>
      <c r="S25" s="12" t="e">
        <f>COUNTIF(TIMETABLE!#REF!,"EB109")</f>
        <v>#REF!</v>
      </c>
      <c r="T25" s="12" t="e">
        <f>COUNTIF(TIMETABLE!#REF!,"EB110")</f>
        <v>#REF!</v>
      </c>
      <c r="U25" s="12" t="e">
        <f>COUNTIF(TIMETABLE!#REF!,"MA111")</f>
        <v>#REF!</v>
      </c>
      <c r="V25" s="12" t="e">
        <f>COUNTIF(TIMETABLE!#REF!,"MA209")</f>
        <v>#REF!</v>
      </c>
      <c r="W25" s="12" t="e">
        <f>COUNTIF(TIMETABLE!#REF!,"MA212")</f>
        <v>#REF!</v>
      </c>
      <c r="X25" s="12" t="e">
        <f>COUNTIF(TIMETABLE!#REF!,"DO3")</f>
        <v>#REF!</v>
      </c>
      <c r="Y25" s="12" t="e">
        <f>COUNTIF(TIMETABLE!#REF!,"RM2")</f>
        <v>#REF!</v>
      </c>
      <c r="Z25" s="12" t="e">
        <f>COUNTIF(TIMETABLE!#REF!,"MZ01")</f>
        <v>#REF!</v>
      </c>
      <c r="AA25" s="12" t="e">
        <f>COUNTIF(TIMETABLE!#REF!,"MZ02")</f>
        <v>#REF!</v>
      </c>
      <c r="AB25" s="12" t="e">
        <f>COUNTIF(TIMETABLE!#REF!,"RM3")</f>
        <v>#REF!</v>
      </c>
      <c r="AC25" s="267" t="e">
        <f>COUNTIF(TIMETABLE!#REF!,"FET203")</f>
        <v>#REF!</v>
      </c>
      <c r="AD25" s="267" t="e">
        <f>COUNTIF(TIMETABLE!#REF!,"FET205")</f>
        <v>#REF!</v>
      </c>
      <c r="AE25" s="267" t="e">
        <f>COUNTIF(TIMETABLE!#REF!,"FET207")</f>
        <v>#REF!</v>
      </c>
      <c r="AF25" s="267" t="e">
        <f>COUNTIF(TIMETABLE!#REF!,"FET208")</f>
        <v>#REF!</v>
      </c>
      <c r="AG25" s="267" t="e">
        <f>COUNTIF(TIMETABLE!#REF!,"FET209")</f>
        <v>#REF!</v>
      </c>
      <c r="AH25" s="267" t="e">
        <f>COUNTIF(TIMETABLE!#REF!,"FET210")</f>
        <v>#REF!</v>
      </c>
      <c r="AI25" s="39"/>
      <c r="AJ25" s="523"/>
      <c r="EW25" s="532"/>
    </row>
    <row r="26" spans="2:153" ht="27" thickBot="1" x14ac:dyDescent="0.5">
      <c r="B26" s="523"/>
      <c r="C26" s="11">
        <v>12</v>
      </c>
      <c r="D26" s="77"/>
      <c r="E26" s="77"/>
      <c r="F26" s="77"/>
      <c r="G26" s="77"/>
      <c r="H26" s="77"/>
      <c r="I26" s="77"/>
      <c r="J26" s="77"/>
      <c r="K26" s="77"/>
      <c r="L26" s="77"/>
      <c r="M26" s="77"/>
      <c r="N26" s="77"/>
      <c r="O26" s="77"/>
      <c r="P26" s="77"/>
      <c r="Q26" s="77"/>
      <c r="R26" s="77"/>
      <c r="S26" s="77"/>
      <c r="T26" s="77"/>
      <c r="U26" s="77"/>
      <c r="V26" s="77"/>
      <c r="W26" s="77"/>
      <c r="X26" s="77"/>
      <c r="Y26" s="77"/>
      <c r="Z26" s="77"/>
      <c r="AA26" s="77"/>
      <c r="AB26" s="77"/>
      <c r="AC26" s="268"/>
      <c r="AD26" s="268"/>
      <c r="AE26" s="268"/>
      <c r="AF26" s="268"/>
      <c r="AG26" s="268"/>
      <c r="AH26" s="268"/>
      <c r="AI26" s="11">
        <v>12</v>
      </c>
      <c r="AJ26" s="523"/>
      <c r="EW26" s="532"/>
    </row>
    <row r="27" spans="2:153" ht="26.4" x14ac:dyDescent="0.45">
      <c r="B27" s="523"/>
      <c r="C27" s="16">
        <v>12</v>
      </c>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266"/>
      <c r="AD27" s="266"/>
      <c r="AE27" s="266"/>
      <c r="AF27" s="266"/>
      <c r="AG27" s="266"/>
      <c r="AH27" s="266"/>
      <c r="AI27" s="16">
        <v>12</v>
      </c>
      <c r="AJ27" s="523"/>
      <c r="EW27" s="532"/>
    </row>
    <row r="28" spans="2:153" ht="26.4" x14ac:dyDescent="0.45">
      <c r="B28" s="523"/>
      <c r="C28" s="39"/>
      <c r="D28" s="12" t="e">
        <f>COUNTIF(TIMETABLE!#REF!,"EA005")</f>
        <v>#REF!</v>
      </c>
      <c r="E28" s="12" t="e">
        <f>COUNTIF(TIMETABLE!#REF!,"EA006")</f>
        <v>#REF!</v>
      </c>
      <c r="F28" s="12" t="e">
        <f>COUNTIF(TIMETABLE!#REF!,"EA009/10")</f>
        <v>#REF!</v>
      </c>
      <c r="G28" s="12" t="e">
        <f>COUNTIF(TIMETABLE!#REF!,"EA012")</f>
        <v>#REF!</v>
      </c>
      <c r="H28" s="12" t="e">
        <f>COUNTIF(TIMETABLE!#REF!,"EA015")</f>
        <v>#REF!</v>
      </c>
      <c r="I28" s="12" t="e">
        <f>COUNTIF(TIMETABLE!#REF!,"EA104")</f>
        <v>#REF!</v>
      </c>
      <c r="J28" s="12" t="e">
        <f>COUNTIF(TIMETABLE!#REF!,"EA105")</f>
        <v>#REF!</v>
      </c>
      <c r="K28" s="12" t="e">
        <f>COUNTIF(TIMETABLE!#REF!,"EA107")</f>
        <v>#REF!</v>
      </c>
      <c r="L28" s="12" t="e">
        <f>COUNTIF(TIMETABLE!#REF!,"EA108")</f>
        <v>#REF!</v>
      </c>
      <c r="M28" s="12" t="e">
        <f>COUNTIF(TIMETABLE!#REF!,"EB006")</f>
        <v>#REF!</v>
      </c>
      <c r="N28" s="12" t="e">
        <f>COUNTIF(TIMETABLE!#REF!,"EB007")</f>
        <v>#REF!</v>
      </c>
      <c r="O28" s="12" t="e">
        <f>COUNTIF(TIMETABLE!#REF!,"EB013")</f>
        <v>#REF!</v>
      </c>
      <c r="P28" s="12" t="e">
        <f>COUNTIF(TIMETABLE!#REF!,"EB104")</f>
        <v>#REF!</v>
      </c>
      <c r="Q28" s="12" t="e">
        <f>COUNTIF(TIMETABLE!#REF!,"EB105")</f>
        <v>#REF!</v>
      </c>
      <c r="R28" s="12" t="e">
        <f>COUNTIF(TIMETABLE!#REF!,"EB107")</f>
        <v>#REF!</v>
      </c>
      <c r="S28" s="12" t="e">
        <f>COUNTIF(TIMETABLE!#REF!,"EB109")</f>
        <v>#REF!</v>
      </c>
      <c r="T28" s="12" t="e">
        <f>COUNTIF(TIMETABLE!#REF!,"EB110")</f>
        <v>#REF!</v>
      </c>
      <c r="U28" s="12" t="e">
        <f>COUNTIF(TIMETABLE!#REF!,"MA111")</f>
        <v>#REF!</v>
      </c>
      <c r="V28" s="12" t="e">
        <f>COUNTIF(TIMETABLE!#REF!,"MA209")</f>
        <v>#REF!</v>
      </c>
      <c r="W28" s="12" t="e">
        <f>COUNTIF(TIMETABLE!#REF!,"MA212")</f>
        <v>#REF!</v>
      </c>
      <c r="X28" s="12" t="e">
        <f>COUNTIF(TIMETABLE!#REF!,"DO3")</f>
        <v>#REF!</v>
      </c>
      <c r="Y28" s="12" t="e">
        <f>COUNTIF(TIMETABLE!#REF!,"RM2")</f>
        <v>#REF!</v>
      </c>
      <c r="Z28" s="12" t="e">
        <f>COUNTIF(TIMETABLE!#REF!,"MZ01")</f>
        <v>#REF!</v>
      </c>
      <c r="AA28" s="12" t="e">
        <f>COUNTIF(TIMETABLE!#REF!,"MZ02")</f>
        <v>#REF!</v>
      </c>
      <c r="AB28" s="12" t="e">
        <f>COUNTIF(TIMETABLE!#REF!,"RM3")</f>
        <v>#REF!</v>
      </c>
      <c r="AC28" s="267" t="e">
        <f>COUNTIF(TIMETABLE!#REF!,"FET203")</f>
        <v>#REF!</v>
      </c>
      <c r="AD28" s="267" t="e">
        <f>COUNTIF(TIMETABLE!#REF!,"FET205")</f>
        <v>#REF!</v>
      </c>
      <c r="AE28" s="267" t="e">
        <f>COUNTIF(TIMETABLE!#REF!,"FET207")</f>
        <v>#REF!</v>
      </c>
      <c r="AF28" s="267" t="e">
        <f>COUNTIF(TIMETABLE!#REF!,"FET208")</f>
        <v>#REF!</v>
      </c>
      <c r="AG28" s="267" t="e">
        <f>COUNTIF(TIMETABLE!#REF!,"FET209")</f>
        <v>#REF!</v>
      </c>
      <c r="AH28" s="267" t="e">
        <f>COUNTIF(TIMETABLE!#REF!,"FET210")</f>
        <v>#REF!</v>
      </c>
      <c r="AI28" s="39"/>
      <c r="AJ28" s="523"/>
      <c r="EW28" s="532"/>
    </row>
    <row r="29" spans="2:153" ht="27" thickBot="1" x14ac:dyDescent="0.5">
      <c r="B29" s="523"/>
      <c r="C29" s="11">
        <v>1</v>
      </c>
      <c r="D29" s="77"/>
      <c r="E29" s="77"/>
      <c r="F29" s="77"/>
      <c r="G29" s="77"/>
      <c r="H29" s="77"/>
      <c r="I29" s="77"/>
      <c r="J29" s="77"/>
      <c r="K29" s="77"/>
      <c r="L29" s="77"/>
      <c r="M29" s="77"/>
      <c r="N29" s="77"/>
      <c r="O29" s="77"/>
      <c r="P29" s="77"/>
      <c r="Q29" s="77"/>
      <c r="R29" s="77"/>
      <c r="S29" s="77"/>
      <c r="T29" s="77"/>
      <c r="U29" s="77"/>
      <c r="V29" s="77"/>
      <c r="W29" s="77"/>
      <c r="X29" s="77"/>
      <c r="Y29" s="77"/>
      <c r="Z29" s="77"/>
      <c r="AA29" s="77"/>
      <c r="AB29" s="77"/>
      <c r="AC29" s="268"/>
      <c r="AD29" s="268"/>
      <c r="AE29" s="268"/>
      <c r="AF29" s="268"/>
      <c r="AG29" s="268"/>
      <c r="AH29" s="268"/>
      <c r="AI29" s="11">
        <v>1</v>
      </c>
      <c r="AJ29" s="523"/>
      <c r="EW29" s="532"/>
    </row>
    <row r="30" spans="2:153" ht="26.4" x14ac:dyDescent="0.45">
      <c r="B30" s="523"/>
      <c r="C30" s="31"/>
      <c r="D30" s="94"/>
      <c r="E30" s="94"/>
      <c r="F30" s="94"/>
      <c r="G30" s="94"/>
      <c r="H30" s="94"/>
      <c r="I30" s="94"/>
      <c r="J30" s="94"/>
      <c r="K30" s="94"/>
      <c r="L30" s="94"/>
      <c r="M30" s="94"/>
      <c r="N30" s="94"/>
      <c r="O30" s="94"/>
      <c r="P30" s="94"/>
      <c r="Q30" s="94"/>
      <c r="R30" s="94"/>
      <c r="S30" s="94"/>
      <c r="T30" s="94"/>
      <c r="U30" s="94"/>
      <c r="V30" s="94"/>
      <c r="W30" s="94"/>
      <c r="X30" s="94"/>
      <c r="Y30" s="94"/>
      <c r="Z30" s="94"/>
      <c r="AA30" s="94"/>
      <c r="AB30" s="94"/>
      <c r="AC30" s="269"/>
      <c r="AD30" s="269"/>
      <c r="AE30" s="269"/>
      <c r="AF30" s="269"/>
      <c r="AG30" s="269"/>
      <c r="AH30" s="269"/>
      <c r="AI30" s="31"/>
      <c r="AJ30" s="523"/>
      <c r="EW30" s="532"/>
    </row>
    <row r="31" spans="2:153" ht="27" x14ac:dyDescent="0.5">
      <c r="B31" s="523"/>
      <c r="C31" s="28"/>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270"/>
      <c r="AD31" s="270"/>
      <c r="AE31" s="270"/>
      <c r="AF31" s="270"/>
      <c r="AG31" s="270"/>
      <c r="AH31" s="270"/>
      <c r="AI31" s="28"/>
      <c r="AJ31" s="523"/>
      <c r="EW31" s="532"/>
    </row>
    <row r="32" spans="2:153" ht="27" thickBot="1" x14ac:dyDescent="0.5">
      <c r="B32" s="523"/>
      <c r="C32" s="32"/>
      <c r="D32" s="95"/>
      <c r="E32" s="95"/>
      <c r="F32" s="95"/>
      <c r="G32" s="95"/>
      <c r="H32" s="95"/>
      <c r="I32" s="95"/>
      <c r="J32" s="95"/>
      <c r="K32" s="95"/>
      <c r="L32" s="95"/>
      <c r="M32" s="95"/>
      <c r="N32" s="95"/>
      <c r="O32" s="95"/>
      <c r="P32" s="95"/>
      <c r="Q32" s="95"/>
      <c r="R32" s="95"/>
      <c r="S32" s="95"/>
      <c r="T32" s="95"/>
      <c r="U32" s="95"/>
      <c r="V32" s="95"/>
      <c r="W32" s="95"/>
      <c r="X32" s="95"/>
      <c r="Y32" s="95"/>
      <c r="Z32" s="95"/>
      <c r="AA32" s="95"/>
      <c r="AB32" s="95"/>
      <c r="AC32" s="271"/>
      <c r="AD32" s="271"/>
      <c r="AE32" s="271"/>
      <c r="AF32" s="271"/>
      <c r="AG32" s="271"/>
      <c r="AH32" s="271"/>
      <c r="AI32" s="32"/>
      <c r="AJ32" s="523"/>
      <c r="EW32" s="532"/>
    </row>
    <row r="33" spans="2:153" ht="26.4" x14ac:dyDescent="0.45">
      <c r="B33" s="523"/>
      <c r="C33" s="41">
        <v>2</v>
      </c>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272"/>
      <c r="AD33" s="272"/>
      <c r="AE33" s="272"/>
      <c r="AF33" s="272"/>
      <c r="AG33" s="272"/>
      <c r="AH33" s="272"/>
      <c r="AI33" s="41">
        <v>2</v>
      </c>
      <c r="AJ33" s="523"/>
      <c r="EW33" s="532"/>
    </row>
    <row r="34" spans="2:153" ht="26.4" x14ac:dyDescent="0.45">
      <c r="B34" s="523"/>
      <c r="C34" s="42"/>
      <c r="D34" s="12">
        <f>COUNTIF(TIMETABLE!D21:W21,"EA005")</f>
        <v>0</v>
      </c>
      <c r="E34" s="12">
        <f>COUNTIF(TIMETABLE!D21:W21,"EA006")</f>
        <v>0</v>
      </c>
      <c r="F34" s="12">
        <f>COUNTIF(TIMETABLE!D21:W21,"EA009/10")</f>
        <v>0</v>
      </c>
      <c r="G34" s="12">
        <f>COUNTIF(TIMETABLE!D21:W21,"EA012")</f>
        <v>0</v>
      </c>
      <c r="H34" s="12">
        <f>COUNTIF(TIMETABLE!D21:W21,"EA015")</f>
        <v>0</v>
      </c>
      <c r="I34" s="12">
        <f>COUNTIF(TIMETABLE!D21:W21,"EA104")</f>
        <v>0</v>
      </c>
      <c r="J34" s="12">
        <f>COUNTIF(TIMETABLE!D21:W21,"EA105")</f>
        <v>0</v>
      </c>
      <c r="K34" s="12">
        <f>COUNTIF(TIMETABLE!D21:W21,"EA107")</f>
        <v>0</v>
      </c>
      <c r="L34" s="12">
        <f>COUNTIF(TIMETABLE!D21:W21,"EA108")</f>
        <v>0</v>
      </c>
      <c r="M34" s="12">
        <f>COUNTIF(TIMETABLE!D21:W21,"EB006")</f>
        <v>0</v>
      </c>
      <c r="N34" s="12">
        <f>COUNTIF(TIMETABLE!D21:W21,"EB007")</f>
        <v>0</v>
      </c>
      <c r="O34" s="12">
        <f>COUNTIF(TIMETABLE!D21:W21,"EB013")</f>
        <v>0</v>
      </c>
      <c r="P34" s="12">
        <f>COUNTIF(TIMETABLE!L21:W21,"EB104")</f>
        <v>0</v>
      </c>
      <c r="Q34" s="12">
        <f>COUNTIF(TIMETABLE!D21:W21,"EB105")</f>
        <v>0</v>
      </c>
      <c r="R34" s="12">
        <f>COUNTIF(TIMETABLE!D21:W21,"EB107")</f>
        <v>0</v>
      </c>
      <c r="S34" s="12">
        <f>COUNTIF(TIMETABLE!D21:W21,"EB109")</f>
        <v>0</v>
      </c>
      <c r="T34" s="12">
        <f>COUNTIF(TIMETABLE!D21:W21,"EB110")</f>
        <v>0</v>
      </c>
      <c r="U34" s="12">
        <f>COUNTIF(TIMETABLE!D21:W21,"MA111")</f>
        <v>0</v>
      </c>
      <c r="V34" s="12">
        <f>COUNTIF(TIMETABLE!D21:W21,"MA209")</f>
        <v>0</v>
      </c>
      <c r="W34" s="12">
        <f>COUNTIF(TIMETABLE!D21:W21,"MA212")</f>
        <v>0</v>
      </c>
      <c r="X34" s="12">
        <f>COUNTIF(TIMETABLE!D21:W21,"DO3")</f>
        <v>0</v>
      </c>
      <c r="Y34" s="12">
        <f>COUNTIF(TIMETABLE!D21:W21,"RM2")</f>
        <v>0</v>
      </c>
      <c r="Z34" s="12">
        <f>COUNTIF(TIMETABLE!D21:W21,"MZ01")</f>
        <v>0</v>
      </c>
      <c r="AA34" s="12">
        <f>COUNTIF(TIMETABLE!D21:W21,"MZ02")</f>
        <v>0</v>
      </c>
      <c r="AB34" s="12">
        <f>COUNTIF(TIMETABLE!D21:W21,"RM3")</f>
        <v>0</v>
      </c>
      <c r="AC34" s="267">
        <f>COUNTIF(TIMETABLE!D21:W21,"FET203")</f>
        <v>0</v>
      </c>
      <c r="AD34" s="267">
        <f>COUNTIF(TIMETABLE!D21:W21,"FET205")</f>
        <v>0</v>
      </c>
      <c r="AE34" s="267">
        <f>COUNTIF(TIMETABLE!D21:W21,"FET207")</f>
        <v>0</v>
      </c>
      <c r="AF34" s="267">
        <f>COUNTIF(TIMETABLE!D21:W21,"FET208")</f>
        <v>0</v>
      </c>
      <c r="AG34" s="267">
        <f>COUNTIF(TIMETABLE!D21:W21,"FET209")</f>
        <v>0</v>
      </c>
      <c r="AH34" s="267">
        <f>COUNTIF(TIMETABLE!D21:W21,"FET210")</f>
        <v>0</v>
      </c>
      <c r="AI34" s="42"/>
      <c r="AJ34" s="523"/>
      <c r="EW34" s="532"/>
    </row>
    <row r="35" spans="2:153" ht="27" thickBot="1" x14ac:dyDescent="0.5">
      <c r="B35" s="523"/>
      <c r="C35" s="43">
        <v>3</v>
      </c>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273"/>
      <c r="AD35" s="273"/>
      <c r="AE35" s="273"/>
      <c r="AF35" s="273"/>
      <c r="AG35" s="273"/>
      <c r="AH35" s="273"/>
      <c r="AI35" s="43">
        <v>3</v>
      </c>
      <c r="AJ35" s="523"/>
      <c r="EW35" s="532"/>
    </row>
    <row r="36" spans="2:153" ht="26.4" x14ac:dyDescent="0.45">
      <c r="B36" s="523"/>
      <c r="C36" s="41">
        <v>3</v>
      </c>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272"/>
      <c r="AD36" s="272"/>
      <c r="AE36" s="272"/>
      <c r="AF36" s="272"/>
      <c r="AG36" s="272"/>
      <c r="AH36" s="272"/>
      <c r="AI36" s="41">
        <v>3</v>
      </c>
      <c r="AJ36" s="523"/>
      <c r="EW36" s="532"/>
    </row>
    <row r="37" spans="2:153" ht="26.4" x14ac:dyDescent="0.45">
      <c r="B37" s="523"/>
      <c r="C37" s="42"/>
      <c r="D37" s="12" t="e">
        <f>COUNTIF(TIMETABLE!#REF!,"EA005")</f>
        <v>#REF!</v>
      </c>
      <c r="E37" s="12" t="e">
        <f>COUNTIF(TIMETABLE!#REF!,"EA006")</f>
        <v>#REF!</v>
      </c>
      <c r="F37" s="12" t="e">
        <f>COUNTIF(TIMETABLE!#REF!,"EA009/10")</f>
        <v>#REF!</v>
      </c>
      <c r="G37" s="12" t="e">
        <f>COUNTIF(TIMETABLE!#REF!,"EA012")</f>
        <v>#REF!</v>
      </c>
      <c r="H37" s="12" t="e">
        <f>COUNTIF(TIMETABLE!#REF!,"EA015")</f>
        <v>#REF!</v>
      </c>
      <c r="I37" s="12" t="e">
        <f>COUNTIF(TIMETABLE!#REF!,"EA104")</f>
        <v>#REF!</v>
      </c>
      <c r="J37" s="12" t="e">
        <f>COUNTIF(TIMETABLE!#REF!,"EA105")</f>
        <v>#REF!</v>
      </c>
      <c r="K37" s="12" t="e">
        <f>COUNTIF(TIMETABLE!#REF!,"EA107")</f>
        <v>#REF!</v>
      </c>
      <c r="L37" s="12" t="e">
        <f>COUNTIF(TIMETABLE!#REF!,"EA108")</f>
        <v>#REF!</v>
      </c>
      <c r="M37" s="12" t="e">
        <f>COUNTIF(TIMETABLE!#REF!,"EB006")</f>
        <v>#REF!</v>
      </c>
      <c r="N37" s="12" t="e">
        <f>COUNTIF(TIMETABLE!#REF!,"EB007")</f>
        <v>#REF!</v>
      </c>
      <c r="O37" s="12" t="e">
        <f>COUNTIF(TIMETABLE!#REF!,"EB013")</f>
        <v>#REF!</v>
      </c>
      <c r="P37" s="12" t="e">
        <f>COUNTIF(TIMETABLE!#REF!,"EB104")</f>
        <v>#REF!</v>
      </c>
      <c r="Q37" s="12" t="e">
        <f>COUNTIF(TIMETABLE!#REF!,"EB105")</f>
        <v>#REF!</v>
      </c>
      <c r="R37" s="12" t="e">
        <f>COUNTIF(TIMETABLE!#REF!,"EB107")</f>
        <v>#REF!</v>
      </c>
      <c r="S37" s="12" t="e">
        <f>COUNTIF(TIMETABLE!#REF!,"EB109")</f>
        <v>#REF!</v>
      </c>
      <c r="T37" s="12" t="e">
        <f>COUNTIF(TIMETABLE!#REF!,"EB110")</f>
        <v>#REF!</v>
      </c>
      <c r="U37" s="12" t="e">
        <f>COUNTIF(TIMETABLE!#REF!,"MA111")</f>
        <v>#REF!</v>
      </c>
      <c r="V37" s="12" t="e">
        <f>COUNTIF(TIMETABLE!#REF!,"MA209")</f>
        <v>#REF!</v>
      </c>
      <c r="W37" s="12" t="e">
        <f>COUNTIF(TIMETABLE!#REF!,"MA212")</f>
        <v>#REF!</v>
      </c>
      <c r="X37" s="12" t="e">
        <f>COUNTIF(TIMETABLE!#REF!,"DO3")</f>
        <v>#REF!</v>
      </c>
      <c r="Y37" s="12" t="e">
        <f>COUNTIF(TIMETABLE!#REF!,"RM2")</f>
        <v>#REF!</v>
      </c>
      <c r="Z37" s="12" t="e">
        <f>COUNTIF(TIMETABLE!#REF!,"MZ01")</f>
        <v>#REF!</v>
      </c>
      <c r="AA37" s="12" t="e">
        <f>COUNTIF(TIMETABLE!#REF!,"MZ02")</f>
        <v>#REF!</v>
      </c>
      <c r="AB37" s="12" t="e">
        <f>COUNTIF(TIMETABLE!#REF!,"RM3")</f>
        <v>#REF!</v>
      </c>
      <c r="AC37" s="267" t="e">
        <f>COUNTIF(TIMETABLE!#REF!,"FET203")</f>
        <v>#REF!</v>
      </c>
      <c r="AD37" s="267" t="e">
        <f>COUNTIF(TIMETABLE!#REF!,"FET205")</f>
        <v>#REF!</v>
      </c>
      <c r="AE37" s="267" t="e">
        <f>COUNTIF(TIMETABLE!#REF!,"FET207")</f>
        <v>#REF!</v>
      </c>
      <c r="AF37" s="267" t="e">
        <f>COUNTIF(TIMETABLE!#REF!,"FET208")</f>
        <v>#REF!</v>
      </c>
      <c r="AG37" s="267" t="e">
        <f>COUNTIF(TIMETABLE!#REF!,"FET209")</f>
        <v>#REF!</v>
      </c>
      <c r="AH37" s="267" t="e">
        <f>COUNTIF(TIMETABLE!#REF!,"FET210")</f>
        <v>#REF!</v>
      </c>
      <c r="AI37" s="42"/>
      <c r="AJ37" s="523"/>
      <c r="EW37" s="532"/>
    </row>
    <row r="38" spans="2:153" ht="27" thickBot="1" x14ac:dyDescent="0.5">
      <c r="B38" s="523"/>
      <c r="C38" s="43">
        <v>4</v>
      </c>
      <c r="D38" s="76"/>
      <c r="E38" s="76"/>
      <c r="F38" s="76"/>
      <c r="G38" s="76"/>
      <c r="H38" s="76"/>
      <c r="I38" s="76"/>
      <c r="J38" s="76"/>
      <c r="K38" s="76"/>
      <c r="L38" s="76"/>
      <c r="M38" s="76"/>
      <c r="N38" s="76"/>
      <c r="O38" s="76"/>
      <c r="P38" s="76"/>
      <c r="Q38" s="76"/>
      <c r="R38" s="76"/>
      <c r="S38" s="76"/>
      <c r="T38" s="76"/>
      <c r="U38" s="76"/>
      <c r="V38" s="76"/>
      <c r="W38" s="76"/>
      <c r="X38" s="76"/>
      <c r="Y38" s="76"/>
      <c r="Z38" s="76"/>
      <c r="AA38" s="76"/>
      <c r="AB38" s="76"/>
      <c r="AC38" s="273"/>
      <c r="AD38" s="273"/>
      <c r="AE38" s="273"/>
      <c r="AF38" s="273"/>
      <c r="AG38" s="273"/>
      <c r="AH38" s="273"/>
      <c r="AI38" s="43">
        <v>4</v>
      </c>
      <c r="AJ38" s="523"/>
      <c r="EW38" s="532"/>
    </row>
    <row r="39" spans="2:153" ht="26.4" x14ac:dyDescent="0.45">
      <c r="B39" s="523"/>
      <c r="C39" s="41">
        <v>4</v>
      </c>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272"/>
      <c r="AD39" s="272"/>
      <c r="AE39" s="272"/>
      <c r="AF39" s="272"/>
      <c r="AG39" s="272"/>
      <c r="AH39" s="272"/>
      <c r="AI39" s="41">
        <v>4</v>
      </c>
      <c r="AJ39" s="523"/>
      <c r="EW39" s="532"/>
    </row>
    <row r="40" spans="2:153" ht="26.4" x14ac:dyDescent="0.45">
      <c r="B40" s="523"/>
      <c r="C40" s="42"/>
      <c r="D40" s="12" t="e">
        <f>COUNTIF(TIMETABLE!#REF!,"EA005")</f>
        <v>#REF!</v>
      </c>
      <c r="E40" s="12" t="e">
        <f>COUNTIF(TIMETABLE!#REF!,"EA006")</f>
        <v>#REF!</v>
      </c>
      <c r="F40" s="12" t="e">
        <f>COUNTIF(TIMETABLE!#REF!,"EA009/10")</f>
        <v>#REF!</v>
      </c>
      <c r="G40" s="12" t="e">
        <f>COUNTIF(TIMETABLE!#REF!,"EA012")</f>
        <v>#REF!</v>
      </c>
      <c r="H40" s="12" t="e">
        <f>COUNTIF(TIMETABLE!#REF!,"EA015")</f>
        <v>#REF!</v>
      </c>
      <c r="I40" s="12" t="e">
        <f>COUNTIF(TIMETABLE!#REF!,"EA104")</f>
        <v>#REF!</v>
      </c>
      <c r="J40" s="12" t="e">
        <f>COUNTIF(TIMETABLE!#REF!,"EA105")</f>
        <v>#REF!</v>
      </c>
      <c r="K40" s="12" t="e">
        <f>COUNTIF(TIMETABLE!#REF!,"EA107")</f>
        <v>#REF!</v>
      </c>
      <c r="L40" s="12" t="e">
        <f>COUNTIF(TIMETABLE!#REF!,"EA108")</f>
        <v>#REF!</v>
      </c>
      <c r="M40" s="12" t="e">
        <f>COUNTIF(TIMETABLE!#REF!,"EB006")</f>
        <v>#REF!</v>
      </c>
      <c r="N40" s="12" t="e">
        <f>COUNTIF(TIMETABLE!#REF!,"EB007")</f>
        <v>#REF!</v>
      </c>
      <c r="O40" s="12" t="e">
        <f>COUNTIF(TIMETABLE!#REF!,"EB013")</f>
        <v>#REF!</v>
      </c>
      <c r="P40" s="12" t="e">
        <f>COUNTIF(TIMETABLE!#REF!,"EB104")</f>
        <v>#REF!</v>
      </c>
      <c r="Q40" s="12" t="e">
        <f>COUNTIF(TIMETABLE!#REF!,"EB105")</f>
        <v>#REF!</v>
      </c>
      <c r="R40" s="12" t="e">
        <f>COUNTIF(TIMETABLE!#REF!,"EB107")</f>
        <v>#REF!</v>
      </c>
      <c r="S40" s="12" t="e">
        <f>COUNTIF(TIMETABLE!#REF!,"EB109")</f>
        <v>#REF!</v>
      </c>
      <c r="T40" s="12" t="e">
        <f>COUNTIF(TIMETABLE!#REF!,"EB110")</f>
        <v>#REF!</v>
      </c>
      <c r="U40" s="12" t="e">
        <f>COUNTIF(TIMETABLE!#REF!,"MA111")</f>
        <v>#REF!</v>
      </c>
      <c r="V40" s="12" t="e">
        <f>COUNTIF(TIMETABLE!#REF!,"MA209")</f>
        <v>#REF!</v>
      </c>
      <c r="W40" s="12" t="e">
        <f>COUNTIF(TIMETABLE!#REF!,"MA212")</f>
        <v>#REF!</v>
      </c>
      <c r="X40" s="12" t="e">
        <f>COUNTIF(TIMETABLE!#REF!,"DO3")</f>
        <v>#REF!</v>
      </c>
      <c r="Y40" s="12" t="e">
        <f>COUNTIF(TIMETABLE!#REF!,"RM2")</f>
        <v>#REF!</v>
      </c>
      <c r="Z40" s="12" t="e">
        <f>COUNTIF(TIMETABLE!#REF!,"MZ01")</f>
        <v>#REF!</v>
      </c>
      <c r="AA40" s="12" t="e">
        <f>COUNTIF(TIMETABLE!#REF!,"MZ02")</f>
        <v>#REF!</v>
      </c>
      <c r="AB40" s="12" t="e">
        <f>COUNTIF(TIMETABLE!#REF!,"RM3")</f>
        <v>#REF!</v>
      </c>
      <c r="AC40" s="267" t="e">
        <f>COUNTIF(TIMETABLE!#REF!,"FET203")</f>
        <v>#REF!</v>
      </c>
      <c r="AD40" s="267" t="e">
        <f>COUNTIF(TIMETABLE!#REF!,"FET205")</f>
        <v>#REF!</v>
      </c>
      <c r="AE40" s="267" t="e">
        <f>COUNTIF(TIMETABLE!#REF!,"FET207")</f>
        <v>#REF!</v>
      </c>
      <c r="AF40" s="267" t="e">
        <f>COUNTIF(TIMETABLE!#REF!,"FET208")</f>
        <v>#REF!</v>
      </c>
      <c r="AG40" s="267" t="e">
        <f>COUNTIF(TIMETABLE!#REF!,"FET209")</f>
        <v>#REF!</v>
      </c>
      <c r="AH40" s="267" t="e">
        <f>COUNTIF(TIMETABLE!#REF!,"FET210")</f>
        <v>#REF!</v>
      </c>
      <c r="AI40" s="42"/>
      <c r="AJ40" s="523"/>
      <c r="EW40" s="532"/>
    </row>
    <row r="41" spans="2:153" ht="27" thickBot="1" x14ac:dyDescent="0.5">
      <c r="B41" s="523"/>
      <c r="C41" s="43">
        <v>5</v>
      </c>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273"/>
      <c r="AD41" s="273"/>
      <c r="AE41" s="273"/>
      <c r="AF41" s="273"/>
      <c r="AG41" s="273"/>
      <c r="AH41" s="273"/>
      <c r="AI41" s="43">
        <v>5</v>
      </c>
      <c r="AJ41" s="523"/>
      <c r="EW41" s="532"/>
    </row>
    <row r="42" spans="2:153" ht="26.4" x14ac:dyDescent="0.45">
      <c r="B42" s="523"/>
      <c r="C42" s="41">
        <v>5</v>
      </c>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41">
        <v>5</v>
      </c>
      <c r="AJ42" s="523"/>
      <c r="EW42" s="532"/>
    </row>
    <row r="43" spans="2:153" ht="26.4" x14ac:dyDescent="0.45">
      <c r="B43" s="523"/>
      <c r="C43" s="42"/>
      <c r="D43" s="12" t="e">
        <f>COUNTIF(TIMETABLE!#REF!,"EA005")</f>
        <v>#REF!</v>
      </c>
      <c r="E43" s="12" t="e">
        <f>COUNTIF(TIMETABLE!#REF!,"EA006")</f>
        <v>#REF!</v>
      </c>
      <c r="F43" s="12" t="e">
        <f>COUNTIF(TIMETABLE!#REF!,"EA009/10")</f>
        <v>#REF!</v>
      </c>
      <c r="G43" s="12" t="e">
        <f>COUNTIF(TIMETABLE!#REF!,"EA012")</f>
        <v>#REF!</v>
      </c>
      <c r="H43" s="12" t="e">
        <f>COUNTIF(TIMETABLE!#REF!,"EA015")</f>
        <v>#REF!</v>
      </c>
      <c r="I43" s="12" t="e">
        <f>COUNTIF(TIMETABLE!#REF!,"EA104")</f>
        <v>#REF!</v>
      </c>
      <c r="J43" s="12" t="e">
        <f>COUNTIF(TIMETABLE!#REF!,"EA105")</f>
        <v>#REF!</v>
      </c>
      <c r="K43" s="12" t="e">
        <f>COUNTIF(TIMETABLE!#REF!,"EA107")</f>
        <v>#REF!</v>
      </c>
      <c r="L43" s="12" t="e">
        <f>COUNTIF(TIMETABLE!#REF!,"EA108")</f>
        <v>#REF!</v>
      </c>
      <c r="M43" s="12" t="e">
        <f>COUNTIF(TIMETABLE!#REF!,"EB006")</f>
        <v>#REF!</v>
      </c>
      <c r="N43" s="12" t="e">
        <f>COUNTIF(TIMETABLE!#REF!,"EB007")</f>
        <v>#REF!</v>
      </c>
      <c r="O43" s="12" t="e">
        <f>COUNTIF(TIMETABLE!#REF!,"EB013")</f>
        <v>#REF!</v>
      </c>
      <c r="P43" s="12" t="e">
        <f>COUNTIF(TIMETABLE!#REF!,"EB104")</f>
        <v>#REF!</v>
      </c>
      <c r="Q43" s="12" t="e">
        <f>COUNTIF(TIMETABLE!#REF!,"EB105")</f>
        <v>#REF!</v>
      </c>
      <c r="R43" s="12" t="e">
        <f>COUNTIF(TIMETABLE!#REF!,"EB107")</f>
        <v>#REF!</v>
      </c>
      <c r="S43" s="12" t="e">
        <f>COUNTIF(TIMETABLE!#REF!,"EB109")</f>
        <v>#REF!</v>
      </c>
      <c r="T43" s="12" t="e">
        <f>COUNTIF(TIMETABLE!#REF!,"EB110")</f>
        <v>#REF!</v>
      </c>
      <c r="U43" s="12" t="e">
        <f>COUNTIF(TIMETABLE!#REF!,"MA111")</f>
        <v>#REF!</v>
      </c>
      <c r="V43" s="12" t="e">
        <f>COUNTIF(TIMETABLE!#REF!,"MA209")</f>
        <v>#REF!</v>
      </c>
      <c r="W43" s="12" t="e">
        <f>COUNTIF(TIMETABLE!#REF!,"MA212")</f>
        <v>#REF!</v>
      </c>
      <c r="X43" s="12" t="e">
        <f>COUNTIF(TIMETABLE!#REF!,"DO3")</f>
        <v>#REF!</v>
      </c>
      <c r="Y43" s="12" t="e">
        <f>COUNTIF(TIMETABLE!#REF!,"RM2")</f>
        <v>#REF!</v>
      </c>
      <c r="Z43" s="12" t="e">
        <f>COUNTIF(TIMETABLE!#REF!,"MZ01")</f>
        <v>#REF!</v>
      </c>
      <c r="AA43" s="12" t="e">
        <f>COUNTIF(TIMETABLE!#REF!,"MZ02")</f>
        <v>#REF!</v>
      </c>
      <c r="AB43" s="12" t="e">
        <f>COUNTIF(TIMETABLE!#REF!,"RM3")</f>
        <v>#REF!</v>
      </c>
      <c r="AC43" s="12" t="e">
        <f>COUNTIF(TIMETABLE!#REF!,"FET203")</f>
        <v>#REF!</v>
      </c>
      <c r="AD43" s="12" t="e">
        <f>COUNTIF(TIMETABLE!#REF!,"FET205")</f>
        <v>#REF!</v>
      </c>
      <c r="AE43" s="12" t="e">
        <f>COUNTIF(TIMETABLE!#REF!,"FET207")</f>
        <v>#REF!</v>
      </c>
      <c r="AF43" s="12" t="e">
        <f>COUNTIF(TIMETABLE!#REF!,"FET208")</f>
        <v>#REF!</v>
      </c>
      <c r="AG43" s="12" t="e">
        <f>COUNTIF(TIMETABLE!#REF!,"FET209")</f>
        <v>#REF!</v>
      </c>
      <c r="AH43" s="12" t="e">
        <f>COUNTIF(TIMETABLE!#REF!,"FET210")</f>
        <v>#REF!</v>
      </c>
      <c r="AI43" s="42"/>
      <c r="AJ43" s="523"/>
      <c r="EW43" s="532"/>
    </row>
    <row r="44" spans="2:153" ht="27" thickBot="1" x14ac:dyDescent="0.5">
      <c r="B44" s="523"/>
      <c r="C44" s="43">
        <v>6</v>
      </c>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76"/>
      <c r="AI44" s="43">
        <v>6</v>
      </c>
      <c r="AJ44" s="523"/>
      <c r="EW44" s="532"/>
    </row>
    <row r="45" spans="2:153" ht="26.4" x14ac:dyDescent="0.45">
      <c r="B45" s="523"/>
      <c r="C45" s="44">
        <v>6</v>
      </c>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44">
        <v>6</v>
      </c>
      <c r="AJ45" s="523"/>
      <c r="EW45" s="532"/>
    </row>
    <row r="46" spans="2:153" ht="26.4" x14ac:dyDescent="0.45">
      <c r="B46" s="523"/>
      <c r="C46" s="42"/>
      <c r="D46" s="12" t="e">
        <f>COUNTIF(TIMETABLE!#REF!,"EA005")</f>
        <v>#REF!</v>
      </c>
      <c r="E46" s="12" t="e">
        <f>COUNTIF(TIMETABLE!#REF!,"EA006")</f>
        <v>#REF!</v>
      </c>
      <c r="F46" s="12" t="e">
        <f>COUNTIF(TIMETABLE!#REF!,"EA009/10")</f>
        <v>#REF!</v>
      </c>
      <c r="G46" s="12" t="e">
        <f>COUNTIF(TIMETABLE!#REF!,"EA012")</f>
        <v>#REF!</v>
      </c>
      <c r="H46" s="12" t="e">
        <f>COUNTIF(TIMETABLE!#REF!,"EA015")</f>
        <v>#REF!</v>
      </c>
      <c r="I46" s="12" t="e">
        <f>COUNTIF(TIMETABLE!#REF!,"EA104")</f>
        <v>#REF!</v>
      </c>
      <c r="J46" s="12" t="e">
        <f>COUNTIF(TIMETABLE!#REF!,"EA105")</f>
        <v>#REF!</v>
      </c>
      <c r="K46" s="12" t="e">
        <f>COUNTIF(TIMETABLE!#REF!,"EA107")</f>
        <v>#REF!</v>
      </c>
      <c r="L46" s="12" t="e">
        <f>COUNTIF(TIMETABLE!#REF!,"EA108")</f>
        <v>#REF!</v>
      </c>
      <c r="M46" s="12" t="e">
        <f>COUNTIF(TIMETABLE!#REF!,"EB006")</f>
        <v>#REF!</v>
      </c>
      <c r="N46" s="12" t="e">
        <f>COUNTIF(TIMETABLE!#REF!,"EB007")</f>
        <v>#REF!</v>
      </c>
      <c r="O46" s="12" t="e">
        <f>COUNTIF(TIMETABLE!#REF!,"EB013")</f>
        <v>#REF!</v>
      </c>
      <c r="P46" s="12" t="e">
        <f>COUNTIF(TIMETABLE!#REF!,"EB104")</f>
        <v>#REF!</v>
      </c>
      <c r="Q46" s="12" t="e">
        <f>COUNTIF(TIMETABLE!#REF!,"EB105")</f>
        <v>#REF!</v>
      </c>
      <c r="R46" s="12" t="e">
        <f>COUNTIF(TIMETABLE!#REF!,"EB107")</f>
        <v>#REF!</v>
      </c>
      <c r="S46" s="12" t="e">
        <f>COUNTIF(TIMETABLE!#REF!,"EB109")</f>
        <v>#REF!</v>
      </c>
      <c r="T46" s="12" t="e">
        <f>COUNTIF(TIMETABLE!#REF!,"EB110")</f>
        <v>#REF!</v>
      </c>
      <c r="U46" s="12" t="e">
        <f>COUNTIF(TIMETABLE!#REF!,"MA111")</f>
        <v>#REF!</v>
      </c>
      <c r="V46" s="12" t="e">
        <f>COUNTIF(TIMETABLE!#REF!,"MA209")</f>
        <v>#REF!</v>
      </c>
      <c r="W46" s="12" t="e">
        <f>COUNTIF(TIMETABLE!#REF!,"MA212")</f>
        <v>#REF!</v>
      </c>
      <c r="X46" s="12" t="e">
        <f>COUNTIF(TIMETABLE!#REF!,"DO3")</f>
        <v>#REF!</v>
      </c>
      <c r="Y46" s="12" t="e">
        <f>COUNTIF(TIMETABLE!#REF!,"RM2")</f>
        <v>#REF!</v>
      </c>
      <c r="Z46" s="12" t="e">
        <f>COUNTIF(TIMETABLE!#REF!,"MZ01")</f>
        <v>#REF!</v>
      </c>
      <c r="AA46" s="12" t="e">
        <f>COUNTIF(TIMETABLE!#REF!,"MZ02")</f>
        <v>#REF!</v>
      </c>
      <c r="AB46" s="12" t="e">
        <f>COUNTIF(TIMETABLE!#REF!,"RM3")</f>
        <v>#REF!</v>
      </c>
      <c r="AC46" s="12" t="e">
        <f>COUNTIF(TIMETABLE!#REF!,"FET203")</f>
        <v>#REF!</v>
      </c>
      <c r="AD46" s="12" t="e">
        <f>COUNTIF(TIMETABLE!#REF!,"FET205")</f>
        <v>#REF!</v>
      </c>
      <c r="AE46" s="12" t="e">
        <f>COUNTIF(TIMETABLE!#REF!,"FET207")</f>
        <v>#REF!</v>
      </c>
      <c r="AF46" s="12" t="e">
        <f>COUNTIF(TIMETABLE!#REF!,"FET208")</f>
        <v>#REF!</v>
      </c>
      <c r="AG46" s="12" t="e">
        <f>COUNTIF(TIMETABLE!#REF!,"FET209")</f>
        <v>#REF!</v>
      </c>
      <c r="AH46" s="12" t="e">
        <f>COUNTIF(TIMETABLE!#REF!,"FET210")</f>
        <v>#REF!</v>
      </c>
      <c r="AI46" s="42"/>
      <c r="AJ46" s="523"/>
      <c r="EW46" s="532"/>
    </row>
    <row r="47" spans="2:153" ht="27" thickBot="1" x14ac:dyDescent="0.5">
      <c r="B47" s="523"/>
      <c r="C47" s="43">
        <v>7</v>
      </c>
      <c r="D47" s="76"/>
      <c r="E47" s="76"/>
      <c r="F47" s="76"/>
      <c r="G47" s="76"/>
      <c r="H47" s="76"/>
      <c r="I47" s="76"/>
      <c r="J47" s="76"/>
      <c r="K47" s="76"/>
      <c r="L47" s="76"/>
      <c r="M47" s="76"/>
      <c r="N47" s="76"/>
      <c r="O47" s="76"/>
      <c r="P47" s="76"/>
      <c r="Q47" s="76"/>
      <c r="R47" s="76"/>
      <c r="S47" s="76"/>
      <c r="T47" s="76"/>
      <c r="U47" s="76"/>
      <c r="V47" s="76"/>
      <c r="W47" s="76"/>
      <c r="X47" s="76"/>
      <c r="Y47" s="76"/>
      <c r="Z47" s="76"/>
      <c r="AA47" s="76"/>
      <c r="AB47" s="76"/>
      <c r="AC47" s="76"/>
      <c r="AD47" s="76"/>
      <c r="AE47" s="76"/>
      <c r="AF47" s="76"/>
      <c r="AG47" s="76"/>
      <c r="AH47" s="76"/>
      <c r="AI47" s="43">
        <v>7</v>
      </c>
      <c r="AJ47" s="523"/>
      <c r="EW47" s="532"/>
    </row>
    <row r="48" spans="2:153" ht="26.4" x14ac:dyDescent="0.45">
      <c r="B48" s="523"/>
      <c r="C48" s="42">
        <v>7</v>
      </c>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42">
        <v>7</v>
      </c>
      <c r="AJ48" s="523"/>
      <c r="EW48" s="532"/>
    </row>
    <row r="49" spans="2:153" ht="26.4" x14ac:dyDescent="0.45">
      <c r="B49" s="523"/>
      <c r="C49" s="42"/>
      <c r="D49" s="12">
        <f>COUNTIF(TIMETABLE!D25:W25,"EA005")</f>
        <v>0</v>
      </c>
      <c r="E49" s="12">
        <f>COUNTIF(TIMETABLE!D25:W25,"EA006")</f>
        <v>0</v>
      </c>
      <c r="F49" s="12">
        <f>COUNTIF(TIMETABLE!D25:W25,"EA009/10")</f>
        <v>0</v>
      </c>
      <c r="G49" s="12">
        <f>COUNTIF(TIMETABLE!D25:W25,"EA012")</f>
        <v>0</v>
      </c>
      <c r="H49" s="12">
        <f>COUNTIF(TIMETABLE!D25:W25,"EA015")</f>
        <v>0</v>
      </c>
      <c r="I49" s="12">
        <f>COUNTIF(TIMETABLE!D25:W25,"EA104")</f>
        <v>0</v>
      </c>
      <c r="J49" s="12">
        <f>COUNTIF(TIMETABLE!D25:W25,"EA105")</f>
        <v>0</v>
      </c>
      <c r="K49" s="12">
        <f>COUNTIF(TIMETABLE!D25:W25,"EA107")</f>
        <v>0</v>
      </c>
      <c r="L49" s="12">
        <f>COUNTIF(TIMETABLE!D25:W25,"EA108")</f>
        <v>0</v>
      </c>
      <c r="M49" s="12">
        <f>COUNTIF(TIMETABLE!D25:W25,"EB006")</f>
        <v>0</v>
      </c>
      <c r="N49" s="12">
        <f>COUNTIF(TIMETABLE!D25:W25,"EB007")</f>
        <v>0</v>
      </c>
      <c r="O49" s="12">
        <f>COUNTIF(TIMETABLE!D25:W25,"EB013")</f>
        <v>0</v>
      </c>
      <c r="P49" s="12">
        <f>COUNTIF(TIMETABLE!L25:W25,"EB104")</f>
        <v>0</v>
      </c>
      <c r="Q49" s="12">
        <f>COUNTIF(TIMETABLE!D25:W25,"EB105")</f>
        <v>0</v>
      </c>
      <c r="R49" s="12">
        <f>COUNTIF(TIMETABLE!D25:W25,"EB107")</f>
        <v>0</v>
      </c>
      <c r="S49" s="12">
        <f>COUNTIF(TIMETABLE!D25:W25,"EB109")</f>
        <v>0</v>
      </c>
      <c r="T49" s="12">
        <f>COUNTIF(TIMETABLE!D25:W25,"EB110")</f>
        <v>0</v>
      </c>
      <c r="U49" s="12">
        <f>COUNTIF(TIMETABLE!D25:W25,"MA111")</f>
        <v>0</v>
      </c>
      <c r="V49" s="12">
        <f>COUNTIF(TIMETABLE!D25:W25,"MA209")</f>
        <v>0</v>
      </c>
      <c r="W49" s="12">
        <f>COUNTIF(TIMETABLE!D25:W25,"MA212")</f>
        <v>0</v>
      </c>
      <c r="X49" s="12">
        <f>COUNTIF(TIMETABLE!D25:W25,"DO3")</f>
        <v>0</v>
      </c>
      <c r="Y49" s="12">
        <f>COUNTIF(TIMETABLE!D25:W25,"RM2")</f>
        <v>0</v>
      </c>
      <c r="Z49" s="12">
        <f>COUNTIF(TIMETABLE!D25:W25,"MZ01")</f>
        <v>0</v>
      </c>
      <c r="AA49" s="12">
        <f>COUNTIF(TIMETABLE!D25:W25,"MZ02")</f>
        <v>0</v>
      </c>
      <c r="AB49" s="12">
        <f>COUNTIF(TIMETABLE!D25:W25,"RM3")</f>
        <v>0</v>
      </c>
      <c r="AC49" s="12">
        <f>COUNTIF(TIMETABLE!D25:W25,"FET203")</f>
        <v>0</v>
      </c>
      <c r="AD49" s="12">
        <f>COUNTIF(TIMETABLE!D25:W25,"FET205")</f>
        <v>0</v>
      </c>
      <c r="AE49" s="12">
        <f>COUNTIF(TIMETABLE!D25:W25,"FET207")</f>
        <v>0</v>
      </c>
      <c r="AF49" s="12">
        <f>COUNTIF(TIMETABLE!D25:W25,"FET208")</f>
        <v>0</v>
      </c>
      <c r="AG49" s="12">
        <f>COUNTIF(TIMETABLE!D25:W25,"FET209")</f>
        <v>0</v>
      </c>
      <c r="AH49" s="12">
        <f>COUNTIF(TIMETABLE!D25:W25,"FET210")</f>
        <v>0</v>
      </c>
      <c r="AI49" s="42"/>
      <c r="AJ49" s="523"/>
      <c r="EW49" s="532"/>
    </row>
    <row r="50" spans="2:153" ht="27" thickBot="1" x14ac:dyDescent="0.5">
      <c r="B50" s="524"/>
      <c r="C50" s="45">
        <v>8</v>
      </c>
      <c r="D50" s="76"/>
      <c r="E50" s="76"/>
      <c r="F50" s="76"/>
      <c r="G50" s="76"/>
      <c r="H50" s="76"/>
      <c r="I50" s="7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76"/>
      <c r="AI50" s="45">
        <v>8</v>
      </c>
      <c r="AJ50" s="524"/>
      <c r="EW50" s="532"/>
    </row>
    <row r="51" spans="2:153" ht="27" thickTop="1" x14ac:dyDescent="0.45">
      <c r="B51" s="525" t="s">
        <v>7</v>
      </c>
      <c r="C51" s="46">
        <v>7</v>
      </c>
      <c r="D51" s="78"/>
      <c r="E51" s="78"/>
      <c r="F51" s="78"/>
      <c r="G51" s="78"/>
      <c r="H51" s="78"/>
      <c r="I51" s="78"/>
      <c r="J51" s="78"/>
      <c r="K51" s="78"/>
      <c r="L51" s="78"/>
      <c r="M51" s="78"/>
      <c r="N51" s="78"/>
      <c r="O51" s="78"/>
      <c r="P51" s="78"/>
      <c r="Q51" s="78"/>
      <c r="R51" s="78"/>
      <c r="S51" s="78"/>
      <c r="T51" s="78"/>
      <c r="U51" s="78"/>
      <c r="V51" s="78"/>
      <c r="W51" s="78"/>
      <c r="X51" s="78"/>
      <c r="Y51" s="78"/>
      <c r="Z51" s="78"/>
      <c r="AA51" s="78"/>
      <c r="AB51" s="78"/>
      <c r="AC51" s="13"/>
      <c r="AD51" s="13"/>
      <c r="AE51" s="13"/>
      <c r="AF51" s="13"/>
      <c r="AG51" s="13"/>
      <c r="AH51" s="13"/>
      <c r="AI51" s="46">
        <v>7</v>
      </c>
      <c r="AJ51" s="525" t="s">
        <v>7</v>
      </c>
      <c r="EW51" s="532"/>
    </row>
    <row r="52" spans="2:153" ht="26.4" x14ac:dyDescent="0.45">
      <c r="B52" s="526"/>
      <c r="C52" s="5"/>
      <c r="D52" s="12">
        <f>COUNTIF(TIMETABLE!D29:W29,"EA005")</f>
        <v>0</v>
      </c>
      <c r="E52" s="12">
        <f>COUNTIF(TIMETABLE!D29:W29,"EA006")</f>
        <v>0</v>
      </c>
      <c r="F52" s="12">
        <f>COUNTIF(TIMETABLE!D29:W29,"EA009/10")</f>
        <v>0</v>
      </c>
      <c r="G52" s="12">
        <f>COUNTIF(TIMETABLE!D29:W29,"EA012")</f>
        <v>0</v>
      </c>
      <c r="H52" s="12">
        <f>COUNTIF(TIMETABLE!D29:AB29,"EA015")</f>
        <v>0</v>
      </c>
      <c r="I52" s="12">
        <f>COUNTIF(TIMETABLE!D29:AC29,"EA104")</f>
        <v>0</v>
      </c>
      <c r="J52" s="12">
        <v>0</v>
      </c>
      <c r="K52" s="12">
        <f>COUNTIF(TIMETABLE!D29:AB29,"EA107")</f>
        <v>0</v>
      </c>
      <c r="L52" s="12">
        <f>COUNTIF(TIMETABLE!D29:AF29,"EA012")</f>
        <v>0</v>
      </c>
      <c r="M52" s="12">
        <f>COUNTIF(TIMETABLE!D29:AG29,"EA012")</f>
        <v>0</v>
      </c>
      <c r="N52" s="12">
        <f>COUNTIF(TIMETABLE!D29:AH29,"EA012")</f>
        <v>0</v>
      </c>
      <c r="O52" s="12">
        <f>COUNTIF(TIMETABLE!D29:W29,"EB013")</f>
        <v>0</v>
      </c>
      <c r="P52" s="12">
        <f>COUNTIF(TIMETABLE!L29:W29,"EB104")</f>
        <v>0</v>
      </c>
      <c r="Q52" s="12">
        <f>COUNTIF(TIMETABLE!D29:W29,"EB105")</f>
        <v>0</v>
      </c>
      <c r="R52" s="12">
        <f>COUNTIF(TIMETABLE!D29:W29,"EB107")</f>
        <v>0</v>
      </c>
      <c r="S52" s="12">
        <f>COUNTIF(TIMETABLE!D29:W29,"EB109")</f>
        <v>0</v>
      </c>
      <c r="T52" s="12">
        <f>COUNTIF(TIMETABLE!D29:W29,"EB110")</f>
        <v>0</v>
      </c>
      <c r="U52" s="12">
        <f>COUNTIF(TIMETABLE!D29:W29,"MA111")</f>
        <v>0</v>
      </c>
      <c r="V52" s="12">
        <f>COUNTIF(TIMETABLE!D29:W29,"MA209")</f>
        <v>0</v>
      </c>
      <c r="W52" s="12">
        <f>COUNTIF(TIMETABLE!D29:W29,"MA212")</f>
        <v>0</v>
      </c>
      <c r="X52" s="12">
        <f>COUNTIF(TIMETABLE!D29:W29,"DO3")</f>
        <v>0</v>
      </c>
      <c r="Y52" s="12">
        <f>COUNTIF(TIMETABLE!D29:W29,"RM2")</f>
        <v>0</v>
      </c>
      <c r="Z52" s="12">
        <f>COUNTIF(TIMETABLE!D29:W29,"MZ01")</f>
        <v>0</v>
      </c>
      <c r="AA52" s="12">
        <f>COUNTIF(TIMETABLE!D29:W29,"MZ02")</f>
        <v>0</v>
      </c>
      <c r="AB52" s="12">
        <f>COUNTIF(TIMETABLE!D29:W29,"RM3")</f>
        <v>0</v>
      </c>
      <c r="AC52" s="267">
        <f>COUNTIF(TIMETABLE!D29:W29,"FET203")</f>
        <v>0</v>
      </c>
      <c r="AD52" s="267">
        <f>COUNTIF(TIMETABLE!D29:W29,"FET205")</f>
        <v>0</v>
      </c>
      <c r="AE52" s="267">
        <f>COUNTIF(TIMETABLE!D29:W29,"FET207")</f>
        <v>0</v>
      </c>
      <c r="AF52" s="267">
        <f>COUNTIF(TIMETABLE!D29:W29,"FET208")</f>
        <v>0</v>
      </c>
      <c r="AG52" s="267">
        <f>COUNTIF(TIMETABLE!D29:W29,"FET209")</f>
        <v>0</v>
      </c>
      <c r="AH52" s="267">
        <f>COUNTIF(TIMETABLE!D29:W29,"FET210")</f>
        <v>0</v>
      </c>
      <c r="AI52" s="5"/>
      <c r="AJ52" s="526"/>
      <c r="EW52" s="532"/>
    </row>
    <row r="53" spans="2:153" ht="27" thickBot="1" x14ac:dyDescent="0.5">
      <c r="B53" s="526"/>
      <c r="C53" s="35">
        <v>8</v>
      </c>
      <c r="D53" s="79"/>
      <c r="E53" s="79"/>
      <c r="F53" s="79"/>
      <c r="G53" s="79"/>
      <c r="H53" s="79"/>
      <c r="I53" s="79"/>
      <c r="J53" s="79"/>
      <c r="K53" s="79"/>
      <c r="L53" s="79"/>
      <c r="M53" s="79"/>
      <c r="N53" s="79"/>
      <c r="O53" s="79"/>
      <c r="P53" s="79"/>
      <c r="Q53" s="79"/>
      <c r="R53" s="79"/>
      <c r="S53" s="79"/>
      <c r="T53" s="79"/>
      <c r="U53" s="79"/>
      <c r="V53" s="79"/>
      <c r="W53" s="79"/>
      <c r="X53" s="79"/>
      <c r="Y53" s="79"/>
      <c r="Z53" s="79"/>
      <c r="AA53" s="79"/>
      <c r="AB53" s="79"/>
      <c r="AC53" s="275"/>
      <c r="AD53" s="275"/>
      <c r="AE53" s="275"/>
      <c r="AF53" s="275"/>
      <c r="AG53" s="275"/>
      <c r="AH53" s="275"/>
      <c r="AI53" s="35">
        <v>8</v>
      </c>
      <c r="AJ53" s="526"/>
      <c r="EW53" s="532"/>
    </row>
    <row r="54" spans="2:153" ht="26.4" x14ac:dyDescent="0.45">
      <c r="B54" s="526"/>
      <c r="C54" s="34">
        <v>8</v>
      </c>
      <c r="D54" s="78"/>
      <c r="E54" s="78"/>
      <c r="F54" s="78"/>
      <c r="G54" s="78"/>
      <c r="H54" s="78"/>
      <c r="I54" s="78"/>
      <c r="J54" s="78"/>
      <c r="K54" s="78"/>
      <c r="L54" s="78"/>
      <c r="M54" s="78"/>
      <c r="N54" s="78"/>
      <c r="O54" s="78"/>
      <c r="P54" s="78"/>
      <c r="Q54" s="78"/>
      <c r="R54" s="78"/>
      <c r="S54" s="78"/>
      <c r="T54" s="78"/>
      <c r="U54" s="78"/>
      <c r="V54" s="78"/>
      <c r="W54" s="78"/>
      <c r="X54" s="78"/>
      <c r="Y54" s="78"/>
      <c r="Z54" s="78"/>
      <c r="AA54" s="78"/>
      <c r="AB54" s="78"/>
      <c r="AC54" s="274"/>
      <c r="AD54" s="274"/>
      <c r="AE54" s="274"/>
      <c r="AF54" s="274"/>
      <c r="AG54" s="274"/>
      <c r="AH54" s="274"/>
      <c r="AI54" s="34">
        <v>8</v>
      </c>
      <c r="AJ54" s="526"/>
      <c r="EW54" s="532"/>
    </row>
    <row r="55" spans="2:153" ht="26.4" x14ac:dyDescent="0.45">
      <c r="B55" s="526"/>
      <c r="C55" s="34"/>
      <c r="D55" s="12" t="e">
        <f>COUNTIF(TIMETABLE!#REF!,"EA005")</f>
        <v>#REF!</v>
      </c>
      <c r="E55" s="12" t="e">
        <f>COUNTIF(TIMETABLE!#REF!,"EA006")</f>
        <v>#REF!</v>
      </c>
      <c r="F55" s="12" t="e">
        <f>COUNTIF(TIMETABLE!#REF!,"EA009/10")</f>
        <v>#REF!</v>
      </c>
      <c r="G55" s="12" t="e">
        <f>COUNTIF(TIMETABLE!#REF!,"EA012")</f>
        <v>#REF!</v>
      </c>
      <c r="H55" s="12" t="e">
        <f>COUNTIF(TIMETABLE!#REF!,"EA015")</f>
        <v>#REF!</v>
      </c>
      <c r="I55" s="12" t="e">
        <f>COUNTIF(TIMETABLE!#REF!,"EA104")</f>
        <v>#REF!</v>
      </c>
      <c r="J55" s="12">
        <v>0</v>
      </c>
      <c r="K55" s="12" t="e">
        <f>COUNTIF(TIMETABLE!#REF!,"EA107")</f>
        <v>#REF!</v>
      </c>
      <c r="L55"/>
      <c r="M55" s="12"/>
      <c r="N55" s="12" t="e">
        <f>COUNTIF(TIMETABLE!#REF!,"EA012")</f>
        <v>#REF!</v>
      </c>
      <c r="O55" s="12" t="e">
        <f>COUNTIF(TIMETABLE!#REF!,"EB013")</f>
        <v>#REF!</v>
      </c>
      <c r="P55" s="12" t="e">
        <f>COUNTIF(TIMETABLE!#REF!,"EB104")</f>
        <v>#REF!</v>
      </c>
      <c r="Q55" s="12" t="e">
        <f>COUNTIF(TIMETABLE!#REF!,"EB105")</f>
        <v>#REF!</v>
      </c>
      <c r="R55" s="12" t="e">
        <f>COUNTIF(TIMETABLE!#REF!,"EB107")</f>
        <v>#REF!</v>
      </c>
      <c r="S55" s="12" t="e">
        <f>COUNTIF(TIMETABLE!#REF!,"EB109")</f>
        <v>#REF!</v>
      </c>
      <c r="T55" s="12" t="e">
        <f>COUNTIF(TIMETABLE!#REF!,"EB110")</f>
        <v>#REF!</v>
      </c>
      <c r="U55" s="12" t="e">
        <f>COUNTIF(TIMETABLE!#REF!,"MA111")</f>
        <v>#REF!</v>
      </c>
      <c r="V55" s="12" t="e">
        <f>COUNTIF(TIMETABLE!#REF!,"MA209")</f>
        <v>#REF!</v>
      </c>
      <c r="W55" s="12" t="e">
        <f>COUNTIF(TIMETABLE!#REF!,"MA212")</f>
        <v>#REF!</v>
      </c>
      <c r="X55" s="12" t="e">
        <f>COUNTIF(TIMETABLE!#REF!,"DO3")</f>
        <v>#REF!</v>
      </c>
      <c r="Y55" s="12" t="e">
        <f>COUNTIF(TIMETABLE!#REF!,"RM2")</f>
        <v>#REF!</v>
      </c>
      <c r="Z55" s="12" t="e">
        <f>COUNTIF(TIMETABLE!#REF!,"MZ01")</f>
        <v>#REF!</v>
      </c>
      <c r="AA55" s="12" t="e">
        <f>COUNTIF(TIMETABLE!#REF!,"MZ02")</f>
        <v>#REF!</v>
      </c>
      <c r="AB55" s="12" t="e">
        <f>COUNTIF(TIMETABLE!#REF!,"RM3")</f>
        <v>#REF!</v>
      </c>
      <c r="AC55" s="267" t="e">
        <f>COUNTIF(TIMETABLE!#REF!,"FET203")</f>
        <v>#REF!</v>
      </c>
      <c r="AD55" s="267" t="e">
        <f>COUNTIF(TIMETABLE!#REF!,"FET205")</f>
        <v>#REF!</v>
      </c>
      <c r="AE55" s="267" t="e">
        <f>COUNTIF(TIMETABLE!#REF!,"FET207")</f>
        <v>#REF!</v>
      </c>
      <c r="AF55" s="267" t="e">
        <f>COUNTIF(TIMETABLE!#REF!,"FET208")</f>
        <v>#REF!</v>
      </c>
      <c r="AG55" s="267" t="e">
        <f>COUNTIF(TIMETABLE!#REF!,"FET209")</f>
        <v>#REF!</v>
      </c>
      <c r="AH55" s="267" t="e">
        <f>COUNTIF(TIMETABLE!#REF!,"FET210")</f>
        <v>#REF!</v>
      </c>
      <c r="AI55" s="34"/>
      <c r="AJ55" s="526"/>
      <c r="EW55" s="532"/>
    </row>
    <row r="56" spans="2:153" ht="27" thickBot="1" x14ac:dyDescent="0.5">
      <c r="B56" s="526"/>
      <c r="C56" s="35">
        <v>9</v>
      </c>
      <c r="D56" s="79"/>
      <c r="E56" s="79"/>
      <c r="F56" s="79"/>
      <c r="G56" s="79"/>
      <c r="H56" s="79"/>
      <c r="I56" s="79"/>
      <c r="J56" s="79"/>
      <c r="K56" s="79"/>
      <c r="L56" s="79"/>
      <c r="M56" s="79"/>
      <c r="N56" s="79"/>
      <c r="O56" s="79"/>
      <c r="P56" s="79"/>
      <c r="Q56" s="79"/>
      <c r="R56" s="79"/>
      <c r="S56" s="79"/>
      <c r="T56" s="79"/>
      <c r="U56" s="79"/>
      <c r="V56" s="79"/>
      <c r="W56" s="79"/>
      <c r="X56" s="79"/>
      <c r="Y56" s="79"/>
      <c r="Z56" s="79"/>
      <c r="AA56" s="79"/>
      <c r="AB56" s="79"/>
      <c r="AC56" s="275"/>
      <c r="AD56" s="275"/>
      <c r="AE56" s="275"/>
      <c r="AF56" s="275"/>
      <c r="AG56" s="275"/>
      <c r="AH56" s="275"/>
      <c r="AI56" s="35">
        <v>9</v>
      </c>
      <c r="AJ56" s="526"/>
      <c r="EW56" s="532"/>
    </row>
    <row r="57" spans="2:153" ht="26.4" x14ac:dyDescent="0.45">
      <c r="B57" s="526"/>
      <c r="C57" s="34">
        <v>9</v>
      </c>
      <c r="D57" s="78"/>
      <c r="E57" s="78"/>
      <c r="F57" s="78"/>
      <c r="G57" s="78"/>
      <c r="H57" s="78"/>
      <c r="I57" s="78"/>
      <c r="J57" s="78"/>
      <c r="K57" s="78"/>
      <c r="L57" s="78"/>
      <c r="M57" s="78"/>
      <c r="N57" s="78"/>
      <c r="O57" s="78"/>
      <c r="P57" s="78"/>
      <c r="Q57" s="78"/>
      <c r="R57" s="78"/>
      <c r="S57" s="78"/>
      <c r="T57" s="78"/>
      <c r="U57" s="78"/>
      <c r="V57" s="78"/>
      <c r="W57" s="78"/>
      <c r="X57" s="78"/>
      <c r="Y57" s="78"/>
      <c r="Z57" s="78"/>
      <c r="AA57" s="78"/>
      <c r="AB57" s="78"/>
      <c r="AC57" s="274"/>
      <c r="AD57" s="274"/>
      <c r="AE57" s="274"/>
      <c r="AF57" s="274"/>
      <c r="AG57" s="274"/>
      <c r="AH57" s="274"/>
      <c r="AI57" s="34">
        <v>9</v>
      </c>
      <c r="AJ57" s="526"/>
      <c r="EW57" s="532"/>
    </row>
    <row r="58" spans="2:153" ht="26.4" x14ac:dyDescent="0.45">
      <c r="B58" s="526"/>
      <c r="C58" s="47"/>
      <c r="D58" s="12" t="e">
        <f>COUNTIF(TIMETABLE!#REF!,"EA005")</f>
        <v>#REF!</v>
      </c>
      <c r="E58" s="12" t="e">
        <f>COUNTIF(TIMETABLE!#REF!,"EA006")</f>
        <v>#REF!</v>
      </c>
      <c r="F58" s="12" t="e">
        <f>COUNTIF(TIMETABLE!#REF!,"EA009/10")</f>
        <v>#REF!</v>
      </c>
      <c r="G58" s="12" t="e">
        <f>COUNTIF(TIMETABLE!#REF!,"EA012")</f>
        <v>#REF!</v>
      </c>
      <c r="H58" s="12" t="e">
        <f>COUNTIF(TIMETABLE!#REF!,"EA015")</f>
        <v>#REF!</v>
      </c>
      <c r="I58" s="12" t="e">
        <f>COUNTIF(TIMETABLE!#REF!,"EA104")</f>
        <v>#REF!</v>
      </c>
      <c r="J58" s="12">
        <v>0</v>
      </c>
      <c r="K58" s="12" t="e">
        <f>COUNTIF(TIMETABLE!#REF!,"EA107")</f>
        <v>#REF!</v>
      </c>
      <c r="L58" s="12" t="e">
        <f>COUNTIF(TIMETABLE!#REF!,"EA012")</f>
        <v>#REF!</v>
      </c>
      <c r="M58" s="12" t="e">
        <f>COUNTIF(TIMETABLE!#REF!,"EA012")</f>
        <v>#REF!</v>
      </c>
      <c r="N58" s="12" t="e">
        <f>COUNTIF(TIMETABLE!#REF!,"EA012")</f>
        <v>#REF!</v>
      </c>
      <c r="O58" s="12" t="e">
        <f>COUNTIF(TIMETABLE!#REF!,"EB013")</f>
        <v>#REF!</v>
      </c>
      <c r="P58" s="12" t="e">
        <f>COUNTIF(TIMETABLE!#REF!,"EB104")</f>
        <v>#REF!</v>
      </c>
      <c r="Q58" s="12" t="e">
        <f>COUNTIF(TIMETABLE!#REF!,"EB105")</f>
        <v>#REF!</v>
      </c>
      <c r="R58" s="12" t="e">
        <f>COUNTIF(TIMETABLE!#REF!,"EB107")</f>
        <v>#REF!</v>
      </c>
      <c r="S58" s="12" t="e">
        <f>COUNTIF(TIMETABLE!#REF!,"EB109")</f>
        <v>#REF!</v>
      </c>
      <c r="T58" s="12" t="e">
        <f>COUNTIF(TIMETABLE!#REF!,"EB110")</f>
        <v>#REF!</v>
      </c>
      <c r="U58" s="12" t="e">
        <f>COUNTIF(TIMETABLE!#REF!,"MA111")</f>
        <v>#REF!</v>
      </c>
      <c r="V58" s="12" t="e">
        <f>COUNTIF(TIMETABLE!#REF!,"MA209")</f>
        <v>#REF!</v>
      </c>
      <c r="W58" s="209" t="e">
        <f>COUNTIF(TIMETABLE!#REF!,"MA212")</f>
        <v>#REF!</v>
      </c>
      <c r="X58" s="12" t="e">
        <f>COUNTIF(TIMETABLE!#REF!,"DO3")</f>
        <v>#REF!</v>
      </c>
      <c r="Y58" s="12" t="e">
        <f>COUNTIF(TIMETABLE!#REF!,"RM2")</f>
        <v>#REF!</v>
      </c>
      <c r="Z58" s="12" t="e">
        <f>COUNTIF(TIMETABLE!#REF!,"MZ01")</f>
        <v>#REF!</v>
      </c>
      <c r="AA58" s="12" t="e">
        <f>COUNTIF(TIMETABLE!#REF!,"MZ02")</f>
        <v>#REF!</v>
      </c>
      <c r="AB58" s="12" t="e">
        <f>COUNTIF(TIMETABLE!#REF!,"RM3")</f>
        <v>#REF!</v>
      </c>
      <c r="AC58" s="267" t="e">
        <f>COUNTIF(TIMETABLE!#REF!,"FET203")</f>
        <v>#REF!</v>
      </c>
      <c r="AD58" s="267" t="e">
        <f>COUNTIF(TIMETABLE!#REF!,"FET205")</f>
        <v>#REF!</v>
      </c>
      <c r="AE58" s="267" t="e">
        <f>COUNTIF(TIMETABLE!#REF!,"FET207")</f>
        <v>#REF!</v>
      </c>
      <c r="AF58" s="267" t="e">
        <f>COUNTIF(TIMETABLE!#REF!,"FET208")</f>
        <v>#REF!</v>
      </c>
      <c r="AG58" s="267" t="e">
        <f>COUNTIF(TIMETABLE!#REF!,"FET209")</f>
        <v>#REF!</v>
      </c>
      <c r="AH58" s="267" t="e">
        <f>COUNTIF(TIMETABLE!#REF!,"FET210")</f>
        <v>#REF!</v>
      </c>
      <c r="AI58" s="47"/>
      <c r="AJ58" s="526"/>
      <c r="EW58" s="532"/>
    </row>
    <row r="59" spans="2:153" ht="27" thickBot="1" x14ac:dyDescent="0.5">
      <c r="B59" s="526"/>
      <c r="C59" s="35">
        <v>10</v>
      </c>
      <c r="D59" s="79"/>
      <c r="E59" s="79"/>
      <c r="F59" s="79"/>
      <c r="G59" s="79"/>
      <c r="H59" s="79"/>
      <c r="I59" s="79"/>
      <c r="J59" s="79"/>
      <c r="K59" s="79"/>
      <c r="L59" s="79"/>
      <c r="M59" s="79"/>
      <c r="N59" s="79"/>
      <c r="O59" s="79"/>
      <c r="P59" s="79"/>
      <c r="Q59" s="79"/>
      <c r="R59" s="79"/>
      <c r="S59" s="79"/>
      <c r="T59" s="79"/>
      <c r="U59" s="79"/>
      <c r="V59" s="79"/>
      <c r="W59" s="79"/>
      <c r="X59" s="79"/>
      <c r="Y59" s="79"/>
      <c r="Z59" s="79"/>
      <c r="AA59" s="79"/>
      <c r="AB59" s="79"/>
      <c r="AC59" s="275"/>
      <c r="AD59" s="275"/>
      <c r="AE59" s="275"/>
      <c r="AF59" s="275"/>
      <c r="AG59" s="275"/>
      <c r="AH59" s="275"/>
      <c r="AI59" s="35">
        <v>10</v>
      </c>
      <c r="AJ59" s="526"/>
      <c r="EW59" s="532"/>
    </row>
    <row r="60" spans="2:153" ht="26.4" x14ac:dyDescent="0.45">
      <c r="B60" s="526"/>
      <c r="C60" s="34">
        <v>10</v>
      </c>
      <c r="D60" s="78"/>
      <c r="E60" s="78"/>
      <c r="F60" s="78"/>
      <c r="G60" s="78"/>
      <c r="H60" s="78"/>
      <c r="I60" s="78"/>
      <c r="J60" s="78"/>
      <c r="K60" s="78"/>
      <c r="L60" s="78"/>
      <c r="M60" s="78"/>
      <c r="N60" s="78"/>
      <c r="O60" s="78"/>
      <c r="P60" s="78"/>
      <c r="Q60" s="78"/>
      <c r="R60" s="78"/>
      <c r="S60" s="78"/>
      <c r="T60" s="78"/>
      <c r="U60" s="78"/>
      <c r="V60" s="78"/>
      <c r="W60" s="78"/>
      <c r="X60" s="78"/>
      <c r="Y60" s="78"/>
      <c r="Z60" s="78"/>
      <c r="AA60" s="78"/>
      <c r="AB60" s="78"/>
      <c r="AC60" s="274"/>
      <c r="AD60" s="274"/>
      <c r="AE60" s="274"/>
      <c r="AF60" s="274"/>
      <c r="AG60" s="274"/>
      <c r="AH60" s="274"/>
      <c r="AI60" s="34">
        <v>10</v>
      </c>
      <c r="AJ60" s="526"/>
      <c r="EW60" s="532"/>
    </row>
    <row r="61" spans="2:153" ht="26.4" x14ac:dyDescent="0.45">
      <c r="B61" s="526"/>
      <c r="C61" s="6"/>
      <c r="D61" s="12">
        <f>COUNTIF(TIMETABLE!D33:W33,"EA005")</f>
        <v>0</v>
      </c>
      <c r="E61" s="12">
        <f>COUNTIF(TIMETABLE!D33:W33,"EA006")</f>
        <v>0</v>
      </c>
      <c r="F61" s="12">
        <f>COUNTIF(TIMETABLE!D33:W33,"EA009/10")</f>
        <v>0</v>
      </c>
      <c r="G61" s="12">
        <f>COUNTIF(TIMETABLE!D33:W33,"EA012")</f>
        <v>0</v>
      </c>
      <c r="H61" s="12">
        <f>COUNTIF(TIMETABLE!D33:AB33,"EA015")</f>
        <v>0</v>
      </c>
      <c r="I61" s="12">
        <f>COUNTIF(TIMETABLE!D33:AC33,"EA104")</f>
        <v>0</v>
      </c>
      <c r="J61" s="12">
        <v>0</v>
      </c>
      <c r="K61" s="12">
        <f>COUNTIF(TIMETABLE!D33:AB33,"EA107")</f>
        <v>0</v>
      </c>
      <c r="L61" s="12">
        <f>COUNTIF(TIMETABLE!D33:AF33,"EA012")</f>
        <v>0</v>
      </c>
      <c r="M61" s="12">
        <f>COUNTIF(TIMETABLE!D33:AG33,"EA012")</f>
        <v>0</v>
      </c>
      <c r="N61" s="12">
        <f>COUNTIF(TIMETABLE!D33:AH33,"EA012")</f>
        <v>0</v>
      </c>
      <c r="O61" s="12">
        <f>COUNTIF(TIMETABLE!D33:W33,"EB013")</f>
        <v>0</v>
      </c>
      <c r="P61" s="12">
        <f>COUNTIF(TIMETABLE!M33:W33,"EB104")</f>
        <v>0</v>
      </c>
      <c r="Q61" s="12">
        <f>COUNTIF(TIMETABLE!D33:W33,"EB105")</f>
        <v>0</v>
      </c>
      <c r="R61" s="12">
        <f>COUNTIF(TIMETABLE!D33:W33,"EB107")</f>
        <v>0</v>
      </c>
      <c r="S61" s="12">
        <f>COUNTIF(TIMETABLE!D33:W33,"EB109")</f>
        <v>0</v>
      </c>
      <c r="T61" s="12">
        <f>COUNTIF(TIMETABLE!D33:W33,"EB110")</f>
        <v>0</v>
      </c>
      <c r="U61" s="12">
        <f>COUNTIF(TIMETABLE!D33:W33,"MA111")</f>
        <v>0</v>
      </c>
      <c r="V61" s="12">
        <f>COUNTIF(TIMETABLE!D33:W33,"MA209")</f>
        <v>0</v>
      </c>
      <c r="W61" s="12">
        <f>COUNTIF(TIMETABLE!D33:W33,"MA212")</f>
        <v>0</v>
      </c>
      <c r="X61" s="12">
        <f>COUNTIF(TIMETABLE!D33:W33,"DO3")</f>
        <v>0</v>
      </c>
      <c r="Y61" s="12">
        <f>COUNTIF(TIMETABLE!D33:W33,"RM2")</f>
        <v>0</v>
      </c>
      <c r="Z61" s="12">
        <f>COUNTIF(TIMETABLE!D33:W33,"MZ01")</f>
        <v>0</v>
      </c>
      <c r="AA61" s="12">
        <f>COUNTIF(TIMETABLE!D33:W33,"MZ02")</f>
        <v>0</v>
      </c>
      <c r="AB61" s="12">
        <f>COUNTIF(TIMETABLE!D33:W33,"RM3")</f>
        <v>0</v>
      </c>
      <c r="AC61" s="267">
        <f>COUNTIF(TIMETABLE!D33:W33,"FET203")</f>
        <v>0</v>
      </c>
      <c r="AD61" s="267">
        <f>COUNTIF(TIMETABLE!D33:W33,"FET205")</f>
        <v>0</v>
      </c>
      <c r="AE61" s="267">
        <f>COUNTIF(TIMETABLE!D33:W33,"FET207")</f>
        <v>0</v>
      </c>
      <c r="AF61" s="267">
        <f>COUNTIF(TIMETABLE!D33:W33,"FET208")</f>
        <v>0</v>
      </c>
      <c r="AG61" s="267">
        <f>COUNTIF(TIMETABLE!D33:W33,"FET209")</f>
        <v>0</v>
      </c>
      <c r="AH61" s="267">
        <f>COUNTIF(TIMETABLE!D33:W33,"FET210")</f>
        <v>0</v>
      </c>
      <c r="AI61" s="6"/>
      <c r="AJ61" s="526"/>
      <c r="EW61" s="532"/>
    </row>
    <row r="62" spans="2:153" ht="27" thickBot="1" x14ac:dyDescent="0.5">
      <c r="B62" s="526"/>
      <c r="C62" s="35">
        <v>11</v>
      </c>
      <c r="D62" s="79"/>
      <c r="E62" s="79"/>
      <c r="F62" s="79"/>
      <c r="G62" s="79"/>
      <c r="H62" s="79"/>
      <c r="I62" s="79"/>
      <c r="J62" s="79"/>
      <c r="K62" s="79"/>
      <c r="L62" s="79"/>
      <c r="M62" s="79"/>
      <c r="N62" s="79"/>
      <c r="O62" s="79"/>
      <c r="P62" s="79"/>
      <c r="Q62" s="79"/>
      <c r="R62" s="79"/>
      <c r="S62" s="79"/>
      <c r="T62" s="79"/>
      <c r="U62" s="79"/>
      <c r="V62" s="79"/>
      <c r="W62" s="79"/>
      <c r="X62" s="79"/>
      <c r="Y62" s="79"/>
      <c r="Z62" s="79"/>
      <c r="AA62" s="79"/>
      <c r="AB62" s="79"/>
      <c r="AC62" s="275"/>
      <c r="AD62" s="275"/>
      <c r="AE62" s="275"/>
      <c r="AF62" s="275"/>
      <c r="AG62" s="275"/>
      <c r="AH62" s="275"/>
      <c r="AI62" s="35">
        <v>11</v>
      </c>
      <c r="AJ62" s="526"/>
      <c r="EW62" s="532"/>
    </row>
    <row r="63" spans="2:153" ht="26.4" x14ac:dyDescent="0.45">
      <c r="B63" s="526"/>
      <c r="C63" s="34">
        <v>11</v>
      </c>
      <c r="D63" s="78"/>
      <c r="E63" s="78"/>
      <c r="F63" s="78"/>
      <c r="G63" s="78"/>
      <c r="H63" s="78"/>
      <c r="I63" s="78"/>
      <c r="J63" s="78"/>
      <c r="K63" s="78"/>
      <c r="L63" s="78"/>
      <c r="M63" s="78"/>
      <c r="N63" s="78"/>
      <c r="O63" s="78"/>
      <c r="P63" s="78"/>
      <c r="Q63" s="78"/>
      <c r="R63" s="78"/>
      <c r="S63" s="78"/>
      <c r="T63" s="78"/>
      <c r="U63" s="78"/>
      <c r="V63" s="78"/>
      <c r="W63" s="78"/>
      <c r="X63" s="78"/>
      <c r="Y63" s="78"/>
      <c r="Z63" s="78"/>
      <c r="AA63" s="78"/>
      <c r="AB63" s="78"/>
      <c r="AC63" s="274"/>
      <c r="AD63" s="274"/>
      <c r="AE63" s="274"/>
      <c r="AF63" s="274"/>
      <c r="AG63" s="274"/>
      <c r="AH63" s="274"/>
      <c r="AI63" s="34">
        <v>11</v>
      </c>
      <c r="AJ63" s="526"/>
      <c r="EW63" s="532"/>
    </row>
    <row r="64" spans="2:153" ht="26.4" x14ac:dyDescent="0.45">
      <c r="B64" s="526"/>
      <c r="C64" s="5"/>
      <c r="D64" s="12" t="e">
        <f>COUNTIF(TIMETABLE!#REF!,"EA005")</f>
        <v>#REF!</v>
      </c>
      <c r="E64" s="12" t="e">
        <f>COUNTIF(TIMETABLE!#REF!,"EA006")</f>
        <v>#REF!</v>
      </c>
      <c r="F64" s="12" t="e">
        <f>COUNTIF(TIMETABLE!#REF!,"EA009/10")</f>
        <v>#REF!</v>
      </c>
      <c r="G64" s="12" t="e">
        <f>COUNTIF(TIMETABLE!#REF!,"EA012")</f>
        <v>#REF!</v>
      </c>
      <c r="H64" s="12" t="e">
        <f>COUNTIF(TIMETABLE!#REF!,"EA015")</f>
        <v>#REF!</v>
      </c>
      <c r="I64" s="12" t="e">
        <f>COUNTIF(TIMETABLE!#REF!,"EA104")</f>
        <v>#REF!</v>
      </c>
      <c r="J64" s="12">
        <v>0</v>
      </c>
      <c r="K64" s="12" t="e">
        <f>COUNTIF(TIMETABLE!#REF!,"EA107")</f>
        <v>#REF!</v>
      </c>
      <c r="L64" s="12" t="e">
        <f>COUNTIF(TIMETABLE!#REF!,"EA012")</f>
        <v>#REF!</v>
      </c>
      <c r="M64" s="12" t="e">
        <f>COUNTIF(TIMETABLE!#REF!,"EA012")</f>
        <v>#REF!</v>
      </c>
      <c r="N64" s="12" t="e">
        <f>COUNTIF(TIMETABLE!#REF!,"EA012")</f>
        <v>#REF!</v>
      </c>
      <c r="O64" s="12" t="e">
        <f>COUNTIF(TIMETABLE!#REF!,"EB013")</f>
        <v>#REF!</v>
      </c>
      <c r="P64" s="12" t="e">
        <f>COUNTIF(TIMETABLE!#REF!,"EB104")</f>
        <v>#REF!</v>
      </c>
      <c r="Q64" s="12" t="e">
        <f>COUNTIF(TIMETABLE!#REF!,"EB105")</f>
        <v>#REF!</v>
      </c>
      <c r="R64" s="12" t="e">
        <f>COUNTIF(TIMETABLE!#REF!,"EB107")</f>
        <v>#REF!</v>
      </c>
      <c r="S64" s="12" t="e">
        <f>COUNTIF(TIMETABLE!#REF!,"EB109")</f>
        <v>#REF!</v>
      </c>
      <c r="T64" s="12" t="e">
        <f>COUNTIF(TIMETABLE!#REF!,"EB110")</f>
        <v>#REF!</v>
      </c>
      <c r="U64" s="12" t="e">
        <f>COUNTIF(TIMETABLE!#REF!,"MA111")</f>
        <v>#REF!</v>
      </c>
      <c r="V64" s="12" t="e">
        <f>COUNTIF(TIMETABLE!#REF!,"MA209")</f>
        <v>#REF!</v>
      </c>
      <c r="W64" s="12" t="e">
        <f>COUNTIF(TIMETABLE!#REF!,"MA212")</f>
        <v>#REF!</v>
      </c>
      <c r="X64" s="12" t="e">
        <f>COUNTIF(TIMETABLE!#REF!,"DO3")</f>
        <v>#REF!</v>
      </c>
      <c r="Y64" s="12" t="e">
        <f>COUNTIF(TIMETABLE!#REF!,"RM2")</f>
        <v>#REF!</v>
      </c>
      <c r="Z64" s="12" t="e">
        <f>COUNTIF(TIMETABLE!#REF!,"MZ01")</f>
        <v>#REF!</v>
      </c>
      <c r="AA64" s="12" t="e">
        <f>COUNTIF(TIMETABLE!#REF!,"MZ02")</f>
        <v>#REF!</v>
      </c>
      <c r="AB64" s="12" t="e">
        <f>COUNTIF(TIMETABLE!#REF!,"RM3")</f>
        <v>#REF!</v>
      </c>
      <c r="AC64" s="267" t="e">
        <f>COUNTIF(TIMETABLE!#REF!,"FET203")</f>
        <v>#REF!</v>
      </c>
      <c r="AD64" s="267" t="e">
        <f>COUNTIF(TIMETABLE!#REF!,"FET205")</f>
        <v>#REF!</v>
      </c>
      <c r="AE64" s="267" t="e">
        <f>COUNTIF(TIMETABLE!#REF!,"FET207")</f>
        <v>#REF!</v>
      </c>
      <c r="AF64" s="267" t="e">
        <f>COUNTIF(TIMETABLE!#REF!,"FET208")</f>
        <v>#REF!</v>
      </c>
      <c r="AG64" s="267" t="e">
        <f>COUNTIF(TIMETABLE!#REF!,"FET209")</f>
        <v>#REF!</v>
      </c>
      <c r="AH64" s="267" t="e">
        <f>COUNTIF(TIMETABLE!#REF!,"FET210")</f>
        <v>#REF!</v>
      </c>
      <c r="AI64" s="5"/>
      <c r="AJ64" s="526"/>
      <c r="EW64" s="532"/>
    </row>
    <row r="65" spans="2:153" ht="27" thickBot="1" x14ac:dyDescent="0.5">
      <c r="B65" s="526"/>
      <c r="C65" s="35">
        <v>12</v>
      </c>
      <c r="D65" s="79"/>
      <c r="E65" s="79"/>
      <c r="F65" s="79"/>
      <c r="G65" s="79"/>
      <c r="H65" s="79"/>
      <c r="I65" s="79"/>
      <c r="J65" s="79"/>
      <c r="K65" s="79"/>
      <c r="L65" s="79"/>
      <c r="M65" s="79"/>
      <c r="N65" s="79"/>
      <c r="O65" s="79"/>
      <c r="P65" s="79"/>
      <c r="Q65" s="79"/>
      <c r="R65" s="79"/>
      <c r="S65" s="79"/>
      <c r="T65" s="79"/>
      <c r="U65" s="79"/>
      <c r="V65" s="79"/>
      <c r="W65" s="79"/>
      <c r="X65" s="79"/>
      <c r="Y65" s="79"/>
      <c r="Z65" s="79"/>
      <c r="AA65" s="79"/>
      <c r="AB65" s="79"/>
      <c r="AC65" s="275"/>
      <c r="AD65" s="275"/>
      <c r="AE65" s="275"/>
      <c r="AF65" s="275"/>
      <c r="AG65" s="275"/>
      <c r="AH65" s="275"/>
      <c r="AI65" s="35">
        <v>12</v>
      </c>
      <c r="AJ65" s="526"/>
      <c r="EW65" s="532"/>
    </row>
    <row r="66" spans="2:153" ht="26.4" x14ac:dyDescent="0.45">
      <c r="B66" s="526"/>
      <c r="C66" s="34">
        <v>12</v>
      </c>
      <c r="D66" s="78"/>
      <c r="E66" s="78"/>
      <c r="F66" s="78"/>
      <c r="G66" s="78"/>
      <c r="H66" s="78"/>
      <c r="I66" s="78"/>
      <c r="J66" s="78"/>
      <c r="K66" s="78"/>
      <c r="L66" s="78"/>
      <c r="M66" s="78"/>
      <c r="N66" s="78"/>
      <c r="O66" s="78"/>
      <c r="P66" s="78"/>
      <c r="Q66" s="78"/>
      <c r="R66" s="78"/>
      <c r="S66" s="78"/>
      <c r="T66" s="78"/>
      <c r="U66" s="78"/>
      <c r="V66" s="78"/>
      <c r="W66" s="78"/>
      <c r="X66" s="78"/>
      <c r="Y66" s="78"/>
      <c r="Z66" s="78"/>
      <c r="AA66" s="78"/>
      <c r="AB66" s="78"/>
      <c r="AC66" s="274"/>
      <c r="AD66" s="274"/>
      <c r="AE66" s="274"/>
      <c r="AF66" s="274"/>
      <c r="AG66" s="274"/>
      <c r="AH66" s="274"/>
      <c r="AI66" s="34">
        <v>12</v>
      </c>
      <c r="AJ66" s="526"/>
      <c r="EW66" s="532"/>
    </row>
    <row r="67" spans="2:153" ht="26.4" x14ac:dyDescent="0.45">
      <c r="B67" s="526"/>
      <c r="C67" s="5"/>
      <c r="D67" s="12" t="e">
        <f>COUNTIF(TIMETABLE!#REF!,"EA005")</f>
        <v>#REF!</v>
      </c>
      <c r="E67" s="12" t="e">
        <f>COUNTIF(TIMETABLE!#REF!,"EA006")</f>
        <v>#REF!</v>
      </c>
      <c r="F67" s="12" t="e">
        <f>COUNTIF(TIMETABLE!#REF!,"EA009/10")</f>
        <v>#REF!</v>
      </c>
      <c r="G67" s="12" t="e">
        <f>COUNTIF(TIMETABLE!#REF!,"EA012")</f>
        <v>#REF!</v>
      </c>
      <c r="H67" s="12" t="e">
        <f>COUNTIF(TIMETABLE!#REF!,"EA015")</f>
        <v>#REF!</v>
      </c>
      <c r="I67" s="12" t="e">
        <f>COUNTIF(TIMETABLE!#REF!,"EA104")</f>
        <v>#REF!</v>
      </c>
      <c r="J67" s="12">
        <v>0</v>
      </c>
      <c r="K67" s="12" t="e">
        <f>COUNTIF(TIMETABLE!#REF!,"EA107")</f>
        <v>#REF!</v>
      </c>
      <c r="L67" s="12" t="e">
        <f>COUNTIF(TIMETABLE!#REF!,"EA012")</f>
        <v>#REF!</v>
      </c>
      <c r="M67" s="12" t="e">
        <f>COUNTIF(TIMETABLE!#REF!,"EA012")</f>
        <v>#REF!</v>
      </c>
      <c r="N67" s="12" t="e">
        <f>COUNTIF(TIMETABLE!#REF!,"EA012")</f>
        <v>#REF!</v>
      </c>
      <c r="O67" s="12" t="e">
        <f>COUNTIF(TIMETABLE!#REF!,"EB013")</f>
        <v>#REF!</v>
      </c>
      <c r="P67" s="12" t="e">
        <f>COUNTIF(TIMETABLE!#REF!,"EB104")</f>
        <v>#REF!</v>
      </c>
      <c r="Q67" s="12" t="e">
        <f>COUNTIF(TIMETABLE!#REF!,"EB105")</f>
        <v>#REF!</v>
      </c>
      <c r="R67" s="12" t="e">
        <f>COUNTIF(TIMETABLE!#REF!,"EB107")</f>
        <v>#REF!</v>
      </c>
      <c r="S67" s="12" t="e">
        <f>COUNTIF(TIMETABLE!#REF!,"EB109")</f>
        <v>#REF!</v>
      </c>
      <c r="T67" s="12" t="e">
        <f>COUNTIF(TIMETABLE!#REF!,"EB110")</f>
        <v>#REF!</v>
      </c>
      <c r="U67" s="12" t="e">
        <f>COUNTIF(TIMETABLE!#REF!,"MA111")</f>
        <v>#REF!</v>
      </c>
      <c r="V67" s="12" t="e">
        <f>COUNTIF(TIMETABLE!#REF!,"MA209")</f>
        <v>#REF!</v>
      </c>
      <c r="W67" s="12" t="e">
        <f>COUNTIF(TIMETABLE!#REF!,"MA212")</f>
        <v>#REF!</v>
      </c>
      <c r="X67" s="12" t="e">
        <f>COUNTIF(TIMETABLE!#REF!,"DO3")</f>
        <v>#REF!</v>
      </c>
      <c r="Y67" s="12" t="e">
        <f>COUNTIF(TIMETABLE!#REF!,"RM2")</f>
        <v>#REF!</v>
      </c>
      <c r="Z67" s="12" t="e">
        <f>COUNTIF(TIMETABLE!#REF!,"MZ01")</f>
        <v>#REF!</v>
      </c>
      <c r="AA67" s="12" t="e">
        <f>COUNTIF(TIMETABLE!#REF!,"MZ02")</f>
        <v>#REF!</v>
      </c>
      <c r="AB67" s="12" t="e">
        <f>COUNTIF(TIMETABLE!#REF!,"RM3")</f>
        <v>#REF!</v>
      </c>
      <c r="AC67" s="267" t="e">
        <f>COUNTIF(TIMETABLE!#REF!,"FET203")</f>
        <v>#REF!</v>
      </c>
      <c r="AD67" s="267" t="e">
        <f>COUNTIF(TIMETABLE!#REF!,"FET205")</f>
        <v>#REF!</v>
      </c>
      <c r="AE67" s="267" t="e">
        <f>COUNTIF(TIMETABLE!#REF!,"FET207")</f>
        <v>#REF!</v>
      </c>
      <c r="AF67" s="267" t="e">
        <f>COUNTIF(TIMETABLE!#REF!,"FET208")</f>
        <v>#REF!</v>
      </c>
      <c r="AG67" s="267" t="e">
        <f>COUNTIF(TIMETABLE!#REF!,"FET209")</f>
        <v>#REF!</v>
      </c>
      <c r="AH67" s="267" t="e">
        <f>COUNTIF(TIMETABLE!#REF!,"FET210")</f>
        <v>#REF!</v>
      </c>
      <c r="AI67" s="5"/>
      <c r="AJ67" s="526"/>
      <c r="EW67" s="532"/>
    </row>
    <row r="68" spans="2:153" ht="27" thickBot="1" x14ac:dyDescent="0.5">
      <c r="B68" s="526"/>
      <c r="C68" s="35">
        <v>1</v>
      </c>
      <c r="D68" s="79"/>
      <c r="E68" s="79"/>
      <c r="F68" s="79"/>
      <c r="G68" s="79"/>
      <c r="H68" s="79"/>
      <c r="I68" s="79"/>
      <c r="J68" s="79"/>
      <c r="K68" s="79"/>
      <c r="L68" s="79"/>
      <c r="M68" s="79"/>
      <c r="N68" s="79"/>
      <c r="O68" s="79"/>
      <c r="P68" s="79"/>
      <c r="Q68" s="79"/>
      <c r="R68" s="79"/>
      <c r="S68" s="79"/>
      <c r="T68" s="79"/>
      <c r="U68" s="79"/>
      <c r="V68" s="79"/>
      <c r="W68" s="79"/>
      <c r="X68" s="79"/>
      <c r="Y68" s="79"/>
      <c r="Z68" s="79"/>
      <c r="AA68" s="79"/>
      <c r="AB68" s="79"/>
      <c r="AC68" s="275"/>
      <c r="AD68" s="275"/>
      <c r="AE68" s="275"/>
      <c r="AF68" s="275"/>
      <c r="AG68" s="275"/>
      <c r="AH68" s="275"/>
      <c r="AI68" s="35">
        <v>1</v>
      </c>
      <c r="AJ68" s="526"/>
      <c r="EW68" s="532"/>
    </row>
    <row r="69" spans="2:153" ht="26.4" x14ac:dyDescent="0.45">
      <c r="B69" s="526"/>
      <c r="C69" s="27"/>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7"/>
      <c r="AJ69" s="526"/>
      <c r="EW69" s="532"/>
    </row>
    <row r="70" spans="2:153" ht="26.4" x14ac:dyDescent="0.45">
      <c r="B70" s="526"/>
      <c r="C70" s="27"/>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7"/>
      <c r="AJ70" s="526"/>
      <c r="EW70" s="532"/>
    </row>
    <row r="71" spans="2:153" ht="27" thickBot="1" x14ac:dyDescent="0.5">
      <c r="B71" s="526"/>
      <c r="C71" s="27"/>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7"/>
      <c r="AJ71" s="526"/>
      <c r="EW71" s="532"/>
    </row>
    <row r="72" spans="2:153" ht="26.4" x14ac:dyDescent="0.45">
      <c r="B72" s="526"/>
      <c r="C72" s="48">
        <v>2</v>
      </c>
      <c r="D72" s="78"/>
      <c r="E72" s="78"/>
      <c r="F72" s="78"/>
      <c r="G72" s="78"/>
      <c r="H72" s="78"/>
      <c r="I72" s="78"/>
      <c r="J72" s="78"/>
      <c r="K72" s="78"/>
      <c r="L72" s="78"/>
      <c r="M72" s="78"/>
      <c r="N72" s="78"/>
      <c r="O72" s="78"/>
      <c r="P72" s="78"/>
      <c r="Q72" s="78"/>
      <c r="R72" s="78"/>
      <c r="S72" s="78"/>
      <c r="T72" s="78"/>
      <c r="U72" s="78"/>
      <c r="V72" s="78"/>
      <c r="W72" s="78"/>
      <c r="X72" s="78"/>
      <c r="Y72" s="78"/>
      <c r="Z72" s="78"/>
      <c r="AA72" s="78"/>
      <c r="AB72" s="78"/>
      <c r="AC72" s="276"/>
      <c r="AD72" s="276"/>
      <c r="AE72" s="276"/>
      <c r="AF72" s="276"/>
      <c r="AG72" s="276"/>
      <c r="AH72" s="276"/>
      <c r="AI72" s="48">
        <v>2</v>
      </c>
      <c r="AJ72" s="526"/>
      <c r="EW72" s="532"/>
    </row>
    <row r="73" spans="2:153" ht="26.4" x14ac:dyDescent="0.45">
      <c r="B73" s="526"/>
      <c r="C73" s="49"/>
      <c r="D73" s="12">
        <f>COUNTIF(TIMETABLE!D40:W40,"EA005")</f>
        <v>0</v>
      </c>
      <c r="E73" s="12">
        <f>COUNTIF(TIMETABLE!D40:W40,"EA006")</f>
        <v>0</v>
      </c>
      <c r="F73" s="12">
        <f>COUNTIF(TIMETABLE!D40:W40,"EA009/10")</f>
        <v>0</v>
      </c>
      <c r="G73" s="12">
        <f>COUNTIF(TIMETABLE!D40:W40,"EA012")</f>
        <v>0</v>
      </c>
      <c r="H73" s="12">
        <f>COUNTIF(TIMETABLE!D40:W40,"EA015")</f>
        <v>0</v>
      </c>
      <c r="I73" s="12">
        <f>COUNTIF(TIMETABLE!D40:W40,"EA104")</f>
        <v>0</v>
      </c>
      <c r="J73" s="12">
        <f>COUNTIF(TIMETABLE!D40:W40,"EA105")</f>
        <v>0</v>
      </c>
      <c r="K73" s="12">
        <f>COUNTIF(TIMETABLE!D40:W40,"EA107")</f>
        <v>0</v>
      </c>
      <c r="L73" s="12">
        <f>COUNTIF(TIMETABLE!D40:W40,"EA108")</f>
        <v>0</v>
      </c>
      <c r="M73" s="12">
        <f>COUNTIF(TIMETABLE!D40:W40,"EB006")</f>
        <v>0</v>
      </c>
      <c r="N73" s="12">
        <f>COUNTIF(TIMETABLE!D40:W40,"EB007")</f>
        <v>0</v>
      </c>
      <c r="O73" s="12">
        <f>COUNTIF(TIMETABLE!D40:W40,"EB013")</f>
        <v>0</v>
      </c>
      <c r="P73" s="12">
        <f>COUNTIF(TIMETABLE!L40:W40,"EB104")</f>
        <v>0</v>
      </c>
      <c r="Q73" s="12">
        <f>COUNTIF(TIMETABLE!D40:W40,"EB105")</f>
        <v>0</v>
      </c>
      <c r="R73" s="12">
        <f>COUNTIF(TIMETABLE!D40:W40,"EB107")</f>
        <v>0</v>
      </c>
      <c r="S73" s="12">
        <f>COUNTIF(TIMETABLE!D40:W40,"EB109")</f>
        <v>0</v>
      </c>
      <c r="T73" s="12">
        <f>COUNTIF(TIMETABLE!D40:W40,"EB110")</f>
        <v>0</v>
      </c>
      <c r="U73" s="12">
        <f>COUNTIF(TIMETABLE!D40:W40,"MA111")</f>
        <v>0</v>
      </c>
      <c r="V73" s="12">
        <f>COUNTIF(TIMETABLE!D40:W40,"MA209")</f>
        <v>0</v>
      </c>
      <c r="W73" s="12">
        <f>COUNTIF(TIMETABLE!D40:W40,"MA212")</f>
        <v>0</v>
      </c>
      <c r="X73" s="12">
        <f>COUNTIF(TIMETABLE!D40:W40,"DO3")</f>
        <v>1</v>
      </c>
      <c r="Y73" s="12">
        <f>COUNTIF(TIMETABLE!D40:W40,"RM2")</f>
        <v>0</v>
      </c>
      <c r="Z73" s="12">
        <f>COUNTIF(TIMETABLE!D40:W40,"MZ01")</f>
        <v>0</v>
      </c>
      <c r="AA73" s="12">
        <f>COUNTIF(TIMETABLE!D40:W40,"MZ02")</f>
        <v>0</v>
      </c>
      <c r="AB73" s="12">
        <f>COUNTIF(TIMETABLE!D40:W40,"RM3")</f>
        <v>0</v>
      </c>
      <c r="AC73" s="267">
        <f>COUNTIF(TIMETABLE!D40:W40,"FET203")</f>
        <v>0</v>
      </c>
      <c r="AD73" s="267">
        <f>COUNTIF(TIMETABLE!D40:W40,"FET205")</f>
        <v>0</v>
      </c>
      <c r="AE73" s="267">
        <f>COUNTIF(TIMETABLE!D40:W40,"FET207")</f>
        <v>0</v>
      </c>
      <c r="AF73" s="267">
        <f>COUNTIF(TIMETABLE!D40:W40,"FET208")</f>
        <v>0</v>
      </c>
      <c r="AG73" s="267">
        <f>COUNTIF(TIMETABLE!D40:W40,"FET209")</f>
        <v>0</v>
      </c>
      <c r="AH73" s="267">
        <f>COUNTIF(TIMETABLE!D40:W40,"FET210")</f>
        <v>0</v>
      </c>
      <c r="AI73" s="49"/>
      <c r="AJ73" s="526"/>
      <c r="EW73" s="532"/>
    </row>
    <row r="74" spans="2:153" ht="27" thickBot="1" x14ac:dyDescent="0.5">
      <c r="B74" s="526"/>
      <c r="C74" s="50">
        <v>3</v>
      </c>
      <c r="D74" s="79"/>
      <c r="E74" s="79"/>
      <c r="F74" s="79"/>
      <c r="G74" s="79"/>
      <c r="H74" s="79"/>
      <c r="I74" s="79"/>
      <c r="J74" s="79"/>
      <c r="K74" s="79"/>
      <c r="L74" s="79"/>
      <c r="M74" s="79"/>
      <c r="N74" s="79"/>
      <c r="O74" s="79"/>
      <c r="P74" s="79"/>
      <c r="Q74" s="79"/>
      <c r="R74" s="79"/>
      <c r="S74" s="79"/>
      <c r="T74" s="79"/>
      <c r="U74" s="79"/>
      <c r="V74" s="79"/>
      <c r="W74" s="79"/>
      <c r="X74" s="79"/>
      <c r="Y74" s="79"/>
      <c r="Z74" s="79"/>
      <c r="AA74" s="79"/>
      <c r="AB74" s="79"/>
      <c r="AC74" s="277"/>
      <c r="AD74" s="277"/>
      <c r="AE74" s="277"/>
      <c r="AF74" s="277"/>
      <c r="AG74" s="277"/>
      <c r="AH74" s="277"/>
      <c r="AI74" s="50">
        <v>3</v>
      </c>
      <c r="AJ74" s="526"/>
      <c r="EW74" s="532"/>
    </row>
    <row r="75" spans="2:153" ht="26.4" x14ac:dyDescent="0.45">
      <c r="B75" s="526"/>
      <c r="C75" s="48">
        <v>3</v>
      </c>
      <c r="D75" s="78"/>
      <c r="E75" s="78"/>
      <c r="F75" s="78"/>
      <c r="G75" s="78"/>
      <c r="H75" s="78"/>
      <c r="I75" s="78"/>
      <c r="J75" s="78"/>
      <c r="K75" s="78"/>
      <c r="L75" s="78"/>
      <c r="M75" s="78"/>
      <c r="N75" s="78"/>
      <c r="O75" s="78"/>
      <c r="P75" s="78"/>
      <c r="Q75" s="78"/>
      <c r="R75" s="78"/>
      <c r="S75" s="78"/>
      <c r="T75" s="78"/>
      <c r="U75" s="78"/>
      <c r="V75" s="78"/>
      <c r="W75" s="78"/>
      <c r="X75" s="78"/>
      <c r="Y75" s="78"/>
      <c r="Z75" s="78"/>
      <c r="AA75" s="78"/>
      <c r="AB75" s="78"/>
      <c r="AC75" s="276"/>
      <c r="AD75" s="276"/>
      <c r="AE75" s="276"/>
      <c r="AF75" s="276"/>
      <c r="AG75" s="276"/>
      <c r="AH75" s="276"/>
      <c r="AI75" s="48">
        <v>3</v>
      </c>
      <c r="AJ75" s="526"/>
      <c r="EW75" s="532"/>
    </row>
    <row r="76" spans="2:153" ht="26.4" x14ac:dyDescent="0.45">
      <c r="B76" s="526"/>
      <c r="C76" s="49"/>
      <c r="D76" s="12" t="e">
        <f>COUNTIF(TIMETABLE!#REF!,"EA005")</f>
        <v>#REF!</v>
      </c>
      <c r="E76" s="12" t="e">
        <f>COUNTIF(TIMETABLE!#REF!,"EA006")</f>
        <v>#REF!</v>
      </c>
      <c r="F76" s="12" t="e">
        <f>COUNTIF(TIMETABLE!#REF!,"EA009/10")</f>
        <v>#REF!</v>
      </c>
      <c r="G76" s="12" t="e">
        <f>COUNTIF(TIMETABLE!#REF!,"EA012")</f>
        <v>#REF!</v>
      </c>
      <c r="H76" s="12" t="e">
        <f>COUNTIF(TIMETABLE!#REF!,"EA015")</f>
        <v>#REF!</v>
      </c>
      <c r="I76" s="12" t="e">
        <f>COUNTIF(TIMETABLE!#REF!,"EA104")</f>
        <v>#REF!</v>
      </c>
      <c r="J76" s="12" t="e">
        <f>COUNTIF(TIMETABLE!#REF!,"EA105")</f>
        <v>#REF!</v>
      </c>
      <c r="K76" s="12" t="e">
        <f>COUNTIF(TIMETABLE!#REF!,"EA107")</f>
        <v>#REF!</v>
      </c>
      <c r="L76" s="12" t="e">
        <f>COUNTIF(TIMETABLE!#REF!,"EA108")</f>
        <v>#REF!</v>
      </c>
      <c r="M76" s="12" t="e">
        <f>COUNTIF(TIMETABLE!#REF!,"EB006")</f>
        <v>#REF!</v>
      </c>
      <c r="N76" s="12" t="e">
        <f>COUNTIF(TIMETABLE!#REF!,"EB007")</f>
        <v>#REF!</v>
      </c>
      <c r="O76" s="12" t="e">
        <f>COUNTIF(TIMETABLE!#REF!,"EB013")</f>
        <v>#REF!</v>
      </c>
      <c r="P76" s="12" t="e">
        <f>COUNTIF(TIMETABLE!#REF!,"EB104")</f>
        <v>#REF!</v>
      </c>
      <c r="Q76" s="12" t="e">
        <f>COUNTIF(TIMETABLE!#REF!,"EB105")</f>
        <v>#REF!</v>
      </c>
      <c r="R76" s="12" t="e">
        <f>COUNTIF(TIMETABLE!#REF!,"EB107")</f>
        <v>#REF!</v>
      </c>
      <c r="S76" s="12" t="e">
        <f>COUNTIF(TIMETABLE!#REF!,"EB109")</f>
        <v>#REF!</v>
      </c>
      <c r="T76" s="12" t="e">
        <f>COUNTIF(TIMETABLE!#REF!,"EB110")</f>
        <v>#REF!</v>
      </c>
      <c r="U76" s="12" t="e">
        <f>COUNTIF(TIMETABLE!#REF!,"MA111")</f>
        <v>#REF!</v>
      </c>
      <c r="V76" s="12" t="e">
        <f>COUNTIF(TIMETABLE!#REF!,"MA209")</f>
        <v>#REF!</v>
      </c>
      <c r="W76" s="12" t="e">
        <f>COUNTIF(TIMETABLE!#REF!,"MA212")</f>
        <v>#REF!</v>
      </c>
      <c r="X76" s="12" t="e">
        <f>COUNTIF(TIMETABLE!#REF!,"DO3")</f>
        <v>#REF!</v>
      </c>
      <c r="Y76" s="12" t="e">
        <f>COUNTIF(TIMETABLE!#REF!,"RM2")</f>
        <v>#REF!</v>
      </c>
      <c r="Z76" s="12" t="e">
        <f>COUNTIF(TIMETABLE!#REF!,"MZ01")</f>
        <v>#REF!</v>
      </c>
      <c r="AA76" s="12" t="e">
        <f>COUNTIF(TIMETABLE!#REF!,"MZ02")</f>
        <v>#REF!</v>
      </c>
      <c r="AB76" s="12" t="e">
        <f>COUNTIF(TIMETABLE!#REF!,"RM3")</f>
        <v>#REF!</v>
      </c>
      <c r="AC76" s="267" t="e">
        <f>COUNTIF(TIMETABLE!#REF!,"FET203")</f>
        <v>#REF!</v>
      </c>
      <c r="AD76" s="267" t="e">
        <f>COUNTIF(TIMETABLE!#REF!,"FET205")</f>
        <v>#REF!</v>
      </c>
      <c r="AE76" s="267" t="e">
        <f>COUNTIF(TIMETABLE!#REF!,"FET207")</f>
        <v>#REF!</v>
      </c>
      <c r="AF76" s="267" t="e">
        <f>COUNTIF(TIMETABLE!#REF!,"FET208")</f>
        <v>#REF!</v>
      </c>
      <c r="AG76" s="267" t="e">
        <f>COUNTIF(TIMETABLE!#REF!,"FET209")</f>
        <v>#REF!</v>
      </c>
      <c r="AH76" s="267" t="e">
        <f>COUNTIF(TIMETABLE!#REF!,"FET210")</f>
        <v>#REF!</v>
      </c>
      <c r="AI76" s="49"/>
      <c r="AJ76" s="526"/>
      <c r="EW76" s="532"/>
    </row>
    <row r="77" spans="2:153" ht="27" thickBot="1" x14ac:dyDescent="0.5">
      <c r="B77" s="526"/>
      <c r="C77" s="50">
        <v>4</v>
      </c>
      <c r="D77" s="79"/>
      <c r="E77" s="79"/>
      <c r="F77" s="79"/>
      <c r="G77" s="79"/>
      <c r="H77" s="79"/>
      <c r="I77" s="79"/>
      <c r="J77" s="79"/>
      <c r="K77" s="79"/>
      <c r="L77" s="79"/>
      <c r="M77" s="79"/>
      <c r="N77" s="79"/>
      <c r="O77" s="79"/>
      <c r="P77" s="79"/>
      <c r="Q77" s="79"/>
      <c r="R77" s="79"/>
      <c r="S77" s="79"/>
      <c r="T77" s="79"/>
      <c r="U77" s="79"/>
      <c r="V77" s="79"/>
      <c r="W77" s="79"/>
      <c r="X77" s="79"/>
      <c r="Y77" s="79"/>
      <c r="Z77" s="79"/>
      <c r="AA77" s="79"/>
      <c r="AB77" s="79"/>
      <c r="AC77" s="277"/>
      <c r="AD77" s="277"/>
      <c r="AE77" s="277"/>
      <c r="AF77" s="277"/>
      <c r="AG77" s="277"/>
      <c r="AH77" s="277"/>
      <c r="AI77" s="50">
        <v>4</v>
      </c>
      <c r="AJ77" s="526"/>
      <c r="EW77" s="532"/>
    </row>
    <row r="78" spans="2:153" ht="26.4" x14ac:dyDescent="0.45">
      <c r="B78" s="526"/>
      <c r="C78" s="48">
        <v>4</v>
      </c>
      <c r="D78" s="78"/>
      <c r="E78" s="78"/>
      <c r="F78" s="78"/>
      <c r="G78" s="78"/>
      <c r="H78" s="78"/>
      <c r="I78" s="78"/>
      <c r="J78" s="78"/>
      <c r="K78" s="78"/>
      <c r="L78" s="78"/>
      <c r="M78" s="78"/>
      <c r="N78" s="78"/>
      <c r="O78" s="78"/>
      <c r="P78" s="78"/>
      <c r="Q78" s="78"/>
      <c r="R78" s="78"/>
      <c r="S78" s="78"/>
      <c r="T78" s="78"/>
      <c r="U78" s="78"/>
      <c r="V78" s="78"/>
      <c r="W78" s="78"/>
      <c r="X78" s="78"/>
      <c r="Y78" s="78"/>
      <c r="Z78" s="78"/>
      <c r="AA78" s="78"/>
      <c r="AB78" s="78"/>
      <c r="AC78" s="276"/>
      <c r="AD78" s="276"/>
      <c r="AE78" s="276"/>
      <c r="AF78" s="276"/>
      <c r="AG78" s="276"/>
      <c r="AH78" s="276"/>
      <c r="AI78" s="48">
        <v>4</v>
      </c>
      <c r="AJ78" s="526"/>
      <c r="EW78" s="532"/>
    </row>
    <row r="79" spans="2:153" ht="26.4" x14ac:dyDescent="0.45">
      <c r="B79" s="526"/>
      <c r="C79" s="49"/>
      <c r="D79" s="12" t="e">
        <f>COUNTIF(TIMETABLE!#REF!,"EA005")</f>
        <v>#REF!</v>
      </c>
      <c r="E79" s="12" t="e">
        <f>COUNTIF(TIMETABLE!#REF!,"EA006")</f>
        <v>#REF!</v>
      </c>
      <c r="F79" s="12" t="e">
        <f>COUNTIF(TIMETABLE!#REF!,"EA009/10")</f>
        <v>#REF!</v>
      </c>
      <c r="G79" s="12" t="e">
        <f>COUNTIF(TIMETABLE!#REF!,"EA012")</f>
        <v>#REF!</v>
      </c>
      <c r="H79" s="12" t="e">
        <f>COUNTIF(TIMETABLE!#REF!,"EA015")</f>
        <v>#REF!</v>
      </c>
      <c r="I79" s="12" t="e">
        <f>COUNTIF(TIMETABLE!#REF!,"EA104")</f>
        <v>#REF!</v>
      </c>
      <c r="J79" s="12" t="e">
        <f>COUNTIF(TIMETABLE!#REF!,"EA105")</f>
        <v>#REF!</v>
      </c>
      <c r="K79" s="12" t="e">
        <f>COUNTIF(TIMETABLE!#REF!,"EA107")</f>
        <v>#REF!</v>
      </c>
      <c r="L79" s="12" t="e">
        <f>COUNTIF(TIMETABLE!#REF!,"EA108")</f>
        <v>#REF!</v>
      </c>
      <c r="M79" s="12" t="e">
        <f>COUNTIF(TIMETABLE!#REF!,"EB006")</f>
        <v>#REF!</v>
      </c>
      <c r="N79" s="12" t="e">
        <f>COUNTIF(TIMETABLE!#REF!,"EB007")</f>
        <v>#REF!</v>
      </c>
      <c r="O79" s="12" t="e">
        <f>COUNTIF(TIMETABLE!#REF!,"EB013")</f>
        <v>#REF!</v>
      </c>
      <c r="P79" s="12" t="e">
        <f>COUNTIF(TIMETABLE!#REF!,"EB104")</f>
        <v>#REF!</v>
      </c>
      <c r="Q79" s="12" t="e">
        <f>COUNTIF(TIMETABLE!#REF!,"EB105")</f>
        <v>#REF!</v>
      </c>
      <c r="R79" s="12" t="e">
        <f>COUNTIF(TIMETABLE!#REF!,"EB107")</f>
        <v>#REF!</v>
      </c>
      <c r="S79" s="12" t="e">
        <f>COUNTIF(TIMETABLE!#REF!,"EB109")</f>
        <v>#REF!</v>
      </c>
      <c r="T79" s="12" t="e">
        <f>COUNTIF(TIMETABLE!#REF!,"EB110")</f>
        <v>#REF!</v>
      </c>
      <c r="U79" s="12" t="e">
        <f>COUNTIF(TIMETABLE!#REF!,"MA111")</f>
        <v>#REF!</v>
      </c>
      <c r="V79" s="12" t="e">
        <f>COUNTIF(TIMETABLE!#REF!,"MA209")</f>
        <v>#REF!</v>
      </c>
      <c r="W79" s="12" t="e">
        <f>COUNTIF(TIMETABLE!#REF!,"MA212")</f>
        <v>#REF!</v>
      </c>
      <c r="X79" s="12" t="e">
        <f>COUNTIF(TIMETABLE!#REF!,"DO3")</f>
        <v>#REF!</v>
      </c>
      <c r="Y79" s="12" t="e">
        <f>COUNTIF(TIMETABLE!#REF!,"RM2")</f>
        <v>#REF!</v>
      </c>
      <c r="Z79" s="12" t="e">
        <f>COUNTIF(TIMETABLE!#REF!,"MZ01")</f>
        <v>#REF!</v>
      </c>
      <c r="AA79" s="12" t="e">
        <f>COUNTIF(TIMETABLE!#REF!,"MZ02")</f>
        <v>#REF!</v>
      </c>
      <c r="AB79" s="12" t="e">
        <f>COUNTIF(TIMETABLE!#REF!,"RM3")</f>
        <v>#REF!</v>
      </c>
      <c r="AC79" s="267" t="e">
        <f>COUNTIF(TIMETABLE!#REF!,"FET203")</f>
        <v>#REF!</v>
      </c>
      <c r="AD79" s="267" t="e">
        <f>COUNTIF(TIMETABLE!#REF!,"FET205")</f>
        <v>#REF!</v>
      </c>
      <c r="AE79" s="267" t="e">
        <f>COUNTIF(TIMETABLE!#REF!,"FET207")</f>
        <v>#REF!</v>
      </c>
      <c r="AF79" s="267" t="e">
        <f>COUNTIF(TIMETABLE!#REF!,"FET208")</f>
        <v>#REF!</v>
      </c>
      <c r="AG79" s="267" t="e">
        <f>COUNTIF(TIMETABLE!#REF!,"FET209")</f>
        <v>#REF!</v>
      </c>
      <c r="AH79" s="267" t="e">
        <f>COUNTIF(TIMETABLE!#REF!,"FET210")</f>
        <v>#REF!</v>
      </c>
      <c r="AI79" s="49"/>
      <c r="AJ79" s="526"/>
      <c r="EW79" s="532"/>
    </row>
    <row r="80" spans="2:153" ht="27" thickBot="1" x14ac:dyDescent="0.5">
      <c r="B80" s="526"/>
      <c r="C80" s="50">
        <v>5</v>
      </c>
      <c r="D80" s="79"/>
      <c r="E80" s="79"/>
      <c r="F80" s="79"/>
      <c r="G80" s="79"/>
      <c r="H80" s="79"/>
      <c r="I80" s="79"/>
      <c r="J80" s="79"/>
      <c r="K80" s="79"/>
      <c r="L80" s="79"/>
      <c r="M80" s="79"/>
      <c r="N80" s="79"/>
      <c r="O80" s="79"/>
      <c r="P80" s="79"/>
      <c r="Q80" s="79"/>
      <c r="R80" s="79"/>
      <c r="S80" s="79"/>
      <c r="T80" s="79"/>
      <c r="U80" s="79"/>
      <c r="V80" s="79"/>
      <c r="W80" s="79"/>
      <c r="X80" s="79"/>
      <c r="Y80" s="79"/>
      <c r="Z80" s="79"/>
      <c r="AA80" s="79"/>
      <c r="AB80" s="79"/>
      <c r="AC80" s="277"/>
      <c r="AD80" s="277"/>
      <c r="AE80" s="277"/>
      <c r="AF80" s="277"/>
      <c r="AG80" s="277"/>
      <c r="AH80" s="277"/>
      <c r="AI80" s="50">
        <v>5</v>
      </c>
      <c r="AJ80" s="526"/>
      <c r="EW80" s="532"/>
    </row>
    <row r="81" spans="2:153" ht="26.4" x14ac:dyDescent="0.45">
      <c r="B81" s="526"/>
      <c r="C81" s="48">
        <v>5</v>
      </c>
      <c r="D81" s="78"/>
      <c r="E81" s="78"/>
      <c r="F81" s="78"/>
      <c r="G81" s="78"/>
      <c r="H81" s="78"/>
      <c r="I81" s="78"/>
      <c r="J81" s="78"/>
      <c r="K81" s="78"/>
      <c r="L81" s="78"/>
      <c r="M81" s="78"/>
      <c r="N81" s="78"/>
      <c r="O81" s="78"/>
      <c r="P81" s="78"/>
      <c r="Q81" s="78"/>
      <c r="R81" s="78"/>
      <c r="S81" s="78"/>
      <c r="T81" s="78"/>
      <c r="U81" s="78"/>
      <c r="V81" s="78"/>
      <c r="W81" s="78"/>
      <c r="X81" s="78"/>
      <c r="Y81" s="78"/>
      <c r="Z81" s="78"/>
      <c r="AA81" s="78"/>
      <c r="AB81" s="78"/>
      <c r="AC81" s="78"/>
      <c r="AD81" s="78"/>
      <c r="AE81" s="78"/>
      <c r="AF81" s="78"/>
      <c r="AG81" s="78"/>
      <c r="AH81" s="78"/>
      <c r="AI81" s="48">
        <v>5</v>
      </c>
      <c r="AJ81" s="526"/>
      <c r="EW81" s="532"/>
    </row>
    <row r="82" spans="2:153" ht="26.4" x14ac:dyDescent="0.45">
      <c r="B82" s="526"/>
      <c r="C82" s="49"/>
      <c r="D82" s="12">
        <f>COUNTIF(TIMETABLE!D44:W44,"EA005")</f>
        <v>0</v>
      </c>
      <c r="E82" s="12">
        <f>COUNTIF(TIMETABLE!D44:W44,"EA006")</f>
        <v>0</v>
      </c>
      <c r="F82" s="12">
        <f>COUNTIF(TIMETABLE!D44:W44,"EA009/10")</f>
        <v>0</v>
      </c>
      <c r="G82" s="12">
        <f>COUNTIF(TIMETABLE!D44:W44,"EA012")</f>
        <v>0</v>
      </c>
      <c r="H82" s="12">
        <f>COUNTIF(TIMETABLE!D44:W44,"EA015")</f>
        <v>0</v>
      </c>
      <c r="I82" s="12">
        <f>COUNTIF(TIMETABLE!D44:W44,"EA104")</f>
        <v>0</v>
      </c>
      <c r="J82" s="12">
        <f>COUNTIF(TIMETABLE!D44:W44,"EA105")</f>
        <v>0</v>
      </c>
      <c r="K82" s="12">
        <f>COUNTIF(TIMETABLE!D44:W44,"EA107")</f>
        <v>0</v>
      </c>
      <c r="L82" s="12">
        <f>COUNTIF(TIMETABLE!D44:W44,"EA108")</f>
        <v>0</v>
      </c>
      <c r="M82" s="12">
        <f>COUNTIF(TIMETABLE!D44:W44,"EB006")</f>
        <v>0</v>
      </c>
      <c r="N82" s="12">
        <f>COUNTIF(TIMETABLE!D44:W44,"EB007")</f>
        <v>0</v>
      </c>
      <c r="O82" s="12">
        <f>COUNTIF(TIMETABLE!D44:W44,"EB013")</f>
        <v>0</v>
      </c>
      <c r="P82" s="12">
        <f>COUNTIF(TIMETABLE!L44:W44,"EB104")</f>
        <v>0</v>
      </c>
      <c r="Q82" s="12">
        <f>COUNTIF(TIMETABLE!D44:W44,"EB105")</f>
        <v>0</v>
      </c>
      <c r="R82" s="12">
        <f>COUNTIF(TIMETABLE!D44:W44,"EB107")</f>
        <v>0</v>
      </c>
      <c r="S82" s="12">
        <f>COUNTIF(TIMETABLE!D44:W44,"EB109")</f>
        <v>0</v>
      </c>
      <c r="T82" s="12">
        <f>COUNTIF(TIMETABLE!D44:W44,"EB110")</f>
        <v>0</v>
      </c>
      <c r="U82" s="12">
        <f>COUNTIF(TIMETABLE!D44:W44,"MA111")</f>
        <v>0</v>
      </c>
      <c r="V82" s="12">
        <f>COUNTIF(TIMETABLE!D44:W44,"MA209")</f>
        <v>0</v>
      </c>
      <c r="W82" s="12">
        <f>COUNTIF(TIMETABLE!D44:W44,"MA212")</f>
        <v>0</v>
      </c>
      <c r="X82" s="12">
        <f>COUNTIF(TIMETABLE!D44:W44,"DO3")</f>
        <v>0</v>
      </c>
      <c r="Y82" s="12">
        <f>COUNTIF(TIMETABLE!D44:W44,"RM2")</f>
        <v>0</v>
      </c>
      <c r="Z82" s="12">
        <f>COUNTIF(TIMETABLE!D44:W44,"MZ01")</f>
        <v>0</v>
      </c>
      <c r="AA82" s="12">
        <f>COUNTIF(TIMETABLE!D44:W44,"MZ02")</f>
        <v>0</v>
      </c>
      <c r="AB82" s="12">
        <f>COUNTIF(TIMETABLE!D44:W44,"RM3")</f>
        <v>0</v>
      </c>
      <c r="AC82" s="12">
        <f>COUNTIF(TIMETABLE!D44:W44,"FET203")</f>
        <v>0</v>
      </c>
      <c r="AD82" s="12">
        <f>COUNTIF(TIMETABLE!D44:W44,"FET205")</f>
        <v>0</v>
      </c>
      <c r="AE82" s="12">
        <f>COUNTIF(TIMETABLE!D44:W44,"FET207")</f>
        <v>0</v>
      </c>
      <c r="AF82" s="12">
        <f>COUNTIF(TIMETABLE!D44:W44,"FET208")</f>
        <v>0</v>
      </c>
      <c r="AG82" s="12">
        <f>COUNTIF(TIMETABLE!D44:W44,"FET209")</f>
        <v>0</v>
      </c>
      <c r="AH82" s="12">
        <f>COUNTIF(TIMETABLE!D44:W44,"FET210")</f>
        <v>0</v>
      </c>
      <c r="AI82" s="49"/>
      <c r="AJ82" s="526"/>
      <c r="EW82" s="532"/>
    </row>
    <row r="83" spans="2:153" ht="27" thickBot="1" x14ac:dyDescent="0.5">
      <c r="B83" s="526"/>
      <c r="C83" s="50">
        <v>6</v>
      </c>
      <c r="D83" s="79"/>
      <c r="E83" s="79"/>
      <c r="F83" s="79"/>
      <c r="G83" s="79"/>
      <c r="H83" s="79"/>
      <c r="I83" s="79"/>
      <c r="J83" s="79"/>
      <c r="K83" s="79"/>
      <c r="L83" s="79"/>
      <c r="M83" s="79"/>
      <c r="N83" s="79"/>
      <c r="O83" s="79"/>
      <c r="P83" s="79"/>
      <c r="Q83" s="79"/>
      <c r="R83" s="79"/>
      <c r="S83" s="79"/>
      <c r="T83" s="79"/>
      <c r="U83" s="79"/>
      <c r="V83" s="79"/>
      <c r="W83" s="79"/>
      <c r="X83" s="79"/>
      <c r="Y83" s="79"/>
      <c r="Z83" s="79"/>
      <c r="AA83" s="79"/>
      <c r="AB83" s="79"/>
      <c r="AC83" s="79"/>
      <c r="AD83" s="79"/>
      <c r="AE83" s="79"/>
      <c r="AF83" s="79"/>
      <c r="AG83" s="79"/>
      <c r="AH83" s="79"/>
      <c r="AI83" s="50">
        <v>6</v>
      </c>
      <c r="AJ83" s="526"/>
      <c r="EW83" s="532"/>
    </row>
    <row r="84" spans="2:153" ht="26.4" x14ac:dyDescent="0.45">
      <c r="B84" s="526"/>
      <c r="C84" s="51">
        <v>6</v>
      </c>
      <c r="D84" s="78"/>
      <c r="E84" s="78"/>
      <c r="F84" s="78"/>
      <c r="G84" s="78"/>
      <c r="H84" s="78"/>
      <c r="I84" s="78"/>
      <c r="J84" s="78"/>
      <c r="K84" s="78"/>
      <c r="L84" s="78"/>
      <c r="M84" s="78"/>
      <c r="N84" s="78"/>
      <c r="O84" s="78"/>
      <c r="P84" s="78"/>
      <c r="Q84" s="78"/>
      <c r="R84" s="78"/>
      <c r="S84" s="78"/>
      <c r="T84" s="78"/>
      <c r="U84" s="78"/>
      <c r="V84" s="78"/>
      <c r="W84" s="78"/>
      <c r="X84" s="78"/>
      <c r="Y84" s="78"/>
      <c r="Z84" s="78"/>
      <c r="AA84" s="78"/>
      <c r="AB84" s="78"/>
      <c r="AC84" s="78"/>
      <c r="AD84" s="78"/>
      <c r="AE84" s="78"/>
      <c r="AF84" s="78"/>
      <c r="AG84" s="78"/>
      <c r="AH84" s="78"/>
      <c r="AI84" s="51">
        <v>6</v>
      </c>
      <c r="AJ84" s="526"/>
      <c r="EW84" s="532"/>
    </row>
    <row r="85" spans="2:153" ht="26.4" x14ac:dyDescent="0.45">
      <c r="B85" s="526"/>
      <c r="C85" s="49"/>
      <c r="D85" s="12" t="e">
        <f>COUNTIF(TIMETABLE!#REF!,"EA005")</f>
        <v>#REF!</v>
      </c>
      <c r="E85" s="12" t="e">
        <f>COUNTIF(TIMETABLE!#REF!,"EA006")</f>
        <v>#REF!</v>
      </c>
      <c r="F85" s="12" t="e">
        <f>COUNTIF(TIMETABLE!#REF!,"EA009/10")</f>
        <v>#REF!</v>
      </c>
      <c r="G85" s="12" t="e">
        <f>COUNTIF(TIMETABLE!#REF!,"EA012")</f>
        <v>#REF!</v>
      </c>
      <c r="H85" s="12" t="e">
        <f>COUNTIF(TIMETABLE!#REF!,"EA015")</f>
        <v>#REF!</v>
      </c>
      <c r="I85" s="12" t="e">
        <f>COUNTIF(TIMETABLE!#REF!,"EA104")</f>
        <v>#REF!</v>
      </c>
      <c r="J85" s="12" t="e">
        <f>COUNTIF(TIMETABLE!#REF!,"EA105")</f>
        <v>#REF!</v>
      </c>
      <c r="K85" s="12" t="e">
        <f>COUNTIF(TIMETABLE!#REF!,"EA107")</f>
        <v>#REF!</v>
      </c>
      <c r="L85" s="12" t="e">
        <f>COUNTIF(TIMETABLE!#REF!,"EA108")</f>
        <v>#REF!</v>
      </c>
      <c r="M85" s="12" t="e">
        <f>COUNTIF(TIMETABLE!#REF!,"EB006")</f>
        <v>#REF!</v>
      </c>
      <c r="N85" s="12" t="e">
        <f>COUNTIF(TIMETABLE!#REF!,"EB007")</f>
        <v>#REF!</v>
      </c>
      <c r="O85" s="12" t="e">
        <f>COUNTIF(TIMETABLE!#REF!,"EB013")</f>
        <v>#REF!</v>
      </c>
      <c r="P85" s="12" t="e">
        <f>COUNTIF(TIMETABLE!#REF!,"EB104")</f>
        <v>#REF!</v>
      </c>
      <c r="Q85" s="12" t="e">
        <f>COUNTIF(TIMETABLE!#REF!,"EB105")</f>
        <v>#REF!</v>
      </c>
      <c r="R85" s="12" t="e">
        <f>COUNTIF(TIMETABLE!#REF!,"EB107")</f>
        <v>#REF!</v>
      </c>
      <c r="S85" s="12" t="e">
        <f>COUNTIF(TIMETABLE!#REF!,"EB109")</f>
        <v>#REF!</v>
      </c>
      <c r="T85" s="12" t="e">
        <f>COUNTIF(TIMETABLE!#REF!,"EB110")</f>
        <v>#REF!</v>
      </c>
      <c r="U85" s="12" t="e">
        <f>COUNTIF(TIMETABLE!#REF!,"MA111")</f>
        <v>#REF!</v>
      </c>
      <c r="V85" s="12" t="e">
        <f>COUNTIF(TIMETABLE!#REF!,"MA209")</f>
        <v>#REF!</v>
      </c>
      <c r="W85" s="12" t="e">
        <f>COUNTIF(TIMETABLE!#REF!,"MA212")</f>
        <v>#REF!</v>
      </c>
      <c r="X85" s="12" t="e">
        <f>COUNTIF(TIMETABLE!#REF!,"DO3")</f>
        <v>#REF!</v>
      </c>
      <c r="Y85" s="12" t="e">
        <f>COUNTIF(TIMETABLE!#REF!,"RM2")</f>
        <v>#REF!</v>
      </c>
      <c r="Z85" s="12" t="e">
        <f>COUNTIF(TIMETABLE!#REF!,"MZ01")</f>
        <v>#REF!</v>
      </c>
      <c r="AA85" s="12" t="e">
        <f>COUNTIF(TIMETABLE!#REF!,"MZ02")</f>
        <v>#REF!</v>
      </c>
      <c r="AB85" s="12" t="e">
        <f>COUNTIF(TIMETABLE!#REF!,"RM3")</f>
        <v>#REF!</v>
      </c>
      <c r="AC85" s="12" t="e">
        <f>COUNTIF(TIMETABLE!#REF!,"FET203")</f>
        <v>#REF!</v>
      </c>
      <c r="AD85" s="12" t="e">
        <f>COUNTIF(TIMETABLE!#REF!,"FET205")</f>
        <v>#REF!</v>
      </c>
      <c r="AE85" s="12" t="e">
        <f>COUNTIF(TIMETABLE!#REF!,"FET207")</f>
        <v>#REF!</v>
      </c>
      <c r="AF85" s="12" t="e">
        <f>COUNTIF(TIMETABLE!#REF!,"FET208")</f>
        <v>#REF!</v>
      </c>
      <c r="AG85" s="12" t="e">
        <f>COUNTIF(TIMETABLE!#REF!,"FET209")</f>
        <v>#REF!</v>
      </c>
      <c r="AH85" s="12" t="e">
        <f>COUNTIF(TIMETABLE!#REF!,"FET210")</f>
        <v>#REF!</v>
      </c>
      <c r="AI85" s="49"/>
      <c r="AJ85" s="526"/>
      <c r="EW85" s="532"/>
    </row>
    <row r="86" spans="2:153" ht="27" thickBot="1" x14ac:dyDescent="0.5">
      <c r="B86" s="526"/>
      <c r="C86" s="50">
        <v>7</v>
      </c>
      <c r="D86" s="79"/>
      <c r="E86" s="79"/>
      <c r="F86" s="79"/>
      <c r="G86" s="79"/>
      <c r="H86" s="79"/>
      <c r="I86" s="79"/>
      <c r="J86" s="79"/>
      <c r="K86" s="79"/>
      <c r="L86" s="79"/>
      <c r="M86" s="79"/>
      <c r="N86" s="79"/>
      <c r="O86" s="79"/>
      <c r="P86" s="79"/>
      <c r="Q86" s="79"/>
      <c r="R86" s="79"/>
      <c r="S86" s="79"/>
      <c r="T86" s="79"/>
      <c r="U86" s="79"/>
      <c r="V86" s="79"/>
      <c r="W86" s="79"/>
      <c r="X86" s="79"/>
      <c r="Y86" s="79"/>
      <c r="Z86" s="79"/>
      <c r="AA86" s="79"/>
      <c r="AB86" s="79"/>
      <c r="AC86" s="79"/>
      <c r="AD86" s="79"/>
      <c r="AE86" s="79"/>
      <c r="AF86" s="79"/>
      <c r="AG86" s="79"/>
      <c r="AH86" s="79"/>
      <c r="AI86" s="50">
        <v>7</v>
      </c>
      <c r="AJ86" s="526"/>
      <c r="EW86" s="532"/>
    </row>
    <row r="87" spans="2:153" ht="26.4" x14ac:dyDescent="0.45">
      <c r="B87" s="526"/>
      <c r="C87" s="49">
        <v>7</v>
      </c>
      <c r="D87" s="78"/>
      <c r="E87" s="78"/>
      <c r="F87" s="78"/>
      <c r="G87" s="78"/>
      <c r="H87" s="78"/>
      <c r="I87" s="78"/>
      <c r="J87" s="78"/>
      <c r="K87" s="78"/>
      <c r="L87" s="78"/>
      <c r="M87" s="78"/>
      <c r="N87" s="78"/>
      <c r="O87" s="78"/>
      <c r="P87" s="78"/>
      <c r="Q87" s="78"/>
      <c r="R87" s="78"/>
      <c r="S87" s="78"/>
      <c r="T87" s="78"/>
      <c r="U87" s="78"/>
      <c r="V87" s="78"/>
      <c r="W87" s="78"/>
      <c r="X87" s="78"/>
      <c r="Y87" s="78"/>
      <c r="Z87" s="78"/>
      <c r="AA87" s="78"/>
      <c r="AB87" s="78"/>
      <c r="AC87" s="78"/>
      <c r="AD87" s="78"/>
      <c r="AE87" s="78"/>
      <c r="AF87" s="78"/>
      <c r="AG87" s="78"/>
      <c r="AH87" s="78"/>
      <c r="AI87" s="49">
        <v>7</v>
      </c>
      <c r="AJ87" s="526"/>
      <c r="EW87" s="532"/>
    </row>
    <row r="88" spans="2:153" ht="26.4" x14ac:dyDescent="0.45">
      <c r="B88" s="526"/>
      <c r="C88" s="49"/>
      <c r="D88" s="12" t="e">
        <f>COUNTIF(TIMETABLE!#REF!,"EA005")</f>
        <v>#REF!</v>
      </c>
      <c r="E88" s="12" t="e">
        <f>COUNTIF(TIMETABLE!#REF!,"EA006")</f>
        <v>#REF!</v>
      </c>
      <c r="F88" s="12" t="e">
        <f>COUNTIF(TIMETABLE!#REF!,"EA009/10")</f>
        <v>#REF!</v>
      </c>
      <c r="G88" s="12" t="e">
        <f>COUNTIF(TIMETABLE!#REF!,"EA012")</f>
        <v>#REF!</v>
      </c>
      <c r="H88" s="12" t="e">
        <f>COUNTIF(TIMETABLE!#REF!,"EA015")</f>
        <v>#REF!</v>
      </c>
      <c r="I88" s="12" t="e">
        <f>COUNTIF(TIMETABLE!#REF!,"EA104")</f>
        <v>#REF!</v>
      </c>
      <c r="J88" s="12" t="e">
        <f>COUNTIF(TIMETABLE!#REF!,"EA105")</f>
        <v>#REF!</v>
      </c>
      <c r="K88" s="12" t="e">
        <f>COUNTIF(TIMETABLE!#REF!,"EA107")</f>
        <v>#REF!</v>
      </c>
      <c r="L88" s="12" t="e">
        <f>COUNTIF(TIMETABLE!#REF!,"EA108")</f>
        <v>#REF!</v>
      </c>
      <c r="M88" s="12" t="e">
        <f>COUNTIF(TIMETABLE!#REF!,"EB006")</f>
        <v>#REF!</v>
      </c>
      <c r="N88" s="12" t="e">
        <f>COUNTIF(TIMETABLE!#REF!,"EB007")</f>
        <v>#REF!</v>
      </c>
      <c r="O88" s="12" t="e">
        <f>COUNTIF(TIMETABLE!#REF!,"EB013")</f>
        <v>#REF!</v>
      </c>
      <c r="P88" s="12" t="e">
        <f>COUNTIF(TIMETABLE!#REF!,"EB104")</f>
        <v>#REF!</v>
      </c>
      <c r="Q88" s="12" t="e">
        <f>COUNTIF(TIMETABLE!#REF!,"EB105")</f>
        <v>#REF!</v>
      </c>
      <c r="R88" s="12" t="e">
        <f>COUNTIF(TIMETABLE!#REF!,"EB107")</f>
        <v>#REF!</v>
      </c>
      <c r="S88" s="12" t="e">
        <f>COUNTIF(TIMETABLE!#REF!,"EB109")</f>
        <v>#REF!</v>
      </c>
      <c r="T88" s="12" t="e">
        <f>COUNTIF(TIMETABLE!#REF!,"EB110")</f>
        <v>#REF!</v>
      </c>
      <c r="U88" s="12" t="e">
        <f>COUNTIF(TIMETABLE!#REF!,"MA111")</f>
        <v>#REF!</v>
      </c>
      <c r="V88" s="12" t="e">
        <f>COUNTIF(TIMETABLE!#REF!,"MA209")</f>
        <v>#REF!</v>
      </c>
      <c r="W88" s="12" t="e">
        <f>COUNTIF(TIMETABLE!#REF!,"MA212")</f>
        <v>#REF!</v>
      </c>
      <c r="X88" s="12" t="e">
        <f>COUNTIF(TIMETABLE!#REF!,"DO3")</f>
        <v>#REF!</v>
      </c>
      <c r="Y88" s="12" t="e">
        <f>COUNTIF(TIMETABLE!#REF!,"RM2")</f>
        <v>#REF!</v>
      </c>
      <c r="Z88" s="12" t="e">
        <f>COUNTIF(TIMETABLE!#REF!,"MZ01")</f>
        <v>#REF!</v>
      </c>
      <c r="AA88" s="12" t="e">
        <f>COUNTIF(TIMETABLE!#REF!,"MZ02")</f>
        <v>#REF!</v>
      </c>
      <c r="AB88" s="12" t="e">
        <f>COUNTIF(TIMETABLE!#REF!,"RM3")</f>
        <v>#REF!</v>
      </c>
      <c r="AC88" s="12" t="e">
        <f>COUNTIF(TIMETABLE!#REF!,"FET203")</f>
        <v>#REF!</v>
      </c>
      <c r="AD88" s="12" t="e">
        <f>COUNTIF(TIMETABLE!#REF!,"FET205")</f>
        <v>#REF!</v>
      </c>
      <c r="AE88" s="12" t="e">
        <f>COUNTIF(TIMETABLE!#REF!,"FET207")</f>
        <v>#REF!</v>
      </c>
      <c r="AF88" s="12" t="e">
        <f>COUNTIF(TIMETABLE!#REF!,"FET208")</f>
        <v>#REF!</v>
      </c>
      <c r="AG88" s="12" t="e">
        <f>COUNTIF(TIMETABLE!#REF!,"FET209")</f>
        <v>#REF!</v>
      </c>
      <c r="AH88" s="12" t="e">
        <f>COUNTIF(TIMETABLE!#REF!,"FET210")</f>
        <v>#REF!</v>
      </c>
      <c r="AI88" s="49"/>
      <c r="AJ88" s="526"/>
      <c r="EW88" s="532"/>
    </row>
    <row r="89" spans="2:153" ht="27" thickBot="1" x14ac:dyDescent="0.5">
      <c r="B89" s="527"/>
      <c r="C89" s="52">
        <v>8</v>
      </c>
      <c r="D89" s="79"/>
      <c r="E89" s="79"/>
      <c r="F89" s="79"/>
      <c r="G89" s="79"/>
      <c r="H89" s="79"/>
      <c r="I89" s="79"/>
      <c r="J89" s="79"/>
      <c r="K89" s="79"/>
      <c r="L89" s="79"/>
      <c r="M89" s="79"/>
      <c r="N89" s="79"/>
      <c r="O89" s="79"/>
      <c r="P89" s="79"/>
      <c r="Q89" s="79"/>
      <c r="R89" s="79"/>
      <c r="S89" s="79"/>
      <c r="T89" s="79"/>
      <c r="U89" s="79"/>
      <c r="V89" s="79"/>
      <c r="W89" s="79"/>
      <c r="X89" s="79"/>
      <c r="Y89" s="79"/>
      <c r="Z89" s="79"/>
      <c r="AA89" s="79"/>
      <c r="AB89" s="79"/>
      <c r="AC89" s="79"/>
      <c r="AD89" s="79"/>
      <c r="AE89" s="79"/>
      <c r="AF89" s="79"/>
      <c r="AG89" s="79"/>
      <c r="AH89" s="79"/>
      <c r="AI89" s="52">
        <v>8</v>
      </c>
      <c r="AJ89" s="527"/>
      <c r="EW89" s="532"/>
    </row>
    <row r="90" spans="2:153" ht="27" thickTop="1" x14ac:dyDescent="0.45">
      <c r="B90" s="528" t="s">
        <v>8</v>
      </c>
      <c r="C90" s="53">
        <v>7</v>
      </c>
      <c r="D90" s="81"/>
      <c r="E90" s="81"/>
      <c r="F90" s="81"/>
      <c r="G90" s="81"/>
      <c r="H90" s="81"/>
      <c r="I90" s="81"/>
      <c r="J90" s="81"/>
      <c r="K90" s="81"/>
      <c r="L90" s="81"/>
      <c r="M90" s="81"/>
      <c r="N90" s="81"/>
      <c r="O90" s="81"/>
      <c r="P90" s="81"/>
      <c r="Q90" s="81"/>
      <c r="R90" s="81"/>
      <c r="S90" s="81"/>
      <c r="T90" s="81"/>
      <c r="U90" s="81"/>
      <c r="V90" s="81"/>
      <c r="W90" s="81"/>
      <c r="X90" s="81"/>
      <c r="Y90" s="81"/>
      <c r="Z90" s="81"/>
      <c r="AA90" s="81"/>
      <c r="AB90" s="81"/>
      <c r="AC90" s="81"/>
      <c r="AD90" s="81"/>
      <c r="AE90" s="81"/>
      <c r="AF90" s="81"/>
      <c r="AG90" s="81"/>
      <c r="AH90" s="81"/>
      <c r="AI90" s="53">
        <v>7</v>
      </c>
      <c r="AJ90" s="528" t="s">
        <v>8</v>
      </c>
      <c r="EW90" s="532"/>
    </row>
    <row r="91" spans="2:153" ht="26.4" x14ac:dyDescent="0.45">
      <c r="B91" s="529"/>
      <c r="C91" s="9"/>
      <c r="D91" s="12">
        <f>COUNTIF(TIMETABLE!D48:W48,"EA005")</f>
        <v>0</v>
      </c>
      <c r="E91" s="12">
        <f>COUNTIF(TIMETABLE!D48:W48,"EA006")</f>
        <v>0</v>
      </c>
      <c r="F91" s="12">
        <f>COUNTIF(TIMETABLE!D48:W48,"EA009/10")</f>
        <v>0</v>
      </c>
      <c r="G91" s="12">
        <f>COUNTIF(TIMETABLE!D48:W48,"EA012")</f>
        <v>0</v>
      </c>
      <c r="H91" s="12">
        <f>COUNTIF(TIMETABLE!D48:W48,"EA015")</f>
        <v>0</v>
      </c>
      <c r="I91" s="12">
        <f>COUNTIF(TIMETABLE!D48:W48,"EA104")</f>
        <v>0</v>
      </c>
      <c r="J91" s="12">
        <f>COUNTIF(TIMETABLE!D48:W48,"EA105")</f>
        <v>0</v>
      </c>
      <c r="K91" s="12">
        <f>COUNTIF(TIMETABLE!D48:W48,"EA107")</f>
        <v>0</v>
      </c>
      <c r="L91" s="12">
        <f>COUNTIF(TIMETABLE!D48:W48,"EA108")</f>
        <v>0</v>
      </c>
      <c r="M91" s="12">
        <f>COUNTIF(TIMETABLE!D48:W48,"EB006")</f>
        <v>0</v>
      </c>
      <c r="N91" s="12">
        <f>COUNTIF(TIMETABLE!D48:W48,"EB007")</f>
        <v>0</v>
      </c>
      <c r="O91" s="12">
        <f>COUNTIF(TIMETABLE!D48:W48,"EB013")</f>
        <v>0</v>
      </c>
      <c r="P91" s="12">
        <f>COUNTIF(TIMETABLE!L48:W48,"EB104")</f>
        <v>0</v>
      </c>
      <c r="Q91" s="12">
        <f>COUNTIF(TIMETABLE!D48:W48,"EB105")</f>
        <v>0</v>
      </c>
      <c r="R91" s="12">
        <f>COUNTIF(TIMETABLE!D48:W48,"EB107")</f>
        <v>0</v>
      </c>
      <c r="S91" s="12">
        <f>COUNTIF(TIMETABLE!D48:W48,"EB109")</f>
        <v>0</v>
      </c>
      <c r="T91" s="12">
        <f>COUNTIF(TIMETABLE!D48:W48,"EB110")</f>
        <v>0</v>
      </c>
      <c r="U91" s="12">
        <f>COUNTIF(TIMETABLE!D48:W48,"MA111")</f>
        <v>0</v>
      </c>
      <c r="V91" s="12">
        <f>COUNTIF(TIMETABLE!D48:W48,"MA209")</f>
        <v>0</v>
      </c>
      <c r="W91" s="12">
        <f>COUNTIF(TIMETABLE!D48:W48,"MA212")</f>
        <v>0</v>
      </c>
      <c r="X91" s="12">
        <f>COUNTIF(TIMETABLE!D48:W48,"DO3")</f>
        <v>0</v>
      </c>
      <c r="Y91" s="12">
        <f>COUNTIF(TIMETABLE!D48:W48,"RM2")</f>
        <v>0</v>
      </c>
      <c r="Z91" s="12">
        <f>COUNTIF(TIMETABLE!D48:W48,"MZ01")</f>
        <v>0</v>
      </c>
      <c r="AA91" s="12">
        <f>COUNTIF(TIMETABLE!D48:W48,"MZ02")</f>
        <v>0</v>
      </c>
      <c r="AB91" s="12">
        <f>COUNTIF(TIMETABLE!D48:W48,"RM3")</f>
        <v>0</v>
      </c>
      <c r="AC91" s="12">
        <f>COUNTIF(TIMETABLE!D48:W48,"FET203")</f>
        <v>0</v>
      </c>
      <c r="AD91" s="12">
        <f>COUNTIF(TIMETABLE!D48:W48,"FET205")</f>
        <v>0</v>
      </c>
      <c r="AE91" s="12">
        <f>COUNTIF(TIMETABLE!D48:W48,"FET207")</f>
        <v>0</v>
      </c>
      <c r="AF91" s="12">
        <f>COUNTIF(TIMETABLE!D48:W48,"FET208")</f>
        <v>0</v>
      </c>
      <c r="AG91" s="12">
        <f>COUNTIF(TIMETABLE!D48:W48,"FET209")</f>
        <v>0</v>
      </c>
      <c r="AH91" s="12">
        <f>COUNTIF(TIMETABLE!D48:W48,"FET210")</f>
        <v>0</v>
      </c>
      <c r="AI91" s="9"/>
      <c r="AJ91" s="529"/>
      <c r="EW91" s="532"/>
    </row>
    <row r="92" spans="2:153" ht="27" thickBot="1" x14ac:dyDescent="0.5">
      <c r="B92" s="529"/>
      <c r="C92" s="37">
        <v>8</v>
      </c>
      <c r="D92" s="82"/>
      <c r="E92" s="82"/>
      <c r="F92" s="82"/>
      <c r="G92" s="82"/>
      <c r="H92" s="82"/>
      <c r="I92" s="82"/>
      <c r="J92" s="82"/>
      <c r="K92" s="82"/>
      <c r="L92" s="82"/>
      <c r="M92" s="82"/>
      <c r="N92" s="82"/>
      <c r="O92" s="82"/>
      <c r="P92" s="82"/>
      <c r="Q92" s="82"/>
      <c r="R92" s="82"/>
      <c r="S92" s="82"/>
      <c r="T92" s="82"/>
      <c r="U92" s="82"/>
      <c r="V92" s="82"/>
      <c r="W92" s="82"/>
      <c r="X92" s="82"/>
      <c r="Y92" s="82"/>
      <c r="Z92" s="82"/>
      <c r="AA92" s="82"/>
      <c r="AB92" s="82"/>
      <c r="AC92" s="82"/>
      <c r="AD92" s="82"/>
      <c r="AE92" s="82"/>
      <c r="AF92" s="82"/>
      <c r="AG92" s="82"/>
      <c r="AH92" s="82"/>
      <c r="AI92" s="37">
        <v>8</v>
      </c>
      <c r="AJ92" s="529"/>
      <c r="EW92" s="532"/>
    </row>
    <row r="93" spans="2:153" ht="26.4" x14ac:dyDescent="0.45">
      <c r="B93" s="529"/>
      <c r="C93" s="36">
        <v>8</v>
      </c>
      <c r="D93" s="81"/>
      <c r="E93" s="81"/>
      <c r="F93" s="81"/>
      <c r="G93" s="81"/>
      <c r="H93" s="81"/>
      <c r="I93" s="81"/>
      <c r="J93" s="81"/>
      <c r="K93" s="81"/>
      <c r="L93" s="81"/>
      <c r="M93" s="81"/>
      <c r="N93" s="81"/>
      <c r="O93" s="81"/>
      <c r="P93" s="81"/>
      <c r="Q93" s="81"/>
      <c r="R93" s="81"/>
      <c r="S93" s="81"/>
      <c r="T93" s="81"/>
      <c r="U93" s="81"/>
      <c r="V93" s="81"/>
      <c r="W93" s="81"/>
      <c r="X93" s="81"/>
      <c r="Y93" s="81"/>
      <c r="Z93" s="81"/>
      <c r="AA93" s="81"/>
      <c r="AB93" s="81"/>
      <c r="AC93" s="278"/>
      <c r="AD93" s="278"/>
      <c r="AE93" s="278"/>
      <c r="AF93" s="278"/>
      <c r="AG93" s="278"/>
      <c r="AH93" s="278"/>
      <c r="AI93" s="36">
        <v>8</v>
      </c>
      <c r="AJ93" s="529"/>
      <c r="EW93" s="532"/>
    </row>
    <row r="94" spans="2:153" ht="26.4" x14ac:dyDescent="0.45">
      <c r="B94" s="529"/>
      <c r="C94" s="36"/>
      <c r="D94" s="12" t="e">
        <f>COUNTIF(TIMETABLE!#REF!,"EA005")</f>
        <v>#REF!</v>
      </c>
      <c r="E94" s="12" t="e">
        <f>COUNTIF(TIMETABLE!#REF!,"EA006")</f>
        <v>#REF!</v>
      </c>
      <c r="F94" s="12" t="e">
        <f>COUNTIF(TIMETABLE!#REF!,"EA009/10")</f>
        <v>#REF!</v>
      </c>
      <c r="G94" s="12" t="e">
        <f>COUNTIF(TIMETABLE!#REF!,"EA012")</f>
        <v>#REF!</v>
      </c>
      <c r="H94" s="12" t="e">
        <f>COUNTIF(TIMETABLE!#REF!,"EA015")</f>
        <v>#REF!</v>
      </c>
      <c r="I94" s="12" t="e">
        <f>COUNTIF(TIMETABLE!#REF!,"EA104")</f>
        <v>#REF!</v>
      </c>
      <c r="J94" s="12" t="e">
        <f>COUNTIF(TIMETABLE!#REF!,"EA105")</f>
        <v>#REF!</v>
      </c>
      <c r="K94" s="12" t="e">
        <f>COUNTIF(TIMETABLE!#REF!,"EA107")</f>
        <v>#REF!</v>
      </c>
      <c r="L94" s="12" t="e">
        <f>COUNTIF(TIMETABLE!#REF!,"EA108")</f>
        <v>#REF!</v>
      </c>
      <c r="M94" s="12" t="e">
        <f>COUNTIF(TIMETABLE!#REF!,"EB006")</f>
        <v>#REF!</v>
      </c>
      <c r="N94" s="12" t="e">
        <f>COUNTIF(TIMETABLE!#REF!,"EB007")</f>
        <v>#REF!</v>
      </c>
      <c r="O94" s="12" t="e">
        <f>COUNTIF(TIMETABLE!#REF!,"EB013")</f>
        <v>#REF!</v>
      </c>
      <c r="P94" s="12" t="e">
        <f>COUNTIF(TIMETABLE!#REF!,"EB104")</f>
        <v>#REF!</v>
      </c>
      <c r="Q94" s="12" t="e">
        <f>COUNTIF(TIMETABLE!#REF!,"EB105")</f>
        <v>#REF!</v>
      </c>
      <c r="R94" s="12" t="e">
        <f>COUNTIF(TIMETABLE!#REF!,"EB107")</f>
        <v>#REF!</v>
      </c>
      <c r="S94" s="12" t="e">
        <f>COUNTIF(TIMETABLE!#REF!,"EB109")</f>
        <v>#REF!</v>
      </c>
      <c r="T94" s="12" t="e">
        <f>COUNTIF(TIMETABLE!#REF!,"EB110")</f>
        <v>#REF!</v>
      </c>
      <c r="U94" s="12" t="e">
        <f>COUNTIF(TIMETABLE!#REF!,"MA111")</f>
        <v>#REF!</v>
      </c>
      <c r="V94" s="12" t="e">
        <f>COUNTIF(TIMETABLE!#REF!,"MA209")</f>
        <v>#REF!</v>
      </c>
      <c r="W94" s="12" t="e">
        <f>COUNTIF(TIMETABLE!#REF!,"MA212")</f>
        <v>#REF!</v>
      </c>
      <c r="X94" s="12" t="e">
        <f>COUNTIF(TIMETABLE!#REF!,"DO3")</f>
        <v>#REF!</v>
      </c>
      <c r="Y94" s="12" t="e">
        <f>COUNTIF(TIMETABLE!#REF!,"RM2")</f>
        <v>#REF!</v>
      </c>
      <c r="Z94" s="12" t="e">
        <f>COUNTIF(TIMETABLE!#REF!,"MZ01")</f>
        <v>#REF!</v>
      </c>
      <c r="AA94" s="12" t="e">
        <f>COUNTIF(TIMETABLE!#REF!,"MZ02")</f>
        <v>#REF!</v>
      </c>
      <c r="AB94" s="12" t="e">
        <f>COUNTIF(TIMETABLE!#REF!,"RM3")</f>
        <v>#REF!</v>
      </c>
      <c r="AC94" s="267" t="e">
        <f>COUNTIF(TIMETABLE!#REF!,"FET203")</f>
        <v>#REF!</v>
      </c>
      <c r="AD94" s="267" t="e">
        <f>COUNTIF(TIMETABLE!#REF!,"FET205")</f>
        <v>#REF!</v>
      </c>
      <c r="AE94" s="267" t="e">
        <f>COUNTIF(TIMETABLE!#REF!,"FET207")</f>
        <v>#REF!</v>
      </c>
      <c r="AF94" s="267" t="e">
        <f>COUNTIF(TIMETABLE!#REF!,"FET208")</f>
        <v>#REF!</v>
      </c>
      <c r="AG94" s="267" t="e">
        <f>COUNTIF(TIMETABLE!#REF!,"FET209")</f>
        <v>#REF!</v>
      </c>
      <c r="AH94" s="267" t="e">
        <f>COUNTIF(TIMETABLE!#REF!,"FET210")</f>
        <v>#REF!</v>
      </c>
      <c r="AI94" s="36"/>
      <c r="AJ94" s="529"/>
      <c r="EW94" s="532"/>
    </row>
    <row r="95" spans="2:153" ht="27" thickBot="1" x14ac:dyDescent="0.5">
      <c r="B95" s="529"/>
      <c r="C95" s="37">
        <v>9</v>
      </c>
      <c r="D95" s="82"/>
      <c r="E95" s="82"/>
      <c r="F95" s="82"/>
      <c r="G95" s="82"/>
      <c r="H95" s="82"/>
      <c r="I95" s="82"/>
      <c r="J95" s="82"/>
      <c r="K95" s="82"/>
      <c r="L95" s="82"/>
      <c r="M95" s="82"/>
      <c r="N95" s="82"/>
      <c r="O95" s="82"/>
      <c r="P95" s="82"/>
      <c r="Q95" s="82"/>
      <c r="R95" s="82"/>
      <c r="S95" s="82"/>
      <c r="T95" s="82"/>
      <c r="U95" s="82"/>
      <c r="V95" s="82"/>
      <c r="W95" s="82"/>
      <c r="X95" s="82"/>
      <c r="Y95" s="82"/>
      <c r="Z95" s="82"/>
      <c r="AA95" s="82"/>
      <c r="AB95" s="82"/>
      <c r="AC95" s="279"/>
      <c r="AD95" s="279"/>
      <c r="AE95" s="279"/>
      <c r="AF95" s="279"/>
      <c r="AG95" s="279"/>
      <c r="AH95" s="279"/>
      <c r="AI95" s="37">
        <v>9</v>
      </c>
      <c r="AJ95" s="529"/>
      <c r="EW95" s="532"/>
    </row>
    <row r="96" spans="2:153" ht="26.4" x14ac:dyDescent="0.45">
      <c r="B96" s="529"/>
      <c r="C96" s="36">
        <v>9</v>
      </c>
      <c r="D96" s="81"/>
      <c r="E96" s="81"/>
      <c r="F96" s="81"/>
      <c r="G96" s="81"/>
      <c r="H96" s="81"/>
      <c r="I96" s="81"/>
      <c r="J96" s="81"/>
      <c r="K96" s="81"/>
      <c r="L96" s="81"/>
      <c r="M96" s="81"/>
      <c r="N96" s="81"/>
      <c r="O96" s="81"/>
      <c r="P96" s="81"/>
      <c r="Q96" s="81"/>
      <c r="R96" s="81"/>
      <c r="S96" s="81"/>
      <c r="T96" s="81"/>
      <c r="U96" s="81"/>
      <c r="V96" s="81"/>
      <c r="W96" s="81"/>
      <c r="X96" s="81"/>
      <c r="Y96" s="81"/>
      <c r="Z96" s="81"/>
      <c r="AA96" s="81"/>
      <c r="AB96" s="81"/>
      <c r="AC96" s="278"/>
      <c r="AD96" s="278"/>
      <c r="AE96" s="278"/>
      <c r="AF96" s="278"/>
      <c r="AG96" s="278"/>
      <c r="AH96" s="278"/>
      <c r="AI96" s="36">
        <v>9</v>
      </c>
      <c r="AJ96" s="529"/>
      <c r="EW96" s="532"/>
    </row>
    <row r="97" spans="2:153" ht="26.4" x14ac:dyDescent="0.45">
      <c r="B97" s="529"/>
      <c r="C97" s="54"/>
      <c r="D97" s="12" t="e">
        <f>COUNTIF(TIMETABLE!#REF!,"EA005")</f>
        <v>#REF!</v>
      </c>
      <c r="E97" s="12" t="e">
        <f>COUNTIF(TIMETABLE!#REF!,"EA006")</f>
        <v>#REF!</v>
      </c>
      <c r="F97" s="12" t="e">
        <f>COUNTIF(TIMETABLE!#REF!,"EA009/10")</f>
        <v>#REF!</v>
      </c>
      <c r="G97" s="12" t="e">
        <f>COUNTIF(TIMETABLE!#REF!,"EA012")</f>
        <v>#REF!</v>
      </c>
      <c r="H97" s="12" t="e">
        <f>COUNTIF(TIMETABLE!#REF!,"EA015")</f>
        <v>#REF!</v>
      </c>
      <c r="I97" s="12" t="e">
        <f>COUNTIF(TIMETABLE!#REF!,"EA104")</f>
        <v>#REF!</v>
      </c>
      <c r="J97" s="12" t="e">
        <f>COUNTIF(TIMETABLE!#REF!,"EA105")</f>
        <v>#REF!</v>
      </c>
      <c r="K97" s="12" t="e">
        <f>COUNTIF(TIMETABLE!#REF!,"EA107")</f>
        <v>#REF!</v>
      </c>
      <c r="L97" s="12" t="e">
        <f>COUNTIF(TIMETABLE!#REF!,"EA108")</f>
        <v>#REF!</v>
      </c>
      <c r="M97" s="12" t="e">
        <f>COUNTIF(TIMETABLE!#REF!,"EB006")</f>
        <v>#REF!</v>
      </c>
      <c r="N97" s="12" t="e">
        <f>COUNTIF(TIMETABLE!#REF!,"EB007")</f>
        <v>#REF!</v>
      </c>
      <c r="O97" s="12" t="e">
        <f>COUNTIF(TIMETABLE!#REF!,"EB013")</f>
        <v>#REF!</v>
      </c>
      <c r="P97" s="12" t="e">
        <f>COUNTIF(TIMETABLE!#REF!,"EB104")</f>
        <v>#REF!</v>
      </c>
      <c r="Q97" s="12" t="e">
        <f>COUNTIF(TIMETABLE!#REF!,"EB105")</f>
        <v>#REF!</v>
      </c>
      <c r="R97" s="12" t="e">
        <f>COUNTIF(TIMETABLE!#REF!,"EB107")</f>
        <v>#REF!</v>
      </c>
      <c r="S97" s="12" t="e">
        <f>COUNTIF(TIMETABLE!#REF!,"EB109")</f>
        <v>#REF!</v>
      </c>
      <c r="T97" s="12" t="e">
        <f>COUNTIF(TIMETABLE!#REF!,"EB110")</f>
        <v>#REF!</v>
      </c>
      <c r="U97" s="12" t="e">
        <f>COUNTIF(TIMETABLE!#REF!,"MA111")</f>
        <v>#REF!</v>
      </c>
      <c r="V97" s="12" t="e">
        <f>COUNTIF(TIMETABLE!#REF!,"MA209")</f>
        <v>#REF!</v>
      </c>
      <c r="W97" s="12" t="e">
        <f>COUNTIF(TIMETABLE!#REF!,"MA212")</f>
        <v>#REF!</v>
      </c>
      <c r="X97" s="12" t="e">
        <f>COUNTIF(TIMETABLE!#REF!,"DO3")</f>
        <v>#REF!</v>
      </c>
      <c r="Y97" s="12" t="e">
        <f>COUNTIF(TIMETABLE!#REF!,"RM2")</f>
        <v>#REF!</v>
      </c>
      <c r="Z97" s="12" t="e">
        <f>COUNTIF(TIMETABLE!#REF!,"MZ01")</f>
        <v>#REF!</v>
      </c>
      <c r="AA97" s="12" t="e">
        <f>COUNTIF(TIMETABLE!#REF!,"MZ02")</f>
        <v>#REF!</v>
      </c>
      <c r="AB97" s="12" t="e">
        <f>COUNTIF(TIMETABLE!#REF!,"RM3")</f>
        <v>#REF!</v>
      </c>
      <c r="AC97" s="267" t="e">
        <f>COUNTIF(TIMETABLE!#REF!,"FET203")</f>
        <v>#REF!</v>
      </c>
      <c r="AD97" s="267" t="e">
        <f>COUNTIF(TIMETABLE!#REF!,"FET205")</f>
        <v>#REF!</v>
      </c>
      <c r="AE97" s="267" t="e">
        <f>COUNTIF(TIMETABLE!#REF!,"FET207")</f>
        <v>#REF!</v>
      </c>
      <c r="AF97" s="267" t="e">
        <f>COUNTIF(TIMETABLE!#REF!,"FET208")</f>
        <v>#REF!</v>
      </c>
      <c r="AG97" s="267" t="e">
        <f>COUNTIF(TIMETABLE!#REF!,"FET209")</f>
        <v>#REF!</v>
      </c>
      <c r="AH97" s="267" t="e">
        <f>COUNTIF(TIMETABLE!#REF!,"FET210")</f>
        <v>#REF!</v>
      </c>
      <c r="AI97" s="54"/>
      <c r="AJ97" s="529"/>
      <c r="EW97" s="532"/>
    </row>
    <row r="98" spans="2:153" ht="27" thickBot="1" x14ac:dyDescent="0.5">
      <c r="B98" s="529"/>
      <c r="C98" s="37">
        <v>10</v>
      </c>
      <c r="D98" s="82"/>
      <c r="E98" s="82"/>
      <c r="F98" s="82"/>
      <c r="G98" s="82"/>
      <c r="H98" s="82"/>
      <c r="I98" s="82"/>
      <c r="J98" s="82"/>
      <c r="K98" s="82"/>
      <c r="L98" s="82"/>
      <c r="M98" s="82"/>
      <c r="N98" s="82"/>
      <c r="O98" s="82"/>
      <c r="P98" s="82"/>
      <c r="Q98" s="82"/>
      <c r="R98" s="82"/>
      <c r="S98" s="82"/>
      <c r="T98" s="82"/>
      <c r="U98" s="82"/>
      <c r="V98" s="82"/>
      <c r="W98" s="82"/>
      <c r="X98" s="82"/>
      <c r="Y98" s="82"/>
      <c r="Z98" s="82"/>
      <c r="AA98" s="82"/>
      <c r="AB98" s="82"/>
      <c r="AC98" s="279"/>
      <c r="AD98" s="279"/>
      <c r="AE98" s="279"/>
      <c r="AF98" s="279"/>
      <c r="AG98" s="279"/>
      <c r="AH98" s="279"/>
      <c r="AI98" s="37">
        <v>10</v>
      </c>
      <c r="AJ98" s="529"/>
      <c r="EW98" s="532"/>
    </row>
    <row r="99" spans="2:153" ht="26.4" x14ac:dyDescent="0.45">
      <c r="B99" s="529"/>
      <c r="C99" s="36">
        <v>10</v>
      </c>
      <c r="D99" s="81"/>
      <c r="E99" s="81"/>
      <c r="F99" s="81"/>
      <c r="G99" s="81"/>
      <c r="H99" s="81"/>
      <c r="I99" s="81"/>
      <c r="J99" s="81"/>
      <c r="K99" s="81"/>
      <c r="L99" s="81"/>
      <c r="M99" s="81"/>
      <c r="N99" s="81"/>
      <c r="O99" s="81"/>
      <c r="P99" s="81"/>
      <c r="Q99" s="81"/>
      <c r="R99" s="81"/>
      <c r="S99" s="81"/>
      <c r="T99" s="81"/>
      <c r="U99" s="81"/>
      <c r="V99" s="81"/>
      <c r="W99" s="81"/>
      <c r="X99" s="81"/>
      <c r="Y99" s="81"/>
      <c r="Z99" s="81"/>
      <c r="AA99" s="81"/>
      <c r="AB99" s="81"/>
      <c r="AC99" s="278"/>
      <c r="AD99" s="278"/>
      <c r="AE99" s="278"/>
      <c r="AF99" s="278"/>
      <c r="AG99" s="278"/>
      <c r="AH99" s="278"/>
      <c r="AI99" s="36">
        <v>10</v>
      </c>
      <c r="AJ99" s="529"/>
      <c r="EW99" s="532"/>
    </row>
    <row r="100" spans="2:153" ht="26.4" x14ac:dyDescent="0.45">
      <c r="B100" s="529"/>
      <c r="C100" s="10"/>
      <c r="D100" s="12">
        <f>COUNTIF(TIMETABLE!D52:W52,"EA005")</f>
        <v>0</v>
      </c>
      <c r="E100" s="12">
        <f>COUNTIF(TIMETABLE!D52:W52,"EA006")</f>
        <v>0</v>
      </c>
      <c r="F100" s="12">
        <f>COUNTIF(TIMETABLE!D52:W52,"EA009/10")</f>
        <v>0</v>
      </c>
      <c r="G100" s="12">
        <f>COUNTIF(TIMETABLE!D52:W52,"EA012")</f>
        <v>0</v>
      </c>
      <c r="H100" s="12">
        <f>COUNTIF(TIMETABLE!D52:W52,"EA015")</f>
        <v>0</v>
      </c>
      <c r="I100" s="12">
        <f>COUNTIF(TIMETABLE!D52:W52,"EA104")</f>
        <v>0</v>
      </c>
      <c r="J100" s="12">
        <f>COUNTIF(TIMETABLE!D52:W52,"EA105")</f>
        <v>0</v>
      </c>
      <c r="K100" s="12">
        <f>COUNTIF(TIMETABLE!D52:W52,"EA107")</f>
        <v>0</v>
      </c>
      <c r="L100" s="12">
        <f>COUNTIF(TIMETABLE!D52:W52,"EA108")</f>
        <v>0</v>
      </c>
      <c r="M100" s="12">
        <f>COUNTIF(TIMETABLE!D52:W52,"EB006")</f>
        <v>0</v>
      </c>
      <c r="N100" s="12">
        <f>COUNTIF(TIMETABLE!D52:W52,"EB007")</f>
        <v>0</v>
      </c>
      <c r="O100" s="12">
        <f>COUNTIF(TIMETABLE!D52:W52,"EB013")</f>
        <v>0</v>
      </c>
      <c r="P100" s="12">
        <f>COUNTIF(TIMETABLE!L52:W52,"EB104")</f>
        <v>0</v>
      </c>
      <c r="Q100" s="12">
        <f>COUNTIF(TIMETABLE!D52:W52,"EB105")</f>
        <v>0</v>
      </c>
      <c r="R100" s="12">
        <f>COUNTIF(TIMETABLE!D52:W52,"EB107")</f>
        <v>0</v>
      </c>
      <c r="S100" s="12">
        <f>COUNTIF(TIMETABLE!D52:W52,"EB109")</f>
        <v>0</v>
      </c>
      <c r="T100" s="12">
        <f>COUNTIF(TIMETABLE!D52:W52,"EB110")</f>
        <v>0</v>
      </c>
      <c r="U100" s="12">
        <f>COUNTIF(TIMETABLE!D52:W52,"MA111")</f>
        <v>0</v>
      </c>
      <c r="V100" s="12">
        <f>COUNTIF(TIMETABLE!D52:W52,"MA209")</f>
        <v>0</v>
      </c>
      <c r="W100" s="12">
        <f>COUNTIF(TIMETABLE!D52:W52,"MA212")</f>
        <v>0</v>
      </c>
      <c r="X100" s="12">
        <f>COUNTIF(TIMETABLE!D52:W52,"DO3")</f>
        <v>1</v>
      </c>
      <c r="Y100" s="12">
        <f>COUNTIF(TIMETABLE!D52:W52,"RM2")</f>
        <v>0</v>
      </c>
      <c r="Z100" s="12">
        <f>COUNTIF(TIMETABLE!D52:W52,"MZ01")</f>
        <v>0</v>
      </c>
      <c r="AA100" s="12">
        <f>COUNTIF(TIMETABLE!D52:W52,"MZ02")</f>
        <v>0</v>
      </c>
      <c r="AB100" s="12">
        <f>COUNTIF(TIMETABLE!D52:W52,"RM3")</f>
        <v>0</v>
      </c>
      <c r="AC100" s="267">
        <f>COUNTIF(TIMETABLE!D52:W52,"FET203")</f>
        <v>0</v>
      </c>
      <c r="AD100" s="267">
        <f>COUNTIF(TIMETABLE!D52:W52,"FET205")</f>
        <v>0</v>
      </c>
      <c r="AE100" s="267">
        <f>COUNTIF(TIMETABLE!D52:W52,"FET207")</f>
        <v>0</v>
      </c>
      <c r="AF100" s="267">
        <f>COUNTIF(TIMETABLE!D52:W52,"FET208")</f>
        <v>0</v>
      </c>
      <c r="AG100" s="267">
        <f>COUNTIF(TIMETABLE!D52:W52,"FET209")</f>
        <v>0</v>
      </c>
      <c r="AH100" s="267">
        <f>COUNTIF(TIMETABLE!D52:W52,"FET210")</f>
        <v>0</v>
      </c>
      <c r="AI100" s="10"/>
      <c r="AJ100" s="529"/>
      <c r="EW100" s="532"/>
    </row>
    <row r="101" spans="2:153" ht="27" thickBot="1" x14ac:dyDescent="0.5">
      <c r="B101" s="529"/>
      <c r="C101" s="37">
        <v>11</v>
      </c>
      <c r="D101" s="82"/>
      <c r="E101" s="82"/>
      <c r="F101" s="82"/>
      <c r="G101" s="82"/>
      <c r="H101" s="82"/>
      <c r="I101" s="82"/>
      <c r="J101" s="82"/>
      <c r="K101" s="82"/>
      <c r="L101" s="82"/>
      <c r="M101" s="82"/>
      <c r="N101" s="82"/>
      <c r="O101" s="82"/>
      <c r="P101" s="82"/>
      <c r="Q101" s="82"/>
      <c r="R101" s="82"/>
      <c r="S101" s="82"/>
      <c r="T101" s="82"/>
      <c r="U101" s="82"/>
      <c r="V101" s="82"/>
      <c r="W101" s="82"/>
      <c r="X101" s="82"/>
      <c r="Y101" s="82"/>
      <c r="Z101" s="82"/>
      <c r="AA101" s="82"/>
      <c r="AB101" s="82"/>
      <c r="AC101" s="279"/>
      <c r="AD101" s="279"/>
      <c r="AE101" s="279"/>
      <c r="AF101" s="279"/>
      <c r="AG101" s="279"/>
      <c r="AH101" s="279"/>
      <c r="AI101" s="37">
        <v>11</v>
      </c>
      <c r="AJ101" s="529"/>
      <c r="EW101" s="532"/>
    </row>
    <row r="102" spans="2:153" ht="26.4" x14ac:dyDescent="0.45">
      <c r="B102" s="529"/>
      <c r="C102" s="36">
        <v>11</v>
      </c>
      <c r="D102" s="81"/>
      <c r="E102" s="81"/>
      <c r="F102" s="81"/>
      <c r="G102" s="81"/>
      <c r="H102" s="81"/>
      <c r="I102" s="81"/>
      <c r="J102" s="81"/>
      <c r="K102" s="81"/>
      <c r="L102" s="81"/>
      <c r="M102" s="81"/>
      <c r="N102" s="81"/>
      <c r="O102" s="81"/>
      <c r="P102" s="81"/>
      <c r="Q102" s="81"/>
      <c r="R102" s="81"/>
      <c r="S102" s="81"/>
      <c r="T102" s="81"/>
      <c r="U102" s="81"/>
      <c r="V102" s="81"/>
      <c r="W102" s="81"/>
      <c r="X102" s="81"/>
      <c r="Y102" s="81"/>
      <c r="Z102" s="81"/>
      <c r="AA102" s="81"/>
      <c r="AB102" s="81"/>
      <c r="AC102" s="278"/>
      <c r="AD102" s="278"/>
      <c r="AE102" s="278"/>
      <c r="AF102" s="278"/>
      <c r="AG102" s="278"/>
      <c r="AH102" s="278"/>
      <c r="AI102" s="36">
        <v>11</v>
      </c>
      <c r="AJ102" s="529"/>
      <c r="EW102" s="532"/>
    </row>
    <row r="103" spans="2:153" ht="26.4" x14ac:dyDescent="0.45">
      <c r="B103" s="529"/>
      <c r="C103" s="9"/>
      <c r="D103" s="12" t="e">
        <f>COUNTIF(TIMETABLE!#REF!,"EA005")</f>
        <v>#REF!</v>
      </c>
      <c r="E103" s="12" t="e">
        <f>COUNTIF(TIMETABLE!#REF!,"EA006")</f>
        <v>#REF!</v>
      </c>
      <c r="F103" s="12" t="e">
        <f>COUNTIF(TIMETABLE!#REF!,"EA009/10")</f>
        <v>#REF!</v>
      </c>
      <c r="G103" s="12" t="e">
        <f>COUNTIF(TIMETABLE!#REF!,"EA012")</f>
        <v>#REF!</v>
      </c>
      <c r="H103" s="12" t="e">
        <f>COUNTIF(TIMETABLE!#REF!,"EA015")</f>
        <v>#REF!</v>
      </c>
      <c r="I103" s="12" t="e">
        <f>COUNTIF(TIMETABLE!#REF!,"EA104")</f>
        <v>#REF!</v>
      </c>
      <c r="J103" s="12" t="e">
        <f>COUNTIF(TIMETABLE!#REF!,"EA105")</f>
        <v>#REF!</v>
      </c>
      <c r="K103" s="12" t="e">
        <f>COUNTIF(TIMETABLE!#REF!,"EA107")</f>
        <v>#REF!</v>
      </c>
      <c r="L103" s="12" t="e">
        <f>COUNTIF(TIMETABLE!#REF!,"EA108")</f>
        <v>#REF!</v>
      </c>
      <c r="M103" s="12" t="e">
        <f>COUNTIF(TIMETABLE!#REF!,"EB006")</f>
        <v>#REF!</v>
      </c>
      <c r="N103" s="12" t="e">
        <f>COUNTIF(TIMETABLE!#REF!,"EB007")</f>
        <v>#REF!</v>
      </c>
      <c r="O103" s="12" t="e">
        <f>COUNTIF(TIMETABLE!#REF!,"EB013")</f>
        <v>#REF!</v>
      </c>
      <c r="P103" s="12" t="e">
        <f>COUNTIF(TIMETABLE!#REF!,"EB104")</f>
        <v>#REF!</v>
      </c>
      <c r="Q103" s="12" t="e">
        <f>COUNTIF(TIMETABLE!#REF!,"EB105")</f>
        <v>#REF!</v>
      </c>
      <c r="R103" s="12" t="e">
        <f>COUNTIF(TIMETABLE!#REF!,"EB107")</f>
        <v>#REF!</v>
      </c>
      <c r="S103" s="12" t="e">
        <f>COUNTIF(TIMETABLE!#REF!,"EB109")</f>
        <v>#REF!</v>
      </c>
      <c r="T103" s="12" t="e">
        <f>COUNTIF(TIMETABLE!#REF!,"EB110")</f>
        <v>#REF!</v>
      </c>
      <c r="U103" s="12" t="e">
        <f>COUNTIF(TIMETABLE!#REF!,"MA111")</f>
        <v>#REF!</v>
      </c>
      <c r="V103" s="12" t="e">
        <f>COUNTIF(TIMETABLE!#REF!,"MA209")</f>
        <v>#REF!</v>
      </c>
      <c r="W103" s="12" t="e">
        <f>COUNTIF(TIMETABLE!#REF!,"MA212")</f>
        <v>#REF!</v>
      </c>
      <c r="X103" s="12" t="e">
        <f>COUNTIF(TIMETABLE!#REF!,"DO3")</f>
        <v>#REF!</v>
      </c>
      <c r="Y103" s="12" t="e">
        <f>COUNTIF(TIMETABLE!#REF!,"RM2")</f>
        <v>#REF!</v>
      </c>
      <c r="Z103" s="12" t="e">
        <f>COUNTIF(TIMETABLE!#REF!,"MZ01")</f>
        <v>#REF!</v>
      </c>
      <c r="AA103" s="12" t="e">
        <f>COUNTIF(TIMETABLE!#REF!,"MZ02")</f>
        <v>#REF!</v>
      </c>
      <c r="AB103" s="12" t="e">
        <f>COUNTIF(TIMETABLE!#REF!,"RM3")</f>
        <v>#REF!</v>
      </c>
      <c r="AC103" s="267" t="e">
        <f>COUNTIF(TIMETABLE!#REF!,"FET203")</f>
        <v>#REF!</v>
      </c>
      <c r="AD103" s="267" t="e">
        <f>COUNTIF(TIMETABLE!#REF!,"FET205")</f>
        <v>#REF!</v>
      </c>
      <c r="AE103" s="267" t="e">
        <f>COUNTIF(TIMETABLE!#REF!,"FET207")</f>
        <v>#REF!</v>
      </c>
      <c r="AF103" s="267" t="e">
        <f>COUNTIF(TIMETABLE!#REF!,"FET208")</f>
        <v>#REF!</v>
      </c>
      <c r="AG103" s="267" t="e">
        <f>COUNTIF(TIMETABLE!#REF!,"FET209")</f>
        <v>#REF!</v>
      </c>
      <c r="AH103" s="267" t="e">
        <f>COUNTIF(TIMETABLE!#REF!,"FET210")</f>
        <v>#REF!</v>
      </c>
      <c r="AI103" s="9"/>
      <c r="AJ103" s="529"/>
      <c r="EW103" s="532"/>
    </row>
    <row r="104" spans="2:153" ht="27" thickBot="1" x14ac:dyDescent="0.5">
      <c r="B104" s="529"/>
      <c r="C104" s="37">
        <v>12</v>
      </c>
      <c r="D104" s="82"/>
      <c r="E104" s="82"/>
      <c r="F104" s="82"/>
      <c r="G104" s="82"/>
      <c r="H104" s="82"/>
      <c r="I104" s="82"/>
      <c r="J104" s="82"/>
      <c r="K104" s="82"/>
      <c r="L104" s="82"/>
      <c r="M104" s="82"/>
      <c r="N104" s="82"/>
      <c r="O104" s="82"/>
      <c r="P104" s="82"/>
      <c r="Q104" s="82"/>
      <c r="R104" s="82"/>
      <c r="S104" s="82"/>
      <c r="T104" s="82"/>
      <c r="U104" s="82"/>
      <c r="V104" s="82"/>
      <c r="W104" s="82"/>
      <c r="X104" s="82"/>
      <c r="Y104" s="82"/>
      <c r="Z104" s="82"/>
      <c r="AA104" s="82"/>
      <c r="AB104" s="82"/>
      <c r="AC104" s="279"/>
      <c r="AD104" s="279"/>
      <c r="AE104" s="279"/>
      <c r="AF104" s="279"/>
      <c r="AG104" s="279"/>
      <c r="AH104" s="279"/>
      <c r="AI104" s="37">
        <v>12</v>
      </c>
      <c r="AJ104" s="529"/>
      <c r="EW104" s="532"/>
    </row>
    <row r="105" spans="2:153" ht="26.4" x14ac:dyDescent="0.45">
      <c r="B105" s="529"/>
      <c r="C105" s="36">
        <v>12</v>
      </c>
      <c r="D105" s="81"/>
      <c r="E105" s="81"/>
      <c r="F105" s="81"/>
      <c r="G105" s="81"/>
      <c r="H105" s="81"/>
      <c r="I105" s="81"/>
      <c r="J105" s="81"/>
      <c r="K105" s="81"/>
      <c r="L105" s="81"/>
      <c r="M105" s="81"/>
      <c r="N105" s="81"/>
      <c r="O105" s="81"/>
      <c r="P105" s="81"/>
      <c r="Q105" s="81"/>
      <c r="R105" s="81"/>
      <c r="S105" s="81"/>
      <c r="T105" s="81"/>
      <c r="U105" s="81"/>
      <c r="V105" s="81"/>
      <c r="W105" s="81"/>
      <c r="X105" s="81"/>
      <c r="Y105" s="81"/>
      <c r="Z105" s="81"/>
      <c r="AA105" s="81"/>
      <c r="AB105" s="81"/>
      <c r="AC105" s="278"/>
      <c r="AD105" s="278"/>
      <c r="AE105" s="278"/>
      <c r="AF105" s="278"/>
      <c r="AG105" s="278"/>
      <c r="AH105" s="278"/>
      <c r="AI105" s="36">
        <v>12</v>
      </c>
      <c r="AJ105" s="529"/>
      <c r="EW105" s="532"/>
    </row>
    <row r="106" spans="2:153" ht="26.4" x14ac:dyDescent="0.45">
      <c r="B106" s="529"/>
      <c r="C106" s="9"/>
      <c r="D106" s="12" t="e">
        <f>COUNTIF(TIMETABLE!#REF!,"EA005")</f>
        <v>#REF!</v>
      </c>
      <c r="E106" s="12" t="e">
        <f>COUNTIF(TIMETABLE!#REF!,"EA006")</f>
        <v>#REF!</v>
      </c>
      <c r="F106" s="12" t="e">
        <f>COUNTIF(TIMETABLE!#REF!,"EA009/10")</f>
        <v>#REF!</v>
      </c>
      <c r="G106" s="12" t="e">
        <f>COUNTIF(TIMETABLE!#REF!,"EA012")</f>
        <v>#REF!</v>
      </c>
      <c r="H106" s="12" t="e">
        <f>COUNTIF(TIMETABLE!#REF!,"EA015")</f>
        <v>#REF!</v>
      </c>
      <c r="I106" s="12" t="e">
        <f>COUNTIF(TIMETABLE!#REF!,"EA104")</f>
        <v>#REF!</v>
      </c>
      <c r="J106" s="12" t="e">
        <f>COUNTIF(TIMETABLE!#REF!,"EA105")</f>
        <v>#REF!</v>
      </c>
      <c r="K106" s="12" t="e">
        <f>COUNTIF(TIMETABLE!#REF!,"EA107")</f>
        <v>#REF!</v>
      </c>
      <c r="L106" s="12" t="e">
        <f>COUNTIF(TIMETABLE!#REF!,"EA108")</f>
        <v>#REF!</v>
      </c>
      <c r="M106" s="12" t="e">
        <f>COUNTIF(TIMETABLE!#REF!,"EB006")</f>
        <v>#REF!</v>
      </c>
      <c r="N106" s="12" t="e">
        <f>COUNTIF(TIMETABLE!#REF!,"EB007")</f>
        <v>#REF!</v>
      </c>
      <c r="O106" s="12" t="e">
        <f>COUNTIF(TIMETABLE!#REF!,"EB013")</f>
        <v>#REF!</v>
      </c>
      <c r="P106" s="12" t="e">
        <f>COUNTIF(TIMETABLE!#REF!,"EB104")</f>
        <v>#REF!</v>
      </c>
      <c r="Q106" s="12" t="e">
        <f>COUNTIF(TIMETABLE!#REF!,"EB105")</f>
        <v>#REF!</v>
      </c>
      <c r="R106" s="12" t="e">
        <f>COUNTIF(TIMETABLE!#REF!,"EB107")</f>
        <v>#REF!</v>
      </c>
      <c r="S106" s="12" t="e">
        <f>COUNTIF(TIMETABLE!#REF!,"EB109")</f>
        <v>#REF!</v>
      </c>
      <c r="T106" s="12" t="e">
        <f>COUNTIF(TIMETABLE!#REF!,"EB110")</f>
        <v>#REF!</v>
      </c>
      <c r="U106" s="12" t="e">
        <f>COUNTIF(TIMETABLE!#REF!,"MA111")</f>
        <v>#REF!</v>
      </c>
      <c r="V106" s="12" t="e">
        <f>COUNTIF(TIMETABLE!#REF!,"MA209")</f>
        <v>#REF!</v>
      </c>
      <c r="W106" s="12" t="e">
        <f>COUNTIF(TIMETABLE!#REF!,"MA212")</f>
        <v>#REF!</v>
      </c>
      <c r="X106" s="12" t="e">
        <f>COUNTIF(TIMETABLE!#REF!,"DO3")</f>
        <v>#REF!</v>
      </c>
      <c r="Y106" s="12" t="e">
        <f>COUNTIF(TIMETABLE!#REF!,"RM2")</f>
        <v>#REF!</v>
      </c>
      <c r="Z106" s="12" t="e">
        <f>COUNTIF(TIMETABLE!#REF!,"MZ01")</f>
        <v>#REF!</v>
      </c>
      <c r="AA106" s="12" t="e">
        <f>COUNTIF(TIMETABLE!#REF!,"MZ02")</f>
        <v>#REF!</v>
      </c>
      <c r="AB106" s="12" t="e">
        <f>COUNTIF(TIMETABLE!#REF!,"RM3")</f>
        <v>#REF!</v>
      </c>
      <c r="AC106" s="267" t="e">
        <f>COUNTIF(TIMETABLE!#REF!,"FET203")</f>
        <v>#REF!</v>
      </c>
      <c r="AD106" s="267" t="e">
        <f>COUNTIF(TIMETABLE!#REF!,"FET205")</f>
        <v>#REF!</v>
      </c>
      <c r="AE106" s="267" t="e">
        <f>COUNTIF(TIMETABLE!#REF!,"FET207")</f>
        <v>#REF!</v>
      </c>
      <c r="AF106" s="267" t="e">
        <f>COUNTIF(TIMETABLE!#REF!,"FET208")</f>
        <v>#REF!</v>
      </c>
      <c r="AG106" s="267" t="e">
        <f>COUNTIF(TIMETABLE!#REF!,"FET209")</f>
        <v>#REF!</v>
      </c>
      <c r="AH106" s="267" t="e">
        <f>COUNTIF(TIMETABLE!#REF!,"FET210")</f>
        <v>#REF!</v>
      </c>
      <c r="AI106" s="9"/>
      <c r="AJ106" s="529"/>
      <c r="EW106" s="532"/>
    </row>
    <row r="107" spans="2:153" ht="27" thickBot="1" x14ac:dyDescent="0.5">
      <c r="B107" s="529"/>
      <c r="C107" s="37">
        <v>1</v>
      </c>
      <c r="D107" s="82"/>
      <c r="E107" s="82"/>
      <c r="F107" s="82"/>
      <c r="G107" s="82"/>
      <c r="H107" s="82"/>
      <c r="I107" s="82"/>
      <c r="J107" s="82"/>
      <c r="K107" s="82"/>
      <c r="L107" s="82"/>
      <c r="M107" s="82"/>
      <c r="N107" s="82"/>
      <c r="O107" s="82"/>
      <c r="P107" s="82"/>
      <c r="Q107" s="82"/>
      <c r="R107" s="82"/>
      <c r="S107" s="82"/>
      <c r="T107" s="82"/>
      <c r="U107" s="82"/>
      <c r="V107" s="82"/>
      <c r="W107" s="82"/>
      <c r="X107" s="82"/>
      <c r="Y107" s="82"/>
      <c r="Z107" s="82"/>
      <c r="AA107" s="82"/>
      <c r="AB107" s="82"/>
      <c r="AC107" s="279"/>
      <c r="AD107" s="279"/>
      <c r="AE107" s="279"/>
      <c r="AF107" s="279"/>
      <c r="AG107" s="279"/>
      <c r="AH107" s="279"/>
      <c r="AI107" s="37">
        <v>1</v>
      </c>
      <c r="AJ107" s="529"/>
      <c r="EW107" s="532"/>
    </row>
    <row r="108" spans="2:153" ht="26.4" x14ac:dyDescent="0.45">
      <c r="B108" s="529"/>
      <c r="C108" s="73"/>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73"/>
      <c r="AJ108" s="529"/>
      <c r="EW108" s="532"/>
    </row>
    <row r="109" spans="2:153" ht="26.4" x14ac:dyDescent="0.45">
      <c r="B109" s="529"/>
      <c r="C109" s="26"/>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26"/>
      <c r="AJ109" s="529"/>
      <c r="EW109" s="532"/>
    </row>
    <row r="110" spans="2:153" ht="27" thickBot="1" x14ac:dyDescent="0.5">
      <c r="B110" s="529"/>
      <c r="C110" s="73"/>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73"/>
      <c r="AJ110" s="529"/>
      <c r="EW110" s="532"/>
    </row>
    <row r="111" spans="2:153" ht="26.4" x14ac:dyDescent="0.45">
      <c r="B111" s="529"/>
      <c r="C111" s="55">
        <v>2</v>
      </c>
      <c r="D111" s="81"/>
      <c r="E111" s="81"/>
      <c r="F111" s="81"/>
      <c r="G111" s="81"/>
      <c r="H111" s="81"/>
      <c r="I111" s="81"/>
      <c r="J111" s="81"/>
      <c r="K111" s="81"/>
      <c r="L111" s="81"/>
      <c r="M111" s="81"/>
      <c r="N111" s="81"/>
      <c r="O111" s="81"/>
      <c r="P111" s="81"/>
      <c r="Q111" s="81"/>
      <c r="R111" s="81"/>
      <c r="S111" s="81"/>
      <c r="T111" s="81"/>
      <c r="U111" s="81"/>
      <c r="V111" s="81"/>
      <c r="W111" s="81"/>
      <c r="X111" s="81"/>
      <c r="Y111" s="81"/>
      <c r="Z111" s="81"/>
      <c r="AA111" s="81"/>
      <c r="AB111" s="81"/>
      <c r="AC111" s="280"/>
      <c r="AD111" s="280"/>
      <c r="AE111" s="280"/>
      <c r="AF111" s="280"/>
      <c r="AG111" s="280"/>
      <c r="AH111" s="280"/>
      <c r="AI111" s="55">
        <v>2</v>
      </c>
      <c r="AJ111" s="529"/>
      <c r="EW111" s="532"/>
    </row>
    <row r="112" spans="2:153" ht="26.4" x14ac:dyDescent="0.45">
      <c r="B112" s="529"/>
      <c r="C112" s="56"/>
      <c r="D112" s="12">
        <f>COUNTIF(TIMETABLE!D59:W59,"EA005")</f>
        <v>0</v>
      </c>
      <c r="E112" s="12">
        <f>COUNTIF(TIMETABLE!D59:W59,"EA006")</f>
        <v>0</v>
      </c>
      <c r="F112" s="12">
        <f>COUNTIF(TIMETABLE!D59:W59,"EA009/10")</f>
        <v>0</v>
      </c>
      <c r="G112" s="12">
        <f>COUNTIF(TIMETABLE!D59:W59,"EA012")</f>
        <v>0</v>
      </c>
      <c r="H112" s="12">
        <f>COUNTIF(TIMETABLE!D59:W59,"EA015")</f>
        <v>0</v>
      </c>
      <c r="I112" s="12">
        <f>COUNTIF(TIMETABLE!D59:W59,"EA104")</f>
        <v>0</v>
      </c>
      <c r="J112" s="12">
        <f>COUNTIF(TIMETABLE!D59:W59,"EA105")</f>
        <v>0</v>
      </c>
      <c r="K112" s="12">
        <f>COUNTIF(TIMETABLE!D59:W59,"EA107")</f>
        <v>0</v>
      </c>
      <c r="L112" s="12">
        <f>COUNTIF(TIMETABLE!D59:W59,"EA108")</f>
        <v>0</v>
      </c>
      <c r="M112" s="12">
        <f>COUNTIF(TIMETABLE!D59:W59,"EB006")</f>
        <v>0</v>
      </c>
      <c r="N112" s="12">
        <f>COUNTIF(TIMETABLE!D59:W59,"EB007")</f>
        <v>0</v>
      </c>
      <c r="O112" s="12">
        <f>COUNTIF(TIMETABLE!D59:W59,"EB013")</f>
        <v>0</v>
      </c>
      <c r="P112" s="12">
        <f>COUNTIF(TIMETABLE!L59:W59,"EB104")</f>
        <v>0</v>
      </c>
      <c r="Q112" s="12">
        <f>COUNTIF(TIMETABLE!D59:W59,"EB105")</f>
        <v>0</v>
      </c>
      <c r="R112" s="12">
        <f>COUNTIF(TIMETABLE!D59:W59,"EB107")</f>
        <v>0</v>
      </c>
      <c r="S112" s="12">
        <f>COUNTIF(TIMETABLE!D59:W59,"EB109")</f>
        <v>0</v>
      </c>
      <c r="T112" s="12">
        <f>COUNTIF(TIMETABLE!D59:W59,"EB110")</f>
        <v>0</v>
      </c>
      <c r="U112" s="12">
        <f>COUNTIF(TIMETABLE!D59:W59,"MA111")</f>
        <v>0</v>
      </c>
      <c r="V112" s="12">
        <f>COUNTIF(TIMETABLE!D59:W59,"MA209")</f>
        <v>0</v>
      </c>
      <c r="W112" s="12">
        <f>COUNTIF(TIMETABLE!D59:W59,"MA212")</f>
        <v>0</v>
      </c>
      <c r="X112" s="12">
        <f>COUNTIF(TIMETABLE!D59:W59,"DO3")</f>
        <v>1</v>
      </c>
      <c r="Y112" s="12">
        <f>COUNTIF(TIMETABLE!D59:W59,"RM2")</f>
        <v>0</v>
      </c>
      <c r="Z112" s="12">
        <f>COUNTIF(TIMETABLE!D59:W59,"MZ01")</f>
        <v>0</v>
      </c>
      <c r="AA112" s="12">
        <f>COUNTIF(TIMETABLE!D59:W59,"MZ02")</f>
        <v>0</v>
      </c>
      <c r="AB112" s="12">
        <f>COUNTIF(TIMETABLE!D59:W59,"RM3")</f>
        <v>0</v>
      </c>
      <c r="AC112" s="267">
        <f>COUNTIF(TIMETABLE!D59:W59,"FET203")</f>
        <v>0</v>
      </c>
      <c r="AD112" s="267">
        <f>COUNTIF(TIMETABLE!D59:W59,"FET205")</f>
        <v>0</v>
      </c>
      <c r="AE112" s="267">
        <f>COUNTIF(TIMETABLE!D59:W59,"FET207")</f>
        <v>0</v>
      </c>
      <c r="AF112" s="267">
        <f>COUNTIF(TIMETABLE!D59:W59,"FET208")</f>
        <v>0</v>
      </c>
      <c r="AG112" s="267">
        <f>COUNTIF(TIMETABLE!D59:W59,"FET209")</f>
        <v>0</v>
      </c>
      <c r="AH112" s="267">
        <f>COUNTIF(TIMETABLE!D59:W59,"FET210")</f>
        <v>0</v>
      </c>
      <c r="AI112" s="56"/>
      <c r="AJ112" s="529"/>
      <c r="EW112" s="532"/>
    </row>
    <row r="113" spans="2:153" ht="27" thickBot="1" x14ac:dyDescent="0.5">
      <c r="B113" s="529"/>
      <c r="C113" s="57">
        <v>3</v>
      </c>
      <c r="D113" s="82"/>
      <c r="E113" s="82"/>
      <c r="F113" s="82"/>
      <c r="G113" s="82"/>
      <c r="H113" s="82"/>
      <c r="I113" s="82"/>
      <c r="J113" s="82"/>
      <c r="K113" s="82"/>
      <c r="L113" s="82"/>
      <c r="M113" s="82"/>
      <c r="N113" s="82"/>
      <c r="O113" s="82"/>
      <c r="P113" s="82"/>
      <c r="Q113" s="82"/>
      <c r="R113" s="82"/>
      <c r="S113" s="82"/>
      <c r="T113" s="82"/>
      <c r="U113" s="82"/>
      <c r="V113" s="82"/>
      <c r="W113" s="82"/>
      <c r="X113" s="82"/>
      <c r="Y113" s="82"/>
      <c r="Z113" s="82"/>
      <c r="AA113" s="82"/>
      <c r="AB113" s="82"/>
      <c r="AC113" s="281"/>
      <c r="AD113" s="281"/>
      <c r="AE113" s="281"/>
      <c r="AF113" s="281"/>
      <c r="AG113" s="281"/>
      <c r="AH113" s="281"/>
      <c r="AI113" s="57">
        <v>3</v>
      </c>
      <c r="AJ113" s="529"/>
      <c r="EW113" s="532"/>
    </row>
    <row r="114" spans="2:153" ht="26.4" x14ac:dyDescent="0.45">
      <c r="B114" s="529"/>
      <c r="C114" s="55">
        <v>3</v>
      </c>
      <c r="D114" s="81"/>
      <c r="E114" s="81"/>
      <c r="F114" s="81"/>
      <c r="G114" s="81"/>
      <c r="H114" s="81"/>
      <c r="I114" s="81"/>
      <c r="J114" s="81"/>
      <c r="K114" s="81"/>
      <c r="L114" s="81"/>
      <c r="M114" s="81"/>
      <c r="N114" s="81"/>
      <c r="O114" s="81"/>
      <c r="P114" s="81"/>
      <c r="Q114" s="81"/>
      <c r="R114" s="81"/>
      <c r="S114" s="81"/>
      <c r="T114" s="81"/>
      <c r="U114" s="81"/>
      <c r="V114" s="81"/>
      <c r="W114" s="81"/>
      <c r="X114" s="81"/>
      <c r="Y114" s="81"/>
      <c r="Z114" s="81"/>
      <c r="AA114" s="81"/>
      <c r="AB114" s="81"/>
      <c r="AC114" s="280"/>
      <c r="AD114" s="280"/>
      <c r="AE114" s="280"/>
      <c r="AF114" s="280"/>
      <c r="AG114" s="280"/>
      <c r="AH114" s="280"/>
      <c r="AI114" s="55">
        <v>3</v>
      </c>
      <c r="AJ114" s="529"/>
      <c r="EW114" s="532"/>
    </row>
    <row r="115" spans="2:153" ht="26.4" x14ac:dyDescent="0.45">
      <c r="B115" s="529"/>
      <c r="C115" s="56"/>
      <c r="D115" s="12" t="e">
        <f>COUNTIF(TIMETABLE!#REF!,"EA005")</f>
        <v>#REF!</v>
      </c>
      <c r="E115" s="12" t="e">
        <f>COUNTIF(TIMETABLE!#REF!,"EA006")</f>
        <v>#REF!</v>
      </c>
      <c r="F115" s="12" t="e">
        <f>COUNTIF(TIMETABLE!#REF!,"EA009/10")</f>
        <v>#REF!</v>
      </c>
      <c r="G115" s="12" t="e">
        <f>COUNTIF(TIMETABLE!#REF!,"EA012")</f>
        <v>#REF!</v>
      </c>
      <c r="H115" s="12" t="e">
        <f>COUNTIF(TIMETABLE!#REF!,"EA015")</f>
        <v>#REF!</v>
      </c>
      <c r="I115" s="12" t="e">
        <f>COUNTIF(TIMETABLE!#REF!,"EA104")</f>
        <v>#REF!</v>
      </c>
      <c r="J115" s="12" t="e">
        <f>COUNTIF(TIMETABLE!#REF!,"EA105")</f>
        <v>#REF!</v>
      </c>
      <c r="K115" s="12" t="e">
        <f>COUNTIF(TIMETABLE!#REF!,"EA107")</f>
        <v>#REF!</v>
      </c>
      <c r="L115" s="12" t="e">
        <f>COUNTIF(TIMETABLE!#REF!,"EA108")</f>
        <v>#REF!</v>
      </c>
      <c r="M115" s="12" t="e">
        <f>COUNTIF(TIMETABLE!#REF!,"EB006")</f>
        <v>#REF!</v>
      </c>
      <c r="N115" s="12" t="e">
        <f>COUNTIF(TIMETABLE!#REF!,"EB007")</f>
        <v>#REF!</v>
      </c>
      <c r="O115" s="12" t="e">
        <f>COUNTIF(TIMETABLE!#REF!,"EB013")</f>
        <v>#REF!</v>
      </c>
      <c r="P115" s="12" t="e">
        <f>COUNTIF(TIMETABLE!#REF!,"EB104")</f>
        <v>#REF!</v>
      </c>
      <c r="Q115" s="12" t="e">
        <f>COUNTIF(TIMETABLE!#REF!,"EB105")</f>
        <v>#REF!</v>
      </c>
      <c r="R115" s="12" t="e">
        <f>COUNTIF(TIMETABLE!#REF!,"EB107")</f>
        <v>#REF!</v>
      </c>
      <c r="S115" s="12" t="e">
        <f>COUNTIF(TIMETABLE!#REF!,"EB109")</f>
        <v>#REF!</v>
      </c>
      <c r="T115" s="12" t="e">
        <f>COUNTIF(TIMETABLE!#REF!,"EB110")</f>
        <v>#REF!</v>
      </c>
      <c r="U115" s="12" t="e">
        <f>COUNTIF(TIMETABLE!#REF!,"MA111")</f>
        <v>#REF!</v>
      </c>
      <c r="V115" s="12" t="e">
        <f>COUNTIF(TIMETABLE!#REF!,"MA209")</f>
        <v>#REF!</v>
      </c>
      <c r="W115" s="12" t="e">
        <f>COUNTIF(TIMETABLE!#REF!,"MA212")</f>
        <v>#REF!</v>
      </c>
      <c r="X115" s="12" t="e">
        <f>COUNTIF(TIMETABLE!#REF!,"DO3")</f>
        <v>#REF!</v>
      </c>
      <c r="Y115" s="12" t="e">
        <f>COUNTIF(TIMETABLE!#REF!,"RM2")</f>
        <v>#REF!</v>
      </c>
      <c r="Z115" s="12" t="e">
        <f>COUNTIF(TIMETABLE!#REF!,"MZ01")</f>
        <v>#REF!</v>
      </c>
      <c r="AA115" s="12" t="e">
        <f>COUNTIF(TIMETABLE!#REF!,"MZ02")</f>
        <v>#REF!</v>
      </c>
      <c r="AB115" s="12" t="e">
        <f>COUNTIF(TIMETABLE!#REF!,"RM3")</f>
        <v>#REF!</v>
      </c>
      <c r="AC115" s="267" t="e">
        <f>COUNTIF(TIMETABLE!#REF!,"FET203")</f>
        <v>#REF!</v>
      </c>
      <c r="AD115" s="267" t="e">
        <f>COUNTIF(TIMETABLE!#REF!,"FET205")</f>
        <v>#REF!</v>
      </c>
      <c r="AE115" s="267" t="e">
        <f>COUNTIF(TIMETABLE!#REF!,"FET207")</f>
        <v>#REF!</v>
      </c>
      <c r="AF115" s="267" t="e">
        <f>COUNTIF(TIMETABLE!#REF!,"FET208")</f>
        <v>#REF!</v>
      </c>
      <c r="AG115" s="267" t="e">
        <f>COUNTIF(TIMETABLE!#REF!,"FET209")</f>
        <v>#REF!</v>
      </c>
      <c r="AH115" s="267" t="e">
        <f>COUNTIF(TIMETABLE!#REF!,"FET210")</f>
        <v>#REF!</v>
      </c>
      <c r="AI115" s="56"/>
      <c r="AJ115" s="529"/>
      <c r="EW115" s="532"/>
    </row>
    <row r="116" spans="2:153" ht="27" thickBot="1" x14ac:dyDescent="0.5">
      <c r="B116" s="529"/>
      <c r="C116" s="57">
        <v>4</v>
      </c>
      <c r="D116" s="82"/>
      <c r="E116" s="82"/>
      <c r="F116" s="82"/>
      <c r="G116" s="82"/>
      <c r="H116" s="82"/>
      <c r="I116" s="82"/>
      <c r="J116" s="82"/>
      <c r="K116" s="82"/>
      <c r="L116" s="82"/>
      <c r="M116" s="82"/>
      <c r="N116" s="82"/>
      <c r="O116" s="82"/>
      <c r="P116" s="82"/>
      <c r="Q116" s="82"/>
      <c r="R116" s="82"/>
      <c r="S116" s="82"/>
      <c r="T116" s="82"/>
      <c r="U116" s="82"/>
      <c r="V116" s="82"/>
      <c r="W116" s="82"/>
      <c r="X116" s="82"/>
      <c r="Y116" s="82"/>
      <c r="Z116" s="82"/>
      <c r="AA116" s="82"/>
      <c r="AB116" s="82"/>
      <c r="AC116" s="281"/>
      <c r="AD116" s="281"/>
      <c r="AE116" s="281"/>
      <c r="AF116" s="281"/>
      <c r="AG116" s="281"/>
      <c r="AH116" s="281"/>
      <c r="AI116" s="57">
        <v>4</v>
      </c>
      <c r="AJ116" s="529"/>
      <c r="EW116" s="532"/>
    </row>
    <row r="117" spans="2:153" ht="26.4" x14ac:dyDescent="0.45">
      <c r="B117" s="529"/>
      <c r="C117" s="55">
        <v>4</v>
      </c>
      <c r="D117" s="81"/>
      <c r="E117" s="81"/>
      <c r="F117" s="81"/>
      <c r="G117" s="81"/>
      <c r="H117" s="81"/>
      <c r="I117" s="81"/>
      <c r="J117" s="81"/>
      <c r="K117" s="81"/>
      <c r="L117" s="81"/>
      <c r="M117" s="81"/>
      <c r="N117" s="81"/>
      <c r="O117" s="81"/>
      <c r="P117" s="81"/>
      <c r="Q117" s="81"/>
      <c r="R117" s="81"/>
      <c r="S117" s="81"/>
      <c r="T117" s="81"/>
      <c r="U117" s="81"/>
      <c r="V117" s="81"/>
      <c r="W117" s="81"/>
      <c r="X117" s="81"/>
      <c r="Y117" s="81"/>
      <c r="Z117" s="81"/>
      <c r="AA117" s="81"/>
      <c r="AB117" s="81"/>
      <c r="AC117" s="280"/>
      <c r="AD117" s="280"/>
      <c r="AE117" s="280"/>
      <c r="AF117" s="280"/>
      <c r="AG117" s="280"/>
      <c r="AH117" s="280"/>
      <c r="AI117" s="55">
        <v>4</v>
      </c>
      <c r="AJ117" s="529"/>
      <c r="EW117" s="532"/>
    </row>
    <row r="118" spans="2:153" ht="26.4" x14ac:dyDescent="0.45">
      <c r="B118" s="529"/>
      <c r="C118" s="56"/>
      <c r="D118" s="12" t="e">
        <f>COUNTIF(TIMETABLE!#REF!,"EA005")</f>
        <v>#REF!</v>
      </c>
      <c r="E118" s="12" t="e">
        <f>COUNTIF(TIMETABLE!#REF!,"EA006")</f>
        <v>#REF!</v>
      </c>
      <c r="F118" s="12" t="e">
        <f>COUNTIF(TIMETABLE!#REF!,"EA009/10")</f>
        <v>#REF!</v>
      </c>
      <c r="G118" s="12" t="e">
        <f>COUNTIF(TIMETABLE!#REF!,"EA012")</f>
        <v>#REF!</v>
      </c>
      <c r="H118" s="12" t="e">
        <f>COUNTIF(TIMETABLE!#REF!,"EA015")</f>
        <v>#REF!</v>
      </c>
      <c r="I118" s="12" t="e">
        <f>COUNTIF(TIMETABLE!#REF!,"EA104")</f>
        <v>#REF!</v>
      </c>
      <c r="J118" s="12" t="e">
        <f>COUNTIF(TIMETABLE!#REF!,"EA105")</f>
        <v>#REF!</v>
      </c>
      <c r="K118" s="12" t="e">
        <f>COUNTIF(TIMETABLE!#REF!,"EA107")</f>
        <v>#REF!</v>
      </c>
      <c r="L118" s="12" t="e">
        <f>COUNTIF(TIMETABLE!#REF!,"EA108")</f>
        <v>#REF!</v>
      </c>
      <c r="M118" s="12" t="e">
        <f>COUNTIF(TIMETABLE!#REF!,"EB006")</f>
        <v>#REF!</v>
      </c>
      <c r="N118" s="12" t="e">
        <f>COUNTIF(TIMETABLE!#REF!,"EB007")</f>
        <v>#REF!</v>
      </c>
      <c r="O118" s="12" t="e">
        <f>COUNTIF(TIMETABLE!#REF!,"EB013")</f>
        <v>#REF!</v>
      </c>
      <c r="P118" s="12" t="e">
        <f>COUNTIF(TIMETABLE!#REF!,"EB104")</f>
        <v>#REF!</v>
      </c>
      <c r="Q118" s="12" t="e">
        <f>COUNTIF(TIMETABLE!#REF!,"EB105")</f>
        <v>#REF!</v>
      </c>
      <c r="R118" s="12" t="e">
        <f>COUNTIF(TIMETABLE!#REF!,"EB107")</f>
        <v>#REF!</v>
      </c>
      <c r="S118" s="12" t="e">
        <f>COUNTIF(TIMETABLE!#REF!,"EB109")</f>
        <v>#REF!</v>
      </c>
      <c r="T118" s="12" t="e">
        <f>COUNTIF(TIMETABLE!#REF!,"EB110")</f>
        <v>#REF!</v>
      </c>
      <c r="U118" s="12" t="e">
        <f>COUNTIF(TIMETABLE!#REF!,"MA111")</f>
        <v>#REF!</v>
      </c>
      <c r="V118" s="12" t="e">
        <f>COUNTIF(TIMETABLE!#REF!,"MA209")</f>
        <v>#REF!</v>
      </c>
      <c r="W118" s="12" t="e">
        <f>COUNTIF(TIMETABLE!#REF!,"MA212")</f>
        <v>#REF!</v>
      </c>
      <c r="X118" s="12" t="e">
        <f>COUNTIF(TIMETABLE!#REF!,"DO3")</f>
        <v>#REF!</v>
      </c>
      <c r="Y118" s="12" t="e">
        <f>COUNTIF(TIMETABLE!#REF!,"RM2")</f>
        <v>#REF!</v>
      </c>
      <c r="Z118" s="12" t="e">
        <f>COUNTIF(TIMETABLE!#REF!,"MZ01")</f>
        <v>#REF!</v>
      </c>
      <c r="AA118" s="12" t="e">
        <f>COUNTIF(TIMETABLE!#REF!,"MZ02")</f>
        <v>#REF!</v>
      </c>
      <c r="AB118" s="12" t="e">
        <f>COUNTIF(TIMETABLE!#REF!,"RM3")</f>
        <v>#REF!</v>
      </c>
      <c r="AC118" s="267" t="e">
        <f>COUNTIF(TIMETABLE!#REF!,"FET203")</f>
        <v>#REF!</v>
      </c>
      <c r="AD118" s="267" t="e">
        <f>COUNTIF(TIMETABLE!#REF!,"FET205")</f>
        <v>#REF!</v>
      </c>
      <c r="AE118" s="267" t="e">
        <f>COUNTIF(TIMETABLE!#REF!,"FET207")</f>
        <v>#REF!</v>
      </c>
      <c r="AF118" s="267" t="e">
        <f>COUNTIF(TIMETABLE!#REF!,"FET208")</f>
        <v>#REF!</v>
      </c>
      <c r="AG118" s="267" t="e">
        <f>COUNTIF(TIMETABLE!#REF!,"FET209")</f>
        <v>#REF!</v>
      </c>
      <c r="AH118" s="267" t="e">
        <f>COUNTIF(TIMETABLE!#REF!,"FET210")</f>
        <v>#REF!</v>
      </c>
      <c r="AI118" s="56"/>
      <c r="AJ118" s="529"/>
      <c r="EW118" s="532"/>
    </row>
    <row r="119" spans="2:153" ht="27" thickBot="1" x14ac:dyDescent="0.5">
      <c r="B119" s="529"/>
      <c r="C119" s="57">
        <v>5</v>
      </c>
      <c r="D119" s="82"/>
      <c r="E119" s="82"/>
      <c r="F119" s="82"/>
      <c r="G119" s="82"/>
      <c r="H119" s="82"/>
      <c r="I119" s="82"/>
      <c r="J119" s="82"/>
      <c r="K119" s="82"/>
      <c r="L119" s="82"/>
      <c r="M119" s="82"/>
      <c r="N119" s="82"/>
      <c r="O119" s="82"/>
      <c r="P119" s="82"/>
      <c r="Q119" s="82"/>
      <c r="R119" s="82"/>
      <c r="S119" s="82"/>
      <c r="T119" s="82"/>
      <c r="U119" s="82"/>
      <c r="V119" s="82"/>
      <c r="W119" s="82"/>
      <c r="X119" s="82"/>
      <c r="Y119" s="82"/>
      <c r="Z119" s="82"/>
      <c r="AA119" s="82"/>
      <c r="AB119" s="82"/>
      <c r="AC119" s="281"/>
      <c r="AD119" s="281"/>
      <c r="AE119" s="281"/>
      <c r="AF119" s="281"/>
      <c r="AG119" s="281"/>
      <c r="AH119" s="281"/>
      <c r="AI119" s="57">
        <v>5</v>
      </c>
      <c r="AJ119" s="529"/>
      <c r="EW119" s="532"/>
    </row>
    <row r="120" spans="2:153" ht="26.4" x14ac:dyDescent="0.45">
      <c r="B120" s="529"/>
      <c r="C120" s="55">
        <v>5</v>
      </c>
      <c r="D120" s="81"/>
      <c r="E120" s="81"/>
      <c r="F120" s="81"/>
      <c r="G120" s="81"/>
      <c r="H120" s="81"/>
      <c r="I120" s="81"/>
      <c r="J120" s="81"/>
      <c r="K120" s="81"/>
      <c r="L120" s="81"/>
      <c r="M120" s="81"/>
      <c r="N120" s="81"/>
      <c r="O120" s="81"/>
      <c r="P120" s="81"/>
      <c r="Q120" s="81"/>
      <c r="R120" s="81"/>
      <c r="S120" s="81"/>
      <c r="T120" s="81"/>
      <c r="U120" s="81"/>
      <c r="V120" s="81"/>
      <c r="W120" s="81"/>
      <c r="X120" s="81"/>
      <c r="Y120" s="81"/>
      <c r="Z120" s="81"/>
      <c r="AA120" s="81"/>
      <c r="AB120" s="81"/>
      <c r="AC120" s="81"/>
      <c r="AD120" s="81"/>
      <c r="AE120" s="81"/>
      <c r="AF120" s="81"/>
      <c r="AG120" s="81"/>
      <c r="AH120" s="81"/>
      <c r="AI120" s="55">
        <v>5</v>
      </c>
      <c r="AJ120" s="529"/>
      <c r="EW120" s="532"/>
    </row>
    <row r="121" spans="2:153" ht="26.4" x14ac:dyDescent="0.45">
      <c r="B121" s="529"/>
      <c r="C121" s="56"/>
      <c r="D121" s="12">
        <f>COUNTIF(TIMETABLE!D63:W63,"EA005")</f>
        <v>0</v>
      </c>
      <c r="E121" s="12">
        <f>COUNTIF(TIMETABLE!D63:W63,"EA006")</f>
        <v>0</v>
      </c>
      <c r="F121" s="12">
        <f>COUNTIF(TIMETABLE!D63:W63,"EA009/10")</f>
        <v>0</v>
      </c>
      <c r="G121" s="12">
        <f>COUNTIF(TIMETABLE!D63:W63,"EA012")</f>
        <v>0</v>
      </c>
      <c r="H121" s="12">
        <f>COUNTIF(TIMETABLE!D63:W63,"EA015")</f>
        <v>0</v>
      </c>
      <c r="I121" s="12">
        <f>COUNTIF(TIMETABLE!D63:W63,"EA104")</f>
        <v>0</v>
      </c>
      <c r="J121" s="12">
        <f>COUNTIF(TIMETABLE!D63:W63,"EA105")</f>
        <v>0</v>
      </c>
      <c r="K121" s="12">
        <f>COUNTIF(TIMETABLE!D63:W63,"EA107")</f>
        <v>0</v>
      </c>
      <c r="L121" s="12">
        <f>COUNTIF(TIMETABLE!D63:W63,"EA108")</f>
        <v>0</v>
      </c>
      <c r="M121" s="12">
        <f>COUNTIF(TIMETABLE!D63:W63,"EB006")</f>
        <v>0</v>
      </c>
      <c r="N121" s="12">
        <f>COUNTIF(TIMETABLE!D63:W63,"EB007")</f>
        <v>0</v>
      </c>
      <c r="O121" s="12">
        <f>COUNTIF(TIMETABLE!D63:W63,"EB013")</f>
        <v>0</v>
      </c>
      <c r="P121" s="12">
        <f>COUNTIF(TIMETABLE!L63:W63,"EB104")</f>
        <v>0</v>
      </c>
      <c r="Q121" s="12">
        <f>COUNTIF(TIMETABLE!D63:W63,"EB105")</f>
        <v>0</v>
      </c>
      <c r="R121" s="12">
        <f>COUNTIF(TIMETABLE!D63:W63,"EB107")</f>
        <v>0</v>
      </c>
      <c r="S121" s="12">
        <f>COUNTIF(TIMETABLE!D63:W63,"EB109")</f>
        <v>0</v>
      </c>
      <c r="T121" s="12">
        <f>COUNTIF(TIMETABLE!D63:W63,"EB110")</f>
        <v>0</v>
      </c>
      <c r="U121" s="12">
        <f>COUNTIF(TIMETABLE!D63:W63,"MA111")</f>
        <v>0</v>
      </c>
      <c r="V121" s="12">
        <f>COUNTIF(TIMETABLE!D63:W63,"MA209")</f>
        <v>0</v>
      </c>
      <c r="W121" s="12">
        <f>COUNTIF(TIMETABLE!D63:W63,"MA212")</f>
        <v>0</v>
      </c>
      <c r="X121" s="12">
        <f>COUNTIF(TIMETABLE!D63:W63,"DO3")</f>
        <v>0</v>
      </c>
      <c r="Y121" s="12">
        <f>COUNTIF(TIMETABLE!D63:W63,"RM2")</f>
        <v>0</v>
      </c>
      <c r="Z121" s="12">
        <f>COUNTIF(TIMETABLE!D63:W63,"MZ01")</f>
        <v>0</v>
      </c>
      <c r="AA121" s="12">
        <f>COUNTIF(TIMETABLE!D63:W63,"MZ02")</f>
        <v>0</v>
      </c>
      <c r="AB121" s="12">
        <f>COUNTIF(TIMETABLE!D63:W63,"RM3")</f>
        <v>0</v>
      </c>
      <c r="AC121" s="12">
        <f>COUNTIF(TIMETABLE!D63:W63,"FET203")</f>
        <v>0</v>
      </c>
      <c r="AD121" s="12">
        <f>COUNTIF(TIMETABLE!D63:W63,"FET205")</f>
        <v>0</v>
      </c>
      <c r="AE121" s="12">
        <f>COUNTIF(TIMETABLE!D63:W63,"FET207")</f>
        <v>0</v>
      </c>
      <c r="AF121" s="12">
        <f>COUNTIF(TIMETABLE!D63:W63,"FET208")</f>
        <v>0</v>
      </c>
      <c r="AG121" s="12">
        <f>COUNTIF(TIMETABLE!D63:W63,"FET209")</f>
        <v>0</v>
      </c>
      <c r="AH121" s="12">
        <f>COUNTIF(TIMETABLE!D63:W63,"FET210")</f>
        <v>0</v>
      </c>
      <c r="AI121" s="56"/>
      <c r="AJ121" s="529"/>
      <c r="EW121" s="532"/>
    </row>
    <row r="122" spans="2:153" ht="27" thickBot="1" x14ac:dyDescent="0.5">
      <c r="B122" s="529"/>
      <c r="C122" s="57">
        <v>6</v>
      </c>
      <c r="D122" s="82"/>
      <c r="E122" s="82"/>
      <c r="F122" s="82"/>
      <c r="G122" s="82"/>
      <c r="H122" s="82"/>
      <c r="I122" s="82"/>
      <c r="J122" s="82"/>
      <c r="K122" s="82"/>
      <c r="L122" s="82"/>
      <c r="M122" s="82"/>
      <c r="N122" s="82"/>
      <c r="O122" s="82"/>
      <c r="P122" s="82"/>
      <c r="Q122" s="82"/>
      <c r="R122" s="82"/>
      <c r="S122" s="82"/>
      <c r="T122" s="82"/>
      <c r="U122" s="82"/>
      <c r="V122" s="82"/>
      <c r="W122" s="82"/>
      <c r="X122" s="82"/>
      <c r="Y122" s="82"/>
      <c r="Z122" s="82"/>
      <c r="AA122" s="82"/>
      <c r="AB122" s="82"/>
      <c r="AC122" s="82"/>
      <c r="AD122" s="82"/>
      <c r="AE122" s="82"/>
      <c r="AF122" s="82"/>
      <c r="AG122" s="82"/>
      <c r="AH122" s="82"/>
      <c r="AI122" s="57">
        <v>6</v>
      </c>
      <c r="AJ122" s="529"/>
      <c r="EW122" s="532"/>
    </row>
    <row r="123" spans="2:153" ht="26.4" x14ac:dyDescent="0.45">
      <c r="B123" s="529"/>
      <c r="C123" s="58">
        <v>6</v>
      </c>
      <c r="D123" s="81"/>
      <c r="E123" s="81"/>
      <c r="F123" s="81"/>
      <c r="G123" s="81"/>
      <c r="H123" s="81"/>
      <c r="I123" s="81"/>
      <c r="J123" s="81"/>
      <c r="K123" s="81"/>
      <c r="L123" s="81"/>
      <c r="M123" s="81"/>
      <c r="N123" s="81"/>
      <c r="O123" s="81"/>
      <c r="P123" s="81"/>
      <c r="Q123" s="81"/>
      <c r="R123" s="81"/>
      <c r="S123" s="81"/>
      <c r="T123" s="81"/>
      <c r="U123" s="81"/>
      <c r="V123" s="81"/>
      <c r="W123" s="81"/>
      <c r="X123" s="81"/>
      <c r="Y123" s="81"/>
      <c r="Z123" s="81"/>
      <c r="AA123" s="81"/>
      <c r="AB123" s="81"/>
      <c r="AC123" s="81"/>
      <c r="AD123" s="81"/>
      <c r="AE123" s="81"/>
      <c r="AF123" s="81"/>
      <c r="AG123" s="81"/>
      <c r="AH123" s="81"/>
      <c r="AI123" s="58">
        <v>6</v>
      </c>
      <c r="AJ123" s="529"/>
      <c r="EW123" s="532"/>
    </row>
    <row r="124" spans="2:153" ht="26.4" x14ac:dyDescent="0.45">
      <c r="B124" s="529"/>
      <c r="C124" s="56"/>
      <c r="D124" s="12" t="e">
        <f>COUNTIF(TIMETABLE!#REF!,"EA005")</f>
        <v>#REF!</v>
      </c>
      <c r="E124" s="12" t="e">
        <f>COUNTIF(TIMETABLE!#REF!,"EA006")</f>
        <v>#REF!</v>
      </c>
      <c r="F124" s="12" t="e">
        <f>COUNTIF(TIMETABLE!#REF!,"EA009/10")</f>
        <v>#REF!</v>
      </c>
      <c r="G124" s="12" t="e">
        <f>COUNTIF(TIMETABLE!#REF!,"EA012")</f>
        <v>#REF!</v>
      </c>
      <c r="H124" s="12" t="e">
        <f>COUNTIF(TIMETABLE!#REF!,"EA015")</f>
        <v>#REF!</v>
      </c>
      <c r="I124" s="12" t="e">
        <f>COUNTIF(TIMETABLE!#REF!,"EA104")</f>
        <v>#REF!</v>
      </c>
      <c r="J124" s="12" t="e">
        <f>COUNTIF(TIMETABLE!#REF!,"EA105")</f>
        <v>#REF!</v>
      </c>
      <c r="K124" s="12" t="e">
        <f>COUNTIF(TIMETABLE!#REF!,"EA107")</f>
        <v>#REF!</v>
      </c>
      <c r="L124" s="12" t="e">
        <f>COUNTIF(TIMETABLE!#REF!,"EA108")</f>
        <v>#REF!</v>
      </c>
      <c r="M124" s="12" t="e">
        <f>COUNTIF(TIMETABLE!#REF!,"EB006")</f>
        <v>#REF!</v>
      </c>
      <c r="N124" s="12" t="e">
        <f>COUNTIF(TIMETABLE!#REF!,"EB007")</f>
        <v>#REF!</v>
      </c>
      <c r="O124" s="12" t="e">
        <f>COUNTIF(TIMETABLE!#REF!,"EB013")</f>
        <v>#REF!</v>
      </c>
      <c r="P124" s="12" t="e">
        <f>COUNTIF(TIMETABLE!#REF!,"EB104")</f>
        <v>#REF!</v>
      </c>
      <c r="Q124" s="12" t="e">
        <f>COUNTIF(TIMETABLE!#REF!,"EB105")</f>
        <v>#REF!</v>
      </c>
      <c r="R124" s="12" t="e">
        <f>COUNTIF(TIMETABLE!#REF!,"EB107")</f>
        <v>#REF!</v>
      </c>
      <c r="S124" s="12" t="e">
        <f>COUNTIF(TIMETABLE!#REF!,"EB109")</f>
        <v>#REF!</v>
      </c>
      <c r="T124" s="12" t="e">
        <f>COUNTIF(TIMETABLE!#REF!,"EB110")</f>
        <v>#REF!</v>
      </c>
      <c r="U124" s="12" t="e">
        <f>COUNTIF(TIMETABLE!#REF!,"MA111")</f>
        <v>#REF!</v>
      </c>
      <c r="V124" s="12" t="e">
        <f>COUNTIF(TIMETABLE!#REF!,"MA209")</f>
        <v>#REF!</v>
      </c>
      <c r="W124" s="12" t="e">
        <f>COUNTIF(TIMETABLE!#REF!,"MA212")</f>
        <v>#REF!</v>
      </c>
      <c r="X124" s="12" t="e">
        <f>COUNTIF(TIMETABLE!#REF!,"DO3")</f>
        <v>#REF!</v>
      </c>
      <c r="Y124" s="12" t="e">
        <f>COUNTIF(TIMETABLE!#REF!,"RM2")</f>
        <v>#REF!</v>
      </c>
      <c r="Z124" s="12" t="e">
        <f>COUNTIF(TIMETABLE!#REF!,"MZ01")</f>
        <v>#REF!</v>
      </c>
      <c r="AA124" s="12" t="e">
        <f>COUNTIF(TIMETABLE!#REF!,"MZ02")</f>
        <v>#REF!</v>
      </c>
      <c r="AB124" s="12" t="e">
        <f>COUNTIF(TIMETABLE!#REF!,"RM3")</f>
        <v>#REF!</v>
      </c>
      <c r="AC124" s="12" t="e">
        <f>COUNTIF(TIMETABLE!#REF!,"FET203")</f>
        <v>#REF!</v>
      </c>
      <c r="AD124" s="12" t="e">
        <f>COUNTIF(TIMETABLE!#REF!,"FET205")</f>
        <v>#REF!</v>
      </c>
      <c r="AE124" s="12" t="e">
        <f>COUNTIF(TIMETABLE!#REF!,"FET207")</f>
        <v>#REF!</v>
      </c>
      <c r="AF124" s="12" t="e">
        <f>COUNTIF(TIMETABLE!#REF!,"FET208")</f>
        <v>#REF!</v>
      </c>
      <c r="AG124" s="12" t="e">
        <f>COUNTIF(TIMETABLE!#REF!,"FET209")</f>
        <v>#REF!</v>
      </c>
      <c r="AH124" s="12" t="e">
        <f>COUNTIF(TIMETABLE!#REF!,"FET210")</f>
        <v>#REF!</v>
      </c>
      <c r="AI124" s="56"/>
      <c r="AJ124" s="529"/>
      <c r="EW124" s="532"/>
    </row>
    <row r="125" spans="2:153" ht="27" thickBot="1" x14ac:dyDescent="0.5">
      <c r="B125" s="529"/>
      <c r="C125" s="57">
        <v>7</v>
      </c>
      <c r="D125" s="82"/>
      <c r="E125" s="82"/>
      <c r="F125" s="82"/>
      <c r="G125" s="82"/>
      <c r="H125" s="82"/>
      <c r="I125" s="82"/>
      <c r="J125" s="82"/>
      <c r="K125" s="82"/>
      <c r="L125" s="82"/>
      <c r="M125" s="82"/>
      <c r="N125" s="82"/>
      <c r="O125" s="82"/>
      <c r="P125" s="82"/>
      <c r="Q125" s="82"/>
      <c r="R125" s="82"/>
      <c r="S125" s="82"/>
      <c r="T125" s="82"/>
      <c r="U125" s="82"/>
      <c r="V125" s="82"/>
      <c r="W125" s="82"/>
      <c r="X125" s="82"/>
      <c r="Y125" s="82"/>
      <c r="Z125" s="82"/>
      <c r="AA125" s="82"/>
      <c r="AB125" s="82"/>
      <c r="AC125" s="82"/>
      <c r="AD125" s="82"/>
      <c r="AE125" s="82"/>
      <c r="AF125" s="82"/>
      <c r="AG125" s="82"/>
      <c r="AH125" s="82"/>
      <c r="AI125" s="57">
        <v>7</v>
      </c>
      <c r="AJ125" s="529"/>
      <c r="EW125" s="532"/>
    </row>
    <row r="126" spans="2:153" ht="26.4" x14ac:dyDescent="0.45">
      <c r="B126" s="529"/>
      <c r="C126" s="56">
        <v>7</v>
      </c>
      <c r="D126" s="81"/>
      <c r="E126" s="81"/>
      <c r="F126" s="81"/>
      <c r="G126" s="81"/>
      <c r="H126" s="81"/>
      <c r="I126" s="81"/>
      <c r="J126" s="81"/>
      <c r="K126" s="81"/>
      <c r="L126" s="81"/>
      <c r="M126" s="81"/>
      <c r="N126" s="81"/>
      <c r="O126" s="81"/>
      <c r="P126" s="81"/>
      <c r="Q126" s="81"/>
      <c r="R126" s="81"/>
      <c r="S126" s="81"/>
      <c r="T126" s="81"/>
      <c r="U126" s="81"/>
      <c r="V126" s="81"/>
      <c r="W126" s="81"/>
      <c r="X126" s="81"/>
      <c r="Y126" s="81"/>
      <c r="Z126" s="81"/>
      <c r="AA126" s="81"/>
      <c r="AB126" s="81"/>
      <c r="AC126" s="81"/>
      <c r="AD126" s="81"/>
      <c r="AE126" s="81"/>
      <c r="AF126" s="81"/>
      <c r="AG126" s="81"/>
      <c r="AH126" s="81"/>
      <c r="AI126" s="56">
        <v>7</v>
      </c>
      <c r="AJ126" s="529"/>
      <c r="EW126" s="532"/>
    </row>
    <row r="127" spans="2:153" ht="26.4" x14ac:dyDescent="0.45">
      <c r="B127" s="529"/>
      <c r="C127" s="56"/>
      <c r="D127" s="12" t="e">
        <f>COUNTIF(TIMETABLE!#REF!,"EA005")</f>
        <v>#REF!</v>
      </c>
      <c r="E127" s="12" t="e">
        <f>COUNTIF(TIMETABLE!#REF!,"EA006")</f>
        <v>#REF!</v>
      </c>
      <c r="F127" s="12" t="e">
        <f>COUNTIF(TIMETABLE!#REF!,"EA009/10")</f>
        <v>#REF!</v>
      </c>
      <c r="G127" s="12" t="e">
        <f>COUNTIF(TIMETABLE!#REF!,"EA012")</f>
        <v>#REF!</v>
      </c>
      <c r="H127" s="12" t="e">
        <f>COUNTIF(TIMETABLE!#REF!,"EA015")</f>
        <v>#REF!</v>
      </c>
      <c r="I127" s="12" t="e">
        <f>COUNTIF(TIMETABLE!#REF!,"EA104")</f>
        <v>#REF!</v>
      </c>
      <c r="J127" s="12" t="e">
        <f>COUNTIF(TIMETABLE!#REF!,"EA105")</f>
        <v>#REF!</v>
      </c>
      <c r="K127" s="12" t="e">
        <f>COUNTIF(TIMETABLE!#REF!,"EA107")</f>
        <v>#REF!</v>
      </c>
      <c r="L127" s="12" t="e">
        <f>COUNTIF(TIMETABLE!#REF!,"EA108")</f>
        <v>#REF!</v>
      </c>
      <c r="M127" s="12" t="e">
        <f>COUNTIF(TIMETABLE!#REF!,"EB006")</f>
        <v>#REF!</v>
      </c>
      <c r="N127" s="12" t="e">
        <f>COUNTIF(TIMETABLE!#REF!,"EB007")</f>
        <v>#REF!</v>
      </c>
      <c r="O127" s="12" t="e">
        <f>COUNTIF(TIMETABLE!#REF!,"EB013")</f>
        <v>#REF!</v>
      </c>
      <c r="P127" s="12" t="e">
        <f>COUNTIF(TIMETABLE!#REF!,"EB104")</f>
        <v>#REF!</v>
      </c>
      <c r="Q127" s="12" t="e">
        <f>COUNTIF(TIMETABLE!#REF!,"EB105")</f>
        <v>#REF!</v>
      </c>
      <c r="R127" s="12" t="e">
        <f>COUNTIF(TIMETABLE!#REF!,"EB107")</f>
        <v>#REF!</v>
      </c>
      <c r="S127" s="12" t="e">
        <f>COUNTIF(TIMETABLE!#REF!,"EB109")</f>
        <v>#REF!</v>
      </c>
      <c r="T127" s="12" t="e">
        <f>COUNTIF(TIMETABLE!#REF!,"EB110")</f>
        <v>#REF!</v>
      </c>
      <c r="U127" s="12" t="e">
        <f>COUNTIF(TIMETABLE!#REF!,"MA111")</f>
        <v>#REF!</v>
      </c>
      <c r="V127" s="12" t="e">
        <f>COUNTIF(TIMETABLE!#REF!,"MA209")</f>
        <v>#REF!</v>
      </c>
      <c r="W127" s="12" t="e">
        <f>COUNTIF(TIMETABLE!#REF!,"MA212")</f>
        <v>#REF!</v>
      </c>
      <c r="X127" s="12" t="e">
        <f>COUNTIF(TIMETABLE!#REF!,"DO3")</f>
        <v>#REF!</v>
      </c>
      <c r="Y127" s="12" t="e">
        <f>COUNTIF(TIMETABLE!#REF!,"RM2")</f>
        <v>#REF!</v>
      </c>
      <c r="Z127" s="12" t="e">
        <f>COUNTIF(TIMETABLE!#REF!,"MZ01")</f>
        <v>#REF!</v>
      </c>
      <c r="AA127" s="12" t="e">
        <f>COUNTIF(TIMETABLE!#REF!,"MZ02")</f>
        <v>#REF!</v>
      </c>
      <c r="AB127" s="12" t="e">
        <f>COUNTIF(TIMETABLE!#REF!,"RM3")</f>
        <v>#REF!</v>
      </c>
      <c r="AC127" s="12" t="e">
        <f>COUNTIF(TIMETABLE!#REF!,"FET203")</f>
        <v>#REF!</v>
      </c>
      <c r="AD127" s="12" t="e">
        <f>COUNTIF(TIMETABLE!#REF!,"FET205")</f>
        <v>#REF!</v>
      </c>
      <c r="AE127" s="12" t="e">
        <f>COUNTIF(TIMETABLE!#REF!,"FET207")</f>
        <v>#REF!</v>
      </c>
      <c r="AF127" s="12" t="e">
        <f>COUNTIF(TIMETABLE!#REF!,"FET208")</f>
        <v>#REF!</v>
      </c>
      <c r="AG127" s="12" t="e">
        <f>COUNTIF(TIMETABLE!#REF!,"FET209")</f>
        <v>#REF!</v>
      </c>
      <c r="AH127" s="12" t="e">
        <f>COUNTIF(TIMETABLE!#REF!,"FET210")</f>
        <v>#REF!</v>
      </c>
      <c r="AI127" s="56"/>
      <c r="AJ127" s="529"/>
      <c r="EW127" s="532"/>
    </row>
    <row r="128" spans="2:153" ht="27" thickBot="1" x14ac:dyDescent="0.5">
      <c r="B128" s="530"/>
      <c r="C128" s="59">
        <v>8</v>
      </c>
      <c r="D128" s="82"/>
      <c r="E128" s="82"/>
      <c r="F128" s="82"/>
      <c r="G128" s="82"/>
      <c r="H128" s="82"/>
      <c r="I128" s="82"/>
      <c r="J128" s="82"/>
      <c r="K128" s="82"/>
      <c r="L128" s="82"/>
      <c r="M128" s="82"/>
      <c r="N128" s="82"/>
      <c r="O128" s="82"/>
      <c r="P128" s="82"/>
      <c r="Q128" s="82"/>
      <c r="R128" s="82"/>
      <c r="S128" s="82"/>
      <c r="T128" s="82"/>
      <c r="U128" s="82"/>
      <c r="V128" s="82"/>
      <c r="W128" s="82"/>
      <c r="X128" s="82"/>
      <c r="Y128" s="82"/>
      <c r="Z128" s="82"/>
      <c r="AA128" s="82"/>
      <c r="AB128" s="82"/>
      <c r="AC128" s="82"/>
      <c r="AD128" s="82"/>
      <c r="AE128" s="82"/>
      <c r="AF128" s="82"/>
      <c r="AG128" s="82"/>
      <c r="AH128" s="82"/>
      <c r="AI128" s="59">
        <v>8</v>
      </c>
      <c r="AJ128" s="530"/>
      <c r="EW128" s="532"/>
    </row>
    <row r="129" spans="2:153" ht="27" thickTop="1" x14ac:dyDescent="0.45">
      <c r="B129" s="531" t="s">
        <v>9</v>
      </c>
      <c r="C129" s="34">
        <v>7</v>
      </c>
      <c r="D129" s="78"/>
      <c r="E129" s="78"/>
      <c r="F129" s="78"/>
      <c r="G129" s="78"/>
      <c r="H129" s="78"/>
      <c r="I129" s="78"/>
      <c r="J129" s="78"/>
      <c r="K129" s="78"/>
      <c r="L129" s="78"/>
      <c r="M129" s="78"/>
      <c r="N129" s="78"/>
      <c r="O129" s="78"/>
      <c r="P129" s="78"/>
      <c r="Q129" s="78"/>
      <c r="R129" s="78"/>
      <c r="S129" s="78"/>
      <c r="T129" s="78"/>
      <c r="U129" s="78"/>
      <c r="V129" s="78"/>
      <c r="W129" s="78"/>
      <c r="X129" s="78"/>
      <c r="Y129" s="78"/>
      <c r="Z129" s="78"/>
      <c r="AA129" s="78"/>
      <c r="AB129" s="78"/>
      <c r="AC129" s="274"/>
      <c r="AD129" s="274"/>
      <c r="AE129" s="274"/>
      <c r="AF129" s="274"/>
      <c r="AG129" s="274"/>
      <c r="AH129" s="274"/>
      <c r="AI129" s="34">
        <v>7</v>
      </c>
      <c r="AJ129" s="531" t="s">
        <v>9</v>
      </c>
      <c r="EW129" s="532"/>
    </row>
    <row r="130" spans="2:153" ht="26.4" x14ac:dyDescent="0.45">
      <c r="B130" s="526"/>
      <c r="C130" s="34"/>
      <c r="D130" s="12">
        <f>COUNTIF(TIMETABLE!D67:W67,"EA005")</f>
        <v>0</v>
      </c>
      <c r="E130" s="12">
        <f>COUNTIF(TIMETABLE!D67:W67,"EA006")</f>
        <v>0</v>
      </c>
      <c r="F130" s="12">
        <f>COUNTIF(TIMETABLE!D67:W67,"EA009/10")</f>
        <v>0</v>
      </c>
      <c r="G130" s="12">
        <f>COUNTIF(TIMETABLE!D67:W67,"EA012")</f>
        <v>0</v>
      </c>
      <c r="H130" s="12">
        <f>COUNTIF(TIMETABLE!D67:W67,"EA015")</f>
        <v>0</v>
      </c>
      <c r="I130" s="12">
        <f>COUNTIF(TIMETABLE!D67:W67,"EA104")</f>
        <v>0</v>
      </c>
      <c r="J130" s="12">
        <f>COUNTIF(TIMETABLE!D67:W67,"EA105")</f>
        <v>0</v>
      </c>
      <c r="K130" s="12">
        <f>COUNTIF(TIMETABLE!D67:W67,"EA107")</f>
        <v>0</v>
      </c>
      <c r="L130" s="12">
        <f>COUNTIF(TIMETABLE!D67:W67,"EA108")</f>
        <v>0</v>
      </c>
      <c r="M130" s="12">
        <f>COUNTIF(TIMETABLE!D67:W67,"EB006")</f>
        <v>0</v>
      </c>
      <c r="N130" s="12">
        <f>COUNTIF(TIMETABLE!D67:W67,"EB007")</f>
        <v>0</v>
      </c>
      <c r="O130" s="12">
        <f>COUNTIF(TIMETABLE!D67:W67,"EB013")</f>
        <v>0</v>
      </c>
      <c r="P130" s="12">
        <f>COUNTIF(TIMETABLE!L67:W67,"EB104")</f>
        <v>0</v>
      </c>
      <c r="Q130" s="12">
        <f>COUNTIF(TIMETABLE!D67:W67,"EB105")</f>
        <v>0</v>
      </c>
      <c r="R130" s="12">
        <f>COUNTIF(TIMETABLE!D67:W67,"EB107")</f>
        <v>0</v>
      </c>
      <c r="S130" s="12">
        <f>COUNTIF(TIMETABLE!D67:W67,"EB109")</f>
        <v>0</v>
      </c>
      <c r="T130" s="12">
        <f>COUNTIF(TIMETABLE!D67:W67,"EB110")</f>
        <v>0</v>
      </c>
      <c r="U130" s="12">
        <f>COUNTIF(TIMETABLE!D67:W67,"MA111")</f>
        <v>0</v>
      </c>
      <c r="V130" s="12">
        <f>COUNTIF(TIMETABLE!D67:W67,"MA209")</f>
        <v>0</v>
      </c>
      <c r="W130" s="12">
        <f>COUNTIF(TIMETABLE!D67:W67,"MA212")</f>
        <v>0</v>
      </c>
      <c r="X130" s="12">
        <f>COUNTIF(TIMETABLE!D67:W67,"DO3")</f>
        <v>0</v>
      </c>
      <c r="Y130" s="12">
        <f>COUNTIF(TIMETABLE!D67:W67,"RM2")</f>
        <v>0</v>
      </c>
      <c r="Z130" s="12">
        <f>COUNTIF(TIMETABLE!D67:W67,"MZ01")</f>
        <v>0</v>
      </c>
      <c r="AA130" s="12">
        <f>COUNTIF(TIMETABLE!D67:W67,"MZ02")</f>
        <v>0</v>
      </c>
      <c r="AB130" s="12">
        <f>COUNTIF(TIMETABLE!D67:W67,"RM3")</f>
        <v>0</v>
      </c>
      <c r="AC130" s="267">
        <f>COUNTIF(TIMETABLE!D67:W67,"FET203")</f>
        <v>0</v>
      </c>
      <c r="AD130" s="267">
        <f>COUNTIF(TIMETABLE!D67:W67,"FET205")</f>
        <v>1</v>
      </c>
      <c r="AE130" s="267">
        <f>COUNTIF(TIMETABLE!D67:W67,"FET207")</f>
        <v>0</v>
      </c>
      <c r="AF130" s="267">
        <f>COUNTIF(TIMETABLE!D67:W67,"FET208")</f>
        <v>0</v>
      </c>
      <c r="AG130" s="267">
        <f>COUNTIF(TIMETABLE!D67:W67,"FET209")</f>
        <v>0</v>
      </c>
      <c r="AH130" s="267">
        <f>COUNTIF(TIMETABLE!D67:W67,"FET210")</f>
        <v>0</v>
      </c>
      <c r="AI130" s="34"/>
      <c r="AJ130" s="526"/>
      <c r="EW130" s="532"/>
    </row>
    <row r="131" spans="2:153" ht="27" thickBot="1" x14ac:dyDescent="0.5">
      <c r="B131" s="526"/>
      <c r="C131" s="35">
        <v>8</v>
      </c>
      <c r="D131" s="79"/>
      <c r="E131" s="79"/>
      <c r="F131" s="79"/>
      <c r="G131" s="79"/>
      <c r="H131" s="79"/>
      <c r="I131" s="79"/>
      <c r="J131" s="79"/>
      <c r="K131" s="79"/>
      <c r="L131" s="79"/>
      <c r="M131" s="79"/>
      <c r="N131" s="79"/>
      <c r="O131" s="79"/>
      <c r="P131" s="79"/>
      <c r="Q131" s="79"/>
      <c r="R131" s="79"/>
      <c r="S131" s="79"/>
      <c r="T131" s="79"/>
      <c r="U131" s="79"/>
      <c r="V131" s="79"/>
      <c r="W131" s="79"/>
      <c r="X131" s="79"/>
      <c r="Y131" s="79"/>
      <c r="Z131" s="79"/>
      <c r="AA131" s="79"/>
      <c r="AB131" s="79"/>
      <c r="AC131" s="275"/>
      <c r="AD131" s="275"/>
      <c r="AE131" s="275"/>
      <c r="AF131" s="275"/>
      <c r="AG131" s="275"/>
      <c r="AH131" s="275"/>
      <c r="AI131" s="35">
        <v>8</v>
      </c>
      <c r="AJ131" s="526"/>
      <c r="EW131" s="532"/>
    </row>
    <row r="132" spans="2:153" ht="26.4" x14ac:dyDescent="0.45">
      <c r="B132" s="526"/>
      <c r="C132" s="34">
        <v>8</v>
      </c>
      <c r="D132" s="78"/>
      <c r="E132" s="78"/>
      <c r="F132" s="78"/>
      <c r="G132" s="78"/>
      <c r="H132" s="78"/>
      <c r="I132" s="78"/>
      <c r="J132" s="78"/>
      <c r="K132" s="78"/>
      <c r="L132" s="78"/>
      <c r="M132" s="78"/>
      <c r="N132" s="78"/>
      <c r="O132" s="78"/>
      <c r="P132" s="78"/>
      <c r="Q132" s="78"/>
      <c r="R132" s="78"/>
      <c r="S132" s="78"/>
      <c r="T132" s="78"/>
      <c r="U132" s="78"/>
      <c r="V132" s="78"/>
      <c r="W132" s="78"/>
      <c r="X132" s="78"/>
      <c r="Y132" s="78"/>
      <c r="Z132" s="78"/>
      <c r="AA132" s="78"/>
      <c r="AB132" s="78"/>
      <c r="AC132" s="274"/>
      <c r="AD132" s="274"/>
      <c r="AE132" s="274"/>
      <c r="AF132" s="274"/>
      <c r="AG132" s="274"/>
      <c r="AH132" s="274"/>
      <c r="AI132" s="34">
        <v>8</v>
      </c>
      <c r="AJ132" s="526"/>
      <c r="EW132" s="532"/>
    </row>
    <row r="133" spans="2:153" ht="26.4" x14ac:dyDescent="0.45">
      <c r="B133" s="526"/>
      <c r="C133" s="34"/>
      <c r="D133" s="12" t="e">
        <f>COUNTIF(TIMETABLE!#REF!,"EA005")</f>
        <v>#REF!</v>
      </c>
      <c r="E133" s="12" t="e">
        <f>COUNTIF(TIMETABLE!#REF!,"EA006")</f>
        <v>#REF!</v>
      </c>
      <c r="F133" s="12" t="e">
        <f>COUNTIF(TIMETABLE!#REF!,"EA009/10")</f>
        <v>#REF!</v>
      </c>
      <c r="G133" s="12" t="e">
        <f>COUNTIF(TIMETABLE!#REF!,"EA012")</f>
        <v>#REF!</v>
      </c>
      <c r="H133" s="12" t="e">
        <f>COUNTIF(TIMETABLE!#REF!,"EA015")</f>
        <v>#REF!</v>
      </c>
      <c r="I133" s="12" t="e">
        <f>COUNTIF(TIMETABLE!#REF!,"EA104")</f>
        <v>#REF!</v>
      </c>
      <c r="J133" s="12" t="e">
        <f>COUNTIF(TIMETABLE!#REF!,"EA105")</f>
        <v>#REF!</v>
      </c>
      <c r="K133" s="12" t="e">
        <f>COUNTIF(TIMETABLE!#REF!,"EA107")</f>
        <v>#REF!</v>
      </c>
      <c r="L133" s="12" t="e">
        <f>COUNTIF(TIMETABLE!#REF!,"EA108")</f>
        <v>#REF!</v>
      </c>
      <c r="M133" s="12" t="e">
        <f>COUNTIF(TIMETABLE!#REF!,"EB006")</f>
        <v>#REF!</v>
      </c>
      <c r="N133" s="12" t="e">
        <f>COUNTIF(TIMETABLE!#REF!,"EB007")</f>
        <v>#REF!</v>
      </c>
      <c r="O133" s="12" t="e">
        <f>COUNTIF(TIMETABLE!#REF!,"EB013")</f>
        <v>#REF!</v>
      </c>
      <c r="P133" s="12" t="e">
        <f>COUNTIF(TIMETABLE!#REF!,"EB104")</f>
        <v>#REF!</v>
      </c>
      <c r="Q133" s="12" t="e">
        <f>COUNTIF(TIMETABLE!#REF!,"EB105")</f>
        <v>#REF!</v>
      </c>
      <c r="R133" s="12" t="e">
        <f>COUNTIF(TIMETABLE!#REF!,"EB107")</f>
        <v>#REF!</v>
      </c>
      <c r="S133" s="12" t="e">
        <f>COUNTIF(TIMETABLE!#REF!,"EB109")</f>
        <v>#REF!</v>
      </c>
      <c r="T133" s="12" t="e">
        <f>COUNTIF(TIMETABLE!#REF!,"EB110")</f>
        <v>#REF!</v>
      </c>
      <c r="U133" s="12" t="e">
        <f>COUNTIF(TIMETABLE!#REF!,"MA111")</f>
        <v>#REF!</v>
      </c>
      <c r="V133" s="12" t="e">
        <f>COUNTIF(TIMETABLE!#REF!,"MA209")</f>
        <v>#REF!</v>
      </c>
      <c r="W133" s="12" t="e">
        <f>COUNTIF(TIMETABLE!#REF!,"MA212")</f>
        <v>#REF!</v>
      </c>
      <c r="X133" s="12" t="e">
        <f>COUNTIF(TIMETABLE!#REF!,"DO3")</f>
        <v>#REF!</v>
      </c>
      <c r="Y133" s="12" t="e">
        <f>COUNTIF(TIMETABLE!#REF!,"RM2")</f>
        <v>#REF!</v>
      </c>
      <c r="Z133" s="12" t="e">
        <f>COUNTIF(TIMETABLE!#REF!,"MZ01")</f>
        <v>#REF!</v>
      </c>
      <c r="AA133" s="12" t="e">
        <f>COUNTIF(TIMETABLE!#REF!,"MZ02")</f>
        <v>#REF!</v>
      </c>
      <c r="AB133" s="12" t="e">
        <f>COUNTIF(TIMETABLE!#REF!,"RM3")</f>
        <v>#REF!</v>
      </c>
      <c r="AC133" s="267" t="e">
        <f>COUNTIF(TIMETABLE!#REF!,"FET203")</f>
        <v>#REF!</v>
      </c>
      <c r="AD133" s="267" t="e">
        <f>COUNTIF(TIMETABLE!#REF!,"FET205")</f>
        <v>#REF!</v>
      </c>
      <c r="AE133" s="267" t="e">
        <f>COUNTIF(TIMETABLE!#REF!,"FET207")</f>
        <v>#REF!</v>
      </c>
      <c r="AF133" s="267" t="e">
        <f>COUNTIF(TIMETABLE!#REF!,"FET208")</f>
        <v>#REF!</v>
      </c>
      <c r="AG133" s="267" t="e">
        <f>COUNTIF(TIMETABLE!#REF!,"FET209")</f>
        <v>#REF!</v>
      </c>
      <c r="AH133" s="267" t="e">
        <f>COUNTIF(TIMETABLE!#REF!,"FET210")</f>
        <v>#REF!</v>
      </c>
      <c r="AI133" s="34"/>
      <c r="AJ133" s="526"/>
      <c r="EW133" s="532"/>
    </row>
    <row r="134" spans="2:153" ht="27" thickBot="1" x14ac:dyDescent="0.5">
      <c r="B134" s="526"/>
      <c r="C134" s="35">
        <v>9</v>
      </c>
      <c r="D134" s="79"/>
      <c r="E134" s="79"/>
      <c r="F134" s="79"/>
      <c r="G134" s="79"/>
      <c r="H134" s="79"/>
      <c r="I134" s="79"/>
      <c r="J134" s="79"/>
      <c r="K134" s="79"/>
      <c r="L134" s="79"/>
      <c r="M134" s="79"/>
      <c r="N134" s="79"/>
      <c r="O134" s="79"/>
      <c r="P134" s="79"/>
      <c r="Q134" s="79"/>
      <c r="R134" s="79"/>
      <c r="S134" s="79"/>
      <c r="T134" s="79"/>
      <c r="U134" s="79"/>
      <c r="V134" s="79"/>
      <c r="W134" s="79"/>
      <c r="X134" s="79"/>
      <c r="Y134" s="79"/>
      <c r="Z134" s="79"/>
      <c r="AA134" s="79"/>
      <c r="AB134" s="79"/>
      <c r="AC134" s="275"/>
      <c r="AD134" s="275"/>
      <c r="AE134" s="275"/>
      <c r="AF134" s="275"/>
      <c r="AG134" s="275"/>
      <c r="AH134" s="275"/>
      <c r="AI134" s="35">
        <v>9</v>
      </c>
      <c r="AJ134" s="526"/>
      <c r="EW134" s="532"/>
    </row>
    <row r="135" spans="2:153" ht="26.4" x14ac:dyDescent="0.45">
      <c r="B135" s="526"/>
      <c r="C135" s="34">
        <v>9</v>
      </c>
      <c r="D135" s="78"/>
      <c r="E135" s="78"/>
      <c r="F135" s="78"/>
      <c r="G135" s="78"/>
      <c r="H135" s="78"/>
      <c r="I135" s="78"/>
      <c r="J135" s="78"/>
      <c r="K135" s="78"/>
      <c r="L135" s="78"/>
      <c r="M135" s="78"/>
      <c r="N135" s="78"/>
      <c r="O135" s="78"/>
      <c r="P135" s="78"/>
      <c r="Q135" s="78"/>
      <c r="R135" s="78"/>
      <c r="S135" s="78"/>
      <c r="T135" s="78"/>
      <c r="U135" s="78"/>
      <c r="V135" s="78"/>
      <c r="W135" s="78"/>
      <c r="X135" s="78"/>
      <c r="Y135" s="78"/>
      <c r="Z135" s="78"/>
      <c r="AA135" s="78"/>
      <c r="AB135" s="78"/>
      <c r="AC135" s="274"/>
      <c r="AD135" s="274"/>
      <c r="AE135" s="274"/>
      <c r="AF135" s="274"/>
      <c r="AG135" s="274"/>
      <c r="AH135" s="274"/>
      <c r="AI135" s="34">
        <v>9</v>
      </c>
      <c r="AJ135" s="526"/>
      <c r="EW135" s="532"/>
    </row>
    <row r="136" spans="2:153" ht="26.4" x14ac:dyDescent="0.45">
      <c r="B136" s="526"/>
      <c r="C136" s="47"/>
      <c r="D136" s="12" t="e">
        <f>COUNTIF(TIMETABLE!#REF!,"EA005")</f>
        <v>#REF!</v>
      </c>
      <c r="E136" s="12" t="e">
        <f>COUNTIF(TIMETABLE!#REF!,"EA006")</f>
        <v>#REF!</v>
      </c>
      <c r="F136" s="12" t="e">
        <f>COUNTIF(TIMETABLE!#REF!,"EA009/10")</f>
        <v>#REF!</v>
      </c>
      <c r="G136" s="12" t="e">
        <f>COUNTIF(TIMETABLE!#REF!,"EA012")</f>
        <v>#REF!</v>
      </c>
      <c r="H136" s="12" t="e">
        <f>COUNTIF(TIMETABLE!#REF!,"EA015")</f>
        <v>#REF!</v>
      </c>
      <c r="I136" s="12" t="e">
        <f>COUNTIF(TIMETABLE!#REF!,"EA104")</f>
        <v>#REF!</v>
      </c>
      <c r="J136" s="12" t="e">
        <f>COUNTIF(TIMETABLE!#REF!,"EA105")</f>
        <v>#REF!</v>
      </c>
      <c r="K136" s="12" t="e">
        <f>COUNTIF(TIMETABLE!#REF!,"EA107")</f>
        <v>#REF!</v>
      </c>
      <c r="L136" s="12" t="e">
        <f>COUNTIF(TIMETABLE!#REF!,"EA108")</f>
        <v>#REF!</v>
      </c>
      <c r="M136" s="12" t="e">
        <f>COUNTIF(TIMETABLE!#REF!,"EB006")</f>
        <v>#REF!</v>
      </c>
      <c r="N136" s="12" t="e">
        <f>COUNTIF(TIMETABLE!#REF!,"EB007")</f>
        <v>#REF!</v>
      </c>
      <c r="O136" s="12" t="e">
        <f>COUNTIF(TIMETABLE!#REF!,"EB013")</f>
        <v>#REF!</v>
      </c>
      <c r="P136" s="12" t="e">
        <f>COUNTIF(TIMETABLE!#REF!,"EB104")</f>
        <v>#REF!</v>
      </c>
      <c r="Q136" s="12" t="e">
        <f>COUNTIF(TIMETABLE!#REF!,"EB105")</f>
        <v>#REF!</v>
      </c>
      <c r="R136" s="12" t="e">
        <f>COUNTIF(TIMETABLE!#REF!,"EB107")</f>
        <v>#REF!</v>
      </c>
      <c r="S136" s="12" t="e">
        <f>COUNTIF(TIMETABLE!#REF!,"EB109")</f>
        <v>#REF!</v>
      </c>
      <c r="T136" s="12" t="e">
        <f>COUNTIF(TIMETABLE!#REF!,"EB110")</f>
        <v>#REF!</v>
      </c>
      <c r="U136" s="12" t="e">
        <f>COUNTIF(TIMETABLE!#REF!,"MA111")</f>
        <v>#REF!</v>
      </c>
      <c r="V136" s="12" t="e">
        <f>COUNTIF(TIMETABLE!#REF!,"MA209")</f>
        <v>#REF!</v>
      </c>
      <c r="W136" s="12" t="e">
        <f>COUNTIF(TIMETABLE!#REF!,"MA212")</f>
        <v>#REF!</v>
      </c>
      <c r="X136" s="12" t="e">
        <f>COUNTIF(TIMETABLE!#REF!,"DO3")</f>
        <v>#REF!</v>
      </c>
      <c r="Y136" s="12" t="e">
        <f>COUNTIF(TIMETABLE!#REF!,"RM2")</f>
        <v>#REF!</v>
      </c>
      <c r="Z136" s="12" t="e">
        <f>COUNTIF(TIMETABLE!#REF!,"MZ01")</f>
        <v>#REF!</v>
      </c>
      <c r="AA136" s="12" t="e">
        <f>COUNTIF(TIMETABLE!#REF!,"MZ02")</f>
        <v>#REF!</v>
      </c>
      <c r="AB136" s="12" t="e">
        <f>COUNTIF(TIMETABLE!#REF!,"RM3")</f>
        <v>#REF!</v>
      </c>
      <c r="AC136" s="267" t="e">
        <f>COUNTIF(TIMETABLE!#REF!,"FET203")</f>
        <v>#REF!</v>
      </c>
      <c r="AD136" s="267" t="e">
        <f>COUNTIF(TIMETABLE!#REF!,"FET205")</f>
        <v>#REF!</v>
      </c>
      <c r="AE136" s="267" t="e">
        <f>COUNTIF(TIMETABLE!#REF!,"FET207")</f>
        <v>#REF!</v>
      </c>
      <c r="AF136" s="267" t="e">
        <f>COUNTIF(TIMETABLE!#REF!,"FET208")</f>
        <v>#REF!</v>
      </c>
      <c r="AG136" s="267" t="e">
        <f>COUNTIF(TIMETABLE!#REF!,"FET209")</f>
        <v>#REF!</v>
      </c>
      <c r="AH136" s="267" t="e">
        <f>COUNTIF(TIMETABLE!#REF!,"FET210")</f>
        <v>#REF!</v>
      </c>
      <c r="AI136" s="47"/>
      <c r="AJ136" s="526"/>
      <c r="EW136" s="532"/>
    </row>
    <row r="137" spans="2:153" ht="27" thickBot="1" x14ac:dyDescent="0.5">
      <c r="B137" s="526"/>
      <c r="C137" s="35">
        <v>10</v>
      </c>
      <c r="D137" s="79"/>
      <c r="E137" s="79"/>
      <c r="F137" s="79"/>
      <c r="G137" s="79"/>
      <c r="H137" s="79"/>
      <c r="I137" s="79"/>
      <c r="J137" s="79"/>
      <c r="K137" s="79"/>
      <c r="L137" s="79"/>
      <c r="M137" s="79"/>
      <c r="N137" s="79"/>
      <c r="O137" s="79"/>
      <c r="P137" s="79"/>
      <c r="Q137" s="79"/>
      <c r="R137" s="79"/>
      <c r="S137" s="79"/>
      <c r="T137" s="79"/>
      <c r="U137" s="79"/>
      <c r="V137" s="79"/>
      <c r="W137" s="79"/>
      <c r="X137" s="79"/>
      <c r="Y137" s="79"/>
      <c r="Z137" s="79"/>
      <c r="AA137" s="79"/>
      <c r="AB137" s="79"/>
      <c r="AC137" s="275"/>
      <c r="AD137" s="275"/>
      <c r="AE137" s="275"/>
      <c r="AF137" s="275"/>
      <c r="AG137" s="275"/>
      <c r="AH137" s="275"/>
      <c r="AI137" s="35">
        <v>10</v>
      </c>
      <c r="AJ137" s="526"/>
      <c r="EW137" s="532"/>
    </row>
    <row r="138" spans="2:153" ht="26.4" x14ac:dyDescent="0.45">
      <c r="B138" s="526"/>
      <c r="C138" s="34">
        <v>10</v>
      </c>
      <c r="D138" s="78"/>
      <c r="E138" s="78"/>
      <c r="F138" s="78"/>
      <c r="G138" s="78"/>
      <c r="H138" s="78"/>
      <c r="I138" s="78"/>
      <c r="J138" s="78"/>
      <c r="K138" s="78"/>
      <c r="L138" s="78"/>
      <c r="M138" s="78"/>
      <c r="N138" s="78"/>
      <c r="O138" s="78"/>
      <c r="P138" s="78"/>
      <c r="Q138" s="78"/>
      <c r="R138" s="78"/>
      <c r="S138" s="78"/>
      <c r="T138" s="78"/>
      <c r="U138" s="78"/>
      <c r="V138" s="78"/>
      <c r="W138" s="78"/>
      <c r="X138" s="78"/>
      <c r="Y138" s="78"/>
      <c r="Z138" s="78"/>
      <c r="AA138" s="78"/>
      <c r="AB138" s="78"/>
      <c r="AC138" s="274"/>
      <c r="AD138" s="274"/>
      <c r="AE138" s="274"/>
      <c r="AF138" s="274"/>
      <c r="AG138" s="274"/>
      <c r="AH138" s="274"/>
      <c r="AI138" s="34">
        <v>10</v>
      </c>
      <c r="AJ138" s="526"/>
      <c r="EW138" s="532"/>
    </row>
    <row r="139" spans="2:153" ht="26.4" x14ac:dyDescent="0.45">
      <c r="B139" s="526"/>
      <c r="C139" s="6"/>
      <c r="D139" s="12">
        <f>COUNTIF(TIMETABLE!D71:W71,"EA005")</f>
        <v>0</v>
      </c>
      <c r="E139" s="12">
        <f>COUNTIF(TIMETABLE!D71:W71,"EA006")</f>
        <v>0</v>
      </c>
      <c r="F139" s="12">
        <f>COUNTIF(TIMETABLE!D71:W71,"EA009/10")</f>
        <v>0</v>
      </c>
      <c r="G139" s="12">
        <f>COUNTIF(TIMETABLE!D71:W71,"EA012")</f>
        <v>0</v>
      </c>
      <c r="H139" s="12">
        <f>COUNTIF(TIMETABLE!D71:W71,"EA015")</f>
        <v>0</v>
      </c>
      <c r="I139" s="12">
        <f>COUNTIF(TIMETABLE!D71:W71,"EA104")</f>
        <v>0</v>
      </c>
      <c r="J139" s="12">
        <f>COUNTIF(TIMETABLE!D71:W71,"EA105")</f>
        <v>0</v>
      </c>
      <c r="K139" s="12">
        <f>COUNTIF(TIMETABLE!D71:W71,"EA107")</f>
        <v>0</v>
      </c>
      <c r="L139" s="12">
        <f>COUNTIF(TIMETABLE!D71:W71,"EA108")</f>
        <v>0</v>
      </c>
      <c r="M139" s="12">
        <f>COUNTIF(TIMETABLE!D71:W71,"EB006")</f>
        <v>0</v>
      </c>
      <c r="N139" s="12">
        <f>COUNTIF(TIMETABLE!D71:W71,"EB007")</f>
        <v>0</v>
      </c>
      <c r="O139" s="12">
        <f>COUNTIF(TIMETABLE!D71:W71,"EB013")</f>
        <v>0</v>
      </c>
      <c r="P139" s="12">
        <f>COUNTIF(TIMETABLE!L71:W71,"EB104")</f>
        <v>0</v>
      </c>
      <c r="Q139" s="12">
        <f>COUNTIF(TIMETABLE!D71:W71,"EB105")</f>
        <v>0</v>
      </c>
      <c r="R139" s="12">
        <f>COUNTIF(TIMETABLE!D71:W71,"EB107")</f>
        <v>0</v>
      </c>
      <c r="S139" s="12">
        <f>COUNTIF(TIMETABLE!D71:W71,"EB109")</f>
        <v>0</v>
      </c>
      <c r="T139" s="12">
        <f>COUNTIF(TIMETABLE!D71:W71,"EB110")</f>
        <v>0</v>
      </c>
      <c r="U139" s="12">
        <f>COUNTIF(TIMETABLE!D71:W71,"MA111")</f>
        <v>0</v>
      </c>
      <c r="V139" s="12">
        <f>COUNTIF(TIMETABLE!D71:W71,"MA209")</f>
        <v>0</v>
      </c>
      <c r="W139" s="12">
        <f>COUNTIF(TIMETABLE!D71:W71,"MA212")</f>
        <v>0</v>
      </c>
      <c r="X139" s="12">
        <f>COUNTIF(TIMETABLE!D71:W71,"DO3")</f>
        <v>0</v>
      </c>
      <c r="Y139" s="12">
        <f>COUNTIF(TIMETABLE!D71:W71,"RM2")</f>
        <v>0</v>
      </c>
      <c r="Z139" s="12">
        <f>COUNTIF(TIMETABLE!D71:W71,"MZ01")</f>
        <v>0</v>
      </c>
      <c r="AA139" s="12">
        <f>COUNTIF(TIMETABLE!D71:W71,"MZ02")</f>
        <v>0</v>
      </c>
      <c r="AB139" s="12">
        <f>COUNTIF(TIMETABLE!D71:W71,"RM3")</f>
        <v>0</v>
      </c>
      <c r="AC139" s="267">
        <f>COUNTIF(TIMETABLE!D71:W71,"FET203")</f>
        <v>0</v>
      </c>
      <c r="AD139" s="267">
        <f>COUNTIF(TIMETABLE!D71:W71,"FET205")</f>
        <v>0</v>
      </c>
      <c r="AE139" s="267">
        <f>COUNTIF(TIMETABLE!D71:W71,"FET207")</f>
        <v>0</v>
      </c>
      <c r="AF139" s="267">
        <f>COUNTIF(TIMETABLE!D71:W71,"FET208")</f>
        <v>0</v>
      </c>
      <c r="AG139" s="267">
        <f>COUNTIF(TIMETABLE!D71:W71,"FET209")</f>
        <v>0</v>
      </c>
      <c r="AH139" s="267">
        <f>COUNTIF(TIMETABLE!D71:W71,"FET210")</f>
        <v>0</v>
      </c>
      <c r="AI139" s="6"/>
      <c r="AJ139" s="526"/>
      <c r="EW139" s="532"/>
    </row>
    <row r="140" spans="2:153" ht="27" thickBot="1" x14ac:dyDescent="0.5">
      <c r="B140" s="526"/>
      <c r="C140" s="35">
        <v>11</v>
      </c>
      <c r="D140" s="79"/>
      <c r="E140" s="79"/>
      <c r="F140" s="79"/>
      <c r="G140" s="79"/>
      <c r="H140" s="79"/>
      <c r="I140" s="79"/>
      <c r="J140" s="79"/>
      <c r="K140" s="79"/>
      <c r="L140" s="79"/>
      <c r="M140" s="79"/>
      <c r="N140" s="79"/>
      <c r="O140" s="79"/>
      <c r="P140" s="79"/>
      <c r="Q140" s="79"/>
      <c r="R140" s="79"/>
      <c r="S140" s="79"/>
      <c r="T140" s="79"/>
      <c r="U140" s="79"/>
      <c r="V140" s="79"/>
      <c r="W140" s="79"/>
      <c r="X140" s="79"/>
      <c r="Y140" s="79"/>
      <c r="Z140" s="79"/>
      <c r="AA140" s="79"/>
      <c r="AB140" s="79"/>
      <c r="AC140" s="275"/>
      <c r="AD140" s="275"/>
      <c r="AE140" s="275"/>
      <c r="AF140" s="275"/>
      <c r="AG140" s="275"/>
      <c r="AH140" s="275"/>
      <c r="AI140" s="35">
        <v>11</v>
      </c>
      <c r="AJ140" s="526"/>
      <c r="EW140" s="532"/>
    </row>
    <row r="141" spans="2:153" ht="26.4" x14ac:dyDescent="0.45">
      <c r="B141" s="526"/>
      <c r="C141" s="34">
        <v>11</v>
      </c>
      <c r="D141" s="78"/>
      <c r="E141" s="78"/>
      <c r="F141" s="78"/>
      <c r="G141" s="78"/>
      <c r="H141" s="78"/>
      <c r="I141" s="78"/>
      <c r="J141" s="78"/>
      <c r="K141" s="78"/>
      <c r="L141" s="78"/>
      <c r="M141" s="78"/>
      <c r="N141" s="78"/>
      <c r="O141" s="78"/>
      <c r="P141" s="78"/>
      <c r="Q141" s="78"/>
      <c r="R141" s="78"/>
      <c r="S141" s="78"/>
      <c r="T141" s="78"/>
      <c r="U141" s="78"/>
      <c r="V141" s="78"/>
      <c r="W141" s="78"/>
      <c r="X141" s="78"/>
      <c r="Y141" s="78"/>
      <c r="Z141" s="78"/>
      <c r="AA141" s="78"/>
      <c r="AB141" s="78"/>
      <c r="AC141" s="274"/>
      <c r="AD141" s="274"/>
      <c r="AE141" s="274"/>
      <c r="AF141" s="274"/>
      <c r="AG141" s="274"/>
      <c r="AH141" s="274"/>
      <c r="AI141" s="34">
        <v>11</v>
      </c>
      <c r="AJ141" s="526"/>
      <c r="EW141" s="532"/>
    </row>
    <row r="142" spans="2:153" ht="26.4" x14ac:dyDescent="0.45">
      <c r="B142" s="526"/>
      <c r="C142" s="5"/>
      <c r="D142" s="12" t="e">
        <f>COUNTIF(TIMETABLE!#REF!,"EA005")</f>
        <v>#REF!</v>
      </c>
      <c r="E142" s="12" t="e">
        <f>COUNTIF(TIMETABLE!#REF!,"EA006")</f>
        <v>#REF!</v>
      </c>
      <c r="F142" s="12" t="e">
        <f>COUNTIF(TIMETABLE!#REF!,"EA009/10")</f>
        <v>#REF!</v>
      </c>
      <c r="G142" s="12" t="e">
        <f>COUNTIF(TIMETABLE!#REF!,"EA012")</f>
        <v>#REF!</v>
      </c>
      <c r="H142" s="12" t="e">
        <f>COUNTIF(TIMETABLE!#REF!,"EA015")</f>
        <v>#REF!</v>
      </c>
      <c r="I142" s="12" t="e">
        <f>COUNTIF(TIMETABLE!#REF!,"EA104")</f>
        <v>#REF!</v>
      </c>
      <c r="J142" s="12" t="e">
        <f>COUNTIF(TIMETABLE!#REF!,"EA105")</f>
        <v>#REF!</v>
      </c>
      <c r="K142" s="12" t="e">
        <f>COUNTIF(TIMETABLE!#REF!,"EA107")</f>
        <v>#REF!</v>
      </c>
      <c r="L142" s="12" t="e">
        <f>COUNTIF(TIMETABLE!#REF!,"EA108")</f>
        <v>#REF!</v>
      </c>
      <c r="M142" s="12" t="e">
        <f>COUNTIF(TIMETABLE!#REF!,"EB006")</f>
        <v>#REF!</v>
      </c>
      <c r="N142" s="12" t="e">
        <f>COUNTIF(TIMETABLE!#REF!,"EB007")</f>
        <v>#REF!</v>
      </c>
      <c r="O142" s="12" t="e">
        <f>COUNTIF(TIMETABLE!#REF!,"EB013")</f>
        <v>#REF!</v>
      </c>
      <c r="P142" s="12" t="e">
        <f>COUNTIF(TIMETABLE!#REF!,"EB104")</f>
        <v>#REF!</v>
      </c>
      <c r="Q142" s="12" t="e">
        <f>COUNTIF(TIMETABLE!#REF!,"EB105")</f>
        <v>#REF!</v>
      </c>
      <c r="R142" s="12" t="e">
        <f>COUNTIF(TIMETABLE!#REF!,"EB107")</f>
        <v>#REF!</v>
      </c>
      <c r="S142" s="12" t="e">
        <f>COUNTIF(TIMETABLE!#REF!,"EB109")</f>
        <v>#REF!</v>
      </c>
      <c r="T142" s="12" t="e">
        <f>COUNTIF(TIMETABLE!#REF!,"EB110")</f>
        <v>#REF!</v>
      </c>
      <c r="U142" s="12" t="e">
        <f>COUNTIF(TIMETABLE!#REF!,"MA111")</f>
        <v>#REF!</v>
      </c>
      <c r="V142" s="12" t="e">
        <f>COUNTIF(TIMETABLE!#REF!,"MA209")</f>
        <v>#REF!</v>
      </c>
      <c r="W142" s="12" t="e">
        <f>COUNTIF(TIMETABLE!#REF!,"MA212")</f>
        <v>#REF!</v>
      </c>
      <c r="X142" s="12" t="e">
        <f>COUNTIF(TIMETABLE!#REF!,"DO3")</f>
        <v>#REF!</v>
      </c>
      <c r="Y142" s="12" t="e">
        <f>COUNTIF(TIMETABLE!#REF!,"RM2")</f>
        <v>#REF!</v>
      </c>
      <c r="Z142" s="12" t="e">
        <f>COUNTIF(TIMETABLE!#REF!,"MZ01")</f>
        <v>#REF!</v>
      </c>
      <c r="AA142" s="12" t="e">
        <f>COUNTIF(TIMETABLE!#REF!,"MZ02")</f>
        <v>#REF!</v>
      </c>
      <c r="AB142" s="12" t="e">
        <f>COUNTIF(TIMETABLE!#REF!,"RM3")</f>
        <v>#REF!</v>
      </c>
      <c r="AC142" s="267" t="e">
        <f>COUNTIF(TIMETABLE!#REF!,"FET203")</f>
        <v>#REF!</v>
      </c>
      <c r="AD142" s="267" t="e">
        <f>COUNTIF(TIMETABLE!#REF!,"FET205")</f>
        <v>#REF!</v>
      </c>
      <c r="AE142" s="267" t="e">
        <f>COUNTIF(TIMETABLE!#REF!,"FET207")</f>
        <v>#REF!</v>
      </c>
      <c r="AF142" s="267" t="e">
        <f>COUNTIF(TIMETABLE!#REF!,"FET208")</f>
        <v>#REF!</v>
      </c>
      <c r="AG142" s="267" t="e">
        <f>COUNTIF(TIMETABLE!#REF!,"FET209")</f>
        <v>#REF!</v>
      </c>
      <c r="AH142" s="267" t="e">
        <f>COUNTIF(TIMETABLE!#REF!,"FET210")</f>
        <v>#REF!</v>
      </c>
      <c r="AI142" s="5"/>
      <c r="AJ142" s="526"/>
      <c r="EW142" s="532"/>
    </row>
    <row r="143" spans="2:153" ht="27" thickBot="1" x14ac:dyDescent="0.5">
      <c r="B143" s="526"/>
      <c r="C143" s="35">
        <v>12</v>
      </c>
      <c r="D143" s="79"/>
      <c r="E143" s="79"/>
      <c r="F143" s="79"/>
      <c r="G143" s="79"/>
      <c r="H143" s="79"/>
      <c r="I143" s="79"/>
      <c r="J143" s="79"/>
      <c r="K143" s="79"/>
      <c r="L143" s="79"/>
      <c r="M143" s="79"/>
      <c r="N143" s="79"/>
      <c r="O143" s="79"/>
      <c r="P143" s="79"/>
      <c r="Q143" s="79"/>
      <c r="R143" s="79"/>
      <c r="S143" s="79"/>
      <c r="T143" s="79"/>
      <c r="U143" s="79"/>
      <c r="V143" s="79"/>
      <c r="W143" s="79"/>
      <c r="X143" s="79"/>
      <c r="Y143" s="79"/>
      <c r="Z143" s="79"/>
      <c r="AA143" s="79"/>
      <c r="AB143" s="79"/>
      <c r="AC143" s="275"/>
      <c r="AD143" s="275"/>
      <c r="AE143" s="275"/>
      <c r="AF143" s="275"/>
      <c r="AG143" s="275"/>
      <c r="AH143" s="275"/>
      <c r="AI143" s="35">
        <v>12</v>
      </c>
      <c r="AJ143" s="526"/>
      <c r="EW143" s="532"/>
    </row>
    <row r="144" spans="2:153" ht="26.4" x14ac:dyDescent="0.45">
      <c r="B144" s="526"/>
      <c r="C144" s="34">
        <v>12</v>
      </c>
      <c r="D144" s="78"/>
      <c r="E144" s="78"/>
      <c r="F144" s="78"/>
      <c r="G144" s="78"/>
      <c r="H144" s="78"/>
      <c r="I144" s="78"/>
      <c r="J144" s="78"/>
      <c r="K144" s="78"/>
      <c r="L144" s="78"/>
      <c r="M144" s="78"/>
      <c r="N144" s="78"/>
      <c r="O144" s="78"/>
      <c r="P144" s="78"/>
      <c r="Q144" s="78"/>
      <c r="R144" s="78"/>
      <c r="S144" s="78"/>
      <c r="T144" s="78"/>
      <c r="U144" s="78"/>
      <c r="V144" s="78"/>
      <c r="W144" s="78"/>
      <c r="X144" s="78"/>
      <c r="Y144" s="78"/>
      <c r="Z144" s="78"/>
      <c r="AA144" s="78"/>
      <c r="AB144" s="78"/>
      <c r="AC144" s="274"/>
      <c r="AD144" s="274"/>
      <c r="AE144" s="274"/>
      <c r="AF144" s="274"/>
      <c r="AG144" s="274"/>
      <c r="AH144" s="274"/>
      <c r="AI144" s="34">
        <v>12</v>
      </c>
      <c r="AJ144" s="526"/>
      <c r="EW144" s="532"/>
    </row>
    <row r="145" spans="2:153" ht="26.4" x14ac:dyDescent="0.45">
      <c r="B145" s="526"/>
      <c r="C145" s="5"/>
      <c r="D145" s="12" t="e">
        <f>COUNTIF(TIMETABLE!#REF!,"EA005")</f>
        <v>#REF!</v>
      </c>
      <c r="E145" s="12" t="e">
        <f>COUNTIF(TIMETABLE!#REF!,"EA006")</f>
        <v>#REF!</v>
      </c>
      <c r="F145" s="12" t="e">
        <f>COUNTIF(TIMETABLE!#REF!,"EA009/10")</f>
        <v>#REF!</v>
      </c>
      <c r="G145" s="12" t="e">
        <f>COUNTIF(TIMETABLE!#REF!,"EA012")</f>
        <v>#REF!</v>
      </c>
      <c r="H145" s="12" t="e">
        <f>COUNTIF(TIMETABLE!#REF!,"EA015")</f>
        <v>#REF!</v>
      </c>
      <c r="I145" s="12" t="e">
        <f>COUNTIF(TIMETABLE!#REF!,"EA104")</f>
        <v>#REF!</v>
      </c>
      <c r="J145" s="12" t="e">
        <f>COUNTIF(TIMETABLE!#REF!,"EA105")</f>
        <v>#REF!</v>
      </c>
      <c r="K145" s="12" t="e">
        <f>COUNTIF(TIMETABLE!#REF!,"EA107")</f>
        <v>#REF!</v>
      </c>
      <c r="L145" s="12" t="e">
        <f>COUNTIF(TIMETABLE!#REF!,"EA108")</f>
        <v>#REF!</v>
      </c>
      <c r="M145" s="12" t="e">
        <f>COUNTIF(TIMETABLE!#REF!,"EB006")</f>
        <v>#REF!</v>
      </c>
      <c r="N145" s="12" t="e">
        <f>COUNTIF(TIMETABLE!#REF!,"EB007")</f>
        <v>#REF!</v>
      </c>
      <c r="O145" s="12" t="e">
        <f>COUNTIF(TIMETABLE!#REF!,"EB013")</f>
        <v>#REF!</v>
      </c>
      <c r="P145" s="12" t="e">
        <f>COUNTIF(TIMETABLE!#REF!,"EB104")</f>
        <v>#REF!</v>
      </c>
      <c r="Q145" s="12" t="e">
        <f>COUNTIF(TIMETABLE!#REF!,"EB105")</f>
        <v>#REF!</v>
      </c>
      <c r="R145" s="12" t="e">
        <f>COUNTIF(TIMETABLE!#REF!,"EB107")</f>
        <v>#REF!</v>
      </c>
      <c r="S145" s="12" t="e">
        <f>COUNTIF(TIMETABLE!#REF!,"EB109")</f>
        <v>#REF!</v>
      </c>
      <c r="T145" s="12" t="e">
        <f>COUNTIF(TIMETABLE!#REF!,"EB110")</f>
        <v>#REF!</v>
      </c>
      <c r="U145" s="12" t="e">
        <f>COUNTIF(TIMETABLE!#REF!,"MA111")</f>
        <v>#REF!</v>
      </c>
      <c r="V145" s="12" t="e">
        <f>COUNTIF(TIMETABLE!#REF!,"MA209")</f>
        <v>#REF!</v>
      </c>
      <c r="W145" s="12" t="e">
        <f>COUNTIF(TIMETABLE!#REF!,"MA212")</f>
        <v>#REF!</v>
      </c>
      <c r="X145" s="12" t="e">
        <f>COUNTIF(TIMETABLE!#REF!,"DO3")</f>
        <v>#REF!</v>
      </c>
      <c r="Y145" s="12" t="e">
        <f>COUNTIF(TIMETABLE!#REF!,"RM2")</f>
        <v>#REF!</v>
      </c>
      <c r="Z145" s="12" t="e">
        <f>COUNTIF(TIMETABLE!#REF!,"MZ01")</f>
        <v>#REF!</v>
      </c>
      <c r="AA145" s="12" t="e">
        <f>COUNTIF(TIMETABLE!#REF!,"MZ02")</f>
        <v>#REF!</v>
      </c>
      <c r="AB145" s="12" t="e">
        <f>COUNTIF(TIMETABLE!#REF!,"RM3")</f>
        <v>#REF!</v>
      </c>
      <c r="AC145" s="267" t="e">
        <f>COUNTIF(TIMETABLE!#REF!,"FET203")</f>
        <v>#REF!</v>
      </c>
      <c r="AD145" s="267" t="e">
        <f>COUNTIF(TIMETABLE!#REF!,"FET205")</f>
        <v>#REF!</v>
      </c>
      <c r="AE145" s="267" t="e">
        <f>COUNTIF(TIMETABLE!#REF!,"FET207")</f>
        <v>#REF!</v>
      </c>
      <c r="AF145" s="267" t="e">
        <f>COUNTIF(TIMETABLE!#REF!,"FET208")</f>
        <v>#REF!</v>
      </c>
      <c r="AG145" s="267" t="e">
        <f>COUNTIF(TIMETABLE!#REF!,"FET209")</f>
        <v>#REF!</v>
      </c>
      <c r="AH145" s="267" t="e">
        <f>COUNTIF(TIMETABLE!#REF!,"FET210")</f>
        <v>#REF!</v>
      </c>
      <c r="AI145" s="5"/>
      <c r="AJ145" s="526"/>
      <c r="EW145" s="532"/>
    </row>
    <row r="146" spans="2:153" ht="27" thickBot="1" x14ac:dyDescent="0.5">
      <c r="B146" s="526"/>
      <c r="C146" s="35">
        <v>1</v>
      </c>
      <c r="D146" s="79"/>
      <c r="E146" s="79"/>
      <c r="F146" s="79"/>
      <c r="G146" s="79"/>
      <c r="H146" s="79"/>
      <c r="I146" s="79"/>
      <c r="J146" s="79"/>
      <c r="K146" s="79"/>
      <c r="L146" s="79"/>
      <c r="M146" s="79"/>
      <c r="N146" s="79"/>
      <c r="O146" s="79"/>
      <c r="P146" s="79"/>
      <c r="Q146" s="79"/>
      <c r="R146" s="79"/>
      <c r="S146" s="79"/>
      <c r="T146" s="79"/>
      <c r="U146" s="79"/>
      <c r="V146" s="79"/>
      <c r="W146" s="79"/>
      <c r="X146" s="79"/>
      <c r="Y146" s="79"/>
      <c r="Z146" s="79"/>
      <c r="AA146" s="79"/>
      <c r="AB146" s="79"/>
      <c r="AC146" s="275"/>
      <c r="AD146" s="275"/>
      <c r="AE146" s="275"/>
      <c r="AF146" s="275"/>
      <c r="AG146" s="275"/>
      <c r="AH146" s="275"/>
      <c r="AI146" s="35">
        <v>1</v>
      </c>
      <c r="AJ146" s="526"/>
      <c r="EW146" s="532"/>
    </row>
    <row r="147" spans="2:153" ht="26.4" x14ac:dyDescent="0.45">
      <c r="B147" s="526"/>
      <c r="C147" s="27"/>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7"/>
      <c r="AJ147" s="526"/>
      <c r="EW147" s="532"/>
    </row>
    <row r="148" spans="2:153" ht="26.4" x14ac:dyDescent="0.45">
      <c r="B148" s="526"/>
      <c r="C148" s="27"/>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7"/>
      <c r="AJ148" s="526"/>
      <c r="EW148" s="532"/>
    </row>
    <row r="149" spans="2:153" ht="27" thickBot="1" x14ac:dyDescent="0.5">
      <c r="B149" s="526"/>
      <c r="C149" s="27"/>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7"/>
      <c r="AJ149" s="526"/>
      <c r="EW149" s="532"/>
    </row>
    <row r="150" spans="2:153" ht="26.4" x14ac:dyDescent="0.45">
      <c r="B150" s="526"/>
      <c r="C150" s="48">
        <v>2</v>
      </c>
      <c r="D150" s="78"/>
      <c r="E150" s="78"/>
      <c r="F150" s="78"/>
      <c r="G150" s="78"/>
      <c r="H150" s="78"/>
      <c r="I150" s="78"/>
      <c r="J150" s="78"/>
      <c r="K150" s="78"/>
      <c r="L150" s="78"/>
      <c r="M150" s="78"/>
      <c r="N150" s="78"/>
      <c r="O150" s="78"/>
      <c r="P150" s="78"/>
      <c r="Q150" s="78"/>
      <c r="R150" s="78"/>
      <c r="S150" s="78"/>
      <c r="T150" s="78"/>
      <c r="U150" s="78"/>
      <c r="V150" s="78"/>
      <c r="W150" s="78"/>
      <c r="X150" s="78"/>
      <c r="Y150" s="78"/>
      <c r="Z150" s="78"/>
      <c r="AA150" s="78"/>
      <c r="AB150" s="78"/>
      <c r="AC150" s="276"/>
      <c r="AD150" s="276"/>
      <c r="AE150" s="276"/>
      <c r="AF150" s="276"/>
      <c r="AG150" s="276"/>
      <c r="AH150" s="276"/>
      <c r="AI150" s="48">
        <v>2</v>
      </c>
      <c r="AJ150" s="526"/>
      <c r="EW150" s="532"/>
    </row>
    <row r="151" spans="2:153" ht="26.4" x14ac:dyDescent="0.45">
      <c r="B151" s="526"/>
      <c r="C151" s="49"/>
      <c r="D151" s="12">
        <f>COUNTIF(TIMETABLE!D78:W78,"EA005")</f>
        <v>0</v>
      </c>
      <c r="E151" s="12">
        <f>COUNTIF(TIMETABLE!D78:W78,"EA006")</f>
        <v>0</v>
      </c>
      <c r="F151" s="12">
        <f>COUNTIF(TIMETABLE!D78:W78,"EA009/10")</f>
        <v>0</v>
      </c>
      <c r="G151" s="12">
        <f>COUNTIF(TIMETABLE!D78:W78,"EA012")</f>
        <v>0</v>
      </c>
      <c r="H151" s="12">
        <f>COUNTIF(TIMETABLE!D78:W78,"EA015")</f>
        <v>0</v>
      </c>
      <c r="I151" s="12">
        <f>COUNTIF(TIMETABLE!D78:W78,"EA104")</f>
        <v>0</v>
      </c>
      <c r="J151" s="12">
        <f>COUNTIF(TIMETABLE!D78:W78,"EA105")</f>
        <v>0</v>
      </c>
      <c r="K151" s="12">
        <f>COUNTIF(TIMETABLE!D78:W78,"EA107")</f>
        <v>0</v>
      </c>
      <c r="L151" s="12">
        <f>COUNTIF(TIMETABLE!D78:W78,"EA108")</f>
        <v>0</v>
      </c>
      <c r="M151" s="12">
        <f>COUNTIF(TIMETABLE!D78:W78,"EB006")</f>
        <v>0</v>
      </c>
      <c r="N151" s="12">
        <f>COUNTIF(TIMETABLE!D78:W78,"EB007")</f>
        <v>0</v>
      </c>
      <c r="O151" s="12">
        <f>COUNTIF(TIMETABLE!D78:W78,"EB013")</f>
        <v>0</v>
      </c>
      <c r="P151" s="12">
        <f>COUNTIF(TIMETABLE!L78:W78,"EB104")</f>
        <v>0</v>
      </c>
      <c r="Q151" s="12">
        <f>COUNTIF(TIMETABLE!D78:W78,"EB105")</f>
        <v>0</v>
      </c>
      <c r="R151" s="12">
        <f>COUNTIF(TIMETABLE!D78:W78,"EB107")</f>
        <v>0</v>
      </c>
      <c r="S151" s="12">
        <f>COUNTIF(TIMETABLE!D78:W78,"EB109")</f>
        <v>0</v>
      </c>
      <c r="T151" s="12">
        <f>COUNTIF(TIMETABLE!D78:W78,"EB110")</f>
        <v>0</v>
      </c>
      <c r="U151" s="12">
        <f>COUNTIF(TIMETABLE!D78:W78,"MA111")</f>
        <v>0</v>
      </c>
      <c r="V151" s="12">
        <f>COUNTIF(TIMETABLE!D78:W78,"MA209")</f>
        <v>0</v>
      </c>
      <c r="W151" s="12">
        <f>COUNTIF(TIMETABLE!D78:W78,"MA212")</f>
        <v>0</v>
      </c>
      <c r="X151" s="12">
        <f>COUNTIF(TIMETABLE!D78:W78,"DO3")</f>
        <v>1</v>
      </c>
      <c r="Y151" s="12">
        <f>COUNTIF(TIMETABLE!D78:W78,"RM2")</f>
        <v>0</v>
      </c>
      <c r="Z151" s="12">
        <f>COUNTIF(TIMETABLE!D78:W78,"MZ01")</f>
        <v>0</v>
      </c>
      <c r="AA151" s="12">
        <f>COUNTIF(TIMETABLE!D78:W78,"MZ02")</f>
        <v>0</v>
      </c>
      <c r="AB151" s="12">
        <f>COUNTIF(TIMETABLE!D78:W78,"RM3")</f>
        <v>0</v>
      </c>
      <c r="AC151" s="267">
        <f>COUNTIF(TIMETABLE!D78:W78,"FET203")</f>
        <v>0</v>
      </c>
      <c r="AD151" s="267">
        <f>COUNTIF(TIMETABLE!D78:W78,"FET205")</f>
        <v>0</v>
      </c>
      <c r="AE151" s="267">
        <f>COUNTIF(TIMETABLE!D78:W78,"FET207")</f>
        <v>0</v>
      </c>
      <c r="AF151" s="267">
        <f>COUNTIF(TIMETABLE!D78:W78,"FET208")</f>
        <v>0</v>
      </c>
      <c r="AG151" s="267">
        <f>COUNTIF(TIMETABLE!D78:W78,"FET209")</f>
        <v>0</v>
      </c>
      <c r="AH151" s="267">
        <f>COUNTIF(TIMETABLE!D78:W78,"FET210")</f>
        <v>0</v>
      </c>
      <c r="AI151" s="49"/>
      <c r="AJ151" s="526"/>
      <c r="EW151" s="532"/>
    </row>
    <row r="152" spans="2:153" ht="27" thickBot="1" x14ac:dyDescent="0.5">
      <c r="B152" s="526"/>
      <c r="C152" s="50">
        <v>3</v>
      </c>
      <c r="D152" s="79"/>
      <c r="E152" s="79"/>
      <c r="F152" s="79"/>
      <c r="G152" s="79"/>
      <c r="H152" s="79"/>
      <c r="I152" s="79"/>
      <c r="J152" s="79"/>
      <c r="K152" s="79"/>
      <c r="L152" s="79"/>
      <c r="M152" s="79"/>
      <c r="N152" s="79"/>
      <c r="O152" s="79"/>
      <c r="P152" s="79"/>
      <c r="Q152" s="79"/>
      <c r="R152" s="79"/>
      <c r="S152" s="79"/>
      <c r="T152" s="79"/>
      <c r="U152" s="79"/>
      <c r="V152" s="79"/>
      <c r="W152" s="79"/>
      <c r="X152" s="79"/>
      <c r="Y152" s="79"/>
      <c r="Z152" s="79"/>
      <c r="AA152" s="79"/>
      <c r="AB152" s="79"/>
      <c r="AC152" s="277"/>
      <c r="AD152" s="277"/>
      <c r="AE152" s="277"/>
      <c r="AF152" s="277"/>
      <c r="AG152" s="277"/>
      <c r="AH152" s="277"/>
      <c r="AI152" s="50">
        <v>3</v>
      </c>
      <c r="AJ152" s="526"/>
      <c r="EW152" s="532"/>
    </row>
    <row r="153" spans="2:153" ht="26.4" x14ac:dyDescent="0.45">
      <c r="B153" s="526"/>
      <c r="C153" s="48">
        <v>3</v>
      </c>
      <c r="D153" s="78"/>
      <c r="E153" s="78"/>
      <c r="F153" s="78"/>
      <c r="G153" s="78"/>
      <c r="H153" s="78"/>
      <c r="I153" s="78"/>
      <c r="J153" s="78"/>
      <c r="K153" s="78"/>
      <c r="L153" s="78"/>
      <c r="M153" s="78"/>
      <c r="N153" s="78"/>
      <c r="O153" s="78"/>
      <c r="P153" s="78"/>
      <c r="Q153" s="78"/>
      <c r="R153" s="78"/>
      <c r="S153" s="78"/>
      <c r="T153" s="78"/>
      <c r="U153" s="78"/>
      <c r="V153" s="78"/>
      <c r="W153" s="78"/>
      <c r="X153" s="78"/>
      <c r="Y153" s="78"/>
      <c r="Z153" s="78"/>
      <c r="AA153" s="78"/>
      <c r="AB153" s="78"/>
      <c r="AC153" s="276"/>
      <c r="AD153" s="276"/>
      <c r="AE153" s="276"/>
      <c r="AF153" s="276"/>
      <c r="AG153" s="276"/>
      <c r="AH153" s="276"/>
      <c r="AI153" s="48">
        <v>3</v>
      </c>
      <c r="AJ153" s="526"/>
      <c r="EW153" s="532"/>
    </row>
    <row r="154" spans="2:153" ht="26.4" x14ac:dyDescent="0.45">
      <c r="B154" s="526"/>
      <c r="C154" s="49"/>
      <c r="D154" s="12" t="e">
        <f>COUNTIF(TIMETABLE!#REF!,"EA005")</f>
        <v>#REF!</v>
      </c>
      <c r="E154" s="12" t="e">
        <f>COUNTIF(TIMETABLE!#REF!,"EA006")</f>
        <v>#REF!</v>
      </c>
      <c r="F154" s="12" t="e">
        <f>COUNTIF(TIMETABLE!#REF!,"EA009/10")</f>
        <v>#REF!</v>
      </c>
      <c r="G154" s="12" t="e">
        <f>COUNTIF(TIMETABLE!#REF!,"EA012")</f>
        <v>#REF!</v>
      </c>
      <c r="H154" s="12" t="e">
        <f>COUNTIF(TIMETABLE!#REF!,"EA015")</f>
        <v>#REF!</v>
      </c>
      <c r="I154" s="12" t="e">
        <f>COUNTIF(TIMETABLE!#REF!,"EA104")</f>
        <v>#REF!</v>
      </c>
      <c r="J154" s="12" t="e">
        <f>COUNTIF(TIMETABLE!#REF!,"EA105")</f>
        <v>#REF!</v>
      </c>
      <c r="K154" s="12" t="e">
        <f>COUNTIF(TIMETABLE!#REF!,"EA107")</f>
        <v>#REF!</v>
      </c>
      <c r="L154" s="12" t="e">
        <f>COUNTIF(TIMETABLE!#REF!,"EA108")</f>
        <v>#REF!</v>
      </c>
      <c r="M154" s="12" t="e">
        <f>COUNTIF(TIMETABLE!#REF!,"EB006")</f>
        <v>#REF!</v>
      </c>
      <c r="N154" s="12" t="e">
        <f>COUNTIF(TIMETABLE!#REF!,"EB007")</f>
        <v>#REF!</v>
      </c>
      <c r="O154" s="12" t="e">
        <f>COUNTIF(TIMETABLE!#REF!,"EB013")</f>
        <v>#REF!</v>
      </c>
      <c r="P154" s="12" t="e">
        <f>COUNTIF(TIMETABLE!#REF!,"EB104")</f>
        <v>#REF!</v>
      </c>
      <c r="Q154" s="12" t="e">
        <f>COUNTIF(TIMETABLE!#REF!,"EB105")</f>
        <v>#REF!</v>
      </c>
      <c r="R154" s="12" t="e">
        <f>COUNTIF(TIMETABLE!#REF!,"EB107")</f>
        <v>#REF!</v>
      </c>
      <c r="S154" s="12" t="e">
        <f>COUNTIF(TIMETABLE!#REF!,"EB109")</f>
        <v>#REF!</v>
      </c>
      <c r="T154" s="12" t="e">
        <f>COUNTIF(TIMETABLE!#REF!,"EB110")</f>
        <v>#REF!</v>
      </c>
      <c r="U154" s="12" t="e">
        <f>COUNTIF(TIMETABLE!#REF!,"MA111")</f>
        <v>#REF!</v>
      </c>
      <c r="V154" s="12" t="e">
        <f>COUNTIF(TIMETABLE!#REF!,"MA209")</f>
        <v>#REF!</v>
      </c>
      <c r="W154" s="12" t="e">
        <f>COUNTIF(TIMETABLE!#REF!,"MA212")</f>
        <v>#REF!</v>
      </c>
      <c r="X154" s="12" t="e">
        <f>COUNTIF(TIMETABLE!#REF!,"DO3")</f>
        <v>#REF!</v>
      </c>
      <c r="Y154" s="12" t="e">
        <f>COUNTIF(TIMETABLE!#REF!,"RM2")</f>
        <v>#REF!</v>
      </c>
      <c r="Z154" s="12" t="e">
        <f>COUNTIF(TIMETABLE!#REF!,"MZ01")</f>
        <v>#REF!</v>
      </c>
      <c r="AA154" s="12" t="e">
        <f>COUNTIF(TIMETABLE!#REF!,"MZ02")</f>
        <v>#REF!</v>
      </c>
      <c r="AB154" s="12" t="e">
        <f>COUNTIF(TIMETABLE!#REF!,"RM3")</f>
        <v>#REF!</v>
      </c>
      <c r="AC154" s="267" t="e">
        <f>COUNTIF(TIMETABLE!#REF!,"FET203")</f>
        <v>#REF!</v>
      </c>
      <c r="AD154" s="267" t="e">
        <f>COUNTIF(TIMETABLE!#REF!,"FET205")</f>
        <v>#REF!</v>
      </c>
      <c r="AE154" s="267" t="e">
        <f>COUNTIF(TIMETABLE!#REF!,"FET207")</f>
        <v>#REF!</v>
      </c>
      <c r="AF154" s="267" t="e">
        <f>COUNTIF(TIMETABLE!#REF!,"FET208")</f>
        <v>#REF!</v>
      </c>
      <c r="AG154" s="267" t="e">
        <f>COUNTIF(TIMETABLE!#REF!,"FET209")</f>
        <v>#REF!</v>
      </c>
      <c r="AH154" s="267" t="e">
        <f>COUNTIF(TIMETABLE!#REF!,"FET210")</f>
        <v>#REF!</v>
      </c>
      <c r="AI154" s="49"/>
      <c r="AJ154" s="526"/>
      <c r="EW154" s="532"/>
    </row>
    <row r="155" spans="2:153" ht="27" thickBot="1" x14ac:dyDescent="0.5">
      <c r="B155" s="526"/>
      <c r="C155" s="50">
        <v>4</v>
      </c>
      <c r="D155" s="79"/>
      <c r="E155" s="79"/>
      <c r="F155" s="79"/>
      <c r="G155" s="79"/>
      <c r="H155" s="79"/>
      <c r="I155" s="79"/>
      <c r="J155" s="79"/>
      <c r="K155" s="79"/>
      <c r="L155" s="79"/>
      <c r="M155" s="79"/>
      <c r="N155" s="79"/>
      <c r="O155" s="79"/>
      <c r="P155" s="79"/>
      <c r="Q155" s="79"/>
      <c r="R155" s="79"/>
      <c r="S155" s="79"/>
      <c r="T155" s="79"/>
      <c r="U155" s="79"/>
      <c r="V155" s="79"/>
      <c r="W155" s="79"/>
      <c r="X155" s="79"/>
      <c r="Y155" s="79"/>
      <c r="Z155" s="79"/>
      <c r="AA155" s="79"/>
      <c r="AB155" s="79"/>
      <c r="AC155" s="277"/>
      <c r="AD155" s="277"/>
      <c r="AE155" s="277"/>
      <c r="AF155" s="277"/>
      <c r="AG155" s="277"/>
      <c r="AH155" s="277"/>
      <c r="AI155" s="50">
        <v>4</v>
      </c>
      <c r="AJ155" s="526"/>
      <c r="EW155" s="532"/>
    </row>
    <row r="156" spans="2:153" ht="26.4" x14ac:dyDescent="0.45">
      <c r="B156" s="526"/>
      <c r="C156" s="48">
        <v>4</v>
      </c>
      <c r="D156" s="78"/>
      <c r="E156" s="78"/>
      <c r="F156" s="78"/>
      <c r="G156" s="78"/>
      <c r="H156" s="78"/>
      <c r="I156" s="78"/>
      <c r="J156" s="78"/>
      <c r="K156" s="78"/>
      <c r="L156" s="78"/>
      <c r="M156" s="78"/>
      <c r="N156" s="78"/>
      <c r="O156" s="78"/>
      <c r="P156" s="78"/>
      <c r="Q156" s="78"/>
      <c r="R156" s="78"/>
      <c r="S156" s="78"/>
      <c r="T156" s="78"/>
      <c r="U156" s="78"/>
      <c r="V156" s="78"/>
      <c r="W156" s="78"/>
      <c r="X156" s="78"/>
      <c r="Y156" s="78"/>
      <c r="Z156" s="78"/>
      <c r="AA156" s="78"/>
      <c r="AB156" s="78"/>
      <c r="AC156" s="276"/>
      <c r="AD156" s="276"/>
      <c r="AE156" s="276"/>
      <c r="AF156" s="276"/>
      <c r="AG156" s="276"/>
      <c r="AH156" s="276"/>
      <c r="AI156" s="48">
        <v>4</v>
      </c>
      <c r="AJ156" s="526"/>
      <c r="EW156" s="532"/>
    </row>
    <row r="157" spans="2:153" ht="26.4" x14ac:dyDescent="0.45">
      <c r="B157" s="526"/>
      <c r="C157" s="49"/>
      <c r="D157" s="12" t="e">
        <f>COUNTIF(TIMETABLE!#REF!,"EA005")</f>
        <v>#REF!</v>
      </c>
      <c r="E157" s="12" t="e">
        <f>COUNTIF(TIMETABLE!#REF!,"EA006")</f>
        <v>#REF!</v>
      </c>
      <c r="F157" s="12" t="e">
        <f>COUNTIF(TIMETABLE!#REF!,"EA009/10")</f>
        <v>#REF!</v>
      </c>
      <c r="G157" s="12" t="e">
        <f>COUNTIF(TIMETABLE!#REF!,"EA012")</f>
        <v>#REF!</v>
      </c>
      <c r="H157" s="12" t="e">
        <f>COUNTIF(TIMETABLE!#REF!,"EA015")</f>
        <v>#REF!</v>
      </c>
      <c r="I157" s="12" t="e">
        <f>COUNTIF(TIMETABLE!#REF!,"EA104")</f>
        <v>#REF!</v>
      </c>
      <c r="J157" s="12" t="e">
        <f>COUNTIF(TIMETABLE!#REF!,"EA105")</f>
        <v>#REF!</v>
      </c>
      <c r="K157" s="12" t="e">
        <f>COUNTIF(TIMETABLE!#REF!,"EA107")</f>
        <v>#REF!</v>
      </c>
      <c r="L157" s="12" t="e">
        <f>COUNTIF(TIMETABLE!#REF!,"EA108")</f>
        <v>#REF!</v>
      </c>
      <c r="M157" s="12" t="e">
        <f>COUNTIF(TIMETABLE!#REF!,"EB006")</f>
        <v>#REF!</v>
      </c>
      <c r="N157" s="12" t="e">
        <f>COUNTIF(TIMETABLE!#REF!,"EB007")</f>
        <v>#REF!</v>
      </c>
      <c r="O157" s="12" t="e">
        <f>COUNTIF(TIMETABLE!#REF!,"EB013")</f>
        <v>#REF!</v>
      </c>
      <c r="P157" s="12" t="e">
        <f>COUNTIF(TIMETABLE!#REF!,"EB104")</f>
        <v>#REF!</v>
      </c>
      <c r="Q157" s="12" t="e">
        <f>COUNTIF(TIMETABLE!#REF!,"EB105")</f>
        <v>#REF!</v>
      </c>
      <c r="R157" s="12" t="e">
        <f>COUNTIF(TIMETABLE!#REF!,"EB107")</f>
        <v>#REF!</v>
      </c>
      <c r="S157" s="12" t="e">
        <f>COUNTIF(TIMETABLE!#REF!,"EB109")</f>
        <v>#REF!</v>
      </c>
      <c r="T157" s="12" t="e">
        <f>COUNTIF(TIMETABLE!#REF!,"EB110")</f>
        <v>#REF!</v>
      </c>
      <c r="U157" s="12" t="e">
        <f>COUNTIF(TIMETABLE!#REF!,"MA111")</f>
        <v>#REF!</v>
      </c>
      <c r="V157" s="12" t="e">
        <f>COUNTIF(TIMETABLE!#REF!,"MA209")</f>
        <v>#REF!</v>
      </c>
      <c r="W157" s="12" t="e">
        <f>COUNTIF(TIMETABLE!#REF!,"MA212")</f>
        <v>#REF!</v>
      </c>
      <c r="X157" s="12" t="e">
        <f>COUNTIF(TIMETABLE!#REF!,"DO3")</f>
        <v>#REF!</v>
      </c>
      <c r="Y157" s="12" t="e">
        <f>COUNTIF(TIMETABLE!#REF!,"RM2")</f>
        <v>#REF!</v>
      </c>
      <c r="Z157" s="12" t="e">
        <f>COUNTIF(TIMETABLE!#REF!,"MZ01")</f>
        <v>#REF!</v>
      </c>
      <c r="AA157" s="12" t="e">
        <f>COUNTIF(TIMETABLE!#REF!,"MZ02")</f>
        <v>#REF!</v>
      </c>
      <c r="AB157" s="12" t="e">
        <f>COUNTIF(TIMETABLE!#REF!,"RM3")</f>
        <v>#REF!</v>
      </c>
      <c r="AC157" s="267" t="e">
        <f>COUNTIF(TIMETABLE!#REF!,"FET203")</f>
        <v>#REF!</v>
      </c>
      <c r="AD157" s="267" t="e">
        <f>COUNTIF(TIMETABLE!#REF!,"FET205")</f>
        <v>#REF!</v>
      </c>
      <c r="AE157" s="267" t="e">
        <f>COUNTIF(TIMETABLE!#REF!,"FET207")</f>
        <v>#REF!</v>
      </c>
      <c r="AF157" s="267" t="e">
        <f>COUNTIF(TIMETABLE!#REF!,"FET208")</f>
        <v>#REF!</v>
      </c>
      <c r="AG157" s="267" t="e">
        <f>COUNTIF(TIMETABLE!#REF!,"FET209")</f>
        <v>#REF!</v>
      </c>
      <c r="AH157" s="267" t="e">
        <f>COUNTIF(TIMETABLE!#REF!,"FET210")</f>
        <v>#REF!</v>
      </c>
      <c r="AI157" s="49"/>
      <c r="AJ157" s="526"/>
      <c r="EW157" s="532"/>
    </row>
    <row r="158" spans="2:153" ht="27" thickBot="1" x14ac:dyDescent="0.5">
      <c r="B158" s="526"/>
      <c r="C158" s="50">
        <v>5</v>
      </c>
      <c r="D158" s="79"/>
      <c r="E158" s="79"/>
      <c r="F158" s="79"/>
      <c r="G158" s="79"/>
      <c r="H158" s="79"/>
      <c r="I158" s="79"/>
      <c r="J158" s="79"/>
      <c r="K158" s="79"/>
      <c r="L158" s="79"/>
      <c r="M158" s="79"/>
      <c r="N158" s="79"/>
      <c r="O158" s="79"/>
      <c r="P158" s="79"/>
      <c r="Q158" s="79"/>
      <c r="R158" s="79"/>
      <c r="S158" s="79"/>
      <c r="T158" s="79"/>
      <c r="U158" s="79"/>
      <c r="V158" s="79"/>
      <c r="W158" s="79"/>
      <c r="X158" s="79"/>
      <c r="Y158" s="79"/>
      <c r="Z158" s="79"/>
      <c r="AA158" s="79"/>
      <c r="AB158" s="79"/>
      <c r="AC158" s="277"/>
      <c r="AD158" s="277"/>
      <c r="AE158" s="277"/>
      <c r="AF158" s="277"/>
      <c r="AG158" s="277"/>
      <c r="AH158" s="277"/>
      <c r="AI158" s="50">
        <v>5</v>
      </c>
      <c r="AJ158" s="526"/>
      <c r="EW158" s="532"/>
    </row>
    <row r="159" spans="2:153" ht="26.4" x14ac:dyDescent="0.45">
      <c r="B159" s="526"/>
      <c r="C159" s="48">
        <v>5</v>
      </c>
      <c r="D159" s="78"/>
      <c r="E159" s="78"/>
      <c r="F159" s="78"/>
      <c r="G159" s="78"/>
      <c r="H159" s="78"/>
      <c r="I159" s="78"/>
      <c r="J159" s="78"/>
      <c r="K159" s="78"/>
      <c r="L159" s="78"/>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48">
        <v>5</v>
      </c>
      <c r="AJ159" s="526"/>
      <c r="EW159" s="532"/>
    </row>
    <row r="160" spans="2:153" ht="26.4" x14ac:dyDescent="0.45">
      <c r="B160" s="526"/>
      <c r="C160" s="49"/>
      <c r="D160" s="12">
        <f>COUNTIF(TIMETABLE!D82:W82,"EA005")</f>
        <v>0</v>
      </c>
      <c r="E160" s="12">
        <f>COUNTIF(TIMETABLE!D82:W82,"EA006")</f>
        <v>0</v>
      </c>
      <c r="F160" s="12">
        <f>COUNTIF(TIMETABLE!D82:W82,"EA009/10")</f>
        <v>0</v>
      </c>
      <c r="G160" s="12">
        <f>COUNTIF(TIMETABLE!D82:W82,"EA012")</f>
        <v>0</v>
      </c>
      <c r="H160" s="12">
        <f>COUNTIF(TIMETABLE!D82:W82,"EA015")</f>
        <v>0</v>
      </c>
      <c r="I160" s="12">
        <f>COUNTIF(TIMETABLE!D82:W82,"EA104")</f>
        <v>0</v>
      </c>
      <c r="J160" s="12">
        <f>COUNTIF(TIMETABLE!D82:W82,"EA105")</f>
        <v>0</v>
      </c>
      <c r="K160" s="12">
        <f>COUNTIF(TIMETABLE!D82:W82,"EA107")</f>
        <v>0</v>
      </c>
      <c r="L160" s="12">
        <f>COUNTIF(TIMETABLE!D82:W82,"EA108")</f>
        <v>0</v>
      </c>
      <c r="M160" s="12">
        <f>COUNTIF(TIMETABLE!D82:W82,"EB006")</f>
        <v>0</v>
      </c>
      <c r="N160" s="12">
        <f>COUNTIF(TIMETABLE!D82:W82,"EB007")</f>
        <v>0</v>
      </c>
      <c r="O160" s="12">
        <f>COUNTIF(TIMETABLE!D82:W82,"EB013")</f>
        <v>0</v>
      </c>
      <c r="P160" s="12">
        <f>COUNTIF(TIMETABLE!L82:W82,"EB104")</f>
        <v>0</v>
      </c>
      <c r="Q160" s="12">
        <f>COUNTIF(TIMETABLE!D82:W82,"EB105")</f>
        <v>0</v>
      </c>
      <c r="R160" s="12">
        <f>COUNTIF(TIMETABLE!D82:W82,"EB107")</f>
        <v>0</v>
      </c>
      <c r="S160" s="12">
        <f>COUNTIF(TIMETABLE!D82:W82,"EB109")</f>
        <v>0</v>
      </c>
      <c r="T160" s="12">
        <f>COUNTIF(TIMETABLE!D82:W82,"EB110")</f>
        <v>0</v>
      </c>
      <c r="U160" s="12">
        <f>COUNTIF(TIMETABLE!D82:W82,"MA111")</f>
        <v>0</v>
      </c>
      <c r="V160" s="12">
        <f>COUNTIF(TIMETABLE!D82:W82,"MA209")</f>
        <v>0</v>
      </c>
      <c r="W160" s="12">
        <f>COUNTIF(TIMETABLE!D82:W82,"MA212")</f>
        <v>0</v>
      </c>
      <c r="X160" s="12">
        <f>COUNTIF(TIMETABLE!D82:W82,"DO3")</f>
        <v>0</v>
      </c>
      <c r="Y160" s="12">
        <f>COUNTIF(TIMETABLE!D82:W82,"RM2")</f>
        <v>0</v>
      </c>
      <c r="Z160" s="12">
        <f>COUNTIF(TIMETABLE!D82:W82,"MZ01")</f>
        <v>0</v>
      </c>
      <c r="AA160" s="12">
        <f>COUNTIF(TIMETABLE!D82:W82,"MZ02")</f>
        <v>0</v>
      </c>
      <c r="AB160" s="12">
        <f>COUNTIF(TIMETABLE!D82:W82,"RM3")</f>
        <v>0</v>
      </c>
      <c r="AC160" s="12">
        <f>COUNTIF(TIMETABLE!D82:W82,"FET203")</f>
        <v>0</v>
      </c>
      <c r="AD160" s="12">
        <f>COUNTIF(TIMETABLE!D82:W82,"FET205")</f>
        <v>0</v>
      </c>
      <c r="AE160" s="12">
        <f>COUNTIF(TIMETABLE!D82:W82,"FET207")</f>
        <v>0</v>
      </c>
      <c r="AF160" s="12">
        <f>COUNTIF(TIMETABLE!D82:W82,"FET208")</f>
        <v>0</v>
      </c>
      <c r="AG160" s="12">
        <f>COUNTIF(TIMETABLE!D82:W82,"FET209")</f>
        <v>0</v>
      </c>
      <c r="AH160" s="12">
        <f>COUNTIF(TIMETABLE!D82:W82,"FET210")</f>
        <v>0</v>
      </c>
      <c r="AI160" s="49"/>
      <c r="AJ160" s="526"/>
      <c r="EW160" s="532"/>
    </row>
    <row r="161" spans="2:153" ht="27" thickBot="1" x14ac:dyDescent="0.5">
      <c r="B161" s="526"/>
      <c r="C161" s="50">
        <v>6</v>
      </c>
      <c r="D161" s="79"/>
      <c r="E161" s="79"/>
      <c r="F161" s="79"/>
      <c r="G161" s="79"/>
      <c r="H161" s="79"/>
      <c r="I161" s="79"/>
      <c r="J161" s="79"/>
      <c r="K161" s="79"/>
      <c r="L161" s="79"/>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50">
        <v>6</v>
      </c>
      <c r="AJ161" s="526"/>
      <c r="EW161" s="532"/>
    </row>
    <row r="162" spans="2:153" ht="26.4" x14ac:dyDescent="0.45">
      <c r="B162" s="526"/>
      <c r="C162" s="51">
        <v>6</v>
      </c>
      <c r="D162" s="78"/>
      <c r="E162" s="78"/>
      <c r="F162" s="78"/>
      <c r="G162" s="78"/>
      <c r="H162" s="78"/>
      <c r="I162" s="78"/>
      <c r="J162" s="78"/>
      <c r="K162" s="78"/>
      <c r="L162" s="78"/>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51">
        <v>6</v>
      </c>
      <c r="AJ162" s="526"/>
      <c r="EW162" s="532"/>
    </row>
    <row r="163" spans="2:153" ht="26.4" x14ac:dyDescent="0.45">
      <c r="B163" s="526"/>
      <c r="C163" s="49"/>
      <c r="D163" s="12" t="e">
        <f>COUNTIF(TIMETABLE!#REF!,"EA005")</f>
        <v>#REF!</v>
      </c>
      <c r="E163" s="12" t="e">
        <f>COUNTIF(TIMETABLE!#REF!,"EA006")</f>
        <v>#REF!</v>
      </c>
      <c r="F163" s="12" t="e">
        <f>COUNTIF(TIMETABLE!#REF!,"EA009/10")</f>
        <v>#REF!</v>
      </c>
      <c r="G163" s="12" t="e">
        <f>COUNTIF(TIMETABLE!#REF!,"EA012")</f>
        <v>#REF!</v>
      </c>
      <c r="H163" s="12" t="e">
        <f>COUNTIF(TIMETABLE!#REF!,"EA015")</f>
        <v>#REF!</v>
      </c>
      <c r="I163" s="12" t="e">
        <f>COUNTIF(TIMETABLE!#REF!,"EA104")</f>
        <v>#REF!</v>
      </c>
      <c r="J163" s="12" t="e">
        <f>COUNTIF(TIMETABLE!#REF!,"EA105")</f>
        <v>#REF!</v>
      </c>
      <c r="K163" s="12" t="e">
        <f>COUNTIF(TIMETABLE!#REF!,"EA107")</f>
        <v>#REF!</v>
      </c>
      <c r="L163" s="12" t="e">
        <f>COUNTIF(TIMETABLE!#REF!,"EA108")</f>
        <v>#REF!</v>
      </c>
      <c r="M163" s="12" t="e">
        <f>COUNTIF(TIMETABLE!#REF!,"EB006")</f>
        <v>#REF!</v>
      </c>
      <c r="N163" s="12" t="e">
        <f>COUNTIF(TIMETABLE!#REF!,"EB007")</f>
        <v>#REF!</v>
      </c>
      <c r="O163" s="12" t="e">
        <f>COUNTIF(TIMETABLE!#REF!,"EB013")</f>
        <v>#REF!</v>
      </c>
      <c r="P163" s="12" t="e">
        <f>COUNTIF(TIMETABLE!#REF!,"EB104")</f>
        <v>#REF!</v>
      </c>
      <c r="Q163" s="12" t="e">
        <f>COUNTIF(TIMETABLE!#REF!,"EB105")</f>
        <v>#REF!</v>
      </c>
      <c r="R163" s="12" t="e">
        <f>COUNTIF(TIMETABLE!#REF!,"EB107")</f>
        <v>#REF!</v>
      </c>
      <c r="S163" s="12" t="e">
        <f>COUNTIF(TIMETABLE!#REF!,"EB109")</f>
        <v>#REF!</v>
      </c>
      <c r="T163" s="12" t="e">
        <f>COUNTIF(TIMETABLE!#REF!,"EB110")</f>
        <v>#REF!</v>
      </c>
      <c r="U163" s="12" t="e">
        <f>COUNTIF(TIMETABLE!#REF!,"MA111")</f>
        <v>#REF!</v>
      </c>
      <c r="V163" s="12" t="e">
        <f>COUNTIF(TIMETABLE!#REF!,"MA209")</f>
        <v>#REF!</v>
      </c>
      <c r="W163" s="12" t="e">
        <f>COUNTIF(TIMETABLE!#REF!,"MA212")</f>
        <v>#REF!</v>
      </c>
      <c r="X163" s="12" t="e">
        <f>COUNTIF(TIMETABLE!#REF!,"DO3")</f>
        <v>#REF!</v>
      </c>
      <c r="Y163" s="12" t="e">
        <f>COUNTIF(TIMETABLE!#REF!,"RM2")</f>
        <v>#REF!</v>
      </c>
      <c r="Z163" s="12" t="e">
        <f>COUNTIF(TIMETABLE!#REF!,"MZ01")</f>
        <v>#REF!</v>
      </c>
      <c r="AA163" s="12" t="e">
        <f>COUNTIF(TIMETABLE!#REF!,"MZ02")</f>
        <v>#REF!</v>
      </c>
      <c r="AB163" s="12" t="e">
        <f>COUNTIF(TIMETABLE!#REF!,"RM3")</f>
        <v>#REF!</v>
      </c>
      <c r="AC163" s="12" t="e">
        <f>COUNTIF(TIMETABLE!#REF!,"FET203")</f>
        <v>#REF!</v>
      </c>
      <c r="AD163" s="12" t="e">
        <f>COUNTIF(TIMETABLE!#REF!,"FET205")</f>
        <v>#REF!</v>
      </c>
      <c r="AE163" s="12" t="e">
        <f>COUNTIF(TIMETABLE!#REF!,"FET207")</f>
        <v>#REF!</v>
      </c>
      <c r="AF163" s="12" t="e">
        <f>COUNTIF(TIMETABLE!#REF!,"FET208")</f>
        <v>#REF!</v>
      </c>
      <c r="AG163" s="12" t="e">
        <f>COUNTIF(TIMETABLE!#REF!,"FET209")</f>
        <v>#REF!</v>
      </c>
      <c r="AH163" s="12" t="e">
        <f>COUNTIF(TIMETABLE!#REF!,"FET210")</f>
        <v>#REF!</v>
      </c>
      <c r="AI163" s="49"/>
      <c r="AJ163" s="526"/>
      <c r="EW163" s="532"/>
    </row>
    <row r="164" spans="2:153" ht="27" thickBot="1" x14ac:dyDescent="0.5">
      <c r="B164" s="526"/>
      <c r="C164" s="50">
        <v>7</v>
      </c>
      <c r="D164" s="79"/>
      <c r="E164" s="79"/>
      <c r="F164" s="79"/>
      <c r="G164" s="79"/>
      <c r="H164" s="79"/>
      <c r="I164" s="79"/>
      <c r="J164" s="79"/>
      <c r="K164" s="79"/>
      <c r="L164" s="79"/>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50">
        <v>7</v>
      </c>
      <c r="AJ164" s="526"/>
      <c r="EW164" s="532"/>
    </row>
    <row r="165" spans="2:153" ht="26.4" x14ac:dyDescent="0.45">
      <c r="B165" s="526"/>
      <c r="C165" s="49">
        <v>7</v>
      </c>
      <c r="D165" s="78"/>
      <c r="E165" s="78"/>
      <c r="F165" s="78"/>
      <c r="G165" s="78"/>
      <c r="H165" s="78"/>
      <c r="I165" s="78"/>
      <c r="J165" s="78"/>
      <c r="K165" s="78"/>
      <c r="L165" s="78"/>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49">
        <v>7</v>
      </c>
      <c r="AJ165" s="526"/>
      <c r="EW165" s="532"/>
    </row>
    <row r="166" spans="2:153" ht="26.4" x14ac:dyDescent="0.45">
      <c r="B166" s="526"/>
      <c r="C166" s="49"/>
      <c r="D166" s="12" t="e">
        <f>COUNTIF(TIMETABLE!#REF!,"EA005")</f>
        <v>#REF!</v>
      </c>
      <c r="E166" s="12" t="e">
        <f>COUNTIF(TIMETABLE!#REF!,"EA006")</f>
        <v>#REF!</v>
      </c>
      <c r="F166" s="12" t="e">
        <f>COUNTIF(TIMETABLE!#REF!,"EA009/10")</f>
        <v>#REF!</v>
      </c>
      <c r="G166" s="12" t="e">
        <f>COUNTIF(TIMETABLE!#REF!,"EA012")</f>
        <v>#REF!</v>
      </c>
      <c r="H166" s="12" t="e">
        <f>COUNTIF(TIMETABLE!#REF!,"EA015")</f>
        <v>#REF!</v>
      </c>
      <c r="I166" s="12" t="e">
        <f>COUNTIF(TIMETABLE!#REF!,"EA104")</f>
        <v>#REF!</v>
      </c>
      <c r="J166" s="12" t="e">
        <f>COUNTIF(TIMETABLE!#REF!,"EA105")</f>
        <v>#REF!</v>
      </c>
      <c r="K166" s="12" t="e">
        <f>COUNTIF(TIMETABLE!#REF!,"EA107")</f>
        <v>#REF!</v>
      </c>
      <c r="L166" s="12" t="e">
        <f>COUNTIF(TIMETABLE!#REF!,"EA108")</f>
        <v>#REF!</v>
      </c>
      <c r="M166" s="12" t="e">
        <f>COUNTIF(TIMETABLE!#REF!,"EB006")</f>
        <v>#REF!</v>
      </c>
      <c r="N166" s="12" t="e">
        <f>COUNTIF(TIMETABLE!#REF!,"EB007")</f>
        <v>#REF!</v>
      </c>
      <c r="O166" s="12" t="e">
        <f>COUNTIF(TIMETABLE!#REF!,"EB013")</f>
        <v>#REF!</v>
      </c>
      <c r="P166" s="12" t="e">
        <f>COUNTIF(TIMETABLE!#REF!,"EB104")</f>
        <v>#REF!</v>
      </c>
      <c r="Q166" s="12" t="e">
        <f>COUNTIF(TIMETABLE!#REF!,"EB105")</f>
        <v>#REF!</v>
      </c>
      <c r="R166" s="12" t="e">
        <f>COUNTIF(TIMETABLE!#REF!,"EB107")</f>
        <v>#REF!</v>
      </c>
      <c r="S166" s="12" t="e">
        <f>COUNTIF(TIMETABLE!#REF!,"EB109")</f>
        <v>#REF!</v>
      </c>
      <c r="T166" s="12" t="e">
        <f>COUNTIF(TIMETABLE!#REF!,"EB110")</f>
        <v>#REF!</v>
      </c>
      <c r="U166" s="12" t="e">
        <f>COUNTIF(TIMETABLE!#REF!,"MA111")</f>
        <v>#REF!</v>
      </c>
      <c r="V166" s="12" t="e">
        <f>COUNTIF(TIMETABLE!#REF!,"MA209")</f>
        <v>#REF!</v>
      </c>
      <c r="W166" s="12" t="e">
        <f>COUNTIF(TIMETABLE!#REF!,"MA212")</f>
        <v>#REF!</v>
      </c>
      <c r="X166" s="12" t="e">
        <f>COUNTIF(TIMETABLE!#REF!,"DO3")</f>
        <v>#REF!</v>
      </c>
      <c r="Y166" s="12" t="e">
        <f>COUNTIF(TIMETABLE!#REF!,"RM2")</f>
        <v>#REF!</v>
      </c>
      <c r="Z166" s="12" t="e">
        <f>COUNTIF(TIMETABLE!#REF!,"MZ01")</f>
        <v>#REF!</v>
      </c>
      <c r="AA166" s="12" t="e">
        <f>COUNTIF(TIMETABLE!#REF!,"MZ02")</f>
        <v>#REF!</v>
      </c>
      <c r="AB166" s="12" t="e">
        <f>COUNTIF(TIMETABLE!#REF!,"RM3")</f>
        <v>#REF!</v>
      </c>
      <c r="AC166" s="12" t="e">
        <f>COUNTIF(TIMETABLE!#REF!,"FET203")</f>
        <v>#REF!</v>
      </c>
      <c r="AD166" s="12" t="e">
        <f>COUNTIF(TIMETABLE!#REF!,"FET205")</f>
        <v>#REF!</v>
      </c>
      <c r="AE166" s="12" t="e">
        <f>COUNTIF(TIMETABLE!#REF!,"FET207")</f>
        <v>#REF!</v>
      </c>
      <c r="AF166" s="12" t="e">
        <f>COUNTIF(TIMETABLE!#REF!,"FET208")</f>
        <v>#REF!</v>
      </c>
      <c r="AG166" s="12" t="e">
        <f>COUNTIF(TIMETABLE!#REF!,"FET209")</f>
        <v>#REF!</v>
      </c>
      <c r="AH166" s="12" t="e">
        <f>COUNTIF(TIMETABLE!#REF!,"FET210")</f>
        <v>#REF!</v>
      </c>
      <c r="AI166" s="49"/>
      <c r="AJ166" s="526"/>
      <c r="EW166" s="532"/>
    </row>
    <row r="167" spans="2:153" ht="27" thickBot="1" x14ac:dyDescent="0.5">
      <c r="B167" s="527"/>
      <c r="C167" s="52">
        <v>8</v>
      </c>
      <c r="D167" s="79"/>
      <c r="E167" s="79"/>
      <c r="F167" s="79"/>
      <c r="G167" s="79"/>
      <c r="H167" s="79"/>
      <c r="I167" s="79"/>
      <c r="J167" s="79"/>
      <c r="K167" s="79"/>
      <c r="L167" s="79"/>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52">
        <v>8</v>
      </c>
      <c r="AJ167" s="527"/>
      <c r="EW167" s="532"/>
    </row>
    <row r="168" spans="2:153" ht="27" thickTop="1" x14ac:dyDescent="0.45">
      <c r="B168" s="516" t="s">
        <v>12</v>
      </c>
      <c r="C168" s="83">
        <v>7</v>
      </c>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282"/>
      <c r="AD168" s="282"/>
      <c r="AE168" s="282"/>
      <c r="AF168" s="282"/>
      <c r="AG168" s="282"/>
      <c r="AH168" s="282"/>
      <c r="AI168" s="83">
        <v>7</v>
      </c>
      <c r="AJ168" s="516" t="s">
        <v>12</v>
      </c>
      <c r="EW168" s="532"/>
    </row>
    <row r="169" spans="2:153" ht="26.4" x14ac:dyDescent="0.45">
      <c r="B169" s="517"/>
      <c r="C169" s="84"/>
      <c r="D169" s="12">
        <f>COUNTIF(TIMETABLE!D86:W86,"EA005")</f>
        <v>0</v>
      </c>
      <c r="E169" s="12">
        <f>COUNTIF(TIMETABLE!D86:W86,"EA006")</f>
        <v>0</v>
      </c>
      <c r="F169" s="12">
        <f>COUNTIF(TIMETABLE!D86:W86,"EA009/10")</f>
        <v>0</v>
      </c>
      <c r="G169" s="12">
        <f>COUNTIF(TIMETABLE!D86:W86,"EA012")</f>
        <v>0</v>
      </c>
      <c r="H169" s="12">
        <f>COUNTIF(TIMETABLE!D86:W86,"EA015")</f>
        <v>0</v>
      </c>
      <c r="I169" s="12">
        <f>COUNTIF(TIMETABLE!D86:W86,"EA104")</f>
        <v>0</v>
      </c>
      <c r="J169" s="12">
        <f>COUNTIF(TIMETABLE!D86:W86,"EA105")</f>
        <v>0</v>
      </c>
      <c r="K169" s="12">
        <f>COUNTIF(TIMETABLE!D86:W86,"EA107")</f>
        <v>0</v>
      </c>
      <c r="L169" s="12">
        <f>COUNTIF(TIMETABLE!D86:W86,"EA108")</f>
        <v>0</v>
      </c>
      <c r="M169" s="12">
        <f>COUNTIF(TIMETABLE!D86:W86,"EB006")</f>
        <v>0</v>
      </c>
      <c r="N169" s="12">
        <f>COUNTIF(TIMETABLE!D86:W86,"EB007")</f>
        <v>0</v>
      </c>
      <c r="O169" s="12">
        <f>COUNTIF(TIMETABLE!D86:W86,"EB013")</f>
        <v>0</v>
      </c>
      <c r="P169" s="12">
        <f>COUNTIF(TIMETABLE!L86:W86,"EB104")</f>
        <v>0</v>
      </c>
      <c r="Q169" s="12">
        <f>COUNTIF(TIMETABLE!D86:W86,"EB105")</f>
        <v>0</v>
      </c>
      <c r="R169" s="12">
        <f>COUNTIF(TIMETABLE!D86:W86,"EB107")</f>
        <v>0</v>
      </c>
      <c r="S169" s="12">
        <f>COUNTIF(TIMETABLE!D86:W86,"EB109")</f>
        <v>0</v>
      </c>
      <c r="T169" s="12">
        <f>COUNTIF(TIMETABLE!D86:W86,"EB110")</f>
        <v>0</v>
      </c>
      <c r="U169" s="12">
        <f>COUNTIF(TIMETABLE!D86:W86,"MA111")</f>
        <v>0</v>
      </c>
      <c r="V169" s="12">
        <f>COUNTIF(TIMETABLE!D86:W86,"MA209")</f>
        <v>0</v>
      </c>
      <c r="W169" s="12">
        <f>COUNTIF(TIMETABLE!D86:W86,"MA212")</f>
        <v>0</v>
      </c>
      <c r="X169" s="12">
        <f>COUNTIF(TIMETABLE!D86:W86,"DO3")</f>
        <v>0</v>
      </c>
      <c r="Y169" s="12">
        <f>COUNTIF(TIMETABLE!D86:W86,"RM2")</f>
        <v>0</v>
      </c>
      <c r="Z169" s="12">
        <f>COUNTIF(TIMETABLE!D86:W86,"MZ01")</f>
        <v>0</v>
      </c>
      <c r="AA169" s="12">
        <f>COUNTIF(TIMETABLE!D86:W86,"MZ02")</f>
        <v>0</v>
      </c>
      <c r="AB169" s="12">
        <f>COUNTIF(TIMETABLE!D86:W86,"RM3")</f>
        <v>0</v>
      </c>
      <c r="AC169" s="267">
        <f>COUNTIF(TIMETABLE!D86:W86,"FET203")</f>
        <v>0</v>
      </c>
      <c r="AD169" s="267">
        <f>COUNTIF(TIMETABLE!D86:W86,"FET205")</f>
        <v>0</v>
      </c>
      <c r="AE169" s="267">
        <f>COUNTIF(TIMETABLE!D86:W86,"FET207")</f>
        <v>0</v>
      </c>
      <c r="AF169" s="267">
        <f>COUNTIF(TIMETABLE!D86:W86,"FET208")</f>
        <v>0</v>
      </c>
      <c r="AG169" s="267">
        <f>COUNTIF(TIMETABLE!D86:W86,"FET209")</f>
        <v>0</v>
      </c>
      <c r="AH169" s="267">
        <f>COUNTIF(TIMETABLE!D86:W86,"FET210")</f>
        <v>0</v>
      </c>
      <c r="AI169" s="84"/>
      <c r="AJ169" s="517"/>
      <c r="EW169" s="532"/>
    </row>
    <row r="170" spans="2:153" ht="27" thickBot="1" x14ac:dyDescent="0.5">
      <c r="B170" s="517"/>
      <c r="C170" s="85">
        <v>8</v>
      </c>
      <c r="D170" s="80"/>
      <c r="E170" s="80"/>
      <c r="F170" s="80"/>
      <c r="G170" s="80"/>
      <c r="H170" s="80"/>
      <c r="I170" s="80"/>
      <c r="J170" s="80"/>
      <c r="K170" s="80"/>
      <c r="L170" s="80"/>
      <c r="M170" s="80"/>
      <c r="N170" s="80"/>
      <c r="O170" s="80"/>
      <c r="P170" s="80"/>
      <c r="Q170" s="80"/>
      <c r="R170" s="80"/>
      <c r="S170" s="80"/>
      <c r="T170" s="80"/>
      <c r="U170" s="80"/>
      <c r="V170" s="80"/>
      <c r="W170" s="80"/>
      <c r="X170" s="80"/>
      <c r="Y170" s="80"/>
      <c r="Z170" s="80"/>
      <c r="AA170" s="80"/>
      <c r="AB170" s="80"/>
      <c r="AC170" s="283"/>
      <c r="AD170" s="283"/>
      <c r="AE170" s="283"/>
      <c r="AF170" s="283"/>
      <c r="AG170" s="283"/>
      <c r="AH170" s="283"/>
      <c r="AI170" s="85">
        <v>8</v>
      </c>
      <c r="AJ170" s="517"/>
      <c r="EW170" s="532"/>
    </row>
    <row r="171" spans="2:153" ht="26.4" x14ac:dyDescent="0.45">
      <c r="B171" s="517"/>
      <c r="C171" s="86">
        <v>8</v>
      </c>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282"/>
      <c r="AD171" s="282"/>
      <c r="AE171" s="282"/>
      <c r="AF171" s="282"/>
      <c r="AG171" s="282"/>
      <c r="AH171" s="282"/>
      <c r="AI171" s="86">
        <v>8</v>
      </c>
      <c r="AJ171" s="517"/>
      <c r="EW171" s="532"/>
    </row>
    <row r="172" spans="2:153" ht="26.4" x14ac:dyDescent="0.45">
      <c r="B172" s="517"/>
      <c r="C172" s="86"/>
      <c r="D172" s="12" t="e">
        <f>COUNTIF(TIMETABLE!#REF!,"EA005")</f>
        <v>#REF!</v>
      </c>
      <c r="E172" s="12" t="e">
        <f>COUNTIF(TIMETABLE!#REF!,"EA006")</f>
        <v>#REF!</v>
      </c>
      <c r="F172" s="12" t="e">
        <f>COUNTIF(TIMETABLE!#REF!,"EA009/10")</f>
        <v>#REF!</v>
      </c>
      <c r="G172" s="12" t="e">
        <f>COUNTIF(TIMETABLE!#REF!,"EA012")</f>
        <v>#REF!</v>
      </c>
      <c r="H172" s="12" t="e">
        <f>COUNTIF(TIMETABLE!#REF!,"EA015")</f>
        <v>#REF!</v>
      </c>
      <c r="I172" s="12" t="e">
        <f>COUNTIF(TIMETABLE!#REF!,"EA015")</f>
        <v>#REF!</v>
      </c>
      <c r="J172" s="12" t="e">
        <f>COUNTIF(TIMETABLE!#REF!,"EA105")</f>
        <v>#REF!</v>
      </c>
      <c r="K172" s="12" t="e">
        <f>COUNTIF(TIMETABLE!#REF!,"EA107")</f>
        <v>#REF!</v>
      </c>
      <c r="L172" s="12" t="e">
        <f>COUNTIF(TIMETABLE!#REF!,"EA108")</f>
        <v>#REF!</v>
      </c>
      <c r="M172" s="12" t="e">
        <f>COUNTIF(TIMETABLE!#REF!,"EB006")</f>
        <v>#REF!</v>
      </c>
      <c r="N172" s="12" t="e">
        <f>COUNTIF(TIMETABLE!#REF!,"EB007")</f>
        <v>#REF!</v>
      </c>
      <c r="O172" s="12" t="e">
        <f>COUNTIF(TIMETABLE!#REF!,"EB013")</f>
        <v>#REF!</v>
      </c>
      <c r="P172" s="12" t="e">
        <f>COUNTIF(TIMETABLE!#REF!,"EB104")</f>
        <v>#REF!</v>
      </c>
      <c r="Q172" s="12" t="e">
        <f>COUNTIF(TIMETABLE!#REF!,"EB105")</f>
        <v>#REF!</v>
      </c>
      <c r="R172" s="12" t="e">
        <f>COUNTIF(TIMETABLE!#REF!,"EB107")</f>
        <v>#REF!</v>
      </c>
      <c r="S172" s="12" t="e">
        <f>COUNTIF(TIMETABLE!#REF!,"EB109")</f>
        <v>#REF!</v>
      </c>
      <c r="T172" s="12" t="e">
        <f>COUNTIF(TIMETABLE!#REF!,"EB110")</f>
        <v>#REF!</v>
      </c>
      <c r="U172" s="12" t="e">
        <f>COUNTIF(TIMETABLE!#REF!,"MA111")</f>
        <v>#REF!</v>
      </c>
      <c r="V172" s="12" t="e">
        <f>COUNTIF(TIMETABLE!#REF!,"MA209")</f>
        <v>#REF!</v>
      </c>
      <c r="W172" s="12" t="e">
        <f>COUNTIF(TIMETABLE!#REF!,"MA212")</f>
        <v>#REF!</v>
      </c>
      <c r="X172" s="12" t="e">
        <f>COUNTIF(TIMETABLE!#REF!,"DO3")</f>
        <v>#REF!</v>
      </c>
      <c r="Y172" s="12" t="e">
        <f>COUNTIF(TIMETABLE!#REF!,"RM2")</f>
        <v>#REF!</v>
      </c>
      <c r="Z172" s="12" t="e">
        <f>COUNTIF(TIMETABLE!#REF!,"MZ01")</f>
        <v>#REF!</v>
      </c>
      <c r="AA172" s="12" t="e">
        <f>COUNTIF(TIMETABLE!#REF!,"MZ02")</f>
        <v>#REF!</v>
      </c>
      <c r="AB172" s="12" t="e">
        <f>COUNTIF(TIMETABLE!#REF!,"RM3")</f>
        <v>#REF!</v>
      </c>
      <c r="AC172" s="267" t="e">
        <f>COUNTIF(TIMETABLE!#REF!,"FET203")</f>
        <v>#REF!</v>
      </c>
      <c r="AD172" s="267" t="e">
        <f>COUNTIF(TIMETABLE!#REF!,"FET205")</f>
        <v>#REF!</v>
      </c>
      <c r="AE172" s="267" t="e">
        <f>COUNTIF(TIMETABLE!#REF!,"FET207")</f>
        <v>#REF!</v>
      </c>
      <c r="AF172" s="267" t="e">
        <f>COUNTIF(TIMETABLE!#REF!,"FET208")</f>
        <v>#REF!</v>
      </c>
      <c r="AG172" s="267" t="e">
        <f>COUNTIF(TIMETABLE!#REF!,"FET209")</f>
        <v>#REF!</v>
      </c>
      <c r="AH172" s="267" t="e">
        <f>COUNTIF(TIMETABLE!#REF!,"FET210")</f>
        <v>#REF!</v>
      </c>
      <c r="AI172" s="86"/>
      <c r="AJ172" s="517"/>
      <c r="EW172" s="532"/>
    </row>
    <row r="173" spans="2:153" ht="27" thickBot="1" x14ac:dyDescent="0.5">
      <c r="B173" s="517"/>
      <c r="C173" s="85">
        <v>9</v>
      </c>
      <c r="D173" s="80"/>
      <c r="E173" s="80"/>
      <c r="F173" s="80"/>
      <c r="G173" s="80"/>
      <c r="H173" s="80"/>
      <c r="I173" s="80"/>
      <c r="J173" s="80"/>
      <c r="K173" s="80"/>
      <c r="L173" s="80"/>
      <c r="M173" s="80"/>
      <c r="N173" s="80"/>
      <c r="O173" s="80"/>
      <c r="P173" s="80"/>
      <c r="Q173" s="80"/>
      <c r="R173" s="80"/>
      <c r="S173" s="80"/>
      <c r="T173" s="80"/>
      <c r="U173" s="80"/>
      <c r="V173" s="80"/>
      <c r="W173" s="80"/>
      <c r="X173" s="80"/>
      <c r="Y173" s="80"/>
      <c r="Z173" s="80"/>
      <c r="AA173" s="80"/>
      <c r="AB173" s="80"/>
      <c r="AC173" s="283"/>
      <c r="AD173" s="283"/>
      <c r="AE173" s="283"/>
      <c r="AF173" s="283"/>
      <c r="AG173" s="283"/>
      <c r="AH173" s="283"/>
      <c r="AI173" s="85">
        <v>9</v>
      </c>
      <c r="AJ173" s="517"/>
      <c r="EW173" s="532"/>
    </row>
    <row r="174" spans="2:153" ht="26.4" x14ac:dyDescent="0.45">
      <c r="B174" s="517"/>
      <c r="C174" s="86">
        <v>9</v>
      </c>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282"/>
      <c r="AD174" s="282"/>
      <c r="AE174" s="282"/>
      <c r="AF174" s="282"/>
      <c r="AG174" s="282"/>
      <c r="AH174" s="282"/>
      <c r="AI174" s="86">
        <v>9</v>
      </c>
      <c r="AJ174" s="517"/>
      <c r="EW174" s="532"/>
    </row>
    <row r="175" spans="2:153" ht="26.4" x14ac:dyDescent="0.45">
      <c r="B175" s="517"/>
      <c r="C175" s="87"/>
      <c r="D175" s="12" t="e">
        <f>COUNTIF(TIMETABLE!#REF!,"EA005")</f>
        <v>#REF!</v>
      </c>
      <c r="E175" s="12" t="e">
        <f>COUNTIF(TIMETABLE!#REF!,"EA006")</f>
        <v>#REF!</v>
      </c>
      <c r="F175" s="12" t="e">
        <f>COUNTIF(TIMETABLE!#REF!,"EA009/10")</f>
        <v>#REF!</v>
      </c>
      <c r="G175" s="12" t="e">
        <f>COUNTIF(TIMETABLE!#REF!,"EA012")</f>
        <v>#REF!</v>
      </c>
      <c r="H175" s="12" t="e">
        <f>COUNTIF(TIMETABLE!#REF!,"EA015")</f>
        <v>#REF!</v>
      </c>
      <c r="I175" s="12" t="e">
        <f>COUNTIF(TIMETABLE!#REF!,"EA104")</f>
        <v>#REF!</v>
      </c>
      <c r="J175" s="12" t="e">
        <f>COUNTIF(TIMETABLE!#REF!,"EA105")</f>
        <v>#REF!</v>
      </c>
      <c r="K175" s="12" t="e">
        <f>COUNTIF(TIMETABLE!#REF!,"EA107")</f>
        <v>#REF!</v>
      </c>
      <c r="L175" s="12" t="e">
        <f>COUNTIF(TIMETABLE!#REF!,"EA108")</f>
        <v>#REF!</v>
      </c>
      <c r="M175" s="12" t="e">
        <f>COUNTIF(TIMETABLE!#REF!,"EB006")</f>
        <v>#REF!</v>
      </c>
      <c r="N175" s="12" t="e">
        <f>COUNTIF(TIMETABLE!#REF!,"EB007")</f>
        <v>#REF!</v>
      </c>
      <c r="O175" s="12" t="e">
        <f>COUNTIF(TIMETABLE!#REF!,"EB013")</f>
        <v>#REF!</v>
      </c>
      <c r="P175" s="12" t="e">
        <f>COUNTIF(TIMETABLE!#REF!,"EB104")</f>
        <v>#REF!</v>
      </c>
      <c r="Q175" s="12" t="e">
        <f>COUNTIF(TIMETABLE!#REF!,"EB105")</f>
        <v>#REF!</v>
      </c>
      <c r="R175" s="12" t="e">
        <f>COUNTIF(TIMETABLE!#REF!,"EB107")</f>
        <v>#REF!</v>
      </c>
      <c r="S175" s="12" t="e">
        <f>COUNTIF(TIMETABLE!#REF!,"EB109")</f>
        <v>#REF!</v>
      </c>
      <c r="T175" s="12" t="e">
        <f>COUNTIF(TIMETABLE!#REF!,"EB110")</f>
        <v>#REF!</v>
      </c>
      <c r="U175" s="12" t="e">
        <f>COUNTIF(TIMETABLE!#REF!,"MA111")</f>
        <v>#REF!</v>
      </c>
      <c r="V175" s="12" t="e">
        <f>COUNTIF(TIMETABLE!#REF!,"MA209")</f>
        <v>#REF!</v>
      </c>
      <c r="W175" s="12" t="e">
        <f>COUNTIF(TIMETABLE!#REF!,"MA212")</f>
        <v>#REF!</v>
      </c>
      <c r="X175" s="12" t="e">
        <f>COUNTIF(TIMETABLE!#REF!,"DO3")</f>
        <v>#REF!</v>
      </c>
      <c r="Y175" s="12" t="e">
        <f>COUNTIF(TIMETABLE!#REF!,"RM2")</f>
        <v>#REF!</v>
      </c>
      <c r="Z175" s="12" t="e">
        <f>COUNTIF(TIMETABLE!#REF!,"MZ01")</f>
        <v>#REF!</v>
      </c>
      <c r="AA175" s="12" t="e">
        <f>COUNTIF(TIMETABLE!#REF!,"MZ02")</f>
        <v>#REF!</v>
      </c>
      <c r="AB175" s="12" t="e">
        <f>COUNTIF(TIMETABLE!#REF!,"RM3")</f>
        <v>#REF!</v>
      </c>
      <c r="AC175" s="267" t="e">
        <f>COUNTIF(TIMETABLE!#REF!,"FET203")</f>
        <v>#REF!</v>
      </c>
      <c r="AD175" s="267" t="e">
        <f>COUNTIF(TIMETABLE!#REF!,"FET205")</f>
        <v>#REF!</v>
      </c>
      <c r="AE175" s="267" t="e">
        <f>COUNTIF(TIMETABLE!#REF!,"FET207")</f>
        <v>#REF!</v>
      </c>
      <c r="AF175" s="267" t="e">
        <f>COUNTIF(TIMETABLE!#REF!,"FET208")</f>
        <v>#REF!</v>
      </c>
      <c r="AG175" s="267" t="e">
        <f>COUNTIF(TIMETABLE!#REF!,"FET209")</f>
        <v>#REF!</v>
      </c>
      <c r="AH175" s="267" t="e">
        <f>COUNTIF(TIMETABLE!#REF!,"FET210")</f>
        <v>#REF!</v>
      </c>
      <c r="AI175" s="87"/>
      <c r="AJ175" s="517"/>
      <c r="EW175" s="532"/>
    </row>
    <row r="176" spans="2:153" ht="27" thickBot="1" x14ac:dyDescent="0.5">
      <c r="B176" s="517"/>
      <c r="C176" s="85">
        <v>10</v>
      </c>
      <c r="D176" s="80"/>
      <c r="E176" s="80"/>
      <c r="F176" s="80"/>
      <c r="G176" s="80"/>
      <c r="H176" s="80"/>
      <c r="I176" s="80"/>
      <c r="J176" s="80"/>
      <c r="K176" s="80"/>
      <c r="L176" s="80"/>
      <c r="M176" s="80"/>
      <c r="N176" s="80"/>
      <c r="O176" s="80"/>
      <c r="P176" s="80"/>
      <c r="Q176" s="80"/>
      <c r="R176" s="80"/>
      <c r="S176" s="80"/>
      <c r="T176" s="80"/>
      <c r="U176" s="80"/>
      <c r="V176" s="80"/>
      <c r="W176" s="80"/>
      <c r="X176" s="80"/>
      <c r="Y176" s="80"/>
      <c r="Z176" s="80"/>
      <c r="AA176" s="80"/>
      <c r="AB176" s="80"/>
      <c r="AC176" s="283"/>
      <c r="AD176" s="283"/>
      <c r="AE176" s="283"/>
      <c r="AF176" s="283"/>
      <c r="AG176" s="283"/>
      <c r="AH176" s="283"/>
      <c r="AI176" s="85">
        <v>10</v>
      </c>
      <c r="AJ176" s="517"/>
      <c r="EW176" s="532"/>
    </row>
    <row r="177" spans="2:153" ht="26.4" x14ac:dyDescent="0.45">
      <c r="B177" s="517"/>
      <c r="C177" s="86">
        <v>10</v>
      </c>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282"/>
      <c r="AD177" s="282"/>
      <c r="AE177" s="282"/>
      <c r="AF177" s="282"/>
      <c r="AG177" s="282"/>
      <c r="AH177" s="282"/>
      <c r="AI177" s="86">
        <v>10</v>
      </c>
      <c r="AJ177" s="517"/>
      <c r="EW177" s="532"/>
    </row>
    <row r="178" spans="2:153" ht="26.4" x14ac:dyDescent="0.45">
      <c r="B178" s="517"/>
      <c r="C178" s="88"/>
      <c r="D178" s="12">
        <f>COUNTIF(TIMETABLE!D90:W90,"EA005")</f>
        <v>0</v>
      </c>
      <c r="E178" s="12">
        <f>COUNTIF(TIMETABLE!D90:W90,"EA006")</f>
        <v>0</v>
      </c>
      <c r="F178" s="12">
        <f>COUNTIF(TIMETABLE!D90:W90,"EA009/10")</f>
        <v>0</v>
      </c>
      <c r="G178" s="12">
        <f>COUNTIF(TIMETABLE!D90:W90,"EA012")</f>
        <v>0</v>
      </c>
      <c r="H178" s="12">
        <f>COUNTIF(TIMETABLE!D90:W90,"EA015")</f>
        <v>0</v>
      </c>
      <c r="I178" s="12">
        <f>COUNTIF(TIMETABLE!D90:W90,"EA104")</f>
        <v>0</v>
      </c>
      <c r="J178" s="12">
        <f>COUNTIF(TIMETABLE!D90:W90,"EA105")</f>
        <v>0</v>
      </c>
      <c r="K178" s="12">
        <f>COUNTIF(TIMETABLE!D90:W90,"EA107")</f>
        <v>0</v>
      </c>
      <c r="L178" s="12">
        <f>COUNTIF(TIMETABLE!D90:W90,"EA108")</f>
        <v>0</v>
      </c>
      <c r="M178" s="12">
        <f>COUNTIF(TIMETABLE!D90:W90,"EB006")</f>
        <v>0</v>
      </c>
      <c r="N178" s="12">
        <f>COUNTIF(TIMETABLE!D90:W90,"EB007")</f>
        <v>0</v>
      </c>
      <c r="O178" s="12">
        <f>COUNTIF(TIMETABLE!D90:W90,"EB013")</f>
        <v>0</v>
      </c>
      <c r="P178" s="12">
        <f>COUNTIF(TIMETABLE!L90:W90,"EB104")</f>
        <v>0</v>
      </c>
      <c r="Q178" s="12">
        <f>COUNTIF(TIMETABLE!D90:W90,"EB105")</f>
        <v>0</v>
      </c>
      <c r="R178" s="12">
        <f>COUNTIF(TIMETABLE!D90:W90,"EB107")</f>
        <v>0</v>
      </c>
      <c r="S178" s="12">
        <f>COUNTIF(TIMETABLE!D90:W90,"EB109")</f>
        <v>0</v>
      </c>
      <c r="T178" s="12">
        <f>COUNTIF(TIMETABLE!D90:W90,"EB110")</f>
        <v>0</v>
      </c>
      <c r="U178" s="12">
        <f>COUNTIF(TIMETABLE!D90:W90,"MA111")</f>
        <v>0</v>
      </c>
      <c r="V178" s="12">
        <f>COUNTIF(TIMETABLE!D90:W90,"MA209")</f>
        <v>0</v>
      </c>
      <c r="W178" s="12">
        <f>COUNTIF(TIMETABLE!D90:W90,"MA212")</f>
        <v>0</v>
      </c>
      <c r="X178" s="12">
        <f>COUNTIF(TIMETABLE!D90:W90,"DO3")</f>
        <v>0</v>
      </c>
      <c r="Y178" s="12">
        <f>COUNTIF(TIMETABLE!D90:W90,"RM2")</f>
        <v>0</v>
      </c>
      <c r="Z178" s="12">
        <f>COUNTIF(TIMETABLE!D90:W90,"MZ01")</f>
        <v>0</v>
      </c>
      <c r="AA178" s="12">
        <f>COUNTIF(TIMETABLE!D90:W90,"MZ02")</f>
        <v>0</v>
      </c>
      <c r="AB178" s="12">
        <f>COUNTIF(TIMETABLE!D90:W90,"RM3")</f>
        <v>0</v>
      </c>
      <c r="AC178" s="267">
        <f>COUNTIF(TIMETABLE!D90:W90,"FET203")</f>
        <v>0</v>
      </c>
      <c r="AD178" s="267">
        <f>COUNTIF(TIMETABLE!D90:W90,"FET205")</f>
        <v>0</v>
      </c>
      <c r="AE178" s="267">
        <f>COUNTIF(TIMETABLE!D90:W90,"FET207")</f>
        <v>0</v>
      </c>
      <c r="AF178" s="267">
        <f>COUNTIF(TIMETABLE!D90:W90,"FET208")</f>
        <v>0</v>
      </c>
      <c r="AG178" s="267">
        <f>COUNTIF(TIMETABLE!D90:W90,"FET209")</f>
        <v>0</v>
      </c>
      <c r="AH178" s="267">
        <f>COUNTIF(TIMETABLE!D90:W90,"FET210")</f>
        <v>0</v>
      </c>
      <c r="AI178" s="88"/>
      <c r="AJ178" s="517"/>
      <c r="EW178" s="532"/>
    </row>
    <row r="179" spans="2:153" ht="27" thickBot="1" x14ac:dyDescent="0.5">
      <c r="B179" s="517"/>
      <c r="C179" s="85">
        <v>11</v>
      </c>
      <c r="D179" s="80"/>
      <c r="E179" s="80"/>
      <c r="F179" s="80"/>
      <c r="G179" s="80"/>
      <c r="H179" s="80"/>
      <c r="I179" s="80"/>
      <c r="J179" s="80"/>
      <c r="K179" s="80"/>
      <c r="L179" s="80"/>
      <c r="M179" s="80"/>
      <c r="N179" s="80"/>
      <c r="O179" s="80"/>
      <c r="P179" s="80"/>
      <c r="Q179" s="80"/>
      <c r="R179" s="80"/>
      <c r="S179" s="80"/>
      <c r="T179" s="80"/>
      <c r="U179" s="80"/>
      <c r="V179" s="80"/>
      <c r="W179" s="80"/>
      <c r="X179" s="80"/>
      <c r="Y179" s="80"/>
      <c r="Z179" s="80"/>
      <c r="AA179" s="80"/>
      <c r="AB179" s="80"/>
      <c r="AC179" s="283"/>
      <c r="AD179" s="283"/>
      <c r="AE179" s="283"/>
      <c r="AF179" s="283"/>
      <c r="AG179" s="283"/>
      <c r="AH179" s="283"/>
      <c r="AI179" s="85">
        <v>11</v>
      </c>
      <c r="AJ179" s="517"/>
      <c r="EW179" s="532"/>
    </row>
    <row r="180" spans="2:153" ht="26.4" x14ac:dyDescent="0.45">
      <c r="B180" s="517"/>
      <c r="C180" s="86">
        <v>11</v>
      </c>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282"/>
      <c r="AD180" s="282"/>
      <c r="AE180" s="282"/>
      <c r="AF180" s="282"/>
      <c r="AG180" s="282"/>
      <c r="AH180" s="282"/>
      <c r="AI180" s="86">
        <v>11</v>
      </c>
      <c r="AJ180" s="517"/>
      <c r="EW180" s="532"/>
    </row>
    <row r="181" spans="2:153" ht="26.4" x14ac:dyDescent="0.45">
      <c r="B181" s="517"/>
      <c r="C181" s="84"/>
      <c r="D181" s="12" t="e">
        <f>COUNTIF(TIMETABLE!#REF!,"EA005")</f>
        <v>#REF!</v>
      </c>
      <c r="E181" s="12" t="e">
        <f>COUNTIF(TIMETABLE!#REF!,"EA006")</f>
        <v>#REF!</v>
      </c>
      <c r="F181" s="12" t="e">
        <f>COUNTIF(TIMETABLE!#REF!,"EA009/10")</f>
        <v>#REF!</v>
      </c>
      <c r="G181" s="12" t="e">
        <f>COUNTIF(TIMETABLE!#REF!,"EA012")</f>
        <v>#REF!</v>
      </c>
      <c r="H181" s="12" t="e">
        <f>COUNTIF(TIMETABLE!#REF!,"EA015")</f>
        <v>#REF!</v>
      </c>
      <c r="I181" s="12" t="e">
        <f>COUNTIF(TIMETABLE!#REF!,"EA104")</f>
        <v>#REF!</v>
      </c>
      <c r="J181" s="12" t="e">
        <f>COUNTIF(TIMETABLE!#REF!,"EA105")</f>
        <v>#REF!</v>
      </c>
      <c r="K181" s="12" t="e">
        <f>COUNTIF(TIMETABLE!#REF!,"EA107")</f>
        <v>#REF!</v>
      </c>
      <c r="L181" s="12" t="e">
        <f>COUNTIF(TIMETABLE!#REF!,"EA108")</f>
        <v>#REF!</v>
      </c>
      <c r="M181" s="12" t="e">
        <f>COUNTIF(TIMETABLE!#REF!,"EB006")</f>
        <v>#REF!</v>
      </c>
      <c r="N181" s="12" t="e">
        <f>COUNTIF(TIMETABLE!#REF!,"EB007")</f>
        <v>#REF!</v>
      </c>
      <c r="O181" s="12" t="e">
        <f>COUNTIF(TIMETABLE!#REF!,"EB013")</f>
        <v>#REF!</v>
      </c>
      <c r="P181" s="12" t="e">
        <f>COUNTIF(TIMETABLE!#REF!,"EB104")</f>
        <v>#REF!</v>
      </c>
      <c r="Q181" s="12" t="e">
        <f>COUNTIF(TIMETABLE!#REF!,"EB105")</f>
        <v>#REF!</v>
      </c>
      <c r="R181" s="12" t="e">
        <f>COUNTIF(TIMETABLE!#REF!,"EB107")</f>
        <v>#REF!</v>
      </c>
      <c r="S181" s="12" t="e">
        <f>COUNTIF(TIMETABLE!#REF!,"EB109")</f>
        <v>#REF!</v>
      </c>
      <c r="T181" s="12" t="e">
        <f>COUNTIF(TIMETABLE!#REF!,"EB110")</f>
        <v>#REF!</v>
      </c>
      <c r="U181" s="12" t="e">
        <f>COUNTIF(TIMETABLE!#REF!,"MA111")</f>
        <v>#REF!</v>
      </c>
      <c r="V181" s="12" t="e">
        <f>COUNTIF(TIMETABLE!#REF!,"MA209")</f>
        <v>#REF!</v>
      </c>
      <c r="W181" s="12" t="e">
        <f>COUNTIF(TIMETABLE!#REF!,"MA212")</f>
        <v>#REF!</v>
      </c>
      <c r="X181" s="12" t="e">
        <f>COUNTIF(TIMETABLE!#REF!,"DO3")</f>
        <v>#REF!</v>
      </c>
      <c r="Y181" s="12" t="e">
        <f>COUNTIF(TIMETABLE!#REF!,"RM2")</f>
        <v>#REF!</v>
      </c>
      <c r="Z181" s="12" t="e">
        <f>COUNTIF(TIMETABLE!#REF!,"MZ01")</f>
        <v>#REF!</v>
      </c>
      <c r="AA181" s="12" t="e">
        <f>COUNTIF(TIMETABLE!#REF!,"MZ02")</f>
        <v>#REF!</v>
      </c>
      <c r="AB181" s="12" t="e">
        <f>COUNTIF(TIMETABLE!#REF!,"RM3")</f>
        <v>#REF!</v>
      </c>
      <c r="AC181" s="267" t="e">
        <f>COUNTIF(TIMETABLE!#REF!,"FET203")</f>
        <v>#REF!</v>
      </c>
      <c r="AD181" s="267" t="e">
        <f>COUNTIF(TIMETABLE!#REF!,"FET205")</f>
        <v>#REF!</v>
      </c>
      <c r="AE181" s="267" t="e">
        <f>COUNTIF(TIMETABLE!#REF!,"FET207")</f>
        <v>#REF!</v>
      </c>
      <c r="AF181" s="267" t="e">
        <f>COUNTIF(TIMETABLE!#REF!,"FET208")</f>
        <v>#REF!</v>
      </c>
      <c r="AG181" s="267" t="e">
        <f>COUNTIF(TIMETABLE!#REF!,"FET209")</f>
        <v>#REF!</v>
      </c>
      <c r="AH181" s="267" t="e">
        <f>COUNTIF(TIMETABLE!#REF!,"FET210")</f>
        <v>#REF!</v>
      </c>
      <c r="AI181" s="84"/>
      <c r="AJ181" s="517"/>
      <c r="EW181" s="532"/>
    </row>
    <row r="182" spans="2:153" ht="27" thickBot="1" x14ac:dyDescent="0.5">
      <c r="B182" s="517"/>
      <c r="C182" s="85">
        <v>12</v>
      </c>
      <c r="D182" s="80"/>
      <c r="E182" s="80"/>
      <c r="F182" s="80"/>
      <c r="G182" s="80"/>
      <c r="H182" s="80"/>
      <c r="I182" s="80"/>
      <c r="J182" s="80"/>
      <c r="K182" s="80"/>
      <c r="L182" s="80"/>
      <c r="M182" s="80"/>
      <c r="N182" s="80"/>
      <c r="O182" s="80"/>
      <c r="P182" s="80"/>
      <c r="Q182" s="80"/>
      <c r="R182" s="80"/>
      <c r="S182" s="80"/>
      <c r="T182" s="80"/>
      <c r="U182" s="80"/>
      <c r="V182" s="80"/>
      <c r="W182" s="80"/>
      <c r="X182" s="80"/>
      <c r="Y182" s="80"/>
      <c r="Z182" s="80"/>
      <c r="AA182" s="80"/>
      <c r="AB182" s="80"/>
      <c r="AC182" s="283"/>
      <c r="AD182" s="283"/>
      <c r="AE182" s="283"/>
      <c r="AF182" s="283"/>
      <c r="AG182" s="283"/>
      <c r="AH182" s="283"/>
      <c r="AI182" s="85">
        <v>12</v>
      </c>
      <c r="AJ182" s="517"/>
      <c r="EW182" s="532"/>
    </row>
    <row r="183" spans="2:153" ht="26.4" x14ac:dyDescent="0.45">
      <c r="B183" s="517"/>
      <c r="C183" s="86">
        <v>12</v>
      </c>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282"/>
      <c r="AD183" s="282"/>
      <c r="AE183" s="282"/>
      <c r="AF183" s="282"/>
      <c r="AG183" s="282"/>
      <c r="AH183" s="282"/>
      <c r="AI183" s="86">
        <v>12</v>
      </c>
      <c r="AJ183" s="517"/>
      <c r="EW183" s="532"/>
    </row>
    <row r="184" spans="2:153" ht="26.4" x14ac:dyDescent="0.45">
      <c r="B184" s="517"/>
      <c r="C184" s="84"/>
      <c r="D184" s="12" t="e">
        <f>COUNTIF(TIMETABLE!#REF!,"EA005")</f>
        <v>#REF!</v>
      </c>
      <c r="E184" s="12" t="e">
        <f>COUNTIF(TIMETABLE!#REF!,"EA006")</f>
        <v>#REF!</v>
      </c>
      <c r="F184" s="12" t="e">
        <f>COUNTIF(TIMETABLE!#REF!,"EA009/10")</f>
        <v>#REF!</v>
      </c>
      <c r="G184" s="12" t="e">
        <f>COUNTIF(TIMETABLE!#REF!,"EA012")</f>
        <v>#REF!</v>
      </c>
      <c r="H184" s="12" t="e">
        <f>COUNTIF(TIMETABLE!#REF!,"EA015")</f>
        <v>#REF!</v>
      </c>
      <c r="I184" s="12" t="e">
        <f>COUNTIF(TIMETABLE!#REF!,"EA104")</f>
        <v>#REF!</v>
      </c>
      <c r="J184" s="12" t="e">
        <f>COUNTIF(TIMETABLE!#REF!,"EA105")</f>
        <v>#REF!</v>
      </c>
      <c r="K184" s="12" t="e">
        <f>COUNTIF(TIMETABLE!#REF!,"EA107")</f>
        <v>#REF!</v>
      </c>
      <c r="L184" s="12" t="e">
        <f>COUNTIF(TIMETABLE!#REF!,"EA108")</f>
        <v>#REF!</v>
      </c>
      <c r="M184" s="12" t="e">
        <f>COUNTIF(TIMETABLE!#REF!,"EB006")</f>
        <v>#REF!</v>
      </c>
      <c r="N184" s="12" t="e">
        <f>COUNTIF(TIMETABLE!#REF!,"EB007")</f>
        <v>#REF!</v>
      </c>
      <c r="O184" s="12" t="e">
        <f>COUNTIF(TIMETABLE!#REF!,"EB013")</f>
        <v>#REF!</v>
      </c>
      <c r="P184" s="12" t="e">
        <f>COUNTIF(TIMETABLE!#REF!,"EB104")</f>
        <v>#REF!</v>
      </c>
      <c r="Q184" s="12" t="e">
        <f>COUNTIF(TIMETABLE!#REF!,"EB105")</f>
        <v>#REF!</v>
      </c>
      <c r="R184" s="12" t="e">
        <f>COUNTIF(TIMETABLE!#REF!,"EB107")</f>
        <v>#REF!</v>
      </c>
      <c r="S184" s="12" t="e">
        <f>COUNTIF(TIMETABLE!#REF!,"EB109")</f>
        <v>#REF!</v>
      </c>
      <c r="T184" s="12" t="e">
        <f>COUNTIF(TIMETABLE!#REF!,"EB110")</f>
        <v>#REF!</v>
      </c>
      <c r="U184" s="12" t="e">
        <f>COUNTIF(TIMETABLE!#REF!,"MA111")</f>
        <v>#REF!</v>
      </c>
      <c r="V184" s="12" t="e">
        <f>COUNTIF(TIMETABLE!#REF!,"MA209")</f>
        <v>#REF!</v>
      </c>
      <c r="W184" s="12" t="e">
        <f>COUNTIF(TIMETABLE!#REF!,"MA212")</f>
        <v>#REF!</v>
      </c>
      <c r="X184" s="12" t="e">
        <f>COUNTIF(TIMETABLE!#REF!,"DO3")</f>
        <v>#REF!</v>
      </c>
      <c r="Y184" s="12" t="e">
        <f>COUNTIF(TIMETABLE!#REF!,"RM2")</f>
        <v>#REF!</v>
      </c>
      <c r="Z184" s="12" t="e">
        <f>COUNTIF(TIMETABLE!#REF!,"MZ01")</f>
        <v>#REF!</v>
      </c>
      <c r="AA184" s="12" t="e">
        <f>COUNTIF(TIMETABLE!#REF!,"MZ02")</f>
        <v>#REF!</v>
      </c>
      <c r="AB184" s="12" t="e">
        <f>COUNTIF(TIMETABLE!#REF!,"RM3")</f>
        <v>#REF!</v>
      </c>
      <c r="AC184" s="267" t="e">
        <f>COUNTIF(TIMETABLE!#REF!,"FET203")</f>
        <v>#REF!</v>
      </c>
      <c r="AD184" s="267" t="e">
        <f>COUNTIF(TIMETABLE!#REF!,"FET205")</f>
        <v>#REF!</v>
      </c>
      <c r="AE184" s="267" t="e">
        <f>COUNTIF(TIMETABLE!#REF!,"FET207")</f>
        <v>#REF!</v>
      </c>
      <c r="AF184" s="267" t="e">
        <f>COUNTIF(TIMETABLE!#REF!,"FET208")</f>
        <v>#REF!</v>
      </c>
      <c r="AG184" s="267" t="e">
        <f>COUNTIF(TIMETABLE!#REF!,"FET209")</f>
        <v>#REF!</v>
      </c>
      <c r="AH184" s="267" t="e">
        <f>COUNTIF(TIMETABLE!#REF!,"FET210")</f>
        <v>#REF!</v>
      </c>
      <c r="AI184" s="84"/>
      <c r="AJ184" s="517"/>
      <c r="EW184" s="532"/>
    </row>
    <row r="185" spans="2:153" ht="27" thickBot="1" x14ac:dyDescent="0.5">
      <c r="B185" s="517"/>
      <c r="C185" s="85">
        <v>1</v>
      </c>
      <c r="D185" s="80"/>
      <c r="E185" s="80"/>
      <c r="F185" s="80"/>
      <c r="G185" s="80"/>
      <c r="H185" s="80"/>
      <c r="I185" s="80"/>
      <c r="J185" s="80"/>
      <c r="K185" s="80"/>
      <c r="L185" s="80"/>
      <c r="M185" s="80"/>
      <c r="N185" s="80"/>
      <c r="O185" s="80"/>
      <c r="P185" s="80"/>
      <c r="Q185" s="80"/>
      <c r="R185" s="80"/>
      <c r="S185" s="80"/>
      <c r="T185" s="80"/>
      <c r="U185" s="80"/>
      <c r="V185" s="80"/>
      <c r="W185" s="80"/>
      <c r="X185" s="80"/>
      <c r="Y185" s="80"/>
      <c r="Z185" s="80"/>
      <c r="AA185" s="80"/>
      <c r="AB185" s="80"/>
      <c r="AC185" s="283"/>
      <c r="AD185" s="283"/>
      <c r="AE185" s="283"/>
      <c r="AF185" s="283"/>
      <c r="AG185" s="283"/>
      <c r="AH185" s="283"/>
      <c r="AI185" s="85">
        <v>1</v>
      </c>
      <c r="AJ185" s="517"/>
      <c r="EW185" s="532"/>
    </row>
    <row r="186" spans="2:153" ht="26.4" x14ac:dyDescent="0.45">
      <c r="B186" s="517"/>
      <c r="C186" s="29"/>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9"/>
      <c r="AJ186" s="517"/>
      <c r="EW186" s="532"/>
    </row>
    <row r="187" spans="2:153" ht="26.4" x14ac:dyDescent="0.45">
      <c r="B187" s="517"/>
      <c r="C187" s="30"/>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30"/>
      <c r="AJ187" s="517"/>
      <c r="EW187" s="532"/>
    </row>
    <row r="188" spans="2:153" ht="27" thickBot="1" x14ac:dyDescent="0.5">
      <c r="B188" s="517"/>
      <c r="C188" s="30"/>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c r="AD188" s="75"/>
      <c r="AE188" s="75"/>
      <c r="AF188" s="75"/>
      <c r="AG188" s="75"/>
      <c r="AH188" s="75"/>
      <c r="AI188" s="30"/>
      <c r="AJ188" s="517"/>
      <c r="EW188" s="532"/>
    </row>
    <row r="189" spans="2:153" ht="26.4" x14ac:dyDescent="0.45">
      <c r="B189" s="517"/>
      <c r="C189" s="62">
        <v>2</v>
      </c>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284"/>
      <c r="AD189" s="284"/>
      <c r="AE189" s="284"/>
      <c r="AF189" s="284"/>
      <c r="AG189" s="284"/>
      <c r="AH189" s="284"/>
      <c r="AI189" s="62">
        <v>2</v>
      </c>
      <c r="AJ189" s="517"/>
      <c r="EW189" s="532"/>
    </row>
    <row r="190" spans="2:153" ht="26.4" x14ac:dyDescent="0.45">
      <c r="B190" s="517"/>
      <c r="C190" s="60"/>
      <c r="D190" s="12">
        <f>COUNTIF(TIMETABLE!D97:W97,"EA005")</f>
        <v>0</v>
      </c>
      <c r="E190" s="12">
        <f>COUNTIF(TIMETABLE!D97:W97,"EA006")</f>
        <v>0</v>
      </c>
      <c r="F190" s="12">
        <f>COUNTIF(TIMETABLE!D97:W97,"EA009/10")</f>
        <v>0</v>
      </c>
      <c r="G190" s="12">
        <f>COUNTIF(TIMETABLE!D97:W97,"EA012")</f>
        <v>0</v>
      </c>
      <c r="H190" s="12">
        <f>COUNTIF(TIMETABLE!D97:W97,"EA015")</f>
        <v>0</v>
      </c>
      <c r="I190" s="12">
        <f>COUNTIF(TIMETABLE!D97:W97,"EA104")</f>
        <v>0</v>
      </c>
      <c r="J190" s="12">
        <f>COUNTIF(TIMETABLE!D97:W97,"EA105")</f>
        <v>0</v>
      </c>
      <c r="K190" s="12">
        <f>COUNTIF(TIMETABLE!D97:W97,"EA107")</f>
        <v>0</v>
      </c>
      <c r="L190" s="12">
        <f>COUNTIF(TIMETABLE!D97:W97,"EA108")</f>
        <v>0</v>
      </c>
      <c r="M190" s="12">
        <f>COUNTIF(TIMETABLE!D97:W97,"EB006")</f>
        <v>0</v>
      </c>
      <c r="N190" s="12">
        <f>COUNTIF(TIMETABLE!D97:W97,"EB007")</f>
        <v>0</v>
      </c>
      <c r="O190" s="12">
        <f>COUNTIF(TIMETABLE!D97:W97,"EB013")</f>
        <v>0</v>
      </c>
      <c r="P190" s="12">
        <f>COUNTIF(TIMETABLE!L97:W97,"EB104")</f>
        <v>0</v>
      </c>
      <c r="Q190" s="12">
        <f>COUNTIF(TIMETABLE!D97:W97,"EB105")</f>
        <v>0</v>
      </c>
      <c r="R190" s="12">
        <f>COUNTIF(TIMETABLE!D97:W97,"EB107")</f>
        <v>0</v>
      </c>
      <c r="S190" s="12">
        <f>COUNTIF(TIMETABLE!D97:W97,"EB109")</f>
        <v>0</v>
      </c>
      <c r="T190" s="12">
        <f>COUNTIF(TIMETABLE!D97:W97,"EB110")</f>
        <v>0</v>
      </c>
      <c r="U190" s="12">
        <f>COUNTIF(TIMETABLE!D97:W97,"MA111")</f>
        <v>0</v>
      </c>
      <c r="V190" s="12">
        <f>COUNTIF(TIMETABLE!D97:W97,"MA209")</f>
        <v>0</v>
      </c>
      <c r="W190" s="12">
        <f>COUNTIF(TIMETABLE!D97:W97,"MA212")</f>
        <v>0</v>
      </c>
      <c r="X190" s="12">
        <f>COUNTIF(TIMETABLE!D97:W97,"DO3")</f>
        <v>0</v>
      </c>
      <c r="Y190" s="12">
        <f>COUNTIF(TIMETABLE!D97:W97,"RM2")</f>
        <v>0</v>
      </c>
      <c r="Z190" s="12">
        <f>COUNTIF(TIMETABLE!D97:W97,"MZ01")</f>
        <v>0</v>
      </c>
      <c r="AA190" s="12">
        <f>COUNTIF(TIMETABLE!D97:W97,"MZ02")</f>
        <v>0</v>
      </c>
      <c r="AB190" s="12">
        <f>COUNTIF(TIMETABLE!D97:W97,"RM3")</f>
        <v>0</v>
      </c>
      <c r="AC190" s="267">
        <f>COUNTIF(TIMETABLE!D97:W97,"FET203")</f>
        <v>0</v>
      </c>
      <c r="AD190" s="267">
        <f>COUNTIF(TIMETABLE!D97:W97,"FET205")</f>
        <v>0</v>
      </c>
      <c r="AE190" s="267">
        <f>COUNTIF(TIMETABLE!D97:W97,"FET207")</f>
        <v>0</v>
      </c>
      <c r="AF190" s="267">
        <f>COUNTIF(TIMETABLE!D97:W97,"FET208")</f>
        <v>0</v>
      </c>
      <c r="AG190" s="267">
        <f>COUNTIF(TIMETABLE!D97:W97,"FET209")</f>
        <v>0</v>
      </c>
      <c r="AH190" s="267">
        <f>COUNTIF(TIMETABLE!D97:W97,"FET210")</f>
        <v>0</v>
      </c>
      <c r="AI190" s="60"/>
      <c r="AJ190" s="517"/>
      <c r="EW190" s="532"/>
    </row>
    <row r="191" spans="2:153" ht="27" thickBot="1" x14ac:dyDescent="0.5">
      <c r="B191" s="517"/>
      <c r="C191" s="61">
        <v>3</v>
      </c>
      <c r="D191" s="80"/>
      <c r="E191" s="80"/>
      <c r="F191" s="80"/>
      <c r="G191" s="80"/>
      <c r="H191" s="80"/>
      <c r="I191" s="80"/>
      <c r="J191" s="80"/>
      <c r="K191" s="80"/>
      <c r="L191" s="80"/>
      <c r="M191" s="80"/>
      <c r="N191" s="80"/>
      <c r="O191" s="80"/>
      <c r="P191" s="80"/>
      <c r="Q191" s="80"/>
      <c r="R191" s="80"/>
      <c r="S191" s="80"/>
      <c r="T191" s="80"/>
      <c r="U191" s="80"/>
      <c r="V191" s="80"/>
      <c r="W191" s="80"/>
      <c r="X191" s="80"/>
      <c r="Y191" s="80"/>
      <c r="Z191" s="80"/>
      <c r="AA191" s="80"/>
      <c r="AB191" s="80"/>
      <c r="AC191" s="285"/>
      <c r="AD191" s="285"/>
      <c r="AE191" s="285"/>
      <c r="AF191" s="285"/>
      <c r="AG191" s="285"/>
      <c r="AH191" s="285"/>
      <c r="AI191" s="61">
        <v>3</v>
      </c>
      <c r="AJ191" s="517"/>
      <c r="EW191" s="532"/>
    </row>
    <row r="192" spans="2:153" ht="26.4" x14ac:dyDescent="0.45">
      <c r="B192" s="517"/>
      <c r="C192" s="62">
        <v>3</v>
      </c>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284"/>
      <c r="AD192" s="284"/>
      <c r="AE192" s="284"/>
      <c r="AF192" s="284"/>
      <c r="AG192" s="284"/>
      <c r="AH192" s="284"/>
      <c r="AI192" s="62">
        <v>3</v>
      </c>
      <c r="AJ192" s="517"/>
      <c r="EW192" s="532"/>
    </row>
    <row r="193" spans="2:153" ht="26.4" x14ac:dyDescent="0.45">
      <c r="B193" s="517"/>
      <c r="C193" s="60"/>
      <c r="D193" s="12" t="e">
        <f>COUNTIF(TIMETABLE!#REF!,"EA005")</f>
        <v>#REF!</v>
      </c>
      <c r="E193" s="12" t="e">
        <f>COUNTIF(TIMETABLE!#REF!,"EA006")</f>
        <v>#REF!</v>
      </c>
      <c r="F193" s="12" t="e">
        <f>COUNTIF(TIMETABLE!#REF!,"EA009/10")</f>
        <v>#REF!</v>
      </c>
      <c r="G193" s="12" t="e">
        <f>COUNTIF(TIMETABLE!#REF!,"EA012")</f>
        <v>#REF!</v>
      </c>
      <c r="H193" s="12" t="e">
        <f>COUNTIF(TIMETABLE!#REF!,"EA015")</f>
        <v>#REF!</v>
      </c>
      <c r="I193" s="12" t="e">
        <f>COUNTIF(TIMETABLE!#REF!,"EA104")</f>
        <v>#REF!</v>
      </c>
      <c r="J193" s="12" t="e">
        <f>COUNTIF(TIMETABLE!#REF!,"EA105")</f>
        <v>#REF!</v>
      </c>
      <c r="K193" s="12" t="e">
        <f>COUNTIF(TIMETABLE!#REF!,"EA107")</f>
        <v>#REF!</v>
      </c>
      <c r="L193" s="12" t="e">
        <f>COUNTIF(TIMETABLE!#REF!,"EA108")</f>
        <v>#REF!</v>
      </c>
      <c r="M193" s="12" t="e">
        <f>COUNTIF(TIMETABLE!#REF!,"EB006")</f>
        <v>#REF!</v>
      </c>
      <c r="N193" s="12" t="e">
        <f>COUNTIF(TIMETABLE!#REF!,"EB007")</f>
        <v>#REF!</v>
      </c>
      <c r="O193" s="12" t="e">
        <f>COUNTIF(TIMETABLE!#REF!,"EB013")</f>
        <v>#REF!</v>
      </c>
      <c r="P193" s="12" t="e">
        <f>COUNTIF(TIMETABLE!#REF!,"EB104")</f>
        <v>#REF!</v>
      </c>
      <c r="Q193" s="12" t="e">
        <f>COUNTIF(TIMETABLE!#REF!,"EB105")</f>
        <v>#REF!</v>
      </c>
      <c r="R193" s="12" t="e">
        <f>COUNTIF(TIMETABLE!#REF!,"EB107")</f>
        <v>#REF!</v>
      </c>
      <c r="S193" s="12" t="e">
        <f>COUNTIF(TIMETABLE!#REF!,"EB109")</f>
        <v>#REF!</v>
      </c>
      <c r="T193" s="12" t="e">
        <f>COUNTIF(TIMETABLE!#REF!,"EB110")</f>
        <v>#REF!</v>
      </c>
      <c r="U193" s="12" t="e">
        <f>COUNTIF(TIMETABLE!#REF!,"MA111")</f>
        <v>#REF!</v>
      </c>
      <c r="V193" s="12" t="e">
        <f>COUNTIF(TIMETABLE!#REF!,"MA209")</f>
        <v>#REF!</v>
      </c>
      <c r="W193" s="12" t="e">
        <f>COUNTIF(TIMETABLE!#REF!,"MA212")</f>
        <v>#REF!</v>
      </c>
      <c r="X193" s="12" t="e">
        <f>COUNTIF(TIMETABLE!#REF!,"DO3")</f>
        <v>#REF!</v>
      </c>
      <c r="Y193" s="12" t="e">
        <f>COUNTIF(TIMETABLE!#REF!,"RM2")</f>
        <v>#REF!</v>
      </c>
      <c r="Z193" s="12" t="e">
        <f>COUNTIF(TIMETABLE!#REF!,"MZ01")</f>
        <v>#REF!</v>
      </c>
      <c r="AA193" s="12" t="e">
        <f>COUNTIF(TIMETABLE!#REF!,"MZ02")</f>
        <v>#REF!</v>
      </c>
      <c r="AB193" s="12" t="e">
        <f>COUNTIF(TIMETABLE!#REF!,"RM3")</f>
        <v>#REF!</v>
      </c>
      <c r="AC193" s="267" t="e">
        <f>COUNTIF(TIMETABLE!#REF!,"FET203")</f>
        <v>#REF!</v>
      </c>
      <c r="AD193" s="267" t="e">
        <f>COUNTIF(TIMETABLE!#REF!,"FET205")</f>
        <v>#REF!</v>
      </c>
      <c r="AE193" s="267" t="e">
        <f>COUNTIF(TIMETABLE!#REF!,"FET207")</f>
        <v>#REF!</v>
      </c>
      <c r="AF193" s="267" t="e">
        <f>COUNTIF(TIMETABLE!#REF!,"FET208")</f>
        <v>#REF!</v>
      </c>
      <c r="AG193" s="267" t="e">
        <f>COUNTIF(TIMETABLE!#REF!,"FET209")</f>
        <v>#REF!</v>
      </c>
      <c r="AH193" s="267" t="e">
        <f>COUNTIF(TIMETABLE!#REF!,"FET210")</f>
        <v>#REF!</v>
      </c>
      <c r="AI193" s="60"/>
      <c r="AJ193" s="517"/>
      <c r="EW193" s="532"/>
    </row>
    <row r="194" spans="2:153" ht="27" thickBot="1" x14ac:dyDescent="0.5">
      <c r="B194" s="517"/>
      <c r="C194" s="61">
        <v>4</v>
      </c>
      <c r="D194" s="80"/>
      <c r="E194" s="80"/>
      <c r="F194" s="80"/>
      <c r="G194" s="80"/>
      <c r="H194" s="80"/>
      <c r="I194" s="80" t="e">
        <f>COUNTIF(TIMETABLE!#REF!,"EA104")</f>
        <v>#REF!</v>
      </c>
      <c r="J194" s="80"/>
      <c r="K194" s="80"/>
      <c r="L194" s="80"/>
      <c r="M194" s="80"/>
      <c r="N194" s="80"/>
      <c r="O194" s="80"/>
      <c r="P194" s="80"/>
      <c r="Q194" s="80"/>
      <c r="R194" s="80"/>
      <c r="S194" s="80"/>
      <c r="T194" s="80"/>
      <c r="U194" s="80"/>
      <c r="V194" s="80"/>
      <c r="W194" s="80"/>
      <c r="X194" s="80"/>
      <c r="Y194" s="80"/>
      <c r="Z194" s="80"/>
      <c r="AA194" s="80"/>
      <c r="AB194" s="80"/>
      <c r="AC194" s="285"/>
      <c r="AD194" s="285"/>
      <c r="AE194" s="285"/>
      <c r="AF194" s="285"/>
      <c r="AG194" s="285"/>
      <c r="AH194" s="285"/>
      <c r="AI194" s="61">
        <v>4</v>
      </c>
      <c r="AJ194" s="517"/>
      <c r="EW194" s="532"/>
    </row>
    <row r="195" spans="2:153" ht="26.4" x14ac:dyDescent="0.45">
      <c r="B195" s="517"/>
      <c r="C195" s="62">
        <v>4</v>
      </c>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284"/>
      <c r="AD195" s="284"/>
      <c r="AE195" s="284"/>
      <c r="AF195" s="284"/>
      <c r="AG195" s="284"/>
      <c r="AH195" s="284"/>
      <c r="AI195" s="62">
        <v>4</v>
      </c>
      <c r="AJ195" s="517"/>
      <c r="EW195" s="532"/>
    </row>
    <row r="196" spans="2:153" ht="26.4" x14ac:dyDescent="0.45">
      <c r="B196" s="517"/>
      <c r="C196" s="60"/>
      <c r="D196" s="12" t="e">
        <f>COUNTIF(TIMETABLE!#REF!,"EA005")</f>
        <v>#REF!</v>
      </c>
      <c r="E196" s="12" t="e">
        <f>COUNTIF(TIMETABLE!#REF!,"EA006")</f>
        <v>#REF!</v>
      </c>
      <c r="F196" s="12" t="e">
        <f>COUNTIF(TIMETABLE!#REF!,"EA009/10")</f>
        <v>#REF!</v>
      </c>
      <c r="G196" s="12" t="e">
        <f>COUNTIF(TIMETABLE!#REF!,"EA012")</f>
        <v>#REF!</v>
      </c>
      <c r="H196" s="12" t="e">
        <f>COUNTIF(TIMETABLE!#REF!,"EA015")</f>
        <v>#REF!</v>
      </c>
      <c r="I196" s="12" t="e">
        <f>COUNTIF(TIMETABLE!#REF!,"EA104")</f>
        <v>#REF!</v>
      </c>
      <c r="J196" s="12" t="e">
        <f>COUNTIF(TIMETABLE!#REF!,"EA105")</f>
        <v>#REF!</v>
      </c>
      <c r="K196" s="12" t="e">
        <f>COUNTIF(TIMETABLE!#REF!,"EA107")</f>
        <v>#REF!</v>
      </c>
      <c r="L196" s="12" t="e">
        <f>COUNTIF(TIMETABLE!#REF!,"EA108")</f>
        <v>#REF!</v>
      </c>
      <c r="M196" s="12" t="e">
        <f>COUNTIF(TIMETABLE!#REF!,"EB006")</f>
        <v>#REF!</v>
      </c>
      <c r="N196" s="12" t="e">
        <f>COUNTIF(TIMETABLE!#REF!,"EB007")</f>
        <v>#REF!</v>
      </c>
      <c r="O196" s="12" t="e">
        <f>COUNTIF(TIMETABLE!#REF!,"EB013")</f>
        <v>#REF!</v>
      </c>
      <c r="P196" s="12" t="e">
        <f>COUNTIF(TIMETABLE!#REF!,"EB104")</f>
        <v>#REF!</v>
      </c>
      <c r="Q196" s="12" t="e">
        <f>COUNTIF(TIMETABLE!#REF!,"EB105")</f>
        <v>#REF!</v>
      </c>
      <c r="R196" s="12" t="e">
        <f>COUNTIF(TIMETABLE!#REF!,"EB107")</f>
        <v>#REF!</v>
      </c>
      <c r="S196" s="12" t="e">
        <f>COUNTIF(TIMETABLE!#REF!,"EB109")</f>
        <v>#REF!</v>
      </c>
      <c r="T196" s="12" t="e">
        <f>COUNTIF(TIMETABLE!#REF!,"EB110")</f>
        <v>#REF!</v>
      </c>
      <c r="U196" s="12" t="e">
        <f>COUNTIF(TIMETABLE!#REF!,"MA111")</f>
        <v>#REF!</v>
      </c>
      <c r="V196" s="12" t="e">
        <f>COUNTIF(TIMETABLE!#REF!,"MA209")</f>
        <v>#REF!</v>
      </c>
      <c r="W196" s="12" t="e">
        <f>COUNTIF(TIMETABLE!#REF!,"MA212")</f>
        <v>#REF!</v>
      </c>
      <c r="X196" s="12" t="e">
        <f>COUNTIF(TIMETABLE!#REF!,"DO3")</f>
        <v>#REF!</v>
      </c>
      <c r="Y196" s="12" t="e">
        <f>COUNTIF(TIMETABLE!#REF!,"RM2")</f>
        <v>#REF!</v>
      </c>
      <c r="Z196" s="12" t="e">
        <f>COUNTIF(TIMETABLE!#REF!,"MZ01")</f>
        <v>#REF!</v>
      </c>
      <c r="AA196" s="12" t="e">
        <f>COUNTIF(TIMETABLE!#REF!,"MZ02")</f>
        <v>#REF!</v>
      </c>
      <c r="AB196" s="12" t="e">
        <f>COUNTIF(TIMETABLE!#REF!,"RM3")</f>
        <v>#REF!</v>
      </c>
      <c r="AC196" s="267" t="e">
        <f>COUNTIF(TIMETABLE!#REF!,"FET203")</f>
        <v>#REF!</v>
      </c>
      <c r="AD196" s="267" t="e">
        <f>COUNTIF(TIMETABLE!#REF!,"FET205")</f>
        <v>#REF!</v>
      </c>
      <c r="AE196" s="267" t="e">
        <f>COUNTIF(TIMETABLE!#REF!,"FET207")</f>
        <v>#REF!</v>
      </c>
      <c r="AF196" s="267" t="e">
        <f>COUNTIF(TIMETABLE!#REF!,"FET208")</f>
        <v>#REF!</v>
      </c>
      <c r="AG196" s="267" t="e">
        <f>COUNTIF(TIMETABLE!#REF!,"FET209")</f>
        <v>#REF!</v>
      </c>
      <c r="AH196" s="267" t="e">
        <f>COUNTIF(TIMETABLE!#REF!,"FET210")</f>
        <v>#REF!</v>
      </c>
      <c r="AI196" s="60"/>
      <c r="AJ196" s="517"/>
      <c r="EW196" s="532"/>
    </row>
    <row r="197" spans="2:153" ht="27" thickBot="1" x14ac:dyDescent="0.5">
      <c r="B197" s="517"/>
      <c r="C197" s="61">
        <v>5</v>
      </c>
      <c r="D197" s="80"/>
      <c r="E197" s="80"/>
      <c r="F197" s="80"/>
      <c r="G197" s="80"/>
      <c r="H197" s="80"/>
      <c r="I197" s="80"/>
      <c r="J197" s="80"/>
      <c r="K197" s="80"/>
      <c r="L197" s="80"/>
      <c r="M197" s="80"/>
      <c r="N197" s="80"/>
      <c r="O197" s="80"/>
      <c r="P197" s="80"/>
      <c r="Q197" s="80"/>
      <c r="R197" s="80"/>
      <c r="S197" s="80"/>
      <c r="T197" s="80"/>
      <c r="U197" s="80"/>
      <c r="V197" s="80"/>
      <c r="W197" s="80"/>
      <c r="X197" s="80"/>
      <c r="Y197" s="80"/>
      <c r="Z197" s="80"/>
      <c r="AA197" s="80"/>
      <c r="AB197" s="80"/>
      <c r="AC197" s="285"/>
      <c r="AD197" s="285"/>
      <c r="AE197" s="285"/>
      <c r="AF197" s="285"/>
      <c r="AG197" s="285"/>
      <c r="AH197" s="285"/>
      <c r="AI197" s="61">
        <v>5</v>
      </c>
      <c r="AJ197" s="517"/>
      <c r="EW197" s="532"/>
    </row>
    <row r="198" spans="2:153" ht="26.4" x14ac:dyDescent="0.45">
      <c r="B198" s="517"/>
      <c r="C198" s="62">
        <v>5</v>
      </c>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62">
        <v>5</v>
      </c>
      <c r="AJ198" s="517"/>
      <c r="EW198" s="532"/>
    </row>
    <row r="199" spans="2:153" ht="26.4" x14ac:dyDescent="0.45">
      <c r="B199" s="517"/>
      <c r="C199" s="60"/>
      <c r="D199" s="12">
        <f>COUNTIF(TIMETABLE!D101:W101,"EA005")</f>
        <v>0</v>
      </c>
      <c r="E199" s="12">
        <f>COUNTIF(TIMETABLE!D101:W101,"EA006")</f>
        <v>0</v>
      </c>
      <c r="F199" s="12">
        <f>COUNTIF(TIMETABLE!D101:W101,"EA009/10")</f>
        <v>0</v>
      </c>
      <c r="G199" s="12">
        <f>COUNTIF(TIMETABLE!D101:W101,"EA012")</f>
        <v>0</v>
      </c>
      <c r="H199" s="12">
        <f>COUNTIF(TIMETABLE!D101:W101,"EA015")</f>
        <v>0</v>
      </c>
      <c r="I199" s="12">
        <f>COUNTIF(TIMETABLE!D101:W101,"EA104")</f>
        <v>0</v>
      </c>
      <c r="J199" s="12">
        <f>COUNTIF(TIMETABLE!D101:W101,"EA105")</f>
        <v>0</v>
      </c>
      <c r="K199" s="12">
        <f>COUNTIF(TIMETABLE!D101:W101,"EA107")</f>
        <v>0</v>
      </c>
      <c r="L199" s="12">
        <f>COUNTIF(TIMETABLE!D101:W101,"EA108")</f>
        <v>0</v>
      </c>
      <c r="M199" s="12">
        <f>COUNTIF(TIMETABLE!D101:W101,"EB006")</f>
        <v>0</v>
      </c>
      <c r="N199" s="12">
        <f>COUNTIF(TIMETABLE!D101:W101,"EB007")</f>
        <v>0</v>
      </c>
      <c r="O199" s="12">
        <f>COUNTIF(TIMETABLE!D101:W101,"EB013")</f>
        <v>0</v>
      </c>
      <c r="P199" s="12">
        <f>COUNTIF(TIMETABLE!L101:W101,"EB104")</f>
        <v>0</v>
      </c>
      <c r="Q199" s="12">
        <f>COUNTIF(TIMETABLE!D101:W101,"EB105")</f>
        <v>0</v>
      </c>
      <c r="R199" s="12">
        <f>COUNTIF(TIMETABLE!D101:W101,"EB107")</f>
        <v>0</v>
      </c>
      <c r="S199" s="12">
        <f>COUNTIF(TIMETABLE!D101:W101,"EB109")</f>
        <v>0</v>
      </c>
      <c r="T199" s="12">
        <f>COUNTIF(TIMETABLE!D101:W101,"EB110")</f>
        <v>0</v>
      </c>
      <c r="U199" s="12">
        <f>COUNTIF(TIMETABLE!D101:W101,"MA111")</f>
        <v>0</v>
      </c>
      <c r="V199" s="12">
        <f>COUNTIF(TIMETABLE!D101:W101,"MA209")</f>
        <v>0</v>
      </c>
      <c r="W199" s="12">
        <f>COUNTIF(TIMETABLE!D101:W101,"MA212")</f>
        <v>0</v>
      </c>
      <c r="X199" s="12">
        <f>COUNTIF(TIMETABLE!D101:W101,"DO3")</f>
        <v>0</v>
      </c>
      <c r="Y199" s="12">
        <f>COUNTIF(TIMETABLE!D101:W101,"RM2")</f>
        <v>0</v>
      </c>
      <c r="Z199" s="12">
        <f>COUNTIF(TIMETABLE!D101:W101,"MZ01")</f>
        <v>0</v>
      </c>
      <c r="AA199" s="12">
        <f>COUNTIF(TIMETABLE!D101:W101,"MZ02")</f>
        <v>0</v>
      </c>
      <c r="AB199" s="12">
        <f>COUNTIF(TIMETABLE!D101:W101,"RM3")</f>
        <v>0</v>
      </c>
      <c r="AC199" s="12">
        <f>COUNTIF(TIMETABLE!D101:W101,"FET203")</f>
        <v>0</v>
      </c>
      <c r="AD199" s="12">
        <f>COUNTIF(TIMETABLE!D101:W101,"FET205")</f>
        <v>0</v>
      </c>
      <c r="AE199" s="12">
        <f>COUNTIF(TIMETABLE!D101:W101,"FET207")</f>
        <v>0</v>
      </c>
      <c r="AF199" s="12">
        <f>COUNTIF(TIMETABLE!D101:W101,"FET208")</f>
        <v>0</v>
      </c>
      <c r="AG199" s="12">
        <f>COUNTIF(TIMETABLE!D101:W101,"FET209")</f>
        <v>0</v>
      </c>
      <c r="AH199" s="12">
        <f>COUNTIF(TIMETABLE!D101:W101,"FET210")</f>
        <v>0</v>
      </c>
      <c r="AI199" s="60"/>
      <c r="AJ199" s="517"/>
      <c r="EW199" s="532"/>
    </row>
    <row r="200" spans="2:153" ht="27" thickBot="1" x14ac:dyDescent="0.5">
      <c r="B200" s="517"/>
      <c r="C200" s="61">
        <v>6</v>
      </c>
      <c r="D200" s="80"/>
      <c r="E200" s="80"/>
      <c r="F200" s="80"/>
      <c r="G200" s="80"/>
      <c r="H200" s="80"/>
      <c r="I200" s="80"/>
      <c r="J200" s="80"/>
      <c r="K200" s="80"/>
      <c r="L200" s="80"/>
      <c r="M200" s="80"/>
      <c r="N200" s="80"/>
      <c r="O200" s="80"/>
      <c r="P200" s="80"/>
      <c r="Q200" s="80"/>
      <c r="R200" s="80"/>
      <c r="S200" s="80"/>
      <c r="T200" s="80"/>
      <c r="U200" s="80"/>
      <c r="V200" s="80"/>
      <c r="W200" s="80"/>
      <c r="X200" s="80"/>
      <c r="Y200" s="80"/>
      <c r="Z200" s="80"/>
      <c r="AA200" s="80"/>
      <c r="AB200" s="80"/>
      <c r="AC200" s="80"/>
      <c r="AD200" s="80"/>
      <c r="AE200" s="80"/>
      <c r="AF200" s="80"/>
      <c r="AG200" s="80"/>
      <c r="AH200" s="80"/>
      <c r="AI200" s="61">
        <v>6</v>
      </c>
      <c r="AJ200" s="517"/>
      <c r="EW200" s="532"/>
    </row>
    <row r="201" spans="2:153" ht="26.4" x14ac:dyDescent="0.45">
      <c r="B201" s="517"/>
      <c r="C201" s="89">
        <v>6</v>
      </c>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89">
        <v>6</v>
      </c>
      <c r="AJ201" s="517"/>
      <c r="EW201" s="532"/>
    </row>
    <row r="202" spans="2:153" ht="26.4" x14ac:dyDescent="0.45">
      <c r="B202" s="517"/>
      <c r="C202" s="60"/>
      <c r="D202" s="12" t="e">
        <f>COUNTIF(TIMETABLE!#REF!,"EA005")</f>
        <v>#REF!</v>
      </c>
      <c r="E202" s="12" t="e">
        <f>COUNTIF(TIMETABLE!#REF!,"EA006")</f>
        <v>#REF!</v>
      </c>
      <c r="F202" s="12" t="e">
        <f>COUNTIF(TIMETABLE!#REF!,"EA009/10")</f>
        <v>#REF!</v>
      </c>
      <c r="G202" s="12" t="e">
        <f>COUNTIF(TIMETABLE!#REF!,"EA012")</f>
        <v>#REF!</v>
      </c>
      <c r="H202" s="12" t="e">
        <f>COUNTIF(TIMETABLE!#REF!,"EA015")</f>
        <v>#REF!</v>
      </c>
      <c r="I202" s="12" t="e">
        <f>COUNTIF(TIMETABLE!#REF!,"EA104")</f>
        <v>#REF!</v>
      </c>
      <c r="J202" s="12" t="e">
        <f>COUNTIF(TIMETABLE!#REF!,"EA105")</f>
        <v>#REF!</v>
      </c>
      <c r="K202" s="12" t="e">
        <f>COUNTIF(TIMETABLE!#REF!,"EA107")</f>
        <v>#REF!</v>
      </c>
      <c r="L202" s="12" t="e">
        <f>COUNTIF(TIMETABLE!#REF!,"EA108")</f>
        <v>#REF!</v>
      </c>
      <c r="M202" s="12" t="e">
        <f>COUNTIF(TIMETABLE!#REF!,"EB006")</f>
        <v>#REF!</v>
      </c>
      <c r="N202" s="12" t="e">
        <f>COUNTIF(TIMETABLE!#REF!,"EB007")</f>
        <v>#REF!</v>
      </c>
      <c r="O202" s="12" t="e">
        <f>COUNTIF(TIMETABLE!#REF!,"EB013")</f>
        <v>#REF!</v>
      </c>
      <c r="P202" s="12" t="e">
        <f>COUNTIF(TIMETABLE!#REF!,"EB104")</f>
        <v>#REF!</v>
      </c>
      <c r="Q202" s="12" t="e">
        <f>COUNTIF(TIMETABLE!#REF!,"EB105")</f>
        <v>#REF!</v>
      </c>
      <c r="R202" s="12" t="e">
        <f>COUNTIF(TIMETABLE!#REF!,"EB107")</f>
        <v>#REF!</v>
      </c>
      <c r="S202" s="12" t="e">
        <f>COUNTIF(TIMETABLE!#REF!,"EB109")</f>
        <v>#REF!</v>
      </c>
      <c r="T202" s="12" t="e">
        <f>COUNTIF(TIMETABLE!#REF!,"EB110")</f>
        <v>#REF!</v>
      </c>
      <c r="U202" s="12" t="e">
        <f>COUNTIF(TIMETABLE!#REF!,"MA111")</f>
        <v>#REF!</v>
      </c>
      <c r="V202" s="12" t="e">
        <f>COUNTIF(TIMETABLE!#REF!,"MA209")</f>
        <v>#REF!</v>
      </c>
      <c r="W202" s="12" t="e">
        <f>COUNTIF(TIMETABLE!#REF!,"MA212")</f>
        <v>#REF!</v>
      </c>
      <c r="X202" s="12" t="e">
        <f>COUNTIF(TIMETABLE!#REF!,"DO3")</f>
        <v>#REF!</v>
      </c>
      <c r="Y202" s="12" t="e">
        <f>COUNTIF(TIMETABLE!#REF!,"RM2")</f>
        <v>#REF!</v>
      </c>
      <c r="Z202" s="12" t="e">
        <f>COUNTIF(TIMETABLE!#REF!,"MZ01")</f>
        <v>#REF!</v>
      </c>
      <c r="AA202" s="12" t="e">
        <f>COUNTIF(TIMETABLE!#REF!,"MZ02")</f>
        <v>#REF!</v>
      </c>
      <c r="AB202" s="12" t="e">
        <f>COUNTIF(TIMETABLE!#REF!,"RM3")</f>
        <v>#REF!</v>
      </c>
      <c r="AC202" s="12" t="e">
        <f>COUNTIF(TIMETABLE!#REF!,"FET203")</f>
        <v>#REF!</v>
      </c>
      <c r="AD202" s="12" t="e">
        <f>COUNTIF(TIMETABLE!#REF!,"FET205")</f>
        <v>#REF!</v>
      </c>
      <c r="AE202" s="12" t="e">
        <f>COUNTIF(TIMETABLE!#REF!,"FET207")</f>
        <v>#REF!</v>
      </c>
      <c r="AF202" s="12" t="e">
        <f>COUNTIF(TIMETABLE!#REF!,"FET208")</f>
        <v>#REF!</v>
      </c>
      <c r="AG202" s="12" t="e">
        <f>COUNTIF(TIMETABLE!#REF!,"FET209")</f>
        <v>#REF!</v>
      </c>
      <c r="AH202" s="12" t="e">
        <f>COUNTIF(TIMETABLE!#REF!,"FET210")</f>
        <v>#REF!</v>
      </c>
      <c r="AI202" s="60"/>
      <c r="AJ202" s="517"/>
      <c r="EW202" s="532"/>
    </row>
    <row r="203" spans="2:153" ht="27" thickBot="1" x14ac:dyDescent="0.5">
      <c r="B203" s="517"/>
      <c r="C203" s="61">
        <v>7</v>
      </c>
      <c r="D203" s="80"/>
      <c r="E203" s="80"/>
      <c r="F203" s="80"/>
      <c r="G203" s="80"/>
      <c r="H203" s="80"/>
      <c r="I203" s="80"/>
      <c r="J203" s="80"/>
      <c r="K203" s="80"/>
      <c r="L203" s="80"/>
      <c r="M203" s="80"/>
      <c r="N203" s="80"/>
      <c r="O203" s="80"/>
      <c r="P203" s="80"/>
      <c r="Q203" s="80"/>
      <c r="R203" s="80"/>
      <c r="S203" s="80"/>
      <c r="T203" s="80"/>
      <c r="U203" s="80"/>
      <c r="V203" s="80"/>
      <c r="W203" s="80"/>
      <c r="X203" s="80"/>
      <c r="Y203" s="80"/>
      <c r="Z203" s="80"/>
      <c r="AA203" s="80"/>
      <c r="AB203" s="80"/>
      <c r="AC203" s="80"/>
      <c r="AD203" s="80"/>
      <c r="AE203" s="80"/>
      <c r="AF203" s="80"/>
      <c r="AG203" s="80"/>
      <c r="AH203" s="80"/>
      <c r="AI203" s="61">
        <v>7</v>
      </c>
      <c r="AJ203" s="517"/>
      <c r="EW203" s="532"/>
    </row>
    <row r="204" spans="2:153" ht="26.4" x14ac:dyDescent="0.45">
      <c r="B204" s="517"/>
      <c r="C204" s="60">
        <v>7</v>
      </c>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60">
        <v>7</v>
      </c>
      <c r="AJ204" s="517"/>
      <c r="EW204" s="532"/>
    </row>
    <row r="205" spans="2:153" ht="26.4" x14ac:dyDescent="0.45">
      <c r="B205" s="517"/>
      <c r="C205" s="60"/>
      <c r="D205" s="12" t="e">
        <f>COUNTIF(TIMETABLE!#REF!,"EA005")</f>
        <v>#REF!</v>
      </c>
      <c r="E205" s="12" t="e">
        <f>COUNTIF(TIMETABLE!#REF!,"EA006")</f>
        <v>#REF!</v>
      </c>
      <c r="F205" s="12" t="e">
        <f>COUNTIF(TIMETABLE!#REF!,"EA009/10")</f>
        <v>#REF!</v>
      </c>
      <c r="G205" s="12" t="e">
        <f>COUNTIF(TIMETABLE!#REF!,"EA012")</f>
        <v>#REF!</v>
      </c>
      <c r="H205" s="12" t="e">
        <f>COUNTIF(TIMETABLE!#REF!,"EA015")</f>
        <v>#REF!</v>
      </c>
      <c r="I205" s="12" t="e">
        <f>COUNTIF(TIMETABLE!#REF!,"EA104")</f>
        <v>#REF!</v>
      </c>
      <c r="J205" s="12" t="e">
        <f>COUNTIF(TIMETABLE!#REF!,"EA105")</f>
        <v>#REF!</v>
      </c>
      <c r="K205" s="12" t="e">
        <f>COUNTIF(TIMETABLE!#REF!,"EA107")</f>
        <v>#REF!</v>
      </c>
      <c r="L205" s="12" t="e">
        <f>COUNTIF(TIMETABLE!#REF!,"EA108")</f>
        <v>#REF!</v>
      </c>
      <c r="M205" s="12" t="e">
        <f>COUNTIF(TIMETABLE!#REF!,"EB006")</f>
        <v>#REF!</v>
      </c>
      <c r="N205" s="12" t="e">
        <f>COUNTIF(TIMETABLE!#REF!,"EB007")</f>
        <v>#REF!</v>
      </c>
      <c r="O205" s="12" t="e">
        <f>COUNTIF(TIMETABLE!#REF!,"EB013")</f>
        <v>#REF!</v>
      </c>
      <c r="P205" s="12" t="e">
        <f>COUNTIF(TIMETABLE!#REF!,"EB104")</f>
        <v>#REF!</v>
      </c>
      <c r="Q205" s="12" t="e">
        <f>COUNTIF(TIMETABLE!#REF!,"EB105")</f>
        <v>#REF!</v>
      </c>
      <c r="R205" s="12" t="e">
        <f>COUNTIF(TIMETABLE!#REF!,"EB107")</f>
        <v>#REF!</v>
      </c>
      <c r="S205" s="12" t="e">
        <f>COUNTIF(TIMETABLE!#REF!,"EB109")</f>
        <v>#REF!</v>
      </c>
      <c r="T205" s="12" t="e">
        <f>COUNTIF(TIMETABLE!#REF!,"EB110")</f>
        <v>#REF!</v>
      </c>
      <c r="U205" s="12" t="e">
        <f>COUNTIF(TIMETABLE!#REF!,"MA111")</f>
        <v>#REF!</v>
      </c>
      <c r="V205" s="12" t="e">
        <f>COUNTIF(TIMETABLE!#REF!,"MA209")</f>
        <v>#REF!</v>
      </c>
      <c r="W205" s="12" t="e">
        <f>COUNTIF(TIMETABLE!#REF!,"MA212")</f>
        <v>#REF!</v>
      </c>
      <c r="X205" s="12" t="e">
        <f>COUNTIF(TIMETABLE!#REF!,"DO3")</f>
        <v>#REF!</v>
      </c>
      <c r="Y205" s="12" t="e">
        <f>COUNTIF(TIMETABLE!#REF!,"RM2")</f>
        <v>#REF!</v>
      </c>
      <c r="Z205" s="12" t="e">
        <f>COUNTIF(TIMETABLE!#REF!,"MZ01")</f>
        <v>#REF!</v>
      </c>
      <c r="AA205" s="12" t="e">
        <f>COUNTIF(TIMETABLE!#REF!,"MZ02")</f>
        <v>#REF!</v>
      </c>
      <c r="AB205" s="12" t="e">
        <f>COUNTIF(TIMETABLE!#REF!,"RM3")</f>
        <v>#REF!</v>
      </c>
      <c r="AC205" s="12" t="e">
        <f>COUNTIF(TIMETABLE!#REF!,"FET203")</f>
        <v>#REF!</v>
      </c>
      <c r="AD205" s="12" t="e">
        <f>COUNTIF(TIMETABLE!#REF!,"FET205")</f>
        <v>#REF!</v>
      </c>
      <c r="AE205" s="12" t="e">
        <f>COUNTIF(TIMETABLE!#REF!,"FET207")</f>
        <v>#REF!</v>
      </c>
      <c r="AF205" s="12" t="e">
        <f>COUNTIF(TIMETABLE!#REF!,"FET208")</f>
        <v>#REF!</v>
      </c>
      <c r="AG205" s="12" t="e">
        <f>COUNTIF(TIMETABLE!#REF!,"FET209")</f>
        <v>#REF!</v>
      </c>
      <c r="AH205" s="12" t="e">
        <f>COUNTIF(TIMETABLE!#REF!,"FET210")</f>
        <v>#REF!</v>
      </c>
      <c r="AI205" s="60"/>
      <c r="AJ205" s="517"/>
      <c r="EW205" s="532"/>
    </row>
    <row r="206" spans="2:153" ht="27" thickBot="1" x14ac:dyDescent="0.5">
      <c r="B206" s="518"/>
      <c r="C206" s="63">
        <v>8</v>
      </c>
      <c r="D206" s="80"/>
      <c r="E206" s="80"/>
      <c r="F206" s="80"/>
      <c r="G206" s="80"/>
      <c r="H206" s="80"/>
      <c r="I206" s="80"/>
      <c r="J206" s="80"/>
      <c r="K206" s="80"/>
      <c r="L206" s="80"/>
      <c r="M206" s="80"/>
      <c r="N206" s="80"/>
      <c r="O206" s="80"/>
      <c r="P206" s="80"/>
      <c r="Q206" s="80"/>
      <c r="R206" s="80"/>
      <c r="S206" s="80"/>
      <c r="T206" s="80"/>
      <c r="U206" s="80"/>
      <c r="V206" s="80"/>
      <c r="W206" s="80"/>
      <c r="X206" s="80"/>
      <c r="Y206" s="80"/>
      <c r="Z206" s="80"/>
      <c r="AA206" s="80"/>
      <c r="AB206" s="80"/>
      <c r="AC206" s="80"/>
      <c r="AD206" s="80"/>
      <c r="AE206" s="80"/>
      <c r="AF206" s="80"/>
      <c r="AG206" s="80"/>
      <c r="AH206" s="80"/>
      <c r="AI206" s="63">
        <v>8</v>
      </c>
      <c r="AJ206" s="518"/>
      <c r="EW206" s="532"/>
    </row>
    <row r="207" spans="2:153" ht="26.4" x14ac:dyDescent="0.45">
      <c r="B207" s="519" t="s">
        <v>10</v>
      </c>
      <c r="C207" s="64">
        <v>7</v>
      </c>
      <c r="D207" s="78"/>
      <c r="E207" s="78"/>
      <c r="F207" s="78"/>
      <c r="G207" s="78"/>
      <c r="H207" s="78"/>
      <c r="I207" s="78"/>
      <c r="J207" s="78"/>
      <c r="K207" s="78"/>
      <c r="L207" s="78"/>
      <c r="M207" s="78"/>
      <c r="N207" s="78"/>
      <c r="O207" s="78"/>
      <c r="P207" s="78"/>
      <c r="Q207" s="78"/>
      <c r="R207" s="78"/>
      <c r="S207" s="78"/>
      <c r="T207" s="78"/>
      <c r="U207" s="78"/>
      <c r="V207" s="78"/>
      <c r="W207" s="78"/>
      <c r="X207" s="78"/>
      <c r="Y207" s="78"/>
      <c r="Z207" s="78"/>
      <c r="AA207" s="78"/>
      <c r="AB207" s="78"/>
      <c r="AC207" s="274"/>
      <c r="AD207" s="274"/>
      <c r="AE207" s="274"/>
      <c r="AF207" s="274"/>
      <c r="AG207" s="274"/>
      <c r="AH207" s="274"/>
      <c r="AI207" s="64">
        <v>7</v>
      </c>
      <c r="AJ207" s="519" t="s">
        <v>10</v>
      </c>
      <c r="EW207" s="532"/>
    </row>
    <row r="208" spans="2:153" ht="26.4" x14ac:dyDescent="0.45">
      <c r="B208" s="520"/>
      <c r="C208" s="15"/>
      <c r="D208" s="12">
        <f>COUNTIF(TIMETABLE!D105:W105,"EA005")</f>
        <v>0</v>
      </c>
      <c r="E208" s="12">
        <f>COUNTIF(TIMETABLE!D105:W105,"EA006")</f>
        <v>0</v>
      </c>
      <c r="F208" s="12">
        <f>COUNTIF(TIMETABLE!D105:W105,"EA009/10")</f>
        <v>0</v>
      </c>
      <c r="G208" s="12">
        <f>COUNTIF(TIMETABLE!D105:W105,"EA012")</f>
        <v>0</v>
      </c>
      <c r="H208" s="12">
        <f>COUNTIF(TIMETABLE!D105:W105,"EA015")</f>
        <v>0</v>
      </c>
      <c r="I208" s="12">
        <f>COUNTIF(TIMETABLE!D105:W105,"EA104")</f>
        <v>0</v>
      </c>
      <c r="J208" s="12">
        <f>COUNTIF(TIMETABLE!D105:W105,"EA105")</f>
        <v>0</v>
      </c>
      <c r="K208" s="12">
        <f>COUNTIF(TIMETABLE!D105:W105,"EA107")</f>
        <v>0</v>
      </c>
      <c r="L208" s="12">
        <f>COUNTIF(TIMETABLE!D105:W105,"EA108")</f>
        <v>0</v>
      </c>
      <c r="M208" s="12">
        <f>COUNTIF(TIMETABLE!D105:W105,"EB006")</f>
        <v>0</v>
      </c>
      <c r="N208" s="12">
        <f>COUNTIF(TIMETABLE!D105:W105,"EB007")</f>
        <v>0</v>
      </c>
      <c r="O208" s="12">
        <f>COUNTIF(TIMETABLE!D105:W105,"EB013")</f>
        <v>0</v>
      </c>
      <c r="P208" s="12">
        <f>COUNTIF(TIMETABLE!L105:W105,"EB104")</f>
        <v>0</v>
      </c>
      <c r="Q208" s="12">
        <f>COUNTIF(TIMETABLE!D105:W105,"EB105")</f>
        <v>0</v>
      </c>
      <c r="R208" s="12">
        <f>COUNTIF(TIMETABLE!D105:W105,"EB107")</f>
        <v>0</v>
      </c>
      <c r="S208" s="12">
        <f>COUNTIF(TIMETABLE!D105:W105,"EB109")</f>
        <v>0</v>
      </c>
      <c r="T208" s="12">
        <f>COUNTIF(TIMETABLE!D105:W105,"EB110")</f>
        <v>0</v>
      </c>
      <c r="U208" s="12">
        <f>COUNTIF(TIMETABLE!D105:W105,"MA111")</f>
        <v>0</v>
      </c>
      <c r="V208" s="12">
        <f>COUNTIF(TIMETABLE!D105:W105,"MA209")</f>
        <v>0</v>
      </c>
      <c r="W208" s="12">
        <f>COUNTIF(TIMETABLE!D105:W105,"MA212")</f>
        <v>0</v>
      </c>
      <c r="X208" s="12">
        <f>COUNTIF(TIMETABLE!D105:W105,"DO3")</f>
        <v>0</v>
      </c>
      <c r="Y208" s="12">
        <f>COUNTIF(TIMETABLE!D105:W105,"RM2")</f>
        <v>0</v>
      </c>
      <c r="Z208" s="12">
        <f>COUNTIF(TIMETABLE!D105:W105,"MZ01")</f>
        <v>0</v>
      </c>
      <c r="AA208" s="12">
        <f>COUNTIF(TIMETABLE!D105:W105,"MZ02")</f>
        <v>0</v>
      </c>
      <c r="AB208" s="12">
        <f>COUNTIF(TIMETABLE!D105:W105,"RM3")</f>
        <v>0</v>
      </c>
      <c r="AC208" s="267">
        <f>COUNTIF(TIMETABLE!D105:W105,"FET203")</f>
        <v>0</v>
      </c>
      <c r="AD208" s="267">
        <f>COUNTIF(TIMETABLE!D105:W105,"FET205")</f>
        <v>0</v>
      </c>
      <c r="AE208" s="267">
        <f>COUNTIF(TIMETABLE!D105:W105,"FET207")</f>
        <v>0</v>
      </c>
      <c r="AF208" s="267">
        <f>COUNTIF(TIMETABLE!D105:W105,"FET208")</f>
        <v>0</v>
      </c>
      <c r="AG208" s="267">
        <f>COUNTIF(TIMETABLE!D105:W105,"FET209")</f>
        <v>0</v>
      </c>
      <c r="AH208" s="267">
        <f>COUNTIF(TIMETABLE!D105:W105,"FET210")</f>
        <v>0</v>
      </c>
      <c r="AI208" s="15"/>
      <c r="AJ208" s="520"/>
      <c r="EW208" s="532"/>
    </row>
    <row r="209" spans="2:153" ht="27" thickBot="1" x14ac:dyDescent="0.5">
      <c r="B209" s="520"/>
      <c r="C209" s="65">
        <v>8</v>
      </c>
      <c r="D209" s="79"/>
      <c r="E209" s="79"/>
      <c r="F209" s="79"/>
      <c r="G209" s="79"/>
      <c r="H209" s="79"/>
      <c r="I209" s="79"/>
      <c r="J209" s="79"/>
      <c r="K209" s="79"/>
      <c r="L209" s="79"/>
      <c r="M209" s="79"/>
      <c r="N209" s="79"/>
      <c r="O209" s="79"/>
      <c r="P209" s="79"/>
      <c r="Q209" s="79"/>
      <c r="R209" s="79"/>
      <c r="S209" s="79"/>
      <c r="T209" s="79"/>
      <c r="U209" s="79"/>
      <c r="V209" s="79"/>
      <c r="W209" s="79"/>
      <c r="X209" s="79"/>
      <c r="Y209" s="79"/>
      <c r="Z209" s="79"/>
      <c r="AA209" s="79"/>
      <c r="AB209" s="79"/>
      <c r="AC209" s="275"/>
      <c r="AD209" s="275"/>
      <c r="AE209" s="275"/>
      <c r="AF209" s="275"/>
      <c r="AG209" s="275"/>
      <c r="AH209" s="275"/>
      <c r="AI209" s="65">
        <v>8</v>
      </c>
      <c r="AJ209" s="520"/>
      <c r="EW209" s="532"/>
    </row>
    <row r="210" spans="2:153" ht="26.4" x14ac:dyDescent="0.45">
      <c r="B210" s="520"/>
      <c r="C210" s="64">
        <v>8</v>
      </c>
      <c r="D210" s="78"/>
      <c r="E210" s="78"/>
      <c r="F210" s="78"/>
      <c r="G210" s="78"/>
      <c r="H210" s="78"/>
      <c r="I210" s="78"/>
      <c r="J210" s="78"/>
      <c r="K210" s="78"/>
      <c r="L210" s="78"/>
      <c r="M210" s="78"/>
      <c r="N210" s="78"/>
      <c r="O210" s="78"/>
      <c r="P210" s="78"/>
      <c r="Q210" s="78"/>
      <c r="R210" s="78"/>
      <c r="S210" s="78"/>
      <c r="T210" s="78"/>
      <c r="U210" s="78"/>
      <c r="V210" s="78"/>
      <c r="W210" s="78"/>
      <c r="X210" s="78"/>
      <c r="Y210" s="78"/>
      <c r="Z210" s="78"/>
      <c r="AA210" s="78"/>
      <c r="AB210" s="78"/>
      <c r="AC210" s="274"/>
      <c r="AD210" s="274"/>
      <c r="AE210" s="274"/>
      <c r="AF210" s="274"/>
      <c r="AG210" s="274"/>
      <c r="AH210" s="274"/>
      <c r="AI210" s="64">
        <v>8</v>
      </c>
      <c r="AJ210" s="520"/>
      <c r="EW210" s="532"/>
    </row>
    <row r="211" spans="2:153" ht="26.4" x14ac:dyDescent="0.45">
      <c r="B211" s="520"/>
      <c r="C211" s="64"/>
      <c r="D211" s="12" t="e">
        <f>COUNTIF(TIMETABLE!#REF!,"EA005")</f>
        <v>#REF!</v>
      </c>
      <c r="E211" s="12" t="e">
        <f>COUNTIF(TIMETABLE!#REF!,"EA006")</f>
        <v>#REF!</v>
      </c>
      <c r="F211" s="12" t="e">
        <f>COUNTIF(TIMETABLE!#REF!,"EA009/10")</f>
        <v>#REF!</v>
      </c>
      <c r="G211" s="12" t="e">
        <f>COUNTIF(TIMETABLE!#REF!,"EA012")</f>
        <v>#REF!</v>
      </c>
      <c r="H211" s="12" t="e">
        <f>COUNTIF(TIMETABLE!#REF!,"EA015")</f>
        <v>#REF!</v>
      </c>
      <c r="I211" s="12" t="e">
        <f>COUNTIF(TIMETABLE!#REF!,"EA104")</f>
        <v>#REF!</v>
      </c>
      <c r="J211" s="12" t="e">
        <f>COUNTIF(TIMETABLE!#REF!,"EA105")</f>
        <v>#REF!</v>
      </c>
      <c r="K211" s="12" t="e">
        <f>COUNTIF(TIMETABLE!#REF!,"EA107")</f>
        <v>#REF!</v>
      </c>
      <c r="L211" s="12" t="e">
        <f>COUNTIF(TIMETABLE!#REF!,"EA108")</f>
        <v>#REF!</v>
      </c>
      <c r="M211" s="12" t="e">
        <f>COUNTIF(TIMETABLE!#REF!,"EB006")</f>
        <v>#REF!</v>
      </c>
      <c r="N211" s="12" t="e">
        <f>COUNTIF(TIMETABLE!#REF!,"EB007")</f>
        <v>#REF!</v>
      </c>
      <c r="O211" s="12" t="e">
        <f>COUNTIF(TIMETABLE!#REF!,"EB013")</f>
        <v>#REF!</v>
      </c>
      <c r="P211" s="12" t="e">
        <f>COUNTIF(TIMETABLE!#REF!,"EB104")</f>
        <v>#REF!</v>
      </c>
      <c r="Q211" s="12" t="e">
        <f>COUNTIF(TIMETABLE!#REF!,"EB105")</f>
        <v>#REF!</v>
      </c>
      <c r="R211" s="12" t="e">
        <f>COUNTIF(TIMETABLE!#REF!,"EB107")</f>
        <v>#REF!</v>
      </c>
      <c r="S211" s="12" t="e">
        <f>COUNTIF(TIMETABLE!#REF!,"EB109")</f>
        <v>#REF!</v>
      </c>
      <c r="T211" s="12" t="e">
        <f>COUNTIF(TIMETABLE!#REF!,"EB110")</f>
        <v>#REF!</v>
      </c>
      <c r="U211" s="12" t="e">
        <f>COUNTIF(TIMETABLE!#REF!,"MA111")</f>
        <v>#REF!</v>
      </c>
      <c r="V211" s="12" t="e">
        <f>COUNTIF(TIMETABLE!#REF!,"MA209")</f>
        <v>#REF!</v>
      </c>
      <c r="W211" s="12" t="e">
        <f>COUNTIF(TIMETABLE!#REF!,"MA212")</f>
        <v>#REF!</v>
      </c>
      <c r="X211" s="12" t="e">
        <f>COUNTIF(TIMETABLE!#REF!,"DO3")</f>
        <v>#REF!</v>
      </c>
      <c r="Y211" s="12" t="e">
        <f>COUNTIF(TIMETABLE!#REF!,"RM2")</f>
        <v>#REF!</v>
      </c>
      <c r="Z211" s="12" t="e">
        <f>COUNTIF(TIMETABLE!#REF!,"MZ01")</f>
        <v>#REF!</v>
      </c>
      <c r="AA211" s="12" t="e">
        <f>COUNTIF(TIMETABLE!#REF!,"MZ02")</f>
        <v>#REF!</v>
      </c>
      <c r="AB211" s="12" t="e">
        <f>COUNTIF(TIMETABLE!#REF!,"RM3")</f>
        <v>#REF!</v>
      </c>
      <c r="AC211" s="267" t="e">
        <f>COUNTIF(TIMETABLE!#REF!,"FET203")</f>
        <v>#REF!</v>
      </c>
      <c r="AD211" s="267" t="e">
        <f>COUNTIF(TIMETABLE!#REF!,"FET205")</f>
        <v>#REF!</v>
      </c>
      <c r="AE211" s="267" t="e">
        <f>COUNTIF(TIMETABLE!#REF!,"FET207")</f>
        <v>#REF!</v>
      </c>
      <c r="AF211" s="267" t="e">
        <f>COUNTIF(TIMETABLE!#REF!,"FET208")</f>
        <v>#REF!</v>
      </c>
      <c r="AG211" s="267" t="e">
        <f>COUNTIF(TIMETABLE!#REF!,"FET209")</f>
        <v>#REF!</v>
      </c>
      <c r="AH211" s="267" t="e">
        <f>COUNTIF(TIMETABLE!#REF!,"FET210")</f>
        <v>#REF!</v>
      </c>
      <c r="AI211" s="64"/>
      <c r="AJ211" s="520"/>
      <c r="EW211" s="532"/>
    </row>
    <row r="212" spans="2:153" ht="27" thickBot="1" x14ac:dyDescent="0.5">
      <c r="B212" s="520"/>
      <c r="C212" s="65">
        <v>9</v>
      </c>
      <c r="D212" s="79"/>
      <c r="E212" s="79"/>
      <c r="F212" s="79"/>
      <c r="G212" s="79"/>
      <c r="H212" s="79"/>
      <c r="I212" s="79"/>
      <c r="J212" s="79"/>
      <c r="K212" s="79"/>
      <c r="L212" s="79"/>
      <c r="M212" s="79"/>
      <c r="N212" s="79"/>
      <c r="O212" s="79"/>
      <c r="P212" s="79"/>
      <c r="Q212" s="79"/>
      <c r="R212" s="79"/>
      <c r="S212" s="79"/>
      <c r="T212" s="79"/>
      <c r="U212" s="79"/>
      <c r="V212" s="79"/>
      <c r="W212" s="79"/>
      <c r="X212" s="79"/>
      <c r="Y212" s="79"/>
      <c r="Z212" s="79"/>
      <c r="AA212" s="79"/>
      <c r="AB212" s="79"/>
      <c r="AC212" s="275"/>
      <c r="AD212" s="275"/>
      <c r="AE212" s="275"/>
      <c r="AF212" s="275"/>
      <c r="AG212" s="275"/>
      <c r="AH212" s="275"/>
      <c r="AI212" s="65">
        <v>9</v>
      </c>
      <c r="AJ212" s="520"/>
      <c r="EW212" s="532"/>
    </row>
    <row r="213" spans="2:153" ht="26.4" x14ac:dyDescent="0.45">
      <c r="B213" s="520"/>
      <c r="C213" s="64">
        <v>9</v>
      </c>
      <c r="D213" s="78"/>
      <c r="E213" s="78"/>
      <c r="F213" s="78"/>
      <c r="G213" s="78"/>
      <c r="H213" s="78"/>
      <c r="I213" s="78"/>
      <c r="J213" s="78"/>
      <c r="K213" s="78"/>
      <c r="L213" s="78"/>
      <c r="M213" s="78"/>
      <c r="N213" s="78"/>
      <c r="O213" s="78"/>
      <c r="P213" s="78"/>
      <c r="Q213" s="78"/>
      <c r="R213" s="78"/>
      <c r="S213" s="78"/>
      <c r="T213" s="78"/>
      <c r="U213" s="78"/>
      <c r="V213" s="78"/>
      <c r="W213" s="78"/>
      <c r="X213" s="78"/>
      <c r="Y213" s="78"/>
      <c r="Z213" s="78"/>
      <c r="AA213" s="78"/>
      <c r="AB213" s="78"/>
      <c r="AC213" s="274"/>
      <c r="AD213" s="274"/>
      <c r="AE213" s="274"/>
      <c r="AF213" s="274"/>
      <c r="AG213" s="274"/>
      <c r="AH213" s="274"/>
      <c r="AI213" s="64">
        <v>9</v>
      </c>
      <c r="AJ213" s="520"/>
      <c r="EW213" s="532"/>
    </row>
    <row r="214" spans="2:153" ht="26.4" x14ac:dyDescent="0.45">
      <c r="B214" s="520"/>
      <c r="C214" s="25"/>
      <c r="D214" s="12" t="e">
        <f>COUNTIF(TIMETABLE!#REF!,"EA005")</f>
        <v>#REF!</v>
      </c>
      <c r="E214" s="12" t="e">
        <f>COUNTIF(TIMETABLE!#REF!,"EA006")</f>
        <v>#REF!</v>
      </c>
      <c r="F214" s="12" t="e">
        <f>COUNTIF(TIMETABLE!#REF!,"EA009/10")</f>
        <v>#REF!</v>
      </c>
      <c r="G214" s="12" t="e">
        <f>COUNTIF(TIMETABLE!#REF!,"EA012")</f>
        <v>#REF!</v>
      </c>
      <c r="H214" s="12" t="e">
        <f>COUNTIF(TIMETABLE!#REF!,"EA015")</f>
        <v>#REF!</v>
      </c>
      <c r="I214" s="12" t="e">
        <f>COUNTIF(TIMETABLE!#REF!,"EA104")</f>
        <v>#REF!</v>
      </c>
      <c r="J214" s="12" t="e">
        <f>COUNTIF(TIMETABLE!#REF!,"EA105")</f>
        <v>#REF!</v>
      </c>
      <c r="K214" s="12" t="e">
        <f>COUNTIF(TIMETABLE!#REF!,"EA107")</f>
        <v>#REF!</v>
      </c>
      <c r="L214" s="12" t="e">
        <f>COUNTIF(TIMETABLE!#REF!,"EA108")</f>
        <v>#REF!</v>
      </c>
      <c r="M214" s="12" t="e">
        <f>COUNTIF(TIMETABLE!#REF!,"EB006")</f>
        <v>#REF!</v>
      </c>
      <c r="N214" s="12" t="e">
        <f>COUNTIF(TIMETABLE!#REF!,"EB007")</f>
        <v>#REF!</v>
      </c>
      <c r="O214" s="12" t="e">
        <f>COUNTIF(TIMETABLE!#REF!,"EB013")</f>
        <v>#REF!</v>
      </c>
      <c r="P214" s="12" t="e">
        <f>COUNTIF(TIMETABLE!#REF!,"EB104")</f>
        <v>#REF!</v>
      </c>
      <c r="Q214" s="12" t="e">
        <f>COUNTIF(TIMETABLE!#REF!,"EB105")</f>
        <v>#REF!</v>
      </c>
      <c r="R214" s="12" t="e">
        <f>COUNTIF(TIMETABLE!#REF!,"EB107")</f>
        <v>#REF!</v>
      </c>
      <c r="S214" s="12" t="e">
        <f>COUNTIF(TIMETABLE!#REF!,"EB109")</f>
        <v>#REF!</v>
      </c>
      <c r="T214" s="12" t="e">
        <f>COUNTIF(TIMETABLE!#REF!,"EB110")</f>
        <v>#REF!</v>
      </c>
      <c r="U214" s="12" t="e">
        <f>COUNTIF(TIMETABLE!#REF!,"MA111")</f>
        <v>#REF!</v>
      </c>
      <c r="V214" s="12" t="e">
        <f>COUNTIF(TIMETABLE!#REF!,"MA209")</f>
        <v>#REF!</v>
      </c>
      <c r="W214" s="12" t="e">
        <f>COUNTIF(TIMETABLE!#REF!,"MA212")</f>
        <v>#REF!</v>
      </c>
      <c r="X214" s="12" t="e">
        <f>COUNTIF(TIMETABLE!#REF!,"DO3")</f>
        <v>#REF!</v>
      </c>
      <c r="Y214" s="12" t="e">
        <f>COUNTIF(TIMETABLE!#REF!,"RM2")</f>
        <v>#REF!</v>
      </c>
      <c r="Z214" s="12" t="e">
        <f>COUNTIF(TIMETABLE!#REF!,"MZ01")</f>
        <v>#REF!</v>
      </c>
      <c r="AA214" s="12" t="e">
        <f>COUNTIF(TIMETABLE!#REF!,"MZ02")</f>
        <v>#REF!</v>
      </c>
      <c r="AB214" s="12" t="e">
        <f>COUNTIF(TIMETABLE!#REF!,"RM3")</f>
        <v>#REF!</v>
      </c>
      <c r="AC214" s="12" t="e">
        <f>COUNTIF(TIMETABLE!#REF!,"FET203")</f>
        <v>#REF!</v>
      </c>
      <c r="AD214" s="12" t="e">
        <f>COUNTIF(TIMETABLE!#REF!,"FET205")</f>
        <v>#REF!</v>
      </c>
      <c r="AE214" s="12" t="e">
        <f>COUNTIF(TIMETABLE!#REF!,"FET207")</f>
        <v>#REF!</v>
      </c>
      <c r="AF214" s="12" t="e">
        <f>COUNTIF(TIMETABLE!#REF!,"FET208")</f>
        <v>#REF!</v>
      </c>
      <c r="AG214" s="12" t="e">
        <f>COUNTIF(TIMETABLE!#REF!,"FET209")</f>
        <v>#REF!</v>
      </c>
      <c r="AH214" s="12" t="e">
        <f>COUNTIF(TIMETABLE!#REF!,"FET210")</f>
        <v>#REF!</v>
      </c>
      <c r="AI214" s="25"/>
      <c r="AJ214" s="520"/>
      <c r="EW214" s="532"/>
    </row>
    <row r="215" spans="2:153" ht="27" thickBot="1" x14ac:dyDescent="0.5">
      <c r="B215" s="520"/>
      <c r="C215" s="65">
        <v>10</v>
      </c>
      <c r="D215" s="79"/>
      <c r="E215" s="79"/>
      <c r="F215" s="79"/>
      <c r="G215" s="79"/>
      <c r="H215" s="79"/>
      <c r="I215" s="79"/>
      <c r="J215" s="79"/>
      <c r="K215" s="79"/>
      <c r="L215" s="79"/>
      <c r="M215" s="79"/>
      <c r="N215" s="79"/>
      <c r="O215" s="79"/>
      <c r="P215" s="79"/>
      <c r="Q215" s="79"/>
      <c r="R215" s="79"/>
      <c r="S215" s="79"/>
      <c r="T215" s="79"/>
      <c r="U215" s="79"/>
      <c r="V215" s="79"/>
      <c r="W215" s="79"/>
      <c r="X215" s="79"/>
      <c r="Y215" s="79"/>
      <c r="Z215" s="79"/>
      <c r="AA215" s="79"/>
      <c r="AB215" s="79"/>
      <c r="AC215" s="275"/>
      <c r="AD215" s="275"/>
      <c r="AE215" s="275"/>
      <c r="AF215" s="275"/>
      <c r="AG215" s="275"/>
      <c r="AH215" s="275"/>
      <c r="AI215" s="65">
        <v>10</v>
      </c>
      <c r="AJ215" s="520"/>
      <c r="EW215" s="532"/>
    </row>
    <row r="216" spans="2:153" ht="26.4" x14ac:dyDescent="0.45">
      <c r="B216" s="520"/>
      <c r="C216" s="64">
        <v>10</v>
      </c>
      <c r="D216" s="78"/>
      <c r="E216" s="78"/>
      <c r="F216" s="78"/>
      <c r="G216" s="78"/>
      <c r="H216" s="78"/>
      <c r="I216" s="78"/>
      <c r="J216" s="78"/>
      <c r="K216" s="78"/>
      <c r="L216" s="78"/>
      <c r="M216" s="78"/>
      <c r="N216" s="78"/>
      <c r="O216" s="78"/>
      <c r="P216" s="78"/>
      <c r="Q216" s="78"/>
      <c r="R216" s="78"/>
      <c r="S216" s="78"/>
      <c r="T216" s="78"/>
      <c r="U216" s="78"/>
      <c r="V216" s="78"/>
      <c r="W216" s="78"/>
      <c r="X216" s="78"/>
      <c r="Y216" s="78"/>
      <c r="Z216" s="78"/>
      <c r="AA216" s="78"/>
      <c r="AB216" s="78"/>
      <c r="AC216" s="274"/>
      <c r="AD216" s="274"/>
      <c r="AE216" s="274"/>
      <c r="AF216" s="274"/>
      <c r="AG216" s="274"/>
      <c r="AH216" s="274"/>
      <c r="AI216" s="64">
        <v>10</v>
      </c>
      <c r="AJ216" s="520"/>
      <c r="EW216" s="532"/>
    </row>
    <row r="217" spans="2:153" ht="26.4" x14ac:dyDescent="0.45">
      <c r="B217" s="520"/>
      <c r="C217" s="14"/>
      <c r="D217" s="12">
        <f>COUNTIF(TIMETABLE!D109:W109,"EA005")</f>
        <v>0</v>
      </c>
      <c r="E217" s="12">
        <f>COUNTIF(TIMETABLE!D109:W109,"EA006")</f>
        <v>0</v>
      </c>
      <c r="F217" s="12">
        <f>COUNTIF(TIMETABLE!D109:W109,"EA009/10")</f>
        <v>0</v>
      </c>
      <c r="G217" s="12">
        <f>COUNTIF(TIMETABLE!D109:W109,"EA012")</f>
        <v>0</v>
      </c>
      <c r="H217" s="12">
        <f>COUNTIF(TIMETABLE!D109:W109,"EA015")</f>
        <v>0</v>
      </c>
      <c r="I217" s="12">
        <f>COUNTIF(TIMETABLE!D109:W109,"EA104")</f>
        <v>0</v>
      </c>
      <c r="J217" s="12">
        <f>COUNTIF(TIMETABLE!D109:W109,"EA105")</f>
        <v>0</v>
      </c>
      <c r="K217" s="12">
        <f>COUNTIF(TIMETABLE!D109:W109,"EA107")</f>
        <v>0</v>
      </c>
      <c r="L217" s="12">
        <f>COUNTIF(TIMETABLE!D109:W109,"EA108")</f>
        <v>0</v>
      </c>
      <c r="M217" s="12">
        <f>COUNTIF(TIMETABLE!D109:W109,"EB006")</f>
        <v>0</v>
      </c>
      <c r="N217" s="12">
        <f>COUNTIF(TIMETABLE!D109:W109,"EB007")</f>
        <v>0</v>
      </c>
      <c r="O217" s="12">
        <f>COUNTIF(TIMETABLE!D109:W109,"EB013")</f>
        <v>0</v>
      </c>
      <c r="P217" s="12">
        <f>COUNTIF(TIMETABLE!L109:W109,"EB104")</f>
        <v>0</v>
      </c>
      <c r="Q217" s="12">
        <f>COUNTIF(TIMETABLE!D109:W109,"EB105")</f>
        <v>0</v>
      </c>
      <c r="R217" s="12">
        <f>COUNTIF(TIMETABLE!D109:W109,"EB107")</f>
        <v>0</v>
      </c>
      <c r="S217" s="12">
        <f>COUNTIF(TIMETABLE!D109:W109,"EB109")</f>
        <v>0</v>
      </c>
      <c r="T217" s="12">
        <f>COUNTIF(TIMETABLE!D109:W109,"EB110")</f>
        <v>0</v>
      </c>
      <c r="U217" s="12">
        <f>COUNTIF(TIMETABLE!D109:W109,"MA111")</f>
        <v>0</v>
      </c>
      <c r="V217" s="12">
        <f>COUNTIF(TIMETABLE!D109:W109,"MA209")</f>
        <v>0</v>
      </c>
      <c r="W217" s="12">
        <f>COUNTIF(TIMETABLE!D109:W109,"MA212")</f>
        <v>0</v>
      </c>
      <c r="X217" s="12">
        <f>COUNTIF(TIMETABLE!D109:W109,"DO3")</f>
        <v>0</v>
      </c>
      <c r="Y217" s="12">
        <f>COUNTIF(TIMETABLE!D109:W109,"RM2")</f>
        <v>0</v>
      </c>
      <c r="Z217" s="12">
        <f>COUNTIF(TIMETABLE!D109:W109,"MZ01")</f>
        <v>0</v>
      </c>
      <c r="AA217" s="12">
        <f>COUNTIF(TIMETABLE!D109:W109,"MZ02")</f>
        <v>0</v>
      </c>
      <c r="AB217" s="12">
        <f>COUNTIF(TIMETABLE!D109:W109,"RM3")</f>
        <v>0</v>
      </c>
      <c r="AC217" s="267">
        <f>COUNTIF(TIMETABLE!D109:W109,"FET203")</f>
        <v>0</v>
      </c>
      <c r="AD217" s="267">
        <f>COUNTIF(TIMETABLE!D109:W109,"FET205")</f>
        <v>0</v>
      </c>
      <c r="AE217" s="267">
        <f>COUNTIF(TIMETABLE!D109:W109,"FET207")</f>
        <v>0</v>
      </c>
      <c r="AF217" s="267">
        <f>COUNTIF(TIMETABLE!D109:W109,"FET208")</f>
        <v>0</v>
      </c>
      <c r="AG217" s="267">
        <f>COUNTIF(TIMETABLE!D109:W109,"FET209")</f>
        <v>0</v>
      </c>
      <c r="AH217" s="267">
        <f>COUNTIF(TIMETABLE!D109:W109,"FET210")</f>
        <v>0</v>
      </c>
      <c r="AI217" s="14"/>
      <c r="AJ217" s="520"/>
      <c r="EW217" s="532"/>
    </row>
    <row r="218" spans="2:153" ht="27" thickBot="1" x14ac:dyDescent="0.5">
      <c r="B218" s="520"/>
      <c r="C218" s="65">
        <v>11</v>
      </c>
      <c r="D218" s="79"/>
      <c r="E218" s="79"/>
      <c r="F218" s="79"/>
      <c r="G218" s="79"/>
      <c r="H218" s="79"/>
      <c r="I218" s="79"/>
      <c r="J218" s="79"/>
      <c r="K218" s="79"/>
      <c r="L218" s="79"/>
      <c r="M218" s="79"/>
      <c r="N218" s="79"/>
      <c r="O218" s="79"/>
      <c r="P218" s="79"/>
      <c r="Q218" s="79"/>
      <c r="R218" s="79"/>
      <c r="S218" s="79"/>
      <c r="T218" s="79"/>
      <c r="U218" s="79"/>
      <c r="V218" s="79"/>
      <c r="W218" s="79"/>
      <c r="X218" s="79"/>
      <c r="Y218" s="79"/>
      <c r="Z218" s="79"/>
      <c r="AA218" s="79"/>
      <c r="AB218" s="79"/>
      <c r="AC218" s="275"/>
      <c r="AD218" s="275"/>
      <c r="AE218" s="275"/>
      <c r="AF218" s="275"/>
      <c r="AG218" s="275"/>
      <c r="AH218" s="275"/>
      <c r="AI218" s="65">
        <v>11</v>
      </c>
      <c r="AJ218" s="520"/>
      <c r="EW218" s="532"/>
    </row>
    <row r="219" spans="2:153" ht="26.4" x14ac:dyDescent="0.45">
      <c r="B219" s="520"/>
      <c r="C219" s="64">
        <v>11</v>
      </c>
      <c r="D219" s="78"/>
      <c r="E219" s="78"/>
      <c r="F219" s="78"/>
      <c r="G219" s="78"/>
      <c r="H219" s="78"/>
      <c r="I219" s="78"/>
      <c r="J219" s="78"/>
      <c r="K219" s="78"/>
      <c r="L219" s="78"/>
      <c r="M219" s="78"/>
      <c r="N219" s="78"/>
      <c r="O219" s="78"/>
      <c r="P219" s="78"/>
      <c r="Q219" s="78"/>
      <c r="R219" s="78"/>
      <c r="S219" s="78"/>
      <c r="T219" s="78"/>
      <c r="U219" s="78"/>
      <c r="V219" s="78"/>
      <c r="W219" s="78"/>
      <c r="X219" s="78"/>
      <c r="Y219" s="78"/>
      <c r="Z219" s="78"/>
      <c r="AA219" s="78"/>
      <c r="AB219" s="78"/>
      <c r="AC219" s="274"/>
      <c r="AD219" s="274"/>
      <c r="AE219" s="274"/>
      <c r="AF219" s="274"/>
      <c r="AG219" s="274"/>
      <c r="AH219" s="274"/>
      <c r="AI219" s="64">
        <v>11</v>
      </c>
      <c r="AJ219" s="520"/>
      <c r="EW219" s="532"/>
    </row>
    <row r="220" spans="2:153" ht="26.4" x14ac:dyDescent="0.45">
      <c r="B220" s="520"/>
      <c r="C220" s="15"/>
      <c r="D220" s="12" t="e">
        <f>COUNTIF(TIMETABLE!#REF!,"EA005")</f>
        <v>#REF!</v>
      </c>
      <c r="E220" s="12" t="e">
        <f>COUNTIF(TIMETABLE!#REF!,"EA006")</f>
        <v>#REF!</v>
      </c>
      <c r="F220" s="12" t="e">
        <f>COUNTIF(TIMETABLE!#REF!,"EA009/10")</f>
        <v>#REF!</v>
      </c>
      <c r="G220" s="12" t="e">
        <f>COUNTIF(TIMETABLE!#REF!,"EA012")</f>
        <v>#REF!</v>
      </c>
      <c r="H220" s="12" t="e">
        <f>COUNTIF(TIMETABLE!#REF!,"EA015")</f>
        <v>#REF!</v>
      </c>
      <c r="I220" s="12" t="e">
        <f>COUNTIF(TIMETABLE!#REF!,"EA104")</f>
        <v>#REF!</v>
      </c>
      <c r="J220" s="12" t="e">
        <f>COUNTIF(TIMETABLE!#REF!,"EA105")</f>
        <v>#REF!</v>
      </c>
      <c r="K220" s="12" t="e">
        <f>COUNTIF(TIMETABLE!#REF!,"EA107")</f>
        <v>#REF!</v>
      </c>
      <c r="L220" s="12" t="e">
        <f>COUNTIF(TIMETABLE!#REF!,"EA108")</f>
        <v>#REF!</v>
      </c>
      <c r="M220" s="12" t="e">
        <f>COUNTIF(TIMETABLE!#REF!,"EB006")</f>
        <v>#REF!</v>
      </c>
      <c r="N220" s="12" t="e">
        <f>COUNTIF(TIMETABLE!#REF!,"EB007")</f>
        <v>#REF!</v>
      </c>
      <c r="O220" s="12" t="e">
        <f>COUNTIF(TIMETABLE!#REF!,"EB013")</f>
        <v>#REF!</v>
      </c>
      <c r="P220" s="12" t="e">
        <f>COUNTIF(TIMETABLE!#REF!,"EB104")</f>
        <v>#REF!</v>
      </c>
      <c r="Q220" s="12" t="e">
        <f>COUNTIF(TIMETABLE!#REF!,"EB105")</f>
        <v>#REF!</v>
      </c>
      <c r="R220" s="12" t="e">
        <f>COUNTIF(TIMETABLE!#REF!,"EB107")</f>
        <v>#REF!</v>
      </c>
      <c r="S220" s="12" t="e">
        <f>COUNTIF(TIMETABLE!#REF!,"EB109")</f>
        <v>#REF!</v>
      </c>
      <c r="T220" s="12" t="e">
        <f>COUNTIF(TIMETABLE!#REF!,"EB110")</f>
        <v>#REF!</v>
      </c>
      <c r="U220" s="12" t="e">
        <f>COUNTIF(TIMETABLE!#REF!,"MA111")</f>
        <v>#REF!</v>
      </c>
      <c r="V220" s="12" t="e">
        <f>COUNTIF(TIMETABLE!#REF!,"MA209")</f>
        <v>#REF!</v>
      </c>
      <c r="W220" s="12" t="e">
        <f>COUNTIF(TIMETABLE!#REF!,"MA212")</f>
        <v>#REF!</v>
      </c>
      <c r="X220" s="12" t="e">
        <f>COUNTIF(TIMETABLE!#REF!,"DO3")</f>
        <v>#REF!</v>
      </c>
      <c r="Y220" s="12" t="e">
        <f>COUNTIF(TIMETABLE!#REF!,"RM2")</f>
        <v>#REF!</v>
      </c>
      <c r="Z220" s="12" t="e">
        <f>COUNTIF(TIMETABLE!#REF!,"MZ01")</f>
        <v>#REF!</v>
      </c>
      <c r="AA220" s="12" t="e">
        <f>COUNTIF(TIMETABLE!#REF!,"MZ02")</f>
        <v>#REF!</v>
      </c>
      <c r="AB220" s="12" t="e">
        <f>COUNTIF(TIMETABLE!#REF!,"RM3")</f>
        <v>#REF!</v>
      </c>
      <c r="AC220" s="267" t="e">
        <f>COUNTIF(TIMETABLE!#REF!,"FET203")</f>
        <v>#REF!</v>
      </c>
      <c r="AD220" s="267" t="e">
        <f>COUNTIF(TIMETABLE!#REF!,"FET205")</f>
        <v>#REF!</v>
      </c>
      <c r="AE220" s="267" t="e">
        <f>COUNTIF(TIMETABLE!#REF!,"FET207")</f>
        <v>#REF!</v>
      </c>
      <c r="AF220" s="267" t="e">
        <f>COUNTIF(TIMETABLE!#REF!,"FET208")</f>
        <v>#REF!</v>
      </c>
      <c r="AG220" s="267" t="e">
        <f>COUNTIF(TIMETABLE!#REF!,"FET209")</f>
        <v>#REF!</v>
      </c>
      <c r="AH220" s="267" t="e">
        <f>COUNTIF(TIMETABLE!#REF!,"FET210")</f>
        <v>#REF!</v>
      </c>
      <c r="AI220" s="15"/>
      <c r="AJ220" s="520"/>
      <c r="EW220" s="532"/>
    </row>
    <row r="221" spans="2:153" ht="27" thickBot="1" x14ac:dyDescent="0.5">
      <c r="B221" s="520"/>
      <c r="C221" s="65">
        <v>12</v>
      </c>
      <c r="D221" s="79"/>
      <c r="E221" s="79"/>
      <c r="F221" s="79"/>
      <c r="G221" s="79"/>
      <c r="H221" s="79"/>
      <c r="I221" s="79"/>
      <c r="J221" s="79"/>
      <c r="K221" s="79"/>
      <c r="L221" s="79"/>
      <c r="M221" s="79"/>
      <c r="N221" s="79"/>
      <c r="O221" s="79"/>
      <c r="P221" s="79"/>
      <c r="Q221" s="79"/>
      <c r="R221" s="79"/>
      <c r="S221" s="79"/>
      <c r="T221" s="79"/>
      <c r="U221" s="79"/>
      <c r="V221" s="79"/>
      <c r="W221" s="79"/>
      <c r="X221" s="79"/>
      <c r="Y221" s="79"/>
      <c r="Z221" s="79"/>
      <c r="AA221" s="79"/>
      <c r="AB221" s="79"/>
      <c r="AC221" s="275"/>
      <c r="AD221" s="275"/>
      <c r="AE221" s="275"/>
      <c r="AF221" s="275"/>
      <c r="AG221" s="275"/>
      <c r="AH221" s="275"/>
      <c r="AI221" s="65">
        <v>12</v>
      </c>
      <c r="AJ221" s="520"/>
      <c r="EW221" s="532"/>
    </row>
    <row r="222" spans="2:153" ht="26.4" x14ac:dyDescent="0.45">
      <c r="B222" s="520"/>
      <c r="C222" s="64">
        <v>12</v>
      </c>
      <c r="D222" s="78"/>
      <c r="E222" s="78"/>
      <c r="F222" s="78"/>
      <c r="G222" s="78"/>
      <c r="H222" s="78"/>
      <c r="I222" s="78"/>
      <c r="J222" s="78"/>
      <c r="K222" s="78"/>
      <c r="L222" s="78"/>
      <c r="M222" s="78"/>
      <c r="N222" s="78"/>
      <c r="O222" s="78"/>
      <c r="P222" s="78"/>
      <c r="Q222" s="78"/>
      <c r="R222" s="78"/>
      <c r="S222" s="78"/>
      <c r="T222" s="78"/>
      <c r="U222" s="78"/>
      <c r="V222" s="78"/>
      <c r="W222" s="78"/>
      <c r="X222" s="78"/>
      <c r="Y222" s="78"/>
      <c r="Z222" s="78"/>
      <c r="AA222" s="78"/>
      <c r="AB222" s="78"/>
      <c r="AC222" s="274"/>
      <c r="AD222" s="274"/>
      <c r="AE222" s="274"/>
      <c r="AF222" s="274"/>
      <c r="AG222" s="274"/>
      <c r="AH222" s="274"/>
      <c r="AI222" s="64">
        <v>12</v>
      </c>
      <c r="AJ222" s="520"/>
      <c r="EW222" s="532"/>
    </row>
    <row r="223" spans="2:153" ht="26.4" x14ac:dyDescent="0.45">
      <c r="B223" s="520"/>
      <c r="C223" s="15"/>
      <c r="D223" s="12" t="e">
        <f>COUNTIF(TIMETABLE!#REF!,"EA005")</f>
        <v>#REF!</v>
      </c>
      <c r="E223" s="12" t="e">
        <f>COUNTIF(TIMETABLE!#REF!,"EA006")</f>
        <v>#REF!</v>
      </c>
      <c r="F223" s="12" t="e">
        <f>COUNTIF(TIMETABLE!#REF!,"EA009/10")</f>
        <v>#REF!</v>
      </c>
      <c r="G223" s="12" t="e">
        <f>COUNTIF(TIMETABLE!#REF!,"EA012")</f>
        <v>#REF!</v>
      </c>
      <c r="H223" s="12" t="e">
        <f>COUNTIF(TIMETABLE!#REF!,"EA015")</f>
        <v>#REF!</v>
      </c>
      <c r="I223" s="12" t="e">
        <f>COUNTIF(TIMETABLE!#REF!,"EA104")</f>
        <v>#REF!</v>
      </c>
      <c r="J223" s="12" t="e">
        <f>COUNTIF(TIMETABLE!#REF!,"EA105")</f>
        <v>#REF!</v>
      </c>
      <c r="K223" s="12" t="e">
        <f>COUNTIF(TIMETABLE!#REF!,"EA107")</f>
        <v>#REF!</v>
      </c>
      <c r="L223" s="12" t="e">
        <f>COUNTIF(TIMETABLE!#REF!,"EA108")</f>
        <v>#REF!</v>
      </c>
      <c r="M223" s="12" t="e">
        <f>COUNTIF(TIMETABLE!#REF!,"EB006")</f>
        <v>#REF!</v>
      </c>
      <c r="N223" s="12" t="e">
        <f>COUNTIF(TIMETABLE!#REF!,"EB007")</f>
        <v>#REF!</v>
      </c>
      <c r="O223" s="12" t="e">
        <f>COUNTIF(TIMETABLE!#REF!,"EB013")</f>
        <v>#REF!</v>
      </c>
      <c r="P223" s="12" t="e">
        <f>COUNTIF(TIMETABLE!#REF!,"EB104")</f>
        <v>#REF!</v>
      </c>
      <c r="Q223" s="12" t="e">
        <f>COUNTIF(TIMETABLE!#REF!,"EB105")</f>
        <v>#REF!</v>
      </c>
      <c r="R223" s="12" t="e">
        <f>COUNTIF(TIMETABLE!#REF!,"EB107")</f>
        <v>#REF!</v>
      </c>
      <c r="S223" s="12" t="e">
        <f>COUNTIF(TIMETABLE!#REF!,"EB109")</f>
        <v>#REF!</v>
      </c>
      <c r="T223" s="12" t="e">
        <f>COUNTIF(TIMETABLE!#REF!,"EB110")</f>
        <v>#REF!</v>
      </c>
      <c r="U223" s="12" t="e">
        <f>COUNTIF(TIMETABLE!#REF!,"MA111")</f>
        <v>#REF!</v>
      </c>
      <c r="V223" s="12" t="e">
        <f>COUNTIF(TIMETABLE!#REF!,"MA209")</f>
        <v>#REF!</v>
      </c>
      <c r="W223" s="12" t="e">
        <f>COUNTIF(TIMETABLE!#REF!,"MA212")</f>
        <v>#REF!</v>
      </c>
      <c r="X223" s="12" t="e">
        <f>COUNTIF(TIMETABLE!#REF!,"DO3")</f>
        <v>#REF!</v>
      </c>
      <c r="Y223" s="12" t="e">
        <f>COUNTIF(TIMETABLE!#REF!,"RM2")</f>
        <v>#REF!</v>
      </c>
      <c r="Z223" s="12" t="e">
        <f>COUNTIF(TIMETABLE!#REF!,"MZ01")</f>
        <v>#REF!</v>
      </c>
      <c r="AA223" s="12" t="e">
        <f>COUNTIF(TIMETABLE!#REF!,"MZ02")</f>
        <v>#REF!</v>
      </c>
      <c r="AB223" s="12" t="e">
        <f>COUNTIF(TIMETABLE!#REF!,"RM3")</f>
        <v>#REF!</v>
      </c>
      <c r="AC223" s="267" t="e">
        <f>COUNTIF(TIMETABLE!#REF!,"FET203")</f>
        <v>#REF!</v>
      </c>
      <c r="AD223" s="267" t="e">
        <f>COUNTIF(TIMETABLE!#REF!,"FET205")</f>
        <v>#REF!</v>
      </c>
      <c r="AE223" s="267" t="e">
        <f>COUNTIF(TIMETABLE!#REF!,"FET207")</f>
        <v>#REF!</v>
      </c>
      <c r="AF223" s="267" t="e">
        <f>COUNTIF(TIMETABLE!#REF!,"FET208")</f>
        <v>#REF!</v>
      </c>
      <c r="AG223" s="267" t="e">
        <f>COUNTIF(TIMETABLE!#REF!,"FET209")</f>
        <v>#REF!</v>
      </c>
      <c r="AH223" s="267" t="e">
        <f>COUNTIF(TIMETABLE!#REF!,"FET210")</f>
        <v>#REF!</v>
      </c>
      <c r="AI223" s="15"/>
      <c r="AJ223" s="520"/>
      <c r="EW223" s="532"/>
    </row>
    <row r="224" spans="2:153" ht="27" thickBot="1" x14ac:dyDescent="0.5">
      <c r="B224" s="520"/>
      <c r="C224" s="65">
        <v>1</v>
      </c>
      <c r="D224" s="79"/>
      <c r="E224" s="79"/>
      <c r="F224" s="79"/>
      <c r="G224" s="79"/>
      <c r="H224" s="79"/>
      <c r="I224" s="79"/>
      <c r="J224" s="79"/>
      <c r="K224" s="79"/>
      <c r="L224" s="79"/>
      <c r="M224" s="79"/>
      <c r="N224" s="79"/>
      <c r="O224" s="79"/>
      <c r="P224" s="79"/>
      <c r="Q224" s="79"/>
      <c r="R224" s="79"/>
      <c r="S224" s="79"/>
      <c r="T224" s="79"/>
      <c r="U224" s="79"/>
      <c r="V224" s="79"/>
      <c r="W224" s="79"/>
      <c r="X224" s="79"/>
      <c r="Y224" s="79"/>
      <c r="Z224" s="79"/>
      <c r="AA224" s="79"/>
      <c r="AB224" s="79"/>
      <c r="AC224" s="275"/>
      <c r="AD224" s="275"/>
      <c r="AE224" s="275"/>
      <c r="AF224" s="275"/>
      <c r="AG224" s="275"/>
      <c r="AH224" s="275"/>
      <c r="AI224" s="65">
        <v>1</v>
      </c>
      <c r="AJ224" s="520"/>
      <c r="EW224" s="532"/>
    </row>
    <row r="225" spans="2:153" ht="26.4" x14ac:dyDescent="0.45">
      <c r="B225" s="520"/>
      <c r="C225" s="66">
        <v>1</v>
      </c>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286"/>
      <c r="AD225" s="286"/>
      <c r="AE225" s="286"/>
      <c r="AF225" s="286"/>
      <c r="AG225" s="286"/>
      <c r="AH225" s="286"/>
      <c r="AI225" s="66">
        <v>1</v>
      </c>
      <c r="AJ225" s="520"/>
      <c r="EW225" s="532"/>
    </row>
    <row r="226" spans="2:153" ht="26.4" x14ac:dyDescent="0.45">
      <c r="B226" s="520"/>
      <c r="C226" s="67"/>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286"/>
      <c r="AD226" s="286"/>
      <c r="AE226" s="286"/>
      <c r="AF226" s="286"/>
      <c r="AG226" s="286"/>
      <c r="AH226" s="286"/>
      <c r="AI226" s="67"/>
      <c r="AJ226" s="520"/>
      <c r="EW226" s="532"/>
    </row>
    <row r="227" spans="2:153" ht="27" thickBot="1" x14ac:dyDescent="0.5">
      <c r="B227" s="520"/>
      <c r="C227" s="68">
        <v>2</v>
      </c>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286"/>
      <c r="AD227" s="286"/>
      <c r="AE227" s="286"/>
      <c r="AF227" s="286"/>
      <c r="AG227" s="286"/>
      <c r="AH227" s="286"/>
      <c r="AI227" s="68">
        <v>2</v>
      </c>
      <c r="AJ227" s="520"/>
      <c r="EW227" s="532"/>
    </row>
    <row r="228" spans="2:153" ht="26.4" x14ac:dyDescent="0.45">
      <c r="B228" s="520"/>
      <c r="C228" s="69">
        <v>2</v>
      </c>
      <c r="D228" s="78"/>
      <c r="E228" s="78"/>
      <c r="F228" s="78"/>
      <c r="G228" s="78"/>
      <c r="H228" s="78"/>
      <c r="I228" s="78"/>
      <c r="J228" s="78"/>
      <c r="K228" s="78"/>
      <c r="L228" s="78"/>
      <c r="M228" s="78"/>
      <c r="N228" s="78"/>
      <c r="O228" s="78"/>
      <c r="P228" s="78"/>
      <c r="Q228" s="78"/>
      <c r="R228" s="78"/>
      <c r="S228" s="78"/>
      <c r="T228" s="78"/>
      <c r="U228" s="78"/>
      <c r="V228" s="78"/>
      <c r="W228" s="78"/>
      <c r="X228" s="78"/>
      <c r="Y228" s="78"/>
      <c r="Z228" s="78"/>
      <c r="AA228" s="78"/>
      <c r="AB228" s="78"/>
      <c r="AC228" s="276"/>
      <c r="AD228" s="276"/>
      <c r="AE228" s="276"/>
      <c r="AF228" s="276"/>
      <c r="AG228" s="276"/>
      <c r="AH228" s="276"/>
      <c r="AI228" s="69">
        <v>2</v>
      </c>
      <c r="AJ228" s="520"/>
      <c r="EW228" s="532"/>
    </row>
    <row r="229" spans="2:153" ht="26.4" x14ac:dyDescent="0.45">
      <c r="B229" s="520"/>
      <c r="C229" s="70"/>
      <c r="D229" s="12">
        <f>COUNTIF(TIMETABLE!D116:W116,"EA005")</f>
        <v>0</v>
      </c>
      <c r="E229" s="12">
        <f>COUNTIF(TIMETABLE!D116:W116,"EA006")</f>
        <v>0</v>
      </c>
      <c r="F229" s="12">
        <f>COUNTIF(TIMETABLE!D116:W116,"EA009/10")</f>
        <v>0</v>
      </c>
      <c r="G229" s="12">
        <f>COUNTIF(TIMETABLE!D116:W116,"EA012")</f>
        <v>0</v>
      </c>
      <c r="H229" s="12">
        <f>COUNTIF(TIMETABLE!D116:W116,"EA015")</f>
        <v>0</v>
      </c>
      <c r="I229" s="12">
        <f>COUNTIF(TIMETABLE!D116:W116,"EA104")</f>
        <v>0</v>
      </c>
      <c r="J229" s="12">
        <f>COUNTIF(TIMETABLE!D116:W116,"EA105")</f>
        <v>0</v>
      </c>
      <c r="K229" s="12">
        <f>COUNTIF(TIMETABLE!D116:W116,"EA107")</f>
        <v>0</v>
      </c>
      <c r="L229" s="12">
        <f>COUNTIF(TIMETABLE!D116:W116,"EA108")</f>
        <v>0</v>
      </c>
      <c r="M229" s="12">
        <f>COUNTIF(TIMETABLE!D116:W116,"EB006")</f>
        <v>0</v>
      </c>
      <c r="N229" s="12">
        <f>COUNTIF(TIMETABLE!D116:W116,"EB007")</f>
        <v>0</v>
      </c>
      <c r="O229" s="12">
        <f>COUNTIF(TIMETABLE!D116:W116,"EB013")</f>
        <v>0</v>
      </c>
      <c r="P229" s="12">
        <f>COUNTIF(TIMETABLE!L116:W116,"EB104")</f>
        <v>0</v>
      </c>
      <c r="Q229" s="12">
        <f>COUNTIF(TIMETABLE!D116:W116,"EB105")</f>
        <v>0</v>
      </c>
      <c r="R229" s="12">
        <f>COUNTIF(TIMETABLE!D116:W116,"EB107")</f>
        <v>0</v>
      </c>
      <c r="S229" s="12">
        <f>COUNTIF(TIMETABLE!D116:W116,"EB109")</f>
        <v>0</v>
      </c>
      <c r="T229" s="12">
        <f>COUNTIF(TIMETABLE!D116:W116,"EB110")</f>
        <v>0</v>
      </c>
      <c r="U229" s="12">
        <f>COUNTIF(TIMETABLE!D116:W116,"MA111")</f>
        <v>0</v>
      </c>
      <c r="V229" s="12">
        <f>COUNTIF(TIMETABLE!D116:W116,"MA209")</f>
        <v>0</v>
      </c>
      <c r="W229" s="12">
        <f>COUNTIF(TIMETABLE!D116:W116,"MA212")</f>
        <v>0</v>
      </c>
      <c r="X229" s="12">
        <f>COUNTIF(TIMETABLE!D116:W116,"DO3")</f>
        <v>0</v>
      </c>
      <c r="Y229" s="12">
        <f>COUNTIF(TIMETABLE!D116:W116,"RM2")</f>
        <v>0</v>
      </c>
      <c r="Z229" s="12">
        <f>COUNTIF(TIMETABLE!D116:W116,"MZ01")</f>
        <v>0</v>
      </c>
      <c r="AA229" s="12">
        <f>COUNTIF(TIMETABLE!D116:W116,"MZ02")</f>
        <v>0</v>
      </c>
      <c r="AB229" s="12">
        <f>COUNTIF(TIMETABLE!D116:W116,"RM3")</f>
        <v>0</v>
      </c>
      <c r="AC229" s="267">
        <f>COUNTIF(TIMETABLE!D116:W116,"FET203")</f>
        <v>0</v>
      </c>
      <c r="AD229" s="267">
        <f>COUNTIF(TIMETABLE!D116:W116,"FET205")</f>
        <v>0</v>
      </c>
      <c r="AE229" s="267">
        <f>COUNTIF(TIMETABLE!D116:W116,"FET207")</f>
        <v>0</v>
      </c>
      <c r="AF229" s="267">
        <f>COUNTIF(TIMETABLE!D116:W116,"FET208")</f>
        <v>0</v>
      </c>
      <c r="AG229" s="267">
        <f>COUNTIF(TIMETABLE!D116:W116,"FET209")</f>
        <v>0</v>
      </c>
      <c r="AH229" s="267">
        <f>COUNTIF(TIMETABLE!D116:W116,"FET210")</f>
        <v>0</v>
      </c>
      <c r="AI229" s="70"/>
      <c r="AJ229" s="520"/>
      <c r="EW229" s="532"/>
    </row>
    <row r="230" spans="2:153" ht="27" thickBot="1" x14ac:dyDescent="0.5">
      <c r="B230" s="520"/>
      <c r="C230" s="71">
        <v>3</v>
      </c>
      <c r="D230" s="79"/>
      <c r="E230" s="79"/>
      <c r="F230" s="79"/>
      <c r="G230" s="79"/>
      <c r="H230" s="79"/>
      <c r="I230" s="79"/>
      <c r="J230" s="79"/>
      <c r="K230" s="79"/>
      <c r="L230" s="79"/>
      <c r="M230" s="79"/>
      <c r="N230" s="79"/>
      <c r="O230" s="79"/>
      <c r="P230" s="79"/>
      <c r="Q230" s="79"/>
      <c r="R230" s="79"/>
      <c r="S230" s="79"/>
      <c r="T230" s="79"/>
      <c r="U230" s="79"/>
      <c r="V230" s="79"/>
      <c r="W230" s="79"/>
      <c r="X230" s="79"/>
      <c r="Y230" s="79"/>
      <c r="Z230" s="79"/>
      <c r="AA230" s="79"/>
      <c r="AB230" s="79"/>
      <c r="AC230" s="275"/>
      <c r="AD230" s="275"/>
      <c r="AE230" s="275"/>
      <c r="AF230" s="275"/>
      <c r="AG230" s="275"/>
      <c r="AH230" s="275"/>
      <c r="AI230" s="71">
        <v>3</v>
      </c>
      <c r="AJ230" s="520"/>
      <c r="EW230" s="532"/>
    </row>
    <row r="231" spans="2:153" ht="26.4" x14ac:dyDescent="0.45">
      <c r="B231" s="520"/>
      <c r="C231" s="72">
        <v>3</v>
      </c>
      <c r="D231" s="78"/>
      <c r="E231" s="78"/>
      <c r="F231" s="78"/>
      <c r="G231" s="78"/>
      <c r="H231" s="78"/>
      <c r="I231" s="78"/>
      <c r="J231" s="78"/>
      <c r="K231" s="78"/>
      <c r="L231" s="78"/>
      <c r="M231" s="78"/>
      <c r="N231" s="78"/>
      <c r="O231" s="78"/>
      <c r="P231" s="78"/>
      <c r="Q231" s="78"/>
      <c r="R231" s="78"/>
      <c r="S231" s="78"/>
      <c r="T231" s="78"/>
      <c r="U231" s="78"/>
      <c r="V231" s="78"/>
      <c r="W231" s="78"/>
      <c r="X231" s="78"/>
      <c r="Y231" s="78"/>
      <c r="Z231" s="78"/>
      <c r="AA231" s="78"/>
      <c r="AB231" s="78"/>
      <c r="AC231" s="274"/>
      <c r="AD231" s="274"/>
      <c r="AE231" s="274"/>
      <c r="AF231" s="274"/>
      <c r="AG231" s="274"/>
      <c r="AH231" s="274"/>
      <c r="AI231" s="72">
        <v>3</v>
      </c>
      <c r="AJ231" s="520"/>
      <c r="EW231" s="532"/>
    </row>
    <row r="232" spans="2:153" ht="26.4" x14ac:dyDescent="0.45">
      <c r="B232" s="520"/>
      <c r="C232" s="70"/>
      <c r="D232" s="12" t="e">
        <f>COUNTIF(TIMETABLE!#REF!,"EA005")</f>
        <v>#REF!</v>
      </c>
      <c r="E232" s="12" t="e">
        <f>COUNTIF(TIMETABLE!#REF!,"EA006")</f>
        <v>#REF!</v>
      </c>
      <c r="F232" s="12" t="e">
        <f>COUNTIF(TIMETABLE!#REF!,"EA009/10")</f>
        <v>#REF!</v>
      </c>
      <c r="G232" s="12" t="e">
        <f>COUNTIF(TIMETABLE!#REF!,"EA012")</f>
        <v>#REF!</v>
      </c>
      <c r="H232" s="12" t="e">
        <f>COUNTIF(TIMETABLE!#REF!,"EA015")</f>
        <v>#REF!</v>
      </c>
      <c r="I232" s="12" t="e">
        <f>COUNTIF(TIMETABLE!#REF!,"EA104")</f>
        <v>#REF!</v>
      </c>
      <c r="J232" s="12" t="e">
        <f>COUNTIF(TIMETABLE!#REF!,"EA105")</f>
        <v>#REF!</v>
      </c>
      <c r="K232" s="12" t="e">
        <f>COUNTIF(TIMETABLE!#REF!,"EA107")</f>
        <v>#REF!</v>
      </c>
      <c r="L232" s="12" t="e">
        <f>COUNTIF(TIMETABLE!#REF!,"EA108")</f>
        <v>#REF!</v>
      </c>
      <c r="M232" s="12" t="e">
        <f>COUNTIF(TIMETABLE!#REF!,"EB006")</f>
        <v>#REF!</v>
      </c>
      <c r="N232" s="12" t="e">
        <f>COUNTIF(TIMETABLE!#REF!,"EB007")</f>
        <v>#REF!</v>
      </c>
      <c r="O232" s="12" t="e">
        <f>COUNTIF(TIMETABLE!#REF!,"EB013")</f>
        <v>#REF!</v>
      </c>
      <c r="P232" s="12" t="e">
        <f>COUNTIF(TIMETABLE!#REF!,"EB104")</f>
        <v>#REF!</v>
      </c>
      <c r="Q232" s="12" t="e">
        <f>COUNTIF(TIMETABLE!#REF!,"EB105")</f>
        <v>#REF!</v>
      </c>
      <c r="R232" s="12" t="e">
        <f>COUNTIF(TIMETABLE!#REF!,"EB107")</f>
        <v>#REF!</v>
      </c>
      <c r="S232" s="12" t="e">
        <f>COUNTIF(TIMETABLE!#REF!,"EB109")</f>
        <v>#REF!</v>
      </c>
      <c r="T232" s="12" t="e">
        <f>COUNTIF(TIMETABLE!#REF!,"EB110")</f>
        <v>#REF!</v>
      </c>
      <c r="U232" s="12" t="e">
        <f>COUNTIF(TIMETABLE!#REF!,"MA111")</f>
        <v>#REF!</v>
      </c>
      <c r="V232" s="12" t="e">
        <f>COUNTIF(TIMETABLE!#REF!,"MA209")</f>
        <v>#REF!</v>
      </c>
      <c r="W232" s="12" t="e">
        <f>COUNTIF(TIMETABLE!#REF!,"MA212")</f>
        <v>#REF!</v>
      </c>
      <c r="X232" s="12" t="e">
        <f>COUNTIF(TIMETABLE!#REF!,"DO3")</f>
        <v>#REF!</v>
      </c>
      <c r="Y232" s="12" t="e">
        <f>COUNTIF(TIMETABLE!#REF!,"RM2")</f>
        <v>#REF!</v>
      </c>
      <c r="Z232" s="12" t="e">
        <f>COUNTIF(TIMETABLE!#REF!,"MZ01")</f>
        <v>#REF!</v>
      </c>
      <c r="AA232" s="12" t="e">
        <f>COUNTIF(TIMETABLE!#REF!,"MZ02")</f>
        <v>#REF!</v>
      </c>
      <c r="AB232" s="12" t="e">
        <f>COUNTIF(TIMETABLE!#REF!,"RM3")</f>
        <v>#REF!</v>
      </c>
      <c r="AC232" s="267" t="e">
        <f>COUNTIF(TIMETABLE!#REF!,"FET203")</f>
        <v>#REF!</v>
      </c>
      <c r="AD232" s="267" t="e">
        <f>COUNTIF(TIMETABLE!#REF!,"FET205")</f>
        <v>#REF!</v>
      </c>
      <c r="AE232" s="267" t="e">
        <f>COUNTIF(TIMETABLE!#REF!,"FET207")</f>
        <v>#REF!</v>
      </c>
      <c r="AF232" s="267" t="e">
        <f>COUNTIF(TIMETABLE!#REF!,"FET208")</f>
        <v>#REF!</v>
      </c>
      <c r="AG232" s="267" t="e">
        <f>COUNTIF(TIMETABLE!#REF!,"FET209")</f>
        <v>#REF!</v>
      </c>
      <c r="AH232" s="267" t="e">
        <f>COUNTIF(TIMETABLE!#REF!,"FET210")</f>
        <v>#REF!</v>
      </c>
      <c r="AI232" s="70"/>
      <c r="AJ232" s="520"/>
      <c r="EW232" s="532"/>
    </row>
    <row r="233" spans="2:153" ht="27" thickBot="1" x14ac:dyDescent="0.5">
      <c r="B233" s="520"/>
      <c r="C233" s="71">
        <v>4</v>
      </c>
      <c r="D233" s="79"/>
      <c r="E233" s="79"/>
      <c r="F233" s="79"/>
      <c r="G233" s="79"/>
      <c r="H233" s="79"/>
      <c r="I233" s="79"/>
      <c r="J233" s="79"/>
      <c r="K233" s="79"/>
      <c r="L233" s="79"/>
      <c r="M233" s="79"/>
      <c r="N233" s="79"/>
      <c r="O233" s="79"/>
      <c r="P233" s="79"/>
      <c r="Q233" s="79"/>
      <c r="R233" s="79"/>
      <c r="S233" s="79"/>
      <c r="T233" s="79"/>
      <c r="U233" s="79"/>
      <c r="V233" s="79"/>
      <c r="W233" s="79"/>
      <c r="X233" s="79"/>
      <c r="Y233" s="79"/>
      <c r="Z233" s="79"/>
      <c r="AA233" s="79"/>
      <c r="AB233" s="79"/>
      <c r="AC233" s="275"/>
      <c r="AD233" s="275"/>
      <c r="AE233" s="275"/>
      <c r="AF233" s="275"/>
      <c r="AG233" s="275"/>
      <c r="AH233" s="275"/>
      <c r="AI233" s="71">
        <v>4</v>
      </c>
      <c r="AJ233" s="520"/>
      <c r="EW233" s="532"/>
    </row>
    <row r="234" spans="2:153" ht="26.4" x14ac:dyDescent="0.45">
      <c r="B234" s="520"/>
      <c r="C234" s="72">
        <v>4</v>
      </c>
      <c r="D234" s="78"/>
      <c r="E234" s="78"/>
      <c r="F234" s="78"/>
      <c r="G234" s="78"/>
      <c r="H234" s="78"/>
      <c r="I234" s="78"/>
      <c r="J234" s="78"/>
      <c r="K234" s="78"/>
      <c r="L234" s="78"/>
      <c r="M234" s="78"/>
      <c r="N234" s="78"/>
      <c r="O234" s="78"/>
      <c r="P234" s="78"/>
      <c r="Q234" s="78"/>
      <c r="R234" s="78"/>
      <c r="S234" s="78"/>
      <c r="T234" s="78"/>
      <c r="U234" s="78"/>
      <c r="V234" s="78"/>
      <c r="W234" s="78"/>
      <c r="X234" s="78"/>
      <c r="Y234" s="78"/>
      <c r="Z234" s="78"/>
      <c r="AA234" s="78"/>
      <c r="AB234" s="78"/>
      <c r="AC234" s="274"/>
      <c r="AD234" s="274"/>
      <c r="AE234" s="274"/>
      <c r="AF234" s="274"/>
      <c r="AG234" s="274"/>
      <c r="AH234" s="274"/>
      <c r="AI234" s="72">
        <v>4</v>
      </c>
      <c r="AJ234" s="520"/>
      <c r="EW234" s="532"/>
    </row>
    <row r="235" spans="2:153" ht="26.4" x14ac:dyDescent="0.45">
      <c r="B235" s="520"/>
      <c r="C235" s="70"/>
      <c r="D235" s="12" t="e">
        <f>COUNTIF(TIMETABLE!#REF!,"EA005")</f>
        <v>#REF!</v>
      </c>
      <c r="E235" s="12" t="e">
        <f>COUNTIF(TIMETABLE!#REF!,"EA006")</f>
        <v>#REF!</v>
      </c>
      <c r="F235" s="12" t="e">
        <f>COUNTIF(TIMETABLE!#REF!,"EA009/10")</f>
        <v>#REF!</v>
      </c>
      <c r="G235" s="12" t="e">
        <f>COUNTIF(TIMETABLE!#REF!,"EA012")</f>
        <v>#REF!</v>
      </c>
      <c r="H235" s="12" t="e">
        <f>COUNTIF(TIMETABLE!#REF!,"EA015")</f>
        <v>#REF!</v>
      </c>
      <c r="I235" s="12" t="e">
        <f>COUNTIF(TIMETABLE!#REF!,"EA104")</f>
        <v>#REF!</v>
      </c>
      <c r="J235" s="12" t="e">
        <f>COUNTIF(TIMETABLE!#REF!,"EA105")</f>
        <v>#REF!</v>
      </c>
      <c r="K235" s="12" t="e">
        <f>COUNTIF(TIMETABLE!#REF!,"EA107")</f>
        <v>#REF!</v>
      </c>
      <c r="L235" s="12" t="e">
        <f>COUNTIF(TIMETABLE!#REF!,"EA108")</f>
        <v>#REF!</v>
      </c>
      <c r="M235" s="12" t="e">
        <f>COUNTIF(TIMETABLE!#REF!,"EB006")</f>
        <v>#REF!</v>
      </c>
      <c r="N235" s="12" t="e">
        <f>COUNTIF(TIMETABLE!#REF!,"EB007")</f>
        <v>#REF!</v>
      </c>
      <c r="O235" s="12" t="e">
        <f>COUNTIF(TIMETABLE!#REF!,"EB013")</f>
        <v>#REF!</v>
      </c>
      <c r="P235" s="12" t="e">
        <f>COUNTIF(TIMETABLE!#REF!,"EB104")</f>
        <v>#REF!</v>
      </c>
      <c r="Q235" s="12" t="e">
        <f>COUNTIF(TIMETABLE!#REF!,"EB105")</f>
        <v>#REF!</v>
      </c>
      <c r="R235" s="12" t="e">
        <f>COUNTIF(TIMETABLE!#REF!,"EB107")</f>
        <v>#REF!</v>
      </c>
      <c r="S235" s="12" t="e">
        <f>COUNTIF(TIMETABLE!#REF!,"EB109")</f>
        <v>#REF!</v>
      </c>
      <c r="T235" s="12" t="e">
        <f>COUNTIF(TIMETABLE!#REF!,"EB110")</f>
        <v>#REF!</v>
      </c>
      <c r="U235" s="12" t="e">
        <f>COUNTIF(TIMETABLE!#REF!,"MA111")</f>
        <v>#REF!</v>
      </c>
      <c r="V235" s="12" t="e">
        <f>COUNTIF(TIMETABLE!#REF!,"MA209")</f>
        <v>#REF!</v>
      </c>
      <c r="W235" s="12" t="e">
        <f>COUNTIF(TIMETABLE!#REF!,"MA212")</f>
        <v>#REF!</v>
      </c>
      <c r="X235" s="12" t="e">
        <f>COUNTIF(TIMETABLE!#REF!,"DO3")</f>
        <v>#REF!</v>
      </c>
      <c r="Y235" s="12" t="e">
        <f>COUNTIF(TIMETABLE!#REF!,"RM2")</f>
        <v>#REF!</v>
      </c>
      <c r="Z235" s="12" t="e">
        <f>COUNTIF(TIMETABLE!#REF!,"MZ01")</f>
        <v>#REF!</v>
      </c>
      <c r="AA235" s="12" t="e">
        <f>COUNTIF(TIMETABLE!#REF!,"MZ02")</f>
        <v>#REF!</v>
      </c>
      <c r="AB235" s="12" t="e">
        <f>COUNTIF(TIMETABLE!#REF!,"RM3")</f>
        <v>#REF!</v>
      </c>
      <c r="AC235" s="267" t="e">
        <f>COUNTIF(TIMETABLE!#REF!,"FET203")</f>
        <v>#REF!</v>
      </c>
      <c r="AD235" s="267" t="e">
        <f>COUNTIF(TIMETABLE!#REF!,"FET205")</f>
        <v>#REF!</v>
      </c>
      <c r="AE235" s="267" t="e">
        <f>COUNTIF(TIMETABLE!#REF!,"FET207")</f>
        <v>#REF!</v>
      </c>
      <c r="AF235" s="267" t="e">
        <f>COUNTIF(TIMETABLE!#REF!,"FET208")</f>
        <v>#REF!</v>
      </c>
      <c r="AG235" s="267" t="e">
        <f>COUNTIF(TIMETABLE!#REF!,"FET209")</f>
        <v>#REF!</v>
      </c>
      <c r="AH235" s="267" t="e">
        <f>COUNTIF(TIMETABLE!#REF!,"FET210")</f>
        <v>#REF!</v>
      </c>
      <c r="AI235" s="70"/>
      <c r="AJ235" s="520"/>
      <c r="EW235" s="532"/>
    </row>
    <row r="236" spans="2:153" ht="27" thickBot="1" x14ac:dyDescent="0.5">
      <c r="B236" s="520"/>
      <c r="C236" s="71">
        <v>5</v>
      </c>
      <c r="D236" s="79"/>
      <c r="E236" s="79"/>
      <c r="F236" s="79"/>
      <c r="G236" s="79"/>
      <c r="H236" s="79"/>
      <c r="I236" s="79"/>
      <c r="J236" s="79"/>
      <c r="K236" s="79"/>
      <c r="L236" s="79"/>
      <c r="M236" s="79"/>
      <c r="N236" s="79"/>
      <c r="O236" s="79"/>
      <c r="P236" s="79"/>
      <c r="Q236" s="79"/>
      <c r="R236" s="79"/>
      <c r="S236" s="79"/>
      <c r="T236" s="79"/>
      <c r="U236" s="79"/>
      <c r="V236" s="79"/>
      <c r="W236" s="79"/>
      <c r="X236" s="79"/>
      <c r="Y236" s="79"/>
      <c r="Z236" s="79"/>
      <c r="AA236" s="79"/>
      <c r="AB236" s="79"/>
      <c r="AC236" s="275"/>
      <c r="AD236" s="275"/>
      <c r="AE236" s="275"/>
      <c r="AF236" s="275"/>
      <c r="AG236" s="275"/>
      <c r="AH236" s="275"/>
      <c r="AI236" s="71">
        <v>5</v>
      </c>
      <c r="AJ236" s="520"/>
      <c r="EW236" s="532"/>
    </row>
    <row r="237" spans="2:153" ht="26.4" x14ac:dyDescent="0.45">
      <c r="B237" s="520"/>
      <c r="C237" s="72">
        <v>5</v>
      </c>
      <c r="D237" s="78"/>
      <c r="E237" s="78"/>
      <c r="F237" s="78"/>
      <c r="G237" s="78"/>
      <c r="H237" s="78"/>
      <c r="I237" s="78"/>
      <c r="J237" s="78"/>
      <c r="K237" s="78"/>
      <c r="L237" s="78"/>
      <c r="M237" s="78"/>
      <c r="N237" s="78"/>
      <c r="O237" s="78"/>
      <c r="P237" s="78"/>
      <c r="Q237" s="78"/>
      <c r="R237" s="78"/>
      <c r="S237" s="78"/>
      <c r="T237" s="78"/>
      <c r="U237" s="78"/>
      <c r="V237" s="78"/>
      <c r="W237" s="78"/>
      <c r="X237" s="78"/>
      <c r="Y237" s="78"/>
      <c r="Z237" s="78"/>
      <c r="AA237" s="78"/>
      <c r="AB237" s="78"/>
      <c r="AC237" s="274"/>
      <c r="AD237" s="274"/>
      <c r="AE237" s="274"/>
      <c r="AF237" s="274"/>
      <c r="AG237" s="274"/>
      <c r="AH237" s="274"/>
      <c r="AI237" s="72">
        <v>5</v>
      </c>
      <c r="AJ237" s="520"/>
      <c r="EW237" s="532"/>
    </row>
    <row r="238" spans="2:153" ht="26.4" x14ac:dyDescent="0.45">
      <c r="B238" s="520"/>
      <c r="C238" s="70"/>
      <c r="D238" s="12">
        <f>COUNTIF(TIMETABLE!D120:W120,"EA005")</f>
        <v>0</v>
      </c>
      <c r="E238" s="12">
        <f>COUNTIF(TIMETABLE!D120:W120,"EA006")</f>
        <v>0</v>
      </c>
      <c r="F238" s="12">
        <f>COUNTIF(TIMETABLE!D120:W120,"EA009/10")</f>
        <v>0</v>
      </c>
      <c r="G238" s="12">
        <f>COUNTIF(TIMETABLE!D120:W120,"EA012")</f>
        <v>0</v>
      </c>
      <c r="H238" s="12">
        <f>COUNTIF(TIMETABLE!D120:W120,"EA015")</f>
        <v>0</v>
      </c>
      <c r="I238" s="12">
        <f>COUNTIF(TIMETABLE!D120:W120,"EA104")</f>
        <v>0</v>
      </c>
      <c r="J238" s="12">
        <f>COUNTIF(TIMETABLE!D120:W120,"EA105")</f>
        <v>0</v>
      </c>
      <c r="K238" s="12">
        <f>COUNTIF(TIMETABLE!D120:W120,"EA107")</f>
        <v>0</v>
      </c>
      <c r="L238" s="12">
        <f>COUNTIF(TIMETABLE!D120:W120,"EA108")</f>
        <v>0</v>
      </c>
      <c r="M238" s="12">
        <f>COUNTIF(TIMETABLE!D120:W120,"EB006")</f>
        <v>0</v>
      </c>
      <c r="N238" s="12">
        <f>COUNTIF(TIMETABLE!D120:W120,"EB007")</f>
        <v>0</v>
      </c>
      <c r="O238" s="12">
        <f>COUNTIF(TIMETABLE!D120:W120,"EB013")</f>
        <v>0</v>
      </c>
      <c r="P238" s="12">
        <f>COUNTIF(TIMETABLE!L120:W120,"EB104")</f>
        <v>0</v>
      </c>
      <c r="Q238" s="12">
        <f>COUNTIF(TIMETABLE!D120:W120,"EB105")</f>
        <v>0</v>
      </c>
      <c r="R238" s="12">
        <f>COUNTIF(TIMETABLE!D120:W120,"EB107")</f>
        <v>0</v>
      </c>
      <c r="S238" s="12">
        <f>COUNTIF(TIMETABLE!D120:W120,"EB109")</f>
        <v>0</v>
      </c>
      <c r="T238" s="12">
        <f>COUNTIF(TIMETABLE!D120:W120,"EB110")</f>
        <v>0</v>
      </c>
      <c r="U238" s="12">
        <f>COUNTIF(TIMETABLE!D120:W120,"MA111")</f>
        <v>0</v>
      </c>
      <c r="V238" s="12">
        <f>COUNTIF(TIMETABLE!D120:W120,"MA209")</f>
        <v>0</v>
      </c>
      <c r="W238" s="12">
        <f>COUNTIF(TIMETABLE!D120:W120,"MA212")</f>
        <v>0</v>
      </c>
      <c r="X238" s="12">
        <f>COUNTIF(TIMETABLE!D120:W120,"DO3")</f>
        <v>0</v>
      </c>
      <c r="Y238" s="12">
        <f>COUNTIF(TIMETABLE!D120:W120,"RM2")</f>
        <v>0</v>
      </c>
      <c r="Z238" s="12">
        <f>COUNTIF(TIMETABLE!D120:W120,"MZ01")</f>
        <v>0</v>
      </c>
      <c r="AA238" s="12">
        <f>COUNTIF(TIMETABLE!D120:W120,"MZ02")</f>
        <v>0</v>
      </c>
      <c r="AB238" s="12">
        <f>COUNTIF(TIMETABLE!D120:W120,"RM3")</f>
        <v>0</v>
      </c>
      <c r="AC238" s="267">
        <f>COUNTIF(TIMETABLE!D120:W120,"FET203")</f>
        <v>0</v>
      </c>
      <c r="AD238" s="267">
        <f>COUNTIF(TIMETABLE!D120:W120,"FET205")</f>
        <v>0</v>
      </c>
      <c r="AE238" s="267">
        <f>COUNTIF(TIMETABLE!D120:W120,"FET207")</f>
        <v>0</v>
      </c>
      <c r="AF238" s="267">
        <f>COUNTIF(TIMETABLE!D120:W120,"FET208")</f>
        <v>0</v>
      </c>
      <c r="AG238" s="267">
        <f>COUNTIF(TIMETABLE!D120:W120,"FET209")</f>
        <v>0</v>
      </c>
      <c r="AH238" s="267">
        <f>COUNTIF(TIMETABLE!D120:W120,"FET210")</f>
        <v>0</v>
      </c>
      <c r="AI238" s="70"/>
      <c r="AJ238" s="520"/>
      <c r="EW238" s="532"/>
    </row>
    <row r="239" spans="2:153" ht="27" thickBot="1" x14ac:dyDescent="0.5">
      <c r="B239" s="520"/>
      <c r="C239" s="71">
        <v>6</v>
      </c>
      <c r="D239" s="79"/>
      <c r="E239" s="79"/>
      <c r="F239" s="79"/>
      <c r="G239" s="79"/>
      <c r="H239" s="79"/>
      <c r="I239" s="79"/>
      <c r="J239" s="79"/>
      <c r="K239" s="79"/>
      <c r="L239" s="79"/>
      <c r="M239" s="79"/>
      <c r="N239" s="79"/>
      <c r="O239" s="79"/>
      <c r="P239" s="79"/>
      <c r="Q239" s="79"/>
      <c r="R239" s="79"/>
      <c r="S239" s="79"/>
      <c r="T239" s="79"/>
      <c r="U239" s="79"/>
      <c r="V239" s="79"/>
      <c r="W239" s="79"/>
      <c r="X239" s="79"/>
      <c r="Y239" s="79"/>
      <c r="Z239" s="79"/>
      <c r="AA239" s="79"/>
      <c r="AB239" s="79"/>
      <c r="AC239" s="275"/>
      <c r="AD239" s="275"/>
      <c r="AE239" s="275"/>
      <c r="AF239" s="275"/>
      <c r="AG239" s="275"/>
      <c r="AH239" s="275"/>
      <c r="AI239" s="71">
        <v>6</v>
      </c>
      <c r="AJ239" s="520"/>
      <c r="EW239" s="532"/>
    </row>
    <row r="240" spans="2:153" ht="26.4" x14ac:dyDescent="0.45">
      <c r="B240" s="520"/>
      <c r="C240" s="70">
        <v>6</v>
      </c>
      <c r="D240" s="78"/>
      <c r="E240" s="78"/>
      <c r="F240" s="78"/>
      <c r="G240" s="78"/>
      <c r="H240" s="78"/>
      <c r="I240" s="78"/>
      <c r="J240" s="78"/>
      <c r="K240" s="78"/>
      <c r="L240" s="78"/>
      <c r="M240" s="78"/>
      <c r="N240" s="78"/>
      <c r="O240" s="78"/>
      <c r="P240" s="78"/>
      <c r="Q240" s="78"/>
      <c r="R240" s="78"/>
      <c r="S240" s="78"/>
      <c r="T240" s="78"/>
      <c r="U240" s="78"/>
      <c r="V240" s="78"/>
      <c r="W240" s="78"/>
      <c r="X240" s="78"/>
      <c r="Y240" s="78"/>
      <c r="Z240" s="78"/>
      <c r="AA240" s="78"/>
      <c r="AB240" s="78"/>
      <c r="AC240" s="274"/>
      <c r="AD240" s="274"/>
      <c r="AE240" s="274"/>
      <c r="AF240" s="274"/>
      <c r="AG240" s="274"/>
      <c r="AH240" s="274"/>
      <c r="AI240" s="70">
        <v>6</v>
      </c>
      <c r="AJ240" s="520"/>
      <c r="EW240" s="532"/>
    </row>
    <row r="241" spans="2:153" ht="26.4" x14ac:dyDescent="0.45">
      <c r="B241" s="520"/>
      <c r="C241" s="70"/>
      <c r="D241" s="12" t="e">
        <f>COUNTIF(TIMETABLE!#REF!,"EA005")</f>
        <v>#REF!</v>
      </c>
      <c r="E241" s="12" t="e">
        <f>COUNTIF(TIMETABLE!#REF!,"EA006")</f>
        <v>#REF!</v>
      </c>
      <c r="F241" s="12" t="e">
        <f>COUNTIF(TIMETABLE!#REF!,"EA009/10")</f>
        <v>#REF!</v>
      </c>
      <c r="G241" s="12" t="e">
        <f>COUNTIF(TIMETABLE!#REF!,"EA012")</f>
        <v>#REF!</v>
      </c>
      <c r="H241" s="12" t="e">
        <f>COUNTIF(TIMETABLE!#REF!,"EA015")</f>
        <v>#REF!</v>
      </c>
      <c r="I241" s="12" t="e">
        <f>COUNTIF(TIMETABLE!#REF!,"EA104")</f>
        <v>#REF!</v>
      </c>
      <c r="J241" s="12" t="e">
        <f>COUNTIF(TIMETABLE!#REF!,"EA105")</f>
        <v>#REF!</v>
      </c>
      <c r="K241" s="12" t="e">
        <f>COUNTIF(TIMETABLE!#REF!,"EA107")</f>
        <v>#REF!</v>
      </c>
      <c r="L241" s="12" t="e">
        <f>COUNTIF(TIMETABLE!#REF!,"EA108")</f>
        <v>#REF!</v>
      </c>
      <c r="M241" s="12" t="e">
        <f>COUNTIF(TIMETABLE!#REF!,"EB006")</f>
        <v>#REF!</v>
      </c>
      <c r="N241" s="12" t="e">
        <f>COUNTIF(TIMETABLE!#REF!,"EB007")</f>
        <v>#REF!</v>
      </c>
      <c r="O241" s="12" t="e">
        <f>COUNTIF(TIMETABLE!#REF!,"EB013")</f>
        <v>#REF!</v>
      </c>
      <c r="P241" s="12" t="e">
        <f>COUNTIF(TIMETABLE!#REF!,"EB104")</f>
        <v>#REF!</v>
      </c>
      <c r="Q241" s="12" t="e">
        <f>COUNTIF(TIMETABLE!#REF!,"EB105")</f>
        <v>#REF!</v>
      </c>
      <c r="R241" s="12" t="e">
        <f>COUNTIF(TIMETABLE!#REF!,"EB107")</f>
        <v>#REF!</v>
      </c>
      <c r="S241" s="12" t="e">
        <f>COUNTIF(TIMETABLE!#REF!,"EB109")</f>
        <v>#REF!</v>
      </c>
      <c r="T241" s="12" t="e">
        <f>COUNTIF(TIMETABLE!#REF!,"EB110")</f>
        <v>#REF!</v>
      </c>
      <c r="U241" s="12" t="e">
        <f>COUNTIF(TIMETABLE!#REF!,"MA111")</f>
        <v>#REF!</v>
      </c>
      <c r="V241" s="12" t="e">
        <f>COUNTIF(TIMETABLE!#REF!,"MA209")</f>
        <v>#REF!</v>
      </c>
      <c r="W241" s="12" t="e">
        <f>COUNTIF(TIMETABLE!#REF!,"MA212")</f>
        <v>#REF!</v>
      </c>
      <c r="X241" s="12" t="e">
        <f>COUNTIF(TIMETABLE!#REF!,"DO3")</f>
        <v>#REF!</v>
      </c>
      <c r="Y241" s="12" t="e">
        <f>COUNTIF(TIMETABLE!#REF!,"RM2")</f>
        <v>#REF!</v>
      </c>
      <c r="Z241" s="12" t="e">
        <f>COUNTIF(TIMETABLE!#REF!,"MZ01")</f>
        <v>#REF!</v>
      </c>
      <c r="AA241" s="12" t="e">
        <f>COUNTIF(TIMETABLE!#REF!,"MZ02")</f>
        <v>#REF!</v>
      </c>
      <c r="AB241" s="12" t="e">
        <f>COUNTIF(TIMETABLE!#REF!,"RM3")</f>
        <v>#REF!</v>
      </c>
      <c r="AC241" s="267" t="e">
        <f>COUNTIF(TIMETABLE!#REF!,"FET203")</f>
        <v>#REF!</v>
      </c>
      <c r="AD241" s="267" t="e">
        <f>COUNTIF(TIMETABLE!#REF!,"FET205")</f>
        <v>#REF!</v>
      </c>
      <c r="AE241" s="267" t="e">
        <f>COUNTIF(TIMETABLE!#REF!,"FET207")</f>
        <v>#REF!</v>
      </c>
      <c r="AF241" s="267" t="e">
        <f>COUNTIF(TIMETABLE!#REF!,"FET208")</f>
        <v>#REF!</v>
      </c>
      <c r="AG241" s="267" t="e">
        <f>COUNTIF(TIMETABLE!#REF!,"FET209")</f>
        <v>#REF!</v>
      </c>
      <c r="AH241" s="267" t="e">
        <f>COUNTIF(TIMETABLE!#REF!,"FET210")</f>
        <v>#REF!</v>
      </c>
      <c r="AI241" s="70"/>
      <c r="AJ241" s="520"/>
      <c r="EW241" s="532"/>
    </row>
    <row r="242" spans="2:153" ht="27" thickBot="1" x14ac:dyDescent="0.5">
      <c r="B242" s="520"/>
      <c r="C242" s="71">
        <v>7</v>
      </c>
      <c r="D242" s="79"/>
      <c r="E242" s="79"/>
      <c r="F242" s="79"/>
      <c r="G242" s="79"/>
      <c r="H242" s="79"/>
      <c r="I242" s="79"/>
      <c r="J242" s="79"/>
      <c r="K242" s="79"/>
      <c r="L242" s="79"/>
      <c r="M242" s="79"/>
      <c r="N242" s="79"/>
      <c r="O242" s="79"/>
      <c r="P242" s="79"/>
      <c r="Q242" s="79"/>
      <c r="R242" s="79"/>
      <c r="S242" s="79"/>
      <c r="T242" s="79"/>
      <c r="U242" s="79"/>
      <c r="V242" s="79"/>
      <c r="W242" s="79"/>
      <c r="X242" s="79"/>
      <c r="Y242" s="79"/>
      <c r="Z242" s="79"/>
      <c r="AA242" s="79"/>
      <c r="AB242" s="79"/>
      <c r="AC242" s="275"/>
      <c r="AD242" s="275"/>
      <c r="AE242" s="275"/>
      <c r="AF242" s="275"/>
      <c r="AG242" s="275"/>
      <c r="AH242" s="275"/>
      <c r="AI242" s="71">
        <v>7</v>
      </c>
      <c r="AJ242" s="520"/>
      <c r="EW242" s="532"/>
    </row>
    <row r="243" spans="2:153" ht="26.4" x14ac:dyDescent="0.45">
      <c r="B243" s="520"/>
      <c r="C243" s="70">
        <v>7</v>
      </c>
      <c r="D243" s="78"/>
      <c r="E243" s="78"/>
      <c r="F243" s="78"/>
      <c r="G243" s="78"/>
      <c r="H243" s="78"/>
      <c r="I243" s="78"/>
      <c r="J243" s="78"/>
      <c r="K243" s="78"/>
      <c r="L243" s="78"/>
      <c r="M243" s="78"/>
      <c r="N243" s="78"/>
      <c r="O243" s="78"/>
      <c r="P243" s="78"/>
      <c r="Q243" s="78"/>
      <c r="R243" s="78"/>
      <c r="S243" s="78"/>
      <c r="T243" s="78"/>
      <c r="U243" s="78"/>
      <c r="V243" s="78"/>
      <c r="W243" s="78"/>
      <c r="X243" s="78"/>
      <c r="Y243" s="78"/>
      <c r="Z243" s="78"/>
      <c r="AA243" s="78"/>
      <c r="AB243" s="78"/>
      <c r="AC243" s="274"/>
      <c r="AD243" s="274"/>
      <c r="AE243" s="274"/>
      <c r="AF243" s="274"/>
      <c r="AG243" s="274"/>
      <c r="AH243" s="274"/>
      <c r="AI243" s="70">
        <v>7</v>
      </c>
      <c r="AJ243" s="520"/>
      <c r="EW243" s="532"/>
    </row>
    <row r="244" spans="2:153" ht="26.4" x14ac:dyDescent="0.45">
      <c r="B244" s="520"/>
      <c r="C244" s="70"/>
      <c r="D244" s="12" t="e">
        <f>COUNTIF(TIMETABLE!#REF!,"EA005")</f>
        <v>#REF!</v>
      </c>
      <c r="E244" s="12" t="e">
        <f>COUNTIF(TIMETABLE!#REF!,"EA006")</f>
        <v>#REF!</v>
      </c>
      <c r="F244" s="12" t="e">
        <f>COUNTIF(TIMETABLE!#REF!,"EA009/10")</f>
        <v>#REF!</v>
      </c>
      <c r="G244" s="12" t="e">
        <f>COUNTIF(TIMETABLE!#REF!,"EA012")</f>
        <v>#REF!</v>
      </c>
      <c r="H244" s="12" t="e">
        <f>COUNTIF(TIMETABLE!#REF!,"EA015")</f>
        <v>#REF!</v>
      </c>
      <c r="I244" s="12" t="e">
        <f>COUNTIF(TIMETABLE!#REF!,"EA104")</f>
        <v>#REF!</v>
      </c>
      <c r="J244" s="12" t="e">
        <f>COUNTIF(TIMETABLE!#REF!,"EA105")</f>
        <v>#REF!</v>
      </c>
      <c r="K244" s="12" t="e">
        <f>COUNTIF(TIMETABLE!#REF!,"EA107")</f>
        <v>#REF!</v>
      </c>
      <c r="L244" s="12" t="e">
        <f>COUNTIF(TIMETABLE!#REF!,"EA108")</f>
        <v>#REF!</v>
      </c>
      <c r="M244" s="12" t="e">
        <f>COUNTIF(TIMETABLE!#REF!,"EB006")</f>
        <v>#REF!</v>
      </c>
      <c r="N244" s="12" t="e">
        <f>COUNTIF(TIMETABLE!#REF!,"EB007")</f>
        <v>#REF!</v>
      </c>
      <c r="O244" s="12" t="e">
        <f>COUNTIF(TIMETABLE!#REF!,"EB013")</f>
        <v>#REF!</v>
      </c>
      <c r="P244" s="12" t="e">
        <f>COUNTIF(TIMETABLE!#REF!,"EB104")</f>
        <v>#REF!</v>
      </c>
      <c r="Q244" s="12" t="e">
        <f>COUNTIF(TIMETABLE!#REF!,"EB105")</f>
        <v>#REF!</v>
      </c>
      <c r="R244" s="12" t="e">
        <f>COUNTIF(TIMETABLE!#REF!,"EB107")</f>
        <v>#REF!</v>
      </c>
      <c r="S244" s="12" t="e">
        <f>COUNTIF(TIMETABLE!#REF!,"EB109")</f>
        <v>#REF!</v>
      </c>
      <c r="T244" s="12" t="e">
        <f>COUNTIF(TIMETABLE!#REF!,"EB110")</f>
        <v>#REF!</v>
      </c>
      <c r="U244" s="12" t="e">
        <f>COUNTIF(TIMETABLE!#REF!,"MA111")</f>
        <v>#REF!</v>
      </c>
      <c r="V244" s="12" t="e">
        <f>COUNTIF(TIMETABLE!#REF!,"MA209")</f>
        <v>#REF!</v>
      </c>
      <c r="W244" s="12" t="e">
        <f>COUNTIF(TIMETABLE!#REF!,"MA212")</f>
        <v>#REF!</v>
      </c>
      <c r="X244" s="12" t="e">
        <f>COUNTIF(TIMETABLE!#REF!,"DO3")</f>
        <v>#REF!</v>
      </c>
      <c r="Y244" s="12" t="e">
        <f>COUNTIF(TIMETABLE!#REF!,"RM2")</f>
        <v>#REF!</v>
      </c>
      <c r="Z244" s="12" t="e">
        <f>COUNTIF(TIMETABLE!#REF!,"MZ01")</f>
        <v>#REF!</v>
      </c>
      <c r="AA244" s="12" t="e">
        <f>COUNTIF(TIMETABLE!#REF!,"MZ02")</f>
        <v>#REF!</v>
      </c>
      <c r="AB244" s="12" t="e">
        <f>COUNTIF(TIMETABLE!#REF!,"RM3")</f>
        <v>#REF!</v>
      </c>
      <c r="AC244" s="267" t="e">
        <f>COUNTIF(TIMETABLE!#REF!,"FET203")</f>
        <v>#REF!</v>
      </c>
      <c r="AD244" s="267" t="e">
        <f>COUNTIF(TIMETABLE!#REF!,"FET205")</f>
        <v>#REF!</v>
      </c>
      <c r="AE244" s="267" t="e">
        <f>COUNTIF(TIMETABLE!#REF!,"FET207")</f>
        <v>#REF!</v>
      </c>
      <c r="AF244" s="267" t="e">
        <f>COUNTIF(TIMETABLE!#REF!,"FET208")</f>
        <v>#REF!</v>
      </c>
      <c r="AG244" s="267" t="e">
        <f>COUNTIF(TIMETABLE!#REF!,"FET209")</f>
        <v>#REF!</v>
      </c>
      <c r="AH244" s="267" t="e">
        <f>COUNTIF(TIMETABLE!#REF!,"FET210")</f>
        <v>#REF!</v>
      </c>
      <c r="AI244" s="70"/>
      <c r="AJ244" s="520"/>
      <c r="EW244" s="532"/>
    </row>
    <row r="245" spans="2:153" ht="27" thickBot="1" x14ac:dyDescent="0.5">
      <c r="B245" s="521"/>
      <c r="C245" s="71">
        <v>8</v>
      </c>
      <c r="D245" s="79"/>
      <c r="E245" s="79"/>
      <c r="F245" s="79"/>
      <c r="G245" s="79"/>
      <c r="H245" s="79"/>
      <c r="I245" s="79"/>
      <c r="J245" s="79"/>
      <c r="K245" s="79"/>
      <c r="L245" s="79"/>
      <c r="M245" s="79"/>
      <c r="N245" s="79"/>
      <c r="O245" s="79"/>
      <c r="P245" s="79"/>
      <c r="Q245" s="79"/>
      <c r="R245" s="79"/>
      <c r="S245" s="79"/>
      <c r="T245" s="79"/>
      <c r="U245" s="79"/>
      <c r="V245" s="79"/>
      <c r="W245" s="79"/>
      <c r="X245" s="79"/>
      <c r="Y245" s="79"/>
      <c r="Z245" s="79"/>
      <c r="AA245" s="79"/>
      <c r="AB245" s="79"/>
      <c r="AC245" s="275"/>
      <c r="AD245" s="275"/>
      <c r="AE245" s="275"/>
      <c r="AF245" s="275"/>
      <c r="AG245" s="275"/>
      <c r="AH245" s="275"/>
      <c r="AI245" s="71">
        <v>8</v>
      </c>
      <c r="AJ245" s="521"/>
      <c r="EW245" s="532"/>
    </row>
    <row r="246" spans="2:153" ht="27" thickTop="1" x14ac:dyDescent="0.45">
      <c r="B246" s="513" t="s">
        <v>118</v>
      </c>
      <c r="C246" s="290">
        <v>7</v>
      </c>
      <c r="D246" s="291"/>
      <c r="E246" s="291"/>
      <c r="F246" s="291"/>
      <c r="G246" s="291"/>
      <c r="H246" s="291"/>
      <c r="I246" s="291"/>
      <c r="J246" s="291"/>
      <c r="K246" s="291"/>
      <c r="L246" s="291"/>
      <c r="M246" s="291"/>
      <c r="N246" s="291"/>
      <c r="O246" s="291"/>
      <c r="P246" s="291"/>
      <c r="Q246" s="291"/>
      <c r="R246" s="291"/>
      <c r="S246" s="291"/>
      <c r="T246" s="291"/>
      <c r="U246" s="291"/>
      <c r="V246" s="291"/>
      <c r="W246" s="291"/>
      <c r="X246" s="291"/>
      <c r="Y246" s="291"/>
      <c r="Z246" s="291"/>
      <c r="AA246" s="291"/>
      <c r="AB246" s="291"/>
      <c r="AC246" s="292"/>
      <c r="AD246" s="292"/>
      <c r="AE246" s="292"/>
      <c r="AF246" s="292"/>
      <c r="AG246" s="292"/>
      <c r="AH246" s="292"/>
      <c r="AI246" s="290">
        <v>7</v>
      </c>
      <c r="AJ246" s="513" t="s">
        <v>142</v>
      </c>
      <c r="EW246" s="532"/>
    </row>
    <row r="247" spans="2:153" ht="26.4" x14ac:dyDescent="0.45">
      <c r="B247" s="514"/>
      <c r="C247" s="293"/>
      <c r="D247" s="294">
        <f>COUNTIF(TIMETABLE!D124:W124,"EA005")</f>
        <v>0</v>
      </c>
      <c r="E247" s="294">
        <f>COUNTIF(TIMETABLE!D124:W124,"EA006")</f>
        <v>0</v>
      </c>
      <c r="F247" s="294">
        <f>COUNTIF(TIMETABLE!D124:W124,"EA009/10")</f>
        <v>0</v>
      </c>
      <c r="G247" s="294">
        <f>COUNTIF(TIMETABLE!D124:W124,"EA012")</f>
        <v>0</v>
      </c>
      <c r="H247" s="294">
        <f>COUNTIF(TIMETABLE!D124:W124,"EA015")</f>
        <v>0</v>
      </c>
      <c r="I247" s="294">
        <f>COUNTIF(TIMETABLE!D124:W124,"EA104")</f>
        <v>0</v>
      </c>
      <c r="J247" s="294">
        <f>COUNTIF(TIMETABLE!D124:W124,"EA105")</f>
        <v>0</v>
      </c>
      <c r="K247" s="294">
        <f>COUNTIF(TIMETABLE!D124:W124,"EA107")</f>
        <v>0</v>
      </c>
      <c r="L247" s="294">
        <f>COUNTIF(TIMETABLE!D124:W124,"EA108")</f>
        <v>0</v>
      </c>
      <c r="M247" s="294">
        <f>COUNTIF(TIMETABLE!D124:W124,"EB006")</f>
        <v>0</v>
      </c>
      <c r="N247" s="294">
        <f>COUNTIF(TIMETABLE!D124:W124,"EB007")</f>
        <v>0</v>
      </c>
      <c r="O247" s="294">
        <f>COUNTIF(TIMETABLE!D124:W124,"EB013")</f>
        <v>0</v>
      </c>
      <c r="P247" s="294">
        <f>COUNTIF(TIMETABLE!L124:W124,"EB104")</f>
        <v>0</v>
      </c>
      <c r="Q247" s="294">
        <f>COUNTIF(TIMETABLE!D124:W124,"EB105")</f>
        <v>0</v>
      </c>
      <c r="R247" s="294">
        <f>COUNTIF(TIMETABLE!D124:W124,"EB107")</f>
        <v>0</v>
      </c>
      <c r="S247" s="311">
        <f>COUNTIF(TIMETABLE!D124:W124,"EB109")</f>
        <v>0</v>
      </c>
      <c r="T247" s="294">
        <f>COUNTIF(TIMETABLE!D124:W124,"EB110")</f>
        <v>0</v>
      </c>
      <c r="U247" s="294">
        <f>COUNTIF(TIMETABLE!D124:W124,"MA111")</f>
        <v>0</v>
      </c>
      <c r="V247" s="294">
        <f>COUNTIF(TIMETABLE!D124:W124,"MA209")</f>
        <v>0</v>
      </c>
      <c r="W247" s="294">
        <f>COUNTIF(TIMETABLE!D124:W124,"MA212")</f>
        <v>0</v>
      </c>
      <c r="X247" s="294">
        <f>COUNTIF(TIMETABLE!D124:W124,"DO3")</f>
        <v>0</v>
      </c>
      <c r="Y247" s="294">
        <f>COUNTIF(TIMETABLE!D124:W124,"RM2")</f>
        <v>0</v>
      </c>
      <c r="Z247" s="294">
        <f>COUNTIF(TIMETABLE!D124:W124,"MZ01")</f>
        <v>0</v>
      </c>
      <c r="AA247" s="294">
        <f>COUNTIF(TIMETABLE!D124:W124,"MZ02")</f>
        <v>0</v>
      </c>
      <c r="AB247" s="294">
        <f>COUNTIF(TIMETABLE!D124:W124,"RM3")</f>
        <v>0</v>
      </c>
      <c r="AC247" s="293">
        <f>COUNTIF(TIMETABLE!D124:W124,"FET203")</f>
        <v>0</v>
      </c>
      <c r="AD247" s="293">
        <f>COUNTIF(TIMETABLE!D124:W124,"FET205")</f>
        <v>0</v>
      </c>
      <c r="AE247" s="293">
        <f>COUNTIF(TIMETABLE!D124:W124,"FET207")</f>
        <v>0</v>
      </c>
      <c r="AF247" s="293">
        <f>COUNTIF(TIMETABLE!D124:W124,"FET208")</f>
        <v>0</v>
      </c>
      <c r="AG247" s="293">
        <f>COUNTIF(TIMETABLE!D124:W124,"FET209")</f>
        <v>0</v>
      </c>
      <c r="AH247" s="293">
        <f>COUNTIF(TIMETABLE!D124:W124,"FET210")</f>
        <v>0</v>
      </c>
      <c r="AI247" s="293"/>
      <c r="AJ247" s="514"/>
      <c r="EW247" s="532"/>
    </row>
    <row r="248" spans="2:153" ht="27" thickBot="1" x14ac:dyDescent="0.5">
      <c r="B248" s="514"/>
      <c r="C248" s="295">
        <v>8</v>
      </c>
      <c r="D248" s="296"/>
      <c r="E248" s="296"/>
      <c r="F248" s="296"/>
      <c r="G248" s="296"/>
      <c r="H248" s="296"/>
      <c r="I248" s="296"/>
      <c r="J248" s="296"/>
      <c r="K248" s="296"/>
      <c r="L248" s="296"/>
      <c r="M248" s="296"/>
      <c r="N248" s="296"/>
      <c r="O248" s="296"/>
      <c r="P248" s="296"/>
      <c r="Q248" s="296"/>
      <c r="R248" s="296"/>
      <c r="S248" s="296"/>
      <c r="T248" s="296"/>
      <c r="U248" s="296"/>
      <c r="V248" s="296"/>
      <c r="W248" s="296"/>
      <c r="X248" s="296"/>
      <c r="Y248" s="296"/>
      <c r="Z248" s="296"/>
      <c r="AA248" s="296"/>
      <c r="AB248" s="296"/>
      <c r="AC248" s="297"/>
      <c r="AD248" s="297"/>
      <c r="AE248" s="297"/>
      <c r="AF248" s="297"/>
      <c r="AG248" s="297"/>
      <c r="AH248" s="297"/>
      <c r="AI248" s="295">
        <v>8</v>
      </c>
      <c r="AJ248" s="514"/>
      <c r="EW248" s="532"/>
    </row>
    <row r="249" spans="2:153" ht="26.4" x14ac:dyDescent="0.45">
      <c r="B249" s="514"/>
      <c r="C249" s="290">
        <v>8</v>
      </c>
      <c r="D249" s="291"/>
      <c r="E249" s="291"/>
      <c r="F249" s="291"/>
      <c r="G249" s="291"/>
      <c r="H249" s="291"/>
      <c r="I249" s="291"/>
      <c r="J249" s="291"/>
      <c r="K249" s="291"/>
      <c r="L249" s="291"/>
      <c r="M249" s="291"/>
      <c r="N249" s="291"/>
      <c r="O249" s="291"/>
      <c r="P249" s="291"/>
      <c r="Q249" s="291"/>
      <c r="R249" s="291"/>
      <c r="S249" s="291"/>
      <c r="T249" s="291"/>
      <c r="U249" s="291"/>
      <c r="V249" s="291"/>
      <c r="W249" s="291"/>
      <c r="X249" s="291"/>
      <c r="Y249" s="291"/>
      <c r="Z249" s="291"/>
      <c r="AA249" s="291"/>
      <c r="AB249" s="291"/>
      <c r="AC249" s="292"/>
      <c r="AD249" s="292"/>
      <c r="AE249" s="292"/>
      <c r="AF249" s="292"/>
      <c r="AG249" s="292"/>
      <c r="AH249" s="292"/>
      <c r="AI249" s="290">
        <v>8</v>
      </c>
      <c r="AJ249" s="514"/>
      <c r="EW249" s="532"/>
    </row>
    <row r="250" spans="2:153" ht="26.4" x14ac:dyDescent="0.45">
      <c r="B250" s="514"/>
      <c r="C250" s="290"/>
      <c r="D250" s="294">
        <f>COUNTIF(TIMETABLE!D128:W128,"EA005")</f>
        <v>0</v>
      </c>
      <c r="E250" s="294">
        <f>COUNTIF(TIMETABLE!D128:W128,"EA006")</f>
        <v>0</v>
      </c>
      <c r="F250" s="294">
        <f>COUNTIF(TIMETABLE!D128:W128,"EA009/10")</f>
        <v>0</v>
      </c>
      <c r="G250" s="294">
        <f>COUNTIF(TIMETABLE!D128:W128,"EA012")</f>
        <v>0</v>
      </c>
      <c r="H250" s="294">
        <f>COUNTIF(TIMETABLE!D128:W128,"EA015")</f>
        <v>0</v>
      </c>
      <c r="I250" s="294">
        <f>COUNTIF(TIMETABLE!D128:W128,"EA104")</f>
        <v>0</v>
      </c>
      <c r="J250" s="294">
        <f>COUNTIF(TIMETABLE!D128:W128,"EA105")</f>
        <v>0</v>
      </c>
      <c r="K250" s="294">
        <f>COUNTIF(TIMETABLE!D128:W128,"EA107")</f>
        <v>0</v>
      </c>
      <c r="L250" s="294">
        <f>COUNTIF(TIMETABLE!D128:W128,"EA108")</f>
        <v>0</v>
      </c>
      <c r="M250" s="294">
        <f>COUNTIF(TIMETABLE!D128:W128,"EB006")</f>
        <v>0</v>
      </c>
      <c r="N250" s="294">
        <f>COUNTIF(TIMETABLE!D128:W128,"EB007")</f>
        <v>0</v>
      </c>
      <c r="O250" s="294">
        <f>COUNTIF(TIMETABLE!D128:W128,"EB013")</f>
        <v>0</v>
      </c>
      <c r="P250" s="294">
        <f>COUNTIF(TIMETABLE!L128:W128,"EB104")</f>
        <v>0</v>
      </c>
      <c r="Q250" s="294">
        <f>COUNTIF(TIMETABLE!D128:W128,"EB105")</f>
        <v>0</v>
      </c>
      <c r="R250" s="294">
        <f>COUNTIF(TIMETABLE!D128:W128,"EB107")</f>
        <v>0</v>
      </c>
      <c r="S250" s="294">
        <f>COUNTIF(TIMETABLE!D128:W128,"EB109")</f>
        <v>0</v>
      </c>
      <c r="T250" s="294">
        <f>COUNTIF(TIMETABLE!D128:W128,"EB110")</f>
        <v>0</v>
      </c>
      <c r="U250" s="294">
        <f>COUNTIF(TIMETABLE!D128:W128,"MA111")</f>
        <v>0</v>
      </c>
      <c r="V250" s="294">
        <f>COUNTIF(TIMETABLE!D128:W128,"MA209")</f>
        <v>0</v>
      </c>
      <c r="W250" s="294">
        <f>COUNTIF(TIMETABLE!D128:W128,"MA212")</f>
        <v>0</v>
      </c>
      <c r="X250" s="294">
        <f>COUNTIF(TIMETABLE!D128:W128,"DO3")</f>
        <v>0</v>
      </c>
      <c r="Y250" s="294">
        <f>COUNTIF(TIMETABLE!D128:W128,"RM2")</f>
        <v>0</v>
      </c>
      <c r="Z250" s="294">
        <f>COUNTIF(TIMETABLE!D128:W128,"MZ01")</f>
        <v>0</v>
      </c>
      <c r="AA250" s="294">
        <f>COUNTIF(TIMETABLE!D128:W128,"MZ02")</f>
        <v>0</v>
      </c>
      <c r="AB250" s="294">
        <f>COUNTIF(TIMETABLE!D128:W128,"RM3")</f>
        <v>0</v>
      </c>
      <c r="AC250" s="293">
        <f>COUNTIF(TIMETABLE!D128:W128,"FET203")</f>
        <v>0</v>
      </c>
      <c r="AD250" s="293">
        <f>COUNTIF(TIMETABLE!D128:W128,"FET205")</f>
        <v>0</v>
      </c>
      <c r="AE250" s="293">
        <f>COUNTIF(TIMETABLE!D128:W128,"FET207")</f>
        <v>0</v>
      </c>
      <c r="AF250" s="293">
        <f>COUNTIF(TIMETABLE!D128:W128,"FET208")</f>
        <v>0</v>
      </c>
      <c r="AG250" s="293">
        <f>COUNTIF(TIMETABLE!D128:W128,"FET209")</f>
        <v>0</v>
      </c>
      <c r="AH250" s="293">
        <f>COUNTIF(TIMETABLE!D128:W128,"FET210")</f>
        <v>0</v>
      </c>
      <c r="AI250" s="290"/>
      <c r="AJ250" s="514"/>
      <c r="EW250" s="532"/>
    </row>
    <row r="251" spans="2:153" ht="27" thickBot="1" x14ac:dyDescent="0.5">
      <c r="B251" s="514"/>
      <c r="C251" s="295">
        <v>9</v>
      </c>
      <c r="D251" s="296"/>
      <c r="E251" s="296"/>
      <c r="F251" s="296"/>
      <c r="G251" s="296"/>
      <c r="H251" s="296"/>
      <c r="I251" s="296"/>
      <c r="J251" s="296"/>
      <c r="K251" s="296"/>
      <c r="L251" s="296"/>
      <c r="M251" s="296"/>
      <c r="N251" s="296"/>
      <c r="O251" s="296"/>
      <c r="P251" s="296"/>
      <c r="Q251" s="296"/>
      <c r="R251" s="296"/>
      <c r="S251" s="296"/>
      <c r="T251" s="296"/>
      <c r="U251" s="296"/>
      <c r="V251" s="296"/>
      <c r="W251" s="296"/>
      <c r="X251" s="296"/>
      <c r="Y251" s="296"/>
      <c r="Z251" s="296"/>
      <c r="AA251" s="296"/>
      <c r="AB251" s="296"/>
      <c r="AC251" s="297"/>
      <c r="AD251" s="297"/>
      <c r="AE251" s="297"/>
      <c r="AF251" s="297"/>
      <c r="AG251" s="297"/>
      <c r="AH251" s="297"/>
      <c r="AI251" s="295">
        <v>9</v>
      </c>
      <c r="AJ251" s="514"/>
      <c r="EW251" s="532"/>
    </row>
    <row r="252" spans="2:153" ht="26.4" x14ac:dyDescent="0.45">
      <c r="B252" s="514"/>
      <c r="C252" s="290">
        <v>9</v>
      </c>
      <c r="D252" s="291"/>
      <c r="E252" s="291"/>
      <c r="F252" s="291"/>
      <c r="G252" s="291"/>
      <c r="H252" s="291"/>
      <c r="I252" s="291"/>
      <c r="J252" s="291"/>
      <c r="K252" s="291"/>
      <c r="L252" s="291"/>
      <c r="M252" s="291"/>
      <c r="N252" s="291"/>
      <c r="O252" s="291"/>
      <c r="P252" s="291"/>
      <c r="Q252" s="291"/>
      <c r="R252" s="291"/>
      <c r="S252" s="291"/>
      <c r="T252" s="291"/>
      <c r="U252" s="291"/>
      <c r="V252" s="291"/>
      <c r="W252" s="291"/>
      <c r="X252" s="291"/>
      <c r="Y252" s="291"/>
      <c r="Z252" s="291"/>
      <c r="AA252" s="291"/>
      <c r="AB252" s="291"/>
      <c r="AC252" s="292"/>
      <c r="AD252" s="292"/>
      <c r="AE252" s="292"/>
      <c r="AF252" s="292"/>
      <c r="AG252" s="292"/>
      <c r="AH252" s="292"/>
      <c r="AI252" s="290">
        <v>9</v>
      </c>
      <c r="AJ252" s="514"/>
      <c r="EW252" s="532"/>
    </row>
    <row r="253" spans="2:153" ht="26.4" x14ac:dyDescent="0.45">
      <c r="B253" s="514"/>
      <c r="C253" s="298"/>
      <c r="D253" s="294">
        <f>COUNTIF(TIMETABLE!D132:W132,"EA005")</f>
        <v>0</v>
      </c>
      <c r="E253" s="294">
        <f>COUNTIF(TIMETABLE!D132:W132,"EA006")</f>
        <v>0</v>
      </c>
      <c r="F253" s="294">
        <f>COUNTIF(TIMETABLE!D132:W132,"EA009/10")</f>
        <v>0</v>
      </c>
      <c r="G253" s="294">
        <f>COUNTIF(TIMETABLE!D132:W132,"EA012")</f>
        <v>0</v>
      </c>
      <c r="H253" s="294">
        <f>COUNTIF(TIMETABLE!D132:W132,"EA015")</f>
        <v>0</v>
      </c>
      <c r="I253" s="294">
        <f>COUNTIF(TIMETABLE!D132:W132,"EA104")</f>
        <v>0</v>
      </c>
      <c r="J253" s="294">
        <f>COUNTIF(TIMETABLE!D132:W132,"EA105")</f>
        <v>0</v>
      </c>
      <c r="K253" s="294">
        <f>COUNTIF(TIMETABLE!D132:W132,"EA107")</f>
        <v>0</v>
      </c>
      <c r="L253" s="294">
        <f>COUNTIF(TIMETABLE!D132:W132,"EA108")</f>
        <v>0</v>
      </c>
      <c r="M253" s="294">
        <f>COUNTIF(TIMETABLE!D132:W132,"EB006")</f>
        <v>0</v>
      </c>
      <c r="N253" s="294">
        <f>COUNTIF(TIMETABLE!D132:W132,"EB007")</f>
        <v>0</v>
      </c>
      <c r="O253" s="294">
        <f>COUNTIF(TIMETABLE!D132:W132,"EB013")</f>
        <v>0</v>
      </c>
      <c r="P253" s="294">
        <f>COUNTIF(TIMETABLE!L132:W132,"EB104")</f>
        <v>0</v>
      </c>
      <c r="Q253" s="294">
        <f>COUNTIF(TIMETABLE!D132:W132,"EB105")</f>
        <v>0</v>
      </c>
      <c r="R253" s="294">
        <f>COUNTIF(TIMETABLE!D132:W132,"EB107")</f>
        <v>0</v>
      </c>
      <c r="S253" s="294">
        <f>COUNTIF(TIMETABLE!D132:W132,"EB109")</f>
        <v>0</v>
      </c>
      <c r="T253" s="294">
        <f>COUNTIF(TIMETABLE!D132:W132,"EB110")</f>
        <v>0</v>
      </c>
      <c r="U253" s="294">
        <f>COUNTIF(TIMETABLE!D132:W132,"MA111")</f>
        <v>0</v>
      </c>
      <c r="V253" s="294">
        <f>COUNTIF(TIMETABLE!D132:W132,"MA209")</f>
        <v>0</v>
      </c>
      <c r="W253" s="294">
        <f>COUNTIF(TIMETABLE!D132:W132,"MA212")</f>
        <v>0</v>
      </c>
      <c r="X253" s="294">
        <f>COUNTIF(TIMETABLE!D132:W132,"DO3")</f>
        <v>0</v>
      </c>
      <c r="Y253" s="294">
        <f>COUNTIF(TIMETABLE!D132:W132,"RM2")</f>
        <v>0</v>
      </c>
      <c r="Z253" s="294">
        <f>COUNTIF(TIMETABLE!D132:W132,"MZ01")</f>
        <v>0</v>
      </c>
      <c r="AA253" s="294">
        <f>COUNTIF(TIMETABLE!D132:W132,"MZ02")</f>
        <v>0</v>
      </c>
      <c r="AB253" s="294">
        <f>COUNTIF(TIMETABLE!D132:W132,"RM3")</f>
        <v>0</v>
      </c>
      <c r="AC253" s="294">
        <f>COUNTIF(TIMETABLE!D132:W132,"FET203")</f>
        <v>0</v>
      </c>
      <c r="AD253" s="294">
        <f>COUNTIF(TIMETABLE!D132:W132,"FET205")</f>
        <v>0</v>
      </c>
      <c r="AE253" s="294">
        <f>COUNTIF(TIMETABLE!D132:W132,"FET207")</f>
        <v>0</v>
      </c>
      <c r="AF253" s="294">
        <f>COUNTIF(TIMETABLE!D132:W132,"FET208")</f>
        <v>0</v>
      </c>
      <c r="AG253" s="294">
        <f>COUNTIF(TIMETABLE!D132:W132,"FET209")</f>
        <v>0</v>
      </c>
      <c r="AH253" s="294">
        <f>COUNTIF(TIMETABLE!D132:W132,"FET210")</f>
        <v>0</v>
      </c>
      <c r="AI253" s="298"/>
      <c r="AJ253" s="514"/>
      <c r="EW253" s="532"/>
    </row>
    <row r="254" spans="2:153" ht="27" thickBot="1" x14ac:dyDescent="0.5">
      <c r="B254" s="514"/>
      <c r="C254" s="295">
        <v>10</v>
      </c>
      <c r="D254" s="296"/>
      <c r="E254" s="296"/>
      <c r="F254" s="296"/>
      <c r="G254" s="296"/>
      <c r="H254" s="296"/>
      <c r="I254" s="296"/>
      <c r="J254" s="296"/>
      <c r="K254" s="296"/>
      <c r="L254" s="296"/>
      <c r="M254" s="296"/>
      <c r="N254" s="296"/>
      <c r="O254" s="296"/>
      <c r="P254" s="296"/>
      <c r="Q254" s="296"/>
      <c r="R254" s="296"/>
      <c r="S254" s="296"/>
      <c r="T254" s="296"/>
      <c r="U254" s="296"/>
      <c r="V254" s="296"/>
      <c r="W254" s="296"/>
      <c r="X254" s="296"/>
      <c r="Y254" s="296"/>
      <c r="Z254" s="296"/>
      <c r="AA254" s="296"/>
      <c r="AB254" s="296"/>
      <c r="AC254" s="297"/>
      <c r="AD254" s="297"/>
      <c r="AE254" s="297"/>
      <c r="AF254" s="297"/>
      <c r="AG254" s="297"/>
      <c r="AH254" s="297"/>
      <c r="AI254" s="295">
        <v>10</v>
      </c>
      <c r="AJ254" s="514"/>
      <c r="EW254" s="532"/>
    </row>
    <row r="255" spans="2:153" ht="26.4" x14ac:dyDescent="0.45">
      <c r="B255" s="514"/>
      <c r="C255" s="290">
        <v>10</v>
      </c>
      <c r="D255" s="291"/>
      <c r="E255" s="291"/>
      <c r="F255" s="291"/>
      <c r="G255" s="291"/>
      <c r="H255" s="291"/>
      <c r="I255" s="291"/>
      <c r="J255" s="291"/>
      <c r="K255" s="291"/>
      <c r="L255" s="291"/>
      <c r="M255" s="291"/>
      <c r="N255" s="291"/>
      <c r="O255" s="291"/>
      <c r="P255" s="291"/>
      <c r="Q255" s="291"/>
      <c r="R255" s="291"/>
      <c r="S255" s="291"/>
      <c r="T255" s="291"/>
      <c r="U255" s="291"/>
      <c r="V255" s="291"/>
      <c r="W255" s="291"/>
      <c r="X255" s="291"/>
      <c r="Y255" s="291"/>
      <c r="Z255" s="291"/>
      <c r="AA255" s="291"/>
      <c r="AB255" s="291"/>
      <c r="AC255" s="292"/>
      <c r="AD255" s="292"/>
      <c r="AE255" s="292"/>
      <c r="AF255" s="292"/>
      <c r="AG255" s="292"/>
      <c r="AH255" s="292"/>
      <c r="AI255" s="290">
        <v>10</v>
      </c>
      <c r="AJ255" s="514"/>
      <c r="EW255" s="532"/>
    </row>
    <row r="256" spans="2:153" ht="26.4" x14ac:dyDescent="0.45">
      <c r="B256" s="514"/>
      <c r="C256" s="299"/>
      <c r="D256" s="294">
        <f>COUNTIF(TIMETABLE!D135:W135,"EA005")</f>
        <v>0</v>
      </c>
      <c r="E256" s="294">
        <f>COUNTIF(TIMETABLE!D135:W135,"EA006")</f>
        <v>0</v>
      </c>
      <c r="F256" s="294">
        <f>COUNTIF(TIMETABLE!D135:W135,"EA009/10")</f>
        <v>0</v>
      </c>
      <c r="G256" s="294">
        <f>COUNTIF(TIMETABLE!D135:W135,"EA012")</f>
        <v>0</v>
      </c>
      <c r="H256" s="294">
        <f>COUNTIF(TIMETABLE!D135:W135,"EA015")</f>
        <v>0</v>
      </c>
      <c r="I256" s="294">
        <f>COUNTIF(TIMETABLE!D135:W135,"EA104")</f>
        <v>0</v>
      </c>
      <c r="J256" s="294">
        <f>COUNTIF(TIMETABLE!D135:W135,"EA105")</f>
        <v>0</v>
      </c>
      <c r="K256" s="294">
        <f>COUNTIF(TIMETABLE!D135:W135,"EA107")</f>
        <v>0</v>
      </c>
      <c r="L256" s="294">
        <f>COUNTIF(TIMETABLE!D135:W135,"EA108")</f>
        <v>0</v>
      </c>
      <c r="M256" s="294">
        <f>COUNTIF(TIMETABLE!D135:W135,"EB006")</f>
        <v>0</v>
      </c>
      <c r="N256" s="294">
        <f>COUNTIF(TIMETABLE!D135:W135,"EB007")</f>
        <v>0</v>
      </c>
      <c r="O256" s="294">
        <f>COUNTIF(TIMETABLE!D135:W135,"EB013")</f>
        <v>0</v>
      </c>
      <c r="P256" s="294">
        <f>COUNTIF(TIMETABLE!L135:W135,"EB104")</f>
        <v>0</v>
      </c>
      <c r="Q256" s="294">
        <f>COUNTIF(TIMETABLE!D135:W135,"EB105")</f>
        <v>0</v>
      </c>
      <c r="R256" s="294">
        <f>COUNTIF(TIMETABLE!D135:W135,"EB107")</f>
        <v>0</v>
      </c>
      <c r="S256" s="294">
        <f>COUNTIF(TIMETABLE!D135:W135,"EB109")</f>
        <v>0</v>
      </c>
      <c r="T256" s="294">
        <f>COUNTIF(TIMETABLE!D135:W135,"EB110")</f>
        <v>0</v>
      </c>
      <c r="U256" s="294">
        <f>COUNTIF(TIMETABLE!D135:W135,"MA111")</f>
        <v>0</v>
      </c>
      <c r="V256" s="294">
        <f>COUNTIF(TIMETABLE!D135:W135,"MA209")</f>
        <v>0</v>
      </c>
      <c r="W256" s="294">
        <f>COUNTIF(TIMETABLE!D135:W135,"MA212")</f>
        <v>0</v>
      </c>
      <c r="X256" s="294">
        <f>COUNTIF(TIMETABLE!D135:W135,"DO3")</f>
        <v>0</v>
      </c>
      <c r="Y256" s="294">
        <f>COUNTIF(TIMETABLE!D135:W135,"RM2")</f>
        <v>0</v>
      </c>
      <c r="Z256" s="294">
        <f>COUNTIF(TIMETABLE!D135:W135,"MZ01")</f>
        <v>0</v>
      </c>
      <c r="AA256" s="294">
        <f>COUNTIF(TIMETABLE!D135:W135,"MZ02")</f>
        <v>0</v>
      </c>
      <c r="AB256" s="294">
        <f>COUNTIF(TIMETABLE!D135:W135,"RM3")</f>
        <v>0</v>
      </c>
      <c r="AC256" s="293">
        <f>COUNTIF(TIMETABLE!D135:W135,"FET203")</f>
        <v>0</v>
      </c>
      <c r="AD256" s="293">
        <f>COUNTIF(TIMETABLE!D135:W135,"FET205")</f>
        <v>0</v>
      </c>
      <c r="AE256" s="293">
        <f>COUNTIF(TIMETABLE!D135:W135,"FET207")</f>
        <v>0</v>
      </c>
      <c r="AF256" s="293">
        <f>COUNTIF(TIMETABLE!D135:W135,"FET208")</f>
        <v>0</v>
      </c>
      <c r="AG256" s="293">
        <f>COUNTIF(TIMETABLE!D135:W135,"FET209")</f>
        <v>0</v>
      </c>
      <c r="AH256" s="293">
        <f>COUNTIF(TIMETABLE!D135:W135,"FET210")</f>
        <v>0</v>
      </c>
      <c r="AI256" s="299"/>
      <c r="AJ256" s="514"/>
      <c r="EW256" s="532"/>
    </row>
    <row r="257" spans="2:153" ht="27" thickBot="1" x14ac:dyDescent="0.5">
      <c r="B257" s="514"/>
      <c r="C257" s="295">
        <v>11</v>
      </c>
      <c r="D257" s="296"/>
      <c r="E257" s="296"/>
      <c r="F257" s="296"/>
      <c r="G257" s="296"/>
      <c r="H257" s="296"/>
      <c r="I257" s="296"/>
      <c r="J257" s="296"/>
      <c r="K257" s="296"/>
      <c r="L257" s="296"/>
      <c r="M257" s="296"/>
      <c r="N257" s="296"/>
      <c r="O257" s="296"/>
      <c r="P257" s="296"/>
      <c r="Q257" s="296"/>
      <c r="R257" s="296"/>
      <c r="S257" s="296"/>
      <c r="T257" s="296"/>
      <c r="U257" s="296"/>
      <c r="V257" s="296"/>
      <c r="W257" s="296"/>
      <c r="X257" s="296"/>
      <c r="Y257" s="296"/>
      <c r="Z257" s="296"/>
      <c r="AA257" s="296"/>
      <c r="AB257" s="296"/>
      <c r="AC257" s="297"/>
      <c r="AD257" s="297"/>
      <c r="AE257" s="297"/>
      <c r="AF257" s="297"/>
      <c r="AG257" s="297"/>
      <c r="AH257" s="297"/>
      <c r="AI257" s="295">
        <v>11</v>
      </c>
      <c r="AJ257" s="514"/>
      <c r="EW257" s="532"/>
    </row>
    <row r="258" spans="2:153" ht="26.4" x14ac:dyDescent="0.45">
      <c r="B258" s="514"/>
      <c r="C258" s="290">
        <v>11</v>
      </c>
      <c r="D258" s="291"/>
      <c r="E258" s="291"/>
      <c r="F258" s="291"/>
      <c r="G258" s="291"/>
      <c r="H258" s="291"/>
      <c r="I258" s="291"/>
      <c r="J258" s="291"/>
      <c r="K258" s="291"/>
      <c r="L258" s="291"/>
      <c r="M258" s="291"/>
      <c r="N258" s="291"/>
      <c r="O258" s="291"/>
      <c r="P258" s="291"/>
      <c r="Q258" s="291"/>
      <c r="R258" s="291"/>
      <c r="S258" s="291"/>
      <c r="T258" s="291"/>
      <c r="U258" s="291"/>
      <c r="V258" s="291"/>
      <c r="W258" s="291"/>
      <c r="X258" s="291"/>
      <c r="Y258" s="291"/>
      <c r="Z258" s="291"/>
      <c r="AA258" s="291"/>
      <c r="AB258" s="291"/>
      <c r="AC258" s="292"/>
      <c r="AD258" s="292"/>
      <c r="AE258" s="292"/>
      <c r="AF258" s="292"/>
      <c r="AG258" s="292"/>
      <c r="AH258" s="292"/>
      <c r="AI258" s="290">
        <v>11</v>
      </c>
      <c r="AJ258" s="514"/>
      <c r="EW258" s="532"/>
    </row>
    <row r="259" spans="2:153" ht="26.4" x14ac:dyDescent="0.45">
      <c r="B259" s="514"/>
      <c r="C259" s="293"/>
      <c r="D259" s="294">
        <f>COUNTIF(TIMETABLE!D138:W138,"EA005")</f>
        <v>0</v>
      </c>
      <c r="E259" s="294">
        <f>COUNTIF(TIMETABLE!D138:W138,"EA006")</f>
        <v>0</v>
      </c>
      <c r="F259" s="294">
        <f>COUNTIF(TIMETABLE!D138:W138,"EA009/10")</f>
        <v>0</v>
      </c>
      <c r="G259" s="294">
        <f>COUNTIF(TIMETABLE!D138:W138,"EA012")</f>
        <v>0</v>
      </c>
      <c r="H259" s="294">
        <f>COUNTIF(TIMETABLE!D138:W138,"EA015")</f>
        <v>0</v>
      </c>
      <c r="I259" s="294">
        <f>COUNTIF(TIMETABLE!D138:W138,"EA104")</f>
        <v>0</v>
      </c>
      <c r="J259" s="294">
        <f>COUNTIF(TIMETABLE!D138:W138,"EA105")</f>
        <v>0</v>
      </c>
      <c r="K259" s="294">
        <f>COUNTIF(TIMETABLE!D138:W138,"EA107")</f>
        <v>0</v>
      </c>
      <c r="L259" s="294">
        <f>COUNTIF(TIMETABLE!D138:W138,"EA108")</f>
        <v>0</v>
      </c>
      <c r="M259" s="294">
        <f>COUNTIF(TIMETABLE!D138:W138,"EB006")</f>
        <v>0</v>
      </c>
      <c r="N259" s="294">
        <f>COUNTIF(TIMETABLE!D138:W138,"EB007")</f>
        <v>0</v>
      </c>
      <c r="O259" s="294">
        <f>COUNTIF(TIMETABLE!D138:W138,"EB013")</f>
        <v>0</v>
      </c>
      <c r="P259" s="294">
        <f>COUNTIF(TIMETABLE!L138:W138,"EB104")</f>
        <v>0</v>
      </c>
      <c r="Q259" s="294">
        <f>COUNTIF(TIMETABLE!D138:W138,"EB105")</f>
        <v>0</v>
      </c>
      <c r="R259" s="294">
        <f>COUNTIF(TIMETABLE!D138:W138,"EB107")</f>
        <v>0</v>
      </c>
      <c r="S259" s="294">
        <f>COUNTIF(TIMETABLE!D138:W138,"EB109")</f>
        <v>0</v>
      </c>
      <c r="T259" s="294">
        <f>COUNTIF(TIMETABLE!D138:W138,"EB110")</f>
        <v>0</v>
      </c>
      <c r="U259" s="294">
        <f>COUNTIF(TIMETABLE!D138:W138,"MA111")</f>
        <v>0</v>
      </c>
      <c r="V259" s="294">
        <f>COUNTIF(TIMETABLE!D138:W138,"MA209")</f>
        <v>0</v>
      </c>
      <c r="W259" s="294">
        <f>COUNTIF(TIMETABLE!D138:W138,"MA212")</f>
        <v>0</v>
      </c>
      <c r="X259" s="294">
        <f>COUNTIF(TIMETABLE!D138:W138,"DO3")</f>
        <v>0</v>
      </c>
      <c r="Y259" s="294">
        <f>COUNTIF(TIMETABLE!D138:W138,"RM2")</f>
        <v>0</v>
      </c>
      <c r="Z259" s="294">
        <f>COUNTIF(TIMETABLE!D138:W138,"MZ01")</f>
        <v>0</v>
      </c>
      <c r="AA259" s="294">
        <f>COUNTIF(TIMETABLE!D138:W138,"MZ02")</f>
        <v>0</v>
      </c>
      <c r="AB259" s="294">
        <f>COUNTIF(TIMETABLE!D138:W138,"RM3")</f>
        <v>0</v>
      </c>
      <c r="AC259" s="293">
        <f>COUNTIF(TIMETABLE!D138:W138,"FET203")</f>
        <v>0</v>
      </c>
      <c r="AD259" s="293">
        <f>COUNTIF(TIMETABLE!D138:W138,"FET205")</f>
        <v>0</v>
      </c>
      <c r="AE259" s="293">
        <f>COUNTIF(TIMETABLE!D138:W138,"FET207")</f>
        <v>0</v>
      </c>
      <c r="AF259" s="293">
        <f>COUNTIF(TIMETABLE!D138:W138,"FET208")</f>
        <v>0</v>
      </c>
      <c r="AG259" s="293">
        <f>COUNTIF(TIMETABLE!D138:W138,"FET209")</f>
        <v>0</v>
      </c>
      <c r="AH259" s="293">
        <f>COUNTIF(TIMETABLE!D138:W138,"FET210")</f>
        <v>0</v>
      </c>
      <c r="AI259" s="293"/>
      <c r="AJ259" s="514"/>
      <c r="EW259" s="532"/>
    </row>
    <row r="260" spans="2:153" ht="27" thickBot="1" x14ac:dyDescent="0.5">
      <c r="B260" s="514"/>
      <c r="C260" s="295">
        <v>12</v>
      </c>
      <c r="D260" s="296"/>
      <c r="E260" s="296"/>
      <c r="F260" s="296"/>
      <c r="G260" s="296"/>
      <c r="H260" s="296"/>
      <c r="I260" s="296"/>
      <c r="J260" s="296"/>
      <c r="K260" s="296"/>
      <c r="L260" s="296"/>
      <c r="M260" s="296"/>
      <c r="N260" s="296"/>
      <c r="O260" s="296"/>
      <c r="P260" s="296"/>
      <c r="Q260" s="296"/>
      <c r="R260" s="296"/>
      <c r="S260" s="296"/>
      <c r="T260" s="296"/>
      <c r="U260" s="296"/>
      <c r="V260" s="296"/>
      <c r="W260" s="296"/>
      <c r="X260" s="296"/>
      <c r="Y260" s="296"/>
      <c r="Z260" s="296"/>
      <c r="AA260" s="296"/>
      <c r="AB260" s="296"/>
      <c r="AC260" s="297"/>
      <c r="AD260" s="297"/>
      <c r="AE260" s="297"/>
      <c r="AF260" s="297"/>
      <c r="AG260" s="297"/>
      <c r="AH260" s="297"/>
      <c r="AI260" s="295">
        <v>12</v>
      </c>
      <c r="AJ260" s="514"/>
      <c r="EW260" s="532"/>
    </row>
    <row r="261" spans="2:153" ht="26.4" x14ac:dyDescent="0.45">
      <c r="B261" s="514"/>
      <c r="C261" s="290">
        <v>12</v>
      </c>
      <c r="D261" s="291"/>
      <c r="E261" s="291"/>
      <c r="F261" s="291"/>
      <c r="G261" s="291"/>
      <c r="H261" s="291"/>
      <c r="I261" s="291"/>
      <c r="J261" s="291"/>
      <c r="K261" s="291"/>
      <c r="L261" s="291"/>
      <c r="M261" s="291"/>
      <c r="N261" s="291"/>
      <c r="O261" s="291"/>
      <c r="P261" s="291"/>
      <c r="Q261" s="291"/>
      <c r="R261" s="291"/>
      <c r="S261" s="291"/>
      <c r="T261" s="291"/>
      <c r="U261" s="291"/>
      <c r="V261" s="291"/>
      <c r="W261" s="291"/>
      <c r="X261" s="291"/>
      <c r="Y261" s="291"/>
      <c r="Z261" s="291"/>
      <c r="AA261" s="291"/>
      <c r="AB261" s="291"/>
      <c r="AC261" s="292"/>
      <c r="AD261" s="292"/>
      <c r="AE261" s="292"/>
      <c r="AF261" s="292"/>
      <c r="AG261" s="292"/>
      <c r="AH261" s="292"/>
      <c r="AI261" s="290">
        <v>12</v>
      </c>
      <c r="AJ261" s="514"/>
      <c r="EW261" s="532"/>
    </row>
    <row r="262" spans="2:153" ht="26.4" x14ac:dyDescent="0.45">
      <c r="B262" s="514"/>
      <c r="C262" s="293"/>
      <c r="D262" s="294">
        <f>COUNTIF(TIMETABLE!D141:W141,"EA005")</f>
        <v>0</v>
      </c>
      <c r="E262" s="294">
        <f>COUNTIF(TIMETABLE!D141:W141,"EA006")</f>
        <v>0</v>
      </c>
      <c r="F262" s="294">
        <f>COUNTIF(TIMETABLE!D141:W141,"EA009/10")</f>
        <v>0</v>
      </c>
      <c r="G262" s="294">
        <f>COUNTIF(TIMETABLE!D141:W141,"EA012")</f>
        <v>0</v>
      </c>
      <c r="H262" s="294">
        <f>COUNTIF(TIMETABLE!D141:W141,"EA015")</f>
        <v>0</v>
      </c>
      <c r="I262" s="294">
        <f>COUNTIF(TIMETABLE!D141:W141,"EA104")</f>
        <v>0</v>
      </c>
      <c r="J262" s="294">
        <f>COUNTIF(TIMETABLE!D141:W141,"EA105")</f>
        <v>0</v>
      </c>
      <c r="K262" s="294">
        <f>COUNTIF(TIMETABLE!D141:W141,"EA107")</f>
        <v>0</v>
      </c>
      <c r="L262" s="294">
        <f>COUNTIF(TIMETABLE!D141:W141,"EA108")</f>
        <v>0</v>
      </c>
      <c r="M262" s="294">
        <f>COUNTIF(TIMETABLE!D141:W141,"EB006")</f>
        <v>0</v>
      </c>
      <c r="N262" s="294">
        <f>COUNTIF(TIMETABLE!D141:W141,"EB007")</f>
        <v>0</v>
      </c>
      <c r="O262" s="294">
        <f>COUNTIF(TIMETABLE!D141:W141,"EB013")</f>
        <v>0</v>
      </c>
      <c r="P262" s="294">
        <f>COUNTIF(TIMETABLE!L141:W141,"EB104")</f>
        <v>0</v>
      </c>
      <c r="Q262" s="294">
        <f>COUNTIF(TIMETABLE!D141:W141,"EB105")</f>
        <v>0</v>
      </c>
      <c r="R262" s="294">
        <f>COUNTIF(TIMETABLE!D141:W141,"EB107")</f>
        <v>0</v>
      </c>
      <c r="S262" s="294">
        <f>COUNTIF(TIMETABLE!D141:W141,"EB109")</f>
        <v>0</v>
      </c>
      <c r="T262" s="294">
        <f>COUNTIF(TIMETABLE!D141:W141,"EB110")</f>
        <v>0</v>
      </c>
      <c r="U262" s="294">
        <f>COUNTIF(TIMETABLE!D141:W141,"MA111")</f>
        <v>0</v>
      </c>
      <c r="V262" s="294">
        <f>COUNTIF(TIMETABLE!D141:W141,"MA209")</f>
        <v>0</v>
      </c>
      <c r="W262" s="294">
        <f>COUNTIF(TIMETABLE!D141:W141,"MA212")</f>
        <v>0</v>
      </c>
      <c r="X262" s="294">
        <f>COUNTIF(TIMETABLE!D141:W141,"DO3")</f>
        <v>0</v>
      </c>
      <c r="Y262" s="294">
        <f>COUNTIF(TIMETABLE!D141:W141,"RM2")</f>
        <v>0</v>
      </c>
      <c r="Z262" s="294">
        <f>COUNTIF(TIMETABLE!D141:W141,"MZ01")</f>
        <v>0</v>
      </c>
      <c r="AA262" s="294">
        <f>COUNTIF(TIMETABLE!D141:W141,"MZ02")</f>
        <v>0</v>
      </c>
      <c r="AB262" s="294">
        <f>COUNTIF(TIMETABLE!D141:W141,"RM3")</f>
        <v>0</v>
      </c>
      <c r="AC262" s="293">
        <f>COUNTIF(TIMETABLE!D141:W141,"FET203")</f>
        <v>0</v>
      </c>
      <c r="AD262" s="293">
        <f>COUNTIF(TIMETABLE!D141:W141,"FET205")</f>
        <v>0</v>
      </c>
      <c r="AE262" s="293">
        <f>COUNTIF(TIMETABLE!D141:W141,"FET207")</f>
        <v>0</v>
      </c>
      <c r="AF262" s="293">
        <f>COUNTIF(TIMETABLE!D141:W141,"FET208")</f>
        <v>0</v>
      </c>
      <c r="AG262" s="293">
        <f>COUNTIF(TIMETABLE!D141:W141,"FET209")</f>
        <v>0</v>
      </c>
      <c r="AH262" s="293">
        <f>COUNTIF(TIMETABLE!D141:W141,"FET210")</f>
        <v>0</v>
      </c>
      <c r="AI262" s="293"/>
      <c r="AJ262" s="514"/>
      <c r="EW262" s="532"/>
    </row>
    <row r="263" spans="2:153" ht="27" thickBot="1" x14ac:dyDescent="0.5">
      <c r="B263" s="514"/>
      <c r="C263" s="295">
        <v>1</v>
      </c>
      <c r="D263" s="296"/>
      <c r="E263" s="296"/>
      <c r="F263" s="296"/>
      <c r="G263" s="296"/>
      <c r="H263" s="296"/>
      <c r="I263" s="296"/>
      <c r="J263" s="296"/>
      <c r="K263" s="296"/>
      <c r="L263" s="296"/>
      <c r="M263" s="296"/>
      <c r="N263" s="296"/>
      <c r="O263" s="296"/>
      <c r="P263" s="296"/>
      <c r="Q263" s="296"/>
      <c r="R263" s="296"/>
      <c r="S263" s="296"/>
      <c r="T263" s="296"/>
      <c r="U263" s="296"/>
      <c r="V263" s="296"/>
      <c r="W263" s="296"/>
      <c r="X263" s="296"/>
      <c r="Y263" s="296"/>
      <c r="Z263" s="296"/>
      <c r="AA263" s="296"/>
      <c r="AB263" s="296"/>
      <c r="AC263" s="297"/>
      <c r="AD263" s="297"/>
      <c r="AE263" s="297"/>
      <c r="AF263" s="297"/>
      <c r="AG263" s="297"/>
      <c r="AH263" s="297"/>
      <c r="AI263" s="295">
        <v>1</v>
      </c>
      <c r="AJ263" s="514"/>
      <c r="EW263" s="532"/>
    </row>
    <row r="264" spans="2:153" ht="26.4" x14ac:dyDescent="0.45">
      <c r="B264" s="514"/>
      <c r="C264" s="300">
        <v>1</v>
      </c>
      <c r="D264" s="301"/>
      <c r="E264" s="301"/>
      <c r="F264" s="301"/>
      <c r="G264" s="301"/>
      <c r="H264" s="301"/>
      <c r="I264" s="301"/>
      <c r="J264" s="301"/>
      <c r="K264" s="301"/>
      <c r="L264" s="301"/>
      <c r="M264" s="301"/>
      <c r="N264" s="301"/>
      <c r="O264" s="301"/>
      <c r="P264" s="301"/>
      <c r="Q264" s="301"/>
      <c r="R264" s="301"/>
      <c r="S264" s="301"/>
      <c r="T264" s="301"/>
      <c r="U264" s="301"/>
      <c r="V264" s="301"/>
      <c r="W264" s="301"/>
      <c r="X264" s="301"/>
      <c r="Y264" s="301"/>
      <c r="Z264" s="301"/>
      <c r="AA264" s="301"/>
      <c r="AB264" s="301"/>
      <c r="AC264" s="302"/>
      <c r="AD264" s="302"/>
      <c r="AE264" s="302"/>
      <c r="AF264" s="302"/>
      <c r="AG264" s="302"/>
      <c r="AH264" s="302"/>
      <c r="AI264" s="300">
        <v>1</v>
      </c>
      <c r="AJ264" s="514"/>
      <c r="EW264" s="532"/>
    </row>
    <row r="265" spans="2:153" ht="26.4" x14ac:dyDescent="0.45">
      <c r="B265" s="514"/>
      <c r="C265" s="303"/>
      <c r="D265" s="301"/>
      <c r="E265" s="301"/>
      <c r="F265" s="301"/>
      <c r="G265" s="301"/>
      <c r="H265" s="301"/>
      <c r="I265" s="301"/>
      <c r="J265" s="301"/>
      <c r="K265" s="301"/>
      <c r="L265" s="301"/>
      <c r="M265" s="301"/>
      <c r="N265" s="301"/>
      <c r="O265" s="301"/>
      <c r="P265" s="301"/>
      <c r="Q265" s="301"/>
      <c r="R265" s="301"/>
      <c r="S265" s="301"/>
      <c r="T265" s="301"/>
      <c r="U265" s="301"/>
      <c r="V265" s="301"/>
      <c r="W265" s="301"/>
      <c r="X265" s="301"/>
      <c r="Y265" s="301"/>
      <c r="Z265" s="301"/>
      <c r="AA265" s="301"/>
      <c r="AB265" s="301"/>
      <c r="AC265" s="302"/>
      <c r="AD265" s="302"/>
      <c r="AE265" s="302"/>
      <c r="AF265" s="302"/>
      <c r="AG265" s="302"/>
      <c r="AH265" s="302"/>
      <c r="AI265" s="303"/>
      <c r="AJ265" s="514"/>
      <c r="EW265" s="532"/>
    </row>
    <row r="266" spans="2:153" ht="27" thickBot="1" x14ac:dyDescent="0.5">
      <c r="B266" s="514"/>
      <c r="C266" s="304">
        <v>2</v>
      </c>
      <c r="D266" s="301"/>
      <c r="E266" s="301"/>
      <c r="F266" s="301"/>
      <c r="G266" s="301"/>
      <c r="H266" s="301"/>
      <c r="I266" s="301"/>
      <c r="J266" s="301"/>
      <c r="K266" s="301"/>
      <c r="L266" s="301"/>
      <c r="M266" s="301"/>
      <c r="N266" s="301"/>
      <c r="O266" s="301"/>
      <c r="P266" s="301"/>
      <c r="Q266" s="301"/>
      <c r="R266" s="301"/>
      <c r="S266" s="301"/>
      <c r="T266" s="301"/>
      <c r="U266" s="301"/>
      <c r="V266" s="301"/>
      <c r="W266" s="301"/>
      <c r="X266" s="301"/>
      <c r="Y266" s="301"/>
      <c r="Z266" s="301"/>
      <c r="AA266" s="301"/>
      <c r="AB266" s="301"/>
      <c r="AC266" s="302"/>
      <c r="AD266" s="302"/>
      <c r="AE266" s="302"/>
      <c r="AF266" s="302"/>
      <c r="AG266" s="302"/>
      <c r="AH266" s="302"/>
      <c r="AI266" s="304">
        <v>2</v>
      </c>
      <c r="AJ266" s="514"/>
      <c r="EW266" s="532"/>
    </row>
    <row r="267" spans="2:153" ht="26.4" x14ac:dyDescent="0.45">
      <c r="B267" s="514"/>
      <c r="C267" s="305">
        <v>2</v>
      </c>
      <c r="D267" s="291"/>
      <c r="E267" s="291"/>
      <c r="F267" s="291"/>
      <c r="G267" s="291"/>
      <c r="H267" s="291"/>
      <c r="I267" s="291"/>
      <c r="J267" s="291"/>
      <c r="K267" s="291"/>
      <c r="L267" s="291"/>
      <c r="M267" s="291"/>
      <c r="N267" s="291"/>
      <c r="O267" s="291"/>
      <c r="P267" s="291"/>
      <c r="Q267" s="291"/>
      <c r="R267" s="291"/>
      <c r="S267" s="291"/>
      <c r="T267" s="291"/>
      <c r="U267" s="291"/>
      <c r="V267" s="291"/>
      <c r="W267" s="291"/>
      <c r="X267" s="291"/>
      <c r="Y267" s="291"/>
      <c r="Z267" s="291"/>
      <c r="AA267" s="291"/>
      <c r="AB267" s="291"/>
      <c r="AC267" s="306"/>
      <c r="AD267" s="306"/>
      <c r="AE267" s="306"/>
      <c r="AF267" s="306"/>
      <c r="AG267" s="306"/>
      <c r="AH267" s="306"/>
      <c r="AI267" s="305">
        <v>2</v>
      </c>
      <c r="AJ267" s="514"/>
      <c r="EW267" s="532"/>
    </row>
    <row r="268" spans="2:153" ht="26.4" x14ac:dyDescent="0.45">
      <c r="B268" s="514"/>
      <c r="C268" s="307"/>
      <c r="D268" s="294">
        <f>COUNTIF(TIMETABLE!D147:W147,"EA005")</f>
        <v>0</v>
      </c>
      <c r="E268" s="294">
        <f>COUNTIF(TIMETABLE!D147:W147,"EA006")</f>
        <v>0</v>
      </c>
      <c r="F268" s="294">
        <f>COUNTIF(TIMETABLE!D147:W147,"EA009/10")</f>
        <v>0</v>
      </c>
      <c r="G268" s="294">
        <f>COUNTIF(TIMETABLE!D147:W147,"EA012")</f>
        <v>0</v>
      </c>
      <c r="H268" s="294">
        <f>COUNTIF(TIMETABLE!D147:W147,"EA015")</f>
        <v>0</v>
      </c>
      <c r="I268" s="294">
        <f>COUNTIF(TIMETABLE!D147:W147,"EA104")</f>
        <v>0</v>
      </c>
      <c r="J268" s="294">
        <f>COUNTIF(TIMETABLE!D147:W147,"EA105")</f>
        <v>0</v>
      </c>
      <c r="K268" s="294">
        <f>COUNTIF(TIMETABLE!D147:W147,"EA107")</f>
        <v>0</v>
      </c>
      <c r="L268" s="294">
        <f>COUNTIF(TIMETABLE!D147:W147,"EA108")</f>
        <v>0</v>
      </c>
      <c r="M268" s="294">
        <f>COUNTIF(TIMETABLE!D147:W147,"EB006")</f>
        <v>0</v>
      </c>
      <c r="N268" s="294">
        <f>COUNTIF(TIMETABLE!D147:W147,"EB007")</f>
        <v>0</v>
      </c>
      <c r="O268" s="294">
        <f>COUNTIF(TIMETABLE!D147:W147,"EB013")</f>
        <v>0</v>
      </c>
      <c r="P268" s="294">
        <f>COUNTIF(TIMETABLE!L147:W147,"EB104")</f>
        <v>0</v>
      </c>
      <c r="Q268" s="294">
        <f>COUNTIF(TIMETABLE!D147:W147,"EB105")</f>
        <v>0</v>
      </c>
      <c r="R268" s="294">
        <f>COUNTIF(TIMETABLE!D147:W147,"EB107")</f>
        <v>0</v>
      </c>
      <c r="S268" s="310">
        <f>COUNTIF(TIMETABLE!D147:W147,"EB109")</f>
        <v>0</v>
      </c>
      <c r="T268" s="294">
        <f>COUNTIF(TIMETABLE!D147:W147,"EB110")</f>
        <v>0</v>
      </c>
      <c r="U268" s="294">
        <f>COUNTIF(TIMETABLE!D147:W147,"MA111")</f>
        <v>0</v>
      </c>
      <c r="V268" s="294">
        <f>COUNTIF(TIMETABLE!D147:W147,"MA209")</f>
        <v>0</v>
      </c>
      <c r="W268" s="294">
        <f>COUNTIF(TIMETABLE!D147:W147,"MA212")</f>
        <v>0</v>
      </c>
      <c r="X268" s="294">
        <f>COUNTIF(TIMETABLE!D147:W147,"DO3")</f>
        <v>0</v>
      </c>
      <c r="Y268" s="294">
        <f>COUNTIF(TIMETABLE!D147:W147,"RM2")</f>
        <v>0</v>
      </c>
      <c r="Z268" s="294">
        <f>COUNTIF(TIMETABLE!D147:W147,"MZ01")</f>
        <v>0</v>
      </c>
      <c r="AA268" s="294">
        <f>COUNTIF(TIMETABLE!D147:W147,"MZ02")</f>
        <v>0</v>
      </c>
      <c r="AB268" s="294">
        <f>COUNTIF(TIMETABLE!D147:W147,"RM3")</f>
        <v>0</v>
      </c>
      <c r="AC268" s="293">
        <f>COUNTIF(TIMETABLE!D147:W147,"FET203")</f>
        <v>0</v>
      </c>
      <c r="AD268" s="293">
        <f>COUNTIF(TIMETABLE!D147:W147,"FET205")</f>
        <v>0</v>
      </c>
      <c r="AE268" s="293">
        <f>COUNTIF(TIMETABLE!D147:W147,"FET207")</f>
        <v>0</v>
      </c>
      <c r="AF268" s="293">
        <f>COUNTIF(TIMETABLE!D147:W147,"FET208")</f>
        <v>0</v>
      </c>
      <c r="AG268" s="293">
        <f>COUNTIF(TIMETABLE!D147:W147,"FET209")</f>
        <v>0</v>
      </c>
      <c r="AH268" s="293">
        <f>COUNTIF(TIMETABLE!D147:W147,"FET210")</f>
        <v>0</v>
      </c>
      <c r="AI268" s="307"/>
      <c r="AJ268" s="514"/>
      <c r="EW268" s="532"/>
    </row>
    <row r="269" spans="2:153" ht="27" thickBot="1" x14ac:dyDescent="0.5">
      <c r="B269" s="514"/>
      <c r="C269" s="308">
        <v>3</v>
      </c>
      <c r="D269" s="296"/>
      <c r="E269" s="296"/>
      <c r="F269" s="296"/>
      <c r="G269" s="296"/>
      <c r="H269" s="296"/>
      <c r="I269" s="296"/>
      <c r="J269" s="296"/>
      <c r="K269" s="296"/>
      <c r="L269" s="296"/>
      <c r="M269" s="296"/>
      <c r="N269" s="296"/>
      <c r="O269" s="296"/>
      <c r="P269" s="296"/>
      <c r="Q269" s="296"/>
      <c r="R269" s="296"/>
      <c r="S269" s="296"/>
      <c r="T269" s="296"/>
      <c r="U269" s="296"/>
      <c r="V269" s="296"/>
      <c r="W269" s="296"/>
      <c r="X269" s="296"/>
      <c r="Y269" s="296"/>
      <c r="Z269" s="296"/>
      <c r="AA269" s="296"/>
      <c r="AB269" s="296"/>
      <c r="AC269" s="297"/>
      <c r="AD269" s="297"/>
      <c r="AE269" s="297"/>
      <c r="AF269" s="297"/>
      <c r="AG269" s="297"/>
      <c r="AH269" s="297"/>
      <c r="AI269" s="308">
        <v>3</v>
      </c>
      <c r="AJ269" s="514"/>
      <c r="EW269" s="532"/>
    </row>
    <row r="270" spans="2:153" ht="26.4" x14ac:dyDescent="0.45">
      <c r="B270" s="514"/>
      <c r="C270" s="309">
        <v>3</v>
      </c>
      <c r="D270" s="291"/>
      <c r="E270" s="291"/>
      <c r="F270" s="291"/>
      <c r="G270" s="291"/>
      <c r="H270" s="291"/>
      <c r="I270" s="291"/>
      <c r="J270" s="291"/>
      <c r="K270" s="291"/>
      <c r="L270" s="291"/>
      <c r="M270" s="291"/>
      <c r="N270" s="291"/>
      <c r="O270" s="291"/>
      <c r="P270" s="291"/>
      <c r="Q270" s="291"/>
      <c r="R270" s="291"/>
      <c r="S270" s="291"/>
      <c r="T270" s="291"/>
      <c r="U270" s="291"/>
      <c r="V270" s="291"/>
      <c r="W270" s="291"/>
      <c r="X270" s="291"/>
      <c r="Y270" s="291"/>
      <c r="Z270" s="291"/>
      <c r="AA270" s="291"/>
      <c r="AB270" s="291"/>
      <c r="AC270" s="292"/>
      <c r="AD270" s="292"/>
      <c r="AE270" s="292"/>
      <c r="AF270" s="292"/>
      <c r="AG270" s="292"/>
      <c r="AH270" s="292"/>
      <c r="AI270" s="309">
        <v>3</v>
      </c>
      <c r="AJ270" s="514"/>
      <c r="EW270" s="532"/>
    </row>
    <row r="271" spans="2:153" ht="26.4" x14ac:dyDescent="0.45">
      <c r="B271" s="514"/>
      <c r="C271" s="307"/>
      <c r="D271" s="294">
        <f>COUNTIF(TIMETABLE!D150:W150,"EA005")</f>
        <v>0</v>
      </c>
      <c r="E271" s="294">
        <f>COUNTIF(TIMETABLE!D150:W150,"EA006")</f>
        <v>0</v>
      </c>
      <c r="F271" s="294">
        <f>COUNTIF(TIMETABLE!D150:W150,"EA009/10")</f>
        <v>0</v>
      </c>
      <c r="G271" s="294">
        <f>COUNTIF(TIMETABLE!D150:W150,"EA012")</f>
        <v>0</v>
      </c>
      <c r="H271" s="294">
        <f>COUNTIF(TIMETABLE!D150:W150,"EA015")</f>
        <v>0</v>
      </c>
      <c r="I271" s="294">
        <f>COUNTIF(TIMETABLE!D150:W150,"EA104")</f>
        <v>0</v>
      </c>
      <c r="J271" s="294">
        <f>COUNTIF(TIMETABLE!D150:W150,"EA105")</f>
        <v>0</v>
      </c>
      <c r="K271" s="294">
        <f>COUNTIF(TIMETABLE!D150:W150,"EA107")</f>
        <v>0</v>
      </c>
      <c r="L271" s="294">
        <f>COUNTIF(TIMETABLE!D150:W150,"EA108")</f>
        <v>0</v>
      </c>
      <c r="M271" s="294">
        <f>COUNTIF(TIMETABLE!D150:W150,"EB006")</f>
        <v>0</v>
      </c>
      <c r="N271" s="294">
        <f>COUNTIF(TIMETABLE!D150:W150,"EB007")</f>
        <v>0</v>
      </c>
      <c r="O271" s="294">
        <f>COUNTIF(TIMETABLE!D150:W150,"EB013")</f>
        <v>0</v>
      </c>
      <c r="P271" s="294">
        <f>COUNTIF(TIMETABLE!L150:W150,"EB104")</f>
        <v>0</v>
      </c>
      <c r="Q271" s="294">
        <f>COUNTIF(TIMETABLE!D150:W150,"EB105")</f>
        <v>0</v>
      </c>
      <c r="R271" s="294">
        <f>COUNTIF(TIMETABLE!D150:W150,"EB107")</f>
        <v>0</v>
      </c>
      <c r="S271" s="294">
        <f>COUNTIF(TIMETABLE!D150:W150,"EB109")</f>
        <v>0</v>
      </c>
      <c r="T271" s="294">
        <f>COUNTIF(TIMETABLE!D150:W150,"EB110")</f>
        <v>0</v>
      </c>
      <c r="U271" s="294">
        <f>COUNTIF(TIMETABLE!D150:W150,"MA111")</f>
        <v>0</v>
      </c>
      <c r="V271" s="294">
        <f>COUNTIF(TIMETABLE!D150:W150,"MA209")</f>
        <v>0</v>
      </c>
      <c r="W271" s="294">
        <f>COUNTIF(TIMETABLE!D150:W150,"MA212")</f>
        <v>0</v>
      </c>
      <c r="X271" s="294">
        <f>COUNTIF(TIMETABLE!D150:W150,"DO3")</f>
        <v>0</v>
      </c>
      <c r="Y271" s="294">
        <f>COUNTIF(TIMETABLE!D150:W150,"RM2")</f>
        <v>0</v>
      </c>
      <c r="Z271" s="294">
        <f>COUNTIF(TIMETABLE!D150:W150,"MZ01")</f>
        <v>0</v>
      </c>
      <c r="AA271" s="294">
        <f>COUNTIF(TIMETABLE!D150:W150,"MZ02")</f>
        <v>0</v>
      </c>
      <c r="AB271" s="294">
        <f>COUNTIF(TIMETABLE!D150:W150,"RM3")</f>
        <v>0</v>
      </c>
      <c r="AC271" s="293">
        <f>COUNTIF(TIMETABLE!D150:W150,"FET203")</f>
        <v>0</v>
      </c>
      <c r="AD271" s="293">
        <f>COUNTIF(TIMETABLE!D150:W150,"FET205")</f>
        <v>0</v>
      </c>
      <c r="AE271" s="293">
        <f>COUNTIF(TIMETABLE!D150:W150,"FET207")</f>
        <v>0</v>
      </c>
      <c r="AF271" s="293">
        <f>COUNTIF(TIMETABLE!D150:W150,"FET208")</f>
        <v>0</v>
      </c>
      <c r="AG271" s="293">
        <f>COUNTIF(TIMETABLE!D150:W150,"FET209")</f>
        <v>0</v>
      </c>
      <c r="AH271" s="293">
        <f>COUNTIF(TIMETABLE!D150:W150,"FET210")</f>
        <v>0</v>
      </c>
      <c r="AI271" s="307"/>
      <c r="AJ271" s="514"/>
      <c r="EW271" s="532"/>
    </row>
    <row r="272" spans="2:153" ht="27" thickBot="1" x14ac:dyDescent="0.5">
      <c r="B272" s="514"/>
      <c r="C272" s="308">
        <v>4</v>
      </c>
      <c r="D272" s="296"/>
      <c r="E272" s="296"/>
      <c r="F272" s="296"/>
      <c r="G272" s="296"/>
      <c r="H272" s="296"/>
      <c r="I272" s="296"/>
      <c r="J272" s="296"/>
      <c r="K272" s="296"/>
      <c r="L272" s="296"/>
      <c r="M272" s="296"/>
      <c r="N272" s="296"/>
      <c r="O272" s="296"/>
      <c r="P272" s="296"/>
      <c r="Q272" s="296"/>
      <c r="R272" s="296"/>
      <c r="S272" s="296"/>
      <c r="T272" s="296"/>
      <c r="U272" s="296"/>
      <c r="V272" s="296"/>
      <c r="W272" s="296"/>
      <c r="X272" s="296"/>
      <c r="Y272" s="296"/>
      <c r="Z272" s="296"/>
      <c r="AA272" s="296"/>
      <c r="AB272" s="296"/>
      <c r="AC272" s="297"/>
      <c r="AD272" s="297"/>
      <c r="AE272" s="297"/>
      <c r="AF272" s="297"/>
      <c r="AG272" s="297"/>
      <c r="AH272" s="297"/>
      <c r="AI272" s="308">
        <v>4</v>
      </c>
      <c r="AJ272" s="514"/>
      <c r="EW272" s="532"/>
    </row>
    <row r="273" spans="2:153" ht="26.4" x14ac:dyDescent="0.45">
      <c r="B273" s="514"/>
      <c r="C273" s="309">
        <v>4</v>
      </c>
      <c r="D273" s="291"/>
      <c r="E273" s="291"/>
      <c r="F273" s="291"/>
      <c r="G273" s="291"/>
      <c r="H273" s="291"/>
      <c r="I273" s="291"/>
      <c r="J273" s="291"/>
      <c r="K273" s="291"/>
      <c r="L273" s="291"/>
      <c r="M273" s="291"/>
      <c r="N273" s="291"/>
      <c r="O273" s="291"/>
      <c r="P273" s="291"/>
      <c r="Q273" s="291"/>
      <c r="R273" s="291"/>
      <c r="S273" s="291"/>
      <c r="T273" s="291"/>
      <c r="U273" s="291"/>
      <c r="V273" s="291"/>
      <c r="W273" s="291"/>
      <c r="X273" s="291"/>
      <c r="Y273" s="291"/>
      <c r="Z273" s="291"/>
      <c r="AA273" s="291"/>
      <c r="AB273" s="291"/>
      <c r="AC273" s="292"/>
      <c r="AD273" s="292"/>
      <c r="AE273" s="292"/>
      <c r="AF273" s="292"/>
      <c r="AG273" s="292"/>
      <c r="AH273" s="292"/>
      <c r="AI273" s="309">
        <v>4</v>
      </c>
      <c r="AJ273" s="514"/>
      <c r="EW273" s="532"/>
    </row>
    <row r="274" spans="2:153" ht="26.4" x14ac:dyDescent="0.45">
      <c r="B274" s="514"/>
      <c r="C274" s="307"/>
      <c r="D274" s="294">
        <f>COUNTIF(TIMETABLE!D153:W153,"EA005")</f>
        <v>0</v>
      </c>
      <c r="E274" s="294">
        <f>COUNTIF(TIMETABLE!D153:W153,"EA006")</f>
        <v>0</v>
      </c>
      <c r="F274" s="294">
        <f>COUNTIF(TIMETABLE!D153:W153,"EA009/10")</f>
        <v>0</v>
      </c>
      <c r="G274" s="294">
        <f>COUNTIF(TIMETABLE!D153:W153,"EA012")</f>
        <v>0</v>
      </c>
      <c r="H274" s="294">
        <f>COUNTIF(TIMETABLE!D153:W153,"EA015")</f>
        <v>0</v>
      </c>
      <c r="I274" s="294">
        <f>COUNTIF(TIMETABLE!D153:W153,"EA104")</f>
        <v>0</v>
      </c>
      <c r="J274" s="294">
        <f>COUNTIF(TIMETABLE!D153:W153,"EA105")</f>
        <v>0</v>
      </c>
      <c r="K274" s="294">
        <f>COUNTIF(TIMETABLE!D153:W153,"EA107")</f>
        <v>0</v>
      </c>
      <c r="L274" s="294">
        <f>COUNTIF(TIMETABLE!D153:W153,"EA108")</f>
        <v>0</v>
      </c>
      <c r="M274" s="294">
        <f>COUNTIF(TIMETABLE!D153:W153,"EB006")</f>
        <v>0</v>
      </c>
      <c r="N274" s="294">
        <f>COUNTIF(TIMETABLE!D153:W153,"EB007")</f>
        <v>0</v>
      </c>
      <c r="O274" s="294">
        <f>COUNTIF(TIMETABLE!D153:W153,"EB013")</f>
        <v>0</v>
      </c>
      <c r="P274" s="294">
        <f>COUNTIF(TIMETABLE!L153:W153,"EB104")</f>
        <v>0</v>
      </c>
      <c r="Q274" s="294">
        <f>COUNTIF(TIMETABLE!D153:W153,"EB105")</f>
        <v>0</v>
      </c>
      <c r="R274" s="294">
        <f>COUNTIF(TIMETABLE!D153:W153,"EB107")</f>
        <v>0</v>
      </c>
      <c r="S274" s="294">
        <f>COUNTIF(TIMETABLE!D153:W153,"EB109")</f>
        <v>0</v>
      </c>
      <c r="T274" s="294">
        <f>COUNTIF(TIMETABLE!D153:W153,"EB110")</f>
        <v>0</v>
      </c>
      <c r="U274" s="294">
        <f>COUNTIF(TIMETABLE!D153:W153,"MA111")</f>
        <v>0</v>
      </c>
      <c r="V274" s="294">
        <f>COUNTIF(TIMETABLE!D153:W153,"MA209")</f>
        <v>0</v>
      </c>
      <c r="W274" s="294">
        <f>COUNTIF(TIMETABLE!D153:W153,"MA212")</f>
        <v>0</v>
      </c>
      <c r="X274" s="294">
        <f>COUNTIF(TIMETABLE!D153:W153,"DO3")</f>
        <v>0</v>
      </c>
      <c r="Y274" s="294">
        <f>COUNTIF(TIMETABLE!D153:W153,"RM2")</f>
        <v>0</v>
      </c>
      <c r="Z274" s="294">
        <f>COUNTIF(TIMETABLE!D153:W153,"MZ01")</f>
        <v>0</v>
      </c>
      <c r="AA274" s="294">
        <f>COUNTIF(TIMETABLE!D153:W153,"MZ02")</f>
        <v>0</v>
      </c>
      <c r="AB274" s="294">
        <f>COUNTIF(TIMETABLE!D153:W153,"RM3")</f>
        <v>0</v>
      </c>
      <c r="AC274" s="293">
        <f>COUNTIF(TIMETABLE!D153:W153,"FET203")</f>
        <v>0</v>
      </c>
      <c r="AD274" s="293">
        <f>COUNTIF(TIMETABLE!D153:W153,"FET205")</f>
        <v>0</v>
      </c>
      <c r="AE274" s="293">
        <f>COUNTIF(TIMETABLE!D153:W153,"FET207")</f>
        <v>0</v>
      </c>
      <c r="AF274" s="293">
        <f>COUNTIF(TIMETABLE!D153:W153,"FET208")</f>
        <v>0</v>
      </c>
      <c r="AG274" s="293">
        <f>COUNTIF(TIMETABLE!D153:W153,"FET209")</f>
        <v>0</v>
      </c>
      <c r="AH274" s="293">
        <f>COUNTIF(TIMETABLE!D153:W153,"FET210")</f>
        <v>0</v>
      </c>
      <c r="AI274" s="307"/>
      <c r="AJ274" s="514"/>
      <c r="EW274" s="532"/>
    </row>
    <row r="275" spans="2:153" ht="27" thickBot="1" x14ac:dyDescent="0.5">
      <c r="B275" s="514"/>
      <c r="C275" s="308">
        <v>5</v>
      </c>
      <c r="D275" s="296"/>
      <c r="E275" s="296"/>
      <c r="F275" s="296"/>
      <c r="G275" s="296"/>
      <c r="H275" s="296"/>
      <c r="I275" s="296"/>
      <c r="J275" s="296"/>
      <c r="K275" s="296"/>
      <c r="L275" s="296"/>
      <c r="M275" s="296"/>
      <c r="N275" s="296"/>
      <c r="O275" s="296"/>
      <c r="P275" s="296"/>
      <c r="Q275" s="296"/>
      <c r="R275" s="296"/>
      <c r="S275" s="296"/>
      <c r="T275" s="296"/>
      <c r="U275" s="296"/>
      <c r="V275" s="296"/>
      <c r="W275" s="296"/>
      <c r="X275" s="296"/>
      <c r="Y275" s="296"/>
      <c r="Z275" s="296"/>
      <c r="AA275" s="296"/>
      <c r="AB275" s="296"/>
      <c r="AC275" s="297"/>
      <c r="AD275" s="297"/>
      <c r="AE275" s="297"/>
      <c r="AF275" s="297"/>
      <c r="AG275" s="297"/>
      <c r="AH275" s="297"/>
      <c r="AI275" s="308">
        <v>5</v>
      </c>
      <c r="AJ275" s="514"/>
      <c r="EW275" s="532"/>
    </row>
    <row r="276" spans="2:153" ht="26.4" x14ac:dyDescent="0.45">
      <c r="B276" s="514"/>
      <c r="C276" s="309">
        <v>5</v>
      </c>
      <c r="D276" s="291"/>
      <c r="E276" s="291"/>
      <c r="F276" s="291"/>
      <c r="G276" s="291"/>
      <c r="H276" s="291"/>
      <c r="I276" s="291"/>
      <c r="J276" s="291"/>
      <c r="K276" s="291"/>
      <c r="L276" s="291"/>
      <c r="M276" s="291"/>
      <c r="N276" s="291"/>
      <c r="O276" s="291"/>
      <c r="P276" s="291"/>
      <c r="Q276" s="291"/>
      <c r="R276" s="291"/>
      <c r="S276" s="291"/>
      <c r="T276" s="291"/>
      <c r="U276" s="291"/>
      <c r="V276" s="291"/>
      <c r="W276" s="291"/>
      <c r="X276" s="291"/>
      <c r="Y276" s="291"/>
      <c r="Z276" s="291"/>
      <c r="AA276" s="291"/>
      <c r="AB276" s="291"/>
      <c r="AC276" s="292"/>
      <c r="AD276" s="292"/>
      <c r="AE276" s="292"/>
      <c r="AF276" s="292"/>
      <c r="AG276" s="292"/>
      <c r="AH276" s="292"/>
      <c r="AI276" s="309">
        <v>5</v>
      </c>
      <c r="AJ276" s="514"/>
      <c r="EW276" s="532"/>
    </row>
    <row r="277" spans="2:153" ht="26.4" x14ac:dyDescent="0.45">
      <c r="B277" s="514"/>
      <c r="C277" s="307"/>
      <c r="D277" s="294">
        <f>COUNTIF(TIMETABLE!D156:W156,"EA005")</f>
        <v>0</v>
      </c>
      <c r="E277" s="294">
        <f>COUNTIF(TIMETABLE!D156:W156,"EA006")</f>
        <v>0</v>
      </c>
      <c r="F277" s="294">
        <f>COUNTIF(TIMETABLE!D156:W156,"EA009/10")</f>
        <v>0</v>
      </c>
      <c r="G277" s="294">
        <f>COUNTIF(TIMETABLE!D156:W156,"EA012")</f>
        <v>0</v>
      </c>
      <c r="H277" s="294">
        <f>COUNTIF(TIMETABLE!D156:W156,"EA015")</f>
        <v>0</v>
      </c>
      <c r="I277" s="294">
        <f>COUNTIF(TIMETABLE!D156:W156,"EA104")</f>
        <v>0</v>
      </c>
      <c r="J277" s="294">
        <f>COUNTIF(TIMETABLE!D156:W156,"EA105")</f>
        <v>0</v>
      </c>
      <c r="K277" s="294">
        <f>COUNTIF(TIMETABLE!D156:W156,"EA107")</f>
        <v>0</v>
      </c>
      <c r="L277" s="294">
        <f>COUNTIF(TIMETABLE!D156:W156,"EA108")</f>
        <v>0</v>
      </c>
      <c r="M277" s="294">
        <f>COUNTIF(TIMETABLE!D156:W156,"EB006")</f>
        <v>0</v>
      </c>
      <c r="N277" s="294">
        <f>COUNTIF(TIMETABLE!D156:W156,"EB007")</f>
        <v>0</v>
      </c>
      <c r="O277" s="294">
        <f>COUNTIF(TIMETABLE!D156:W156,"EB013")</f>
        <v>0</v>
      </c>
      <c r="P277" s="294">
        <f>COUNTIF(TIMETABLE!L156:W156,"EB104")</f>
        <v>0</v>
      </c>
      <c r="Q277" s="294">
        <f>COUNTIF(TIMETABLE!D156:W156,"EB105")</f>
        <v>0</v>
      </c>
      <c r="R277" s="294">
        <f>COUNTIF(TIMETABLE!D156:W156,"EB107")</f>
        <v>0</v>
      </c>
      <c r="S277" s="294">
        <f>COUNTIF(TIMETABLE!D156:W156,"EB109")</f>
        <v>0</v>
      </c>
      <c r="T277" s="294">
        <f>COUNTIF(TIMETABLE!D156:W156,"EB110")</f>
        <v>0</v>
      </c>
      <c r="U277" s="294">
        <f>COUNTIF(TIMETABLE!D156:W156,"MA111")</f>
        <v>0</v>
      </c>
      <c r="V277" s="294">
        <f>COUNTIF(TIMETABLE!D156:W156,"MA209")</f>
        <v>0</v>
      </c>
      <c r="W277" s="294">
        <f>COUNTIF(TIMETABLE!D156:W156,"MA212")</f>
        <v>0</v>
      </c>
      <c r="X277" s="294">
        <f>COUNTIF(TIMETABLE!D156:W156,"DO3")</f>
        <v>0</v>
      </c>
      <c r="Y277" s="294">
        <f>COUNTIF(TIMETABLE!D156:W156,"RM2")</f>
        <v>0</v>
      </c>
      <c r="Z277" s="294">
        <f>COUNTIF(TIMETABLE!D156:W156,"MZ01")</f>
        <v>0</v>
      </c>
      <c r="AA277" s="294">
        <f>COUNTIF(TIMETABLE!D156:W156,"MZ02")</f>
        <v>0</v>
      </c>
      <c r="AB277" s="294">
        <f>COUNTIF(TIMETABLE!D156:W156,"RM3")</f>
        <v>0</v>
      </c>
      <c r="AC277" s="293">
        <f>COUNTIF(TIMETABLE!D156:W156,"FET203")</f>
        <v>0</v>
      </c>
      <c r="AD277" s="293">
        <f>COUNTIF(TIMETABLE!D156:W156,"FET205")</f>
        <v>0</v>
      </c>
      <c r="AE277" s="293">
        <f>COUNTIF(TIMETABLE!D156:W156,"FET207")</f>
        <v>0</v>
      </c>
      <c r="AF277" s="293">
        <f>COUNTIF(TIMETABLE!D156:W156,"FET208")</f>
        <v>0</v>
      </c>
      <c r="AG277" s="293">
        <f>COUNTIF(TIMETABLE!D156:W156,"FET209")</f>
        <v>0</v>
      </c>
      <c r="AH277" s="293">
        <f>COUNTIF(TIMETABLE!D156:W156,"FET210")</f>
        <v>0</v>
      </c>
      <c r="AI277" s="307"/>
      <c r="AJ277" s="514"/>
      <c r="EW277" s="532"/>
    </row>
    <row r="278" spans="2:153" ht="27" thickBot="1" x14ac:dyDescent="0.5">
      <c r="B278" s="514"/>
      <c r="C278" s="308">
        <v>6</v>
      </c>
      <c r="D278" s="296"/>
      <c r="E278" s="296"/>
      <c r="F278" s="296"/>
      <c r="G278" s="296"/>
      <c r="H278" s="296"/>
      <c r="I278" s="296"/>
      <c r="J278" s="296"/>
      <c r="K278" s="296"/>
      <c r="L278" s="296"/>
      <c r="M278" s="296"/>
      <c r="N278" s="296"/>
      <c r="O278" s="296"/>
      <c r="P278" s="296"/>
      <c r="Q278" s="296"/>
      <c r="R278" s="296"/>
      <c r="S278" s="296"/>
      <c r="T278" s="296"/>
      <c r="U278" s="296"/>
      <c r="V278" s="296"/>
      <c r="W278" s="296"/>
      <c r="X278" s="296"/>
      <c r="Y278" s="296"/>
      <c r="Z278" s="296"/>
      <c r="AA278" s="296"/>
      <c r="AB278" s="296"/>
      <c r="AC278" s="297"/>
      <c r="AD278" s="297"/>
      <c r="AE278" s="297"/>
      <c r="AF278" s="297"/>
      <c r="AG278" s="297"/>
      <c r="AH278" s="297"/>
      <c r="AI278" s="308">
        <v>6</v>
      </c>
      <c r="AJ278" s="514"/>
      <c r="EW278" s="532"/>
    </row>
    <row r="279" spans="2:153" ht="26.4" x14ac:dyDescent="0.45">
      <c r="B279" s="514"/>
      <c r="C279" s="307">
        <v>6</v>
      </c>
      <c r="D279" s="291"/>
      <c r="E279" s="291"/>
      <c r="F279" s="291"/>
      <c r="G279" s="291"/>
      <c r="H279" s="291"/>
      <c r="I279" s="291"/>
      <c r="J279" s="291"/>
      <c r="K279" s="291"/>
      <c r="L279" s="291"/>
      <c r="M279" s="291"/>
      <c r="N279" s="291"/>
      <c r="O279" s="291"/>
      <c r="P279" s="291"/>
      <c r="Q279" s="291"/>
      <c r="R279" s="291"/>
      <c r="S279" s="291"/>
      <c r="T279" s="291"/>
      <c r="U279" s="291"/>
      <c r="V279" s="291"/>
      <c r="W279" s="291"/>
      <c r="X279" s="291"/>
      <c r="Y279" s="291"/>
      <c r="Z279" s="291"/>
      <c r="AA279" s="291"/>
      <c r="AB279" s="291"/>
      <c r="AC279" s="292"/>
      <c r="AD279" s="292"/>
      <c r="AE279" s="292"/>
      <c r="AF279" s="292"/>
      <c r="AG279" s="292"/>
      <c r="AH279" s="292"/>
      <c r="AI279" s="307">
        <v>6</v>
      </c>
      <c r="AJ279" s="514"/>
      <c r="EW279" s="532"/>
    </row>
    <row r="280" spans="2:153" ht="26.4" x14ac:dyDescent="0.45">
      <c r="B280" s="514"/>
      <c r="C280" s="307"/>
      <c r="D280" s="311">
        <f>COUNTIF(TIMETABLE!D159:W159,"EA005")</f>
        <v>0</v>
      </c>
      <c r="E280" s="311">
        <f>COUNTIF(TIMETABLE!D159:W159,"EA006")</f>
        <v>0</v>
      </c>
      <c r="F280" s="294">
        <f>COUNTIF(TIMETABLE!D159:W159,"EA009/10")</f>
        <v>0</v>
      </c>
      <c r="G280" s="294">
        <f>COUNTIF(TIMETABLE!D159:W159,"EA012")</f>
        <v>0</v>
      </c>
      <c r="H280" s="294">
        <f>COUNTIF(TIMETABLE!D159:W159,"EA015")</f>
        <v>0</v>
      </c>
      <c r="I280" s="294">
        <f>COUNTIF(TIMETABLE!D159:W159,"EA104")</f>
        <v>0</v>
      </c>
      <c r="J280" s="294">
        <f>COUNTIF(TIMETABLE!D159:W159,"EA105")</f>
        <v>0</v>
      </c>
      <c r="K280" s="294">
        <f>COUNTIF(TIMETABLE!D159:W159,"EA107")</f>
        <v>0</v>
      </c>
      <c r="L280" s="294">
        <f>COUNTIF(TIMETABLE!D159:W159,"EA108")</f>
        <v>0</v>
      </c>
      <c r="M280" s="294">
        <f>COUNTIF(TIMETABLE!D159:W159,"EB006")</f>
        <v>0</v>
      </c>
      <c r="N280" s="294">
        <f>COUNTIF(TIMETABLE!D159:W159,"EB007")</f>
        <v>0</v>
      </c>
      <c r="O280" s="294">
        <f>COUNTIF(TIMETABLE!D159:W159,"EB013")</f>
        <v>0</v>
      </c>
      <c r="P280" s="294">
        <f>COUNTIF(TIMETABLE!L159:W159,"EB104")</f>
        <v>0</v>
      </c>
      <c r="Q280" s="294">
        <f>COUNTIF(TIMETABLE!D159:W159,"EB105")</f>
        <v>0</v>
      </c>
      <c r="R280" s="294">
        <f>COUNTIF(TIMETABLE!D159:W159,"EB107")</f>
        <v>0</v>
      </c>
      <c r="S280" s="294">
        <f>COUNTIF(TIMETABLE!D159:W159,"EB109")</f>
        <v>0</v>
      </c>
      <c r="T280" s="294">
        <f>COUNTIF(TIMETABLE!D159:W159,"EB110")</f>
        <v>0</v>
      </c>
      <c r="U280" s="294">
        <f>COUNTIF(TIMETABLE!D159:W159,"MA111")</f>
        <v>0</v>
      </c>
      <c r="V280" s="294">
        <f>COUNTIF(TIMETABLE!D159:W159,"MA209")</f>
        <v>0</v>
      </c>
      <c r="W280" s="294">
        <f>COUNTIF(TIMETABLE!D159:W159,"MA212")</f>
        <v>0</v>
      </c>
      <c r="X280" s="294">
        <f>COUNTIF(TIMETABLE!D159:W159,"DO3")</f>
        <v>0</v>
      </c>
      <c r="Y280" s="294">
        <f>COUNTIF(TIMETABLE!D159:W159,"RM2")</f>
        <v>0</v>
      </c>
      <c r="Z280" s="294">
        <f>COUNTIF(TIMETABLE!D159:W159,"MZ01")</f>
        <v>0</v>
      </c>
      <c r="AA280" s="294">
        <f>COUNTIF(TIMETABLE!D159:W159,"MZ02")</f>
        <v>0</v>
      </c>
      <c r="AB280" s="294">
        <f>COUNTIF(TIMETABLE!D159:W159,"RM3")</f>
        <v>0</v>
      </c>
      <c r="AC280" s="293">
        <f>COUNTIF(TIMETABLE!D159:W159,"FET203")</f>
        <v>0</v>
      </c>
      <c r="AD280" s="293">
        <f>COUNTIF(TIMETABLE!D159:W159,"FET205")</f>
        <v>0</v>
      </c>
      <c r="AE280" s="293">
        <f>COUNTIF(TIMETABLE!D159:W159,"FET207")</f>
        <v>0</v>
      </c>
      <c r="AF280" s="293">
        <f>COUNTIF(TIMETABLE!D159:W159,"FET208")</f>
        <v>0</v>
      </c>
      <c r="AG280" s="293">
        <f>COUNTIF(TIMETABLE!D159:W159,"FET209")</f>
        <v>0</v>
      </c>
      <c r="AH280" s="293">
        <f>COUNTIF(TIMETABLE!D159:W159,"FET210")</f>
        <v>0</v>
      </c>
      <c r="AI280" s="307"/>
      <c r="AJ280" s="514"/>
      <c r="EW280" s="532"/>
    </row>
    <row r="281" spans="2:153" ht="27" thickBot="1" x14ac:dyDescent="0.5">
      <c r="B281" s="514"/>
      <c r="C281" s="308">
        <v>7</v>
      </c>
      <c r="D281" s="296"/>
      <c r="E281" s="296"/>
      <c r="F281" s="296"/>
      <c r="G281" s="296"/>
      <c r="H281" s="296"/>
      <c r="I281" s="296"/>
      <c r="J281" s="296"/>
      <c r="K281" s="296"/>
      <c r="L281" s="296"/>
      <c r="M281" s="296"/>
      <c r="N281" s="296"/>
      <c r="O281" s="296"/>
      <c r="P281" s="296"/>
      <c r="Q281" s="296"/>
      <c r="R281" s="296"/>
      <c r="S281" s="296"/>
      <c r="T281" s="296"/>
      <c r="U281" s="296"/>
      <c r="V281" s="296"/>
      <c r="W281" s="296"/>
      <c r="X281" s="296"/>
      <c r="Y281" s="296"/>
      <c r="Z281" s="296"/>
      <c r="AA281" s="296"/>
      <c r="AB281" s="296"/>
      <c r="AC281" s="297"/>
      <c r="AD281" s="297"/>
      <c r="AE281" s="297"/>
      <c r="AF281" s="297"/>
      <c r="AG281" s="297"/>
      <c r="AH281" s="297"/>
      <c r="AI281" s="308">
        <v>7</v>
      </c>
      <c r="AJ281" s="514"/>
      <c r="EW281" s="532"/>
    </row>
    <row r="282" spans="2:153" ht="26.4" x14ac:dyDescent="0.45">
      <c r="B282" s="514"/>
      <c r="C282" s="307">
        <v>7</v>
      </c>
      <c r="D282" s="291"/>
      <c r="E282" s="291"/>
      <c r="F282" s="291"/>
      <c r="G282" s="291"/>
      <c r="H282" s="291"/>
      <c r="I282" s="291"/>
      <c r="J282" s="291"/>
      <c r="K282" s="291"/>
      <c r="L282" s="291"/>
      <c r="M282" s="291"/>
      <c r="N282" s="291"/>
      <c r="O282" s="291"/>
      <c r="P282" s="291"/>
      <c r="Q282" s="291"/>
      <c r="R282" s="291"/>
      <c r="S282" s="291"/>
      <c r="T282" s="291"/>
      <c r="U282" s="291"/>
      <c r="V282" s="291"/>
      <c r="W282" s="291"/>
      <c r="X282" s="291"/>
      <c r="Y282" s="291"/>
      <c r="Z282" s="291"/>
      <c r="AA282" s="291"/>
      <c r="AB282" s="291"/>
      <c r="AC282" s="292"/>
      <c r="AD282" s="292"/>
      <c r="AE282" s="292"/>
      <c r="AF282" s="292"/>
      <c r="AG282" s="292"/>
      <c r="AH282" s="292"/>
      <c r="AI282" s="307">
        <v>7</v>
      </c>
      <c r="AJ282" s="514"/>
      <c r="EW282" s="532"/>
    </row>
    <row r="283" spans="2:153" ht="26.4" x14ac:dyDescent="0.45">
      <c r="B283" s="514"/>
      <c r="C283" s="307"/>
      <c r="D283" s="311">
        <f>COUNTIF(TIMETABLE!D162:W162,"EA005")</f>
        <v>0</v>
      </c>
      <c r="E283" s="294">
        <f>COUNTIF(TIMETABLE!D162:W162,"EA006")</f>
        <v>0</v>
      </c>
      <c r="F283" s="294">
        <f>COUNTIF(TIMETABLE!D162:W162,"EA009/10")</f>
        <v>0</v>
      </c>
      <c r="G283" s="294">
        <f>COUNTIF(TIMETABLE!D162:W162,"EA012")</f>
        <v>0</v>
      </c>
      <c r="H283" s="294">
        <f>COUNTIF(TIMETABLE!D162:W162,"EA015")</f>
        <v>0</v>
      </c>
      <c r="I283" s="294">
        <f>COUNTIF(TIMETABLE!D162:W162,"EA104")</f>
        <v>0</v>
      </c>
      <c r="J283" s="294">
        <f>COUNTIF(TIMETABLE!D162:W162,"EA105")</f>
        <v>0</v>
      </c>
      <c r="K283" s="294">
        <f>COUNTIF(TIMETABLE!D162:W162,"EA107")</f>
        <v>0</v>
      </c>
      <c r="L283" s="294">
        <f>COUNTIF(TIMETABLE!D162:W162,"EA108")</f>
        <v>0</v>
      </c>
      <c r="M283" s="294">
        <f>COUNTIF(TIMETABLE!D162:W162,"EB006")</f>
        <v>0</v>
      </c>
      <c r="N283" s="294">
        <f>COUNTIF(TIMETABLE!D162:W162,"EB007")</f>
        <v>0</v>
      </c>
      <c r="O283" s="294">
        <f>COUNTIF(TIMETABLE!D162:W162,"EB013")</f>
        <v>0</v>
      </c>
      <c r="P283" s="294">
        <f>COUNTIF(TIMETABLE!L162:W162,"EB104")</f>
        <v>0</v>
      </c>
      <c r="Q283" s="294">
        <f>COUNTIF(TIMETABLE!D162:W162,"EB105")</f>
        <v>0</v>
      </c>
      <c r="R283" s="294">
        <f>COUNTIF(TIMETABLE!D162:W162,"EB107")</f>
        <v>0</v>
      </c>
      <c r="S283" s="294">
        <f>COUNTIF(TIMETABLE!D162:W162,"EB109")</f>
        <v>0</v>
      </c>
      <c r="T283" s="294">
        <f>COUNTIF(TIMETABLE!D162:W162,"EB110")</f>
        <v>0</v>
      </c>
      <c r="U283" s="294">
        <f>COUNTIF(TIMETABLE!D162:W162,"MA111")</f>
        <v>0</v>
      </c>
      <c r="V283" s="294">
        <f>COUNTIF(TIMETABLE!D162:W162,"MA209")</f>
        <v>0</v>
      </c>
      <c r="W283" s="294">
        <f>COUNTIF(TIMETABLE!D162:W162,"MA212")</f>
        <v>0</v>
      </c>
      <c r="X283" s="294">
        <f>COUNTIF(TIMETABLE!D162:W162,"DO3")</f>
        <v>0</v>
      </c>
      <c r="Y283" s="294">
        <f>COUNTIF(TIMETABLE!D162:W162,"RM2")</f>
        <v>0</v>
      </c>
      <c r="Z283" s="294">
        <f>COUNTIF(TIMETABLE!D162:W162,"MZ01")</f>
        <v>0</v>
      </c>
      <c r="AA283" s="294">
        <f>COUNTIF(TIMETABLE!D162:W162,"MZ02")</f>
        <v>0</v>
      </c>
      <c r="AB283" s="294">
        <f>COUNTIF(TIMETABLE!D162:W162,"RM3")</f>
        <v>0</v>
      </c>
      <c r="AC283" s="293">
        <f>COUNTIF(TIMETABLE!D162:W162,"FET203")</f>
        <v>0</v>
      </c>
      <c r="AD283" s="293">
        <f>COUNTIF(TIMETABLE!D162:W162,"FET205")</f>
        <v>0</v>
      </c>
      <c r="AE283" s="293">
        <f>COUNTIF(TIMETABLE!D162:W162,"FET207")</f>
        <v>0</v>
      </c>
      <c r="AF283" s="293">
        <f>COUNTIF(TIMETABLE!D162:W162,"FET208")</f>
        <v>0</v>
      </c>
      <c r="AG283" s="293">
        <f>COUNTIF(TIMETABLE!D162:W162,"FET209")</f>
        <v>0</v>
      </c>
      <c r="AH283" s="293">
        <f>COUNTIF(TIMETABLE!D162:W162,"FET210")</f>
        <v>0</v>
      </c>
      <c r="AI283" s="307"/>
      <c r="AJ283" s="514"/>
      <c r="EW283" s="532"/>
    </row>
    <row r="284" spans="2:153" ht="27" thickBot="1" x14ac:dyDescent="0.5">
      <c r="B284" s="515"/>
      <c r="C284" s="308">
        <v>8</v>
      </c>
      <c r="D284" s="296"/>
      <c r="E284" s="296"/>
      <c r="F284" s="296"/>
      <c r="G284" s="296"/>
      <c r="H284" s="296"/>
      <c r="I284" s="296"/>
      <c r="J284" s="296"/>
      <c r="K284" s="296"/>
      <c r="L284" s="296"/>
      <c r="M284" s="296"/>
      <c r="N284" s="296"/>
      <c r="O284" s="296"/>
      <c r="P284" s="296"/>
      <c r="Q284" s="296"/>
      <c r="R284" s="296"/>
      <c r="S284" s="296"/>
      <c r="T284" s="296"/>
      <c r="U284" s="296"/>
      <c r="V284" s="296"/>
      <c r="W284" s="296"/>
      <c r="X284" s="296"/>
      <c r="Y284" s="296"/>
      <c r="Z284" s="296"/>
      <c r="AA284" s="296"/>
      <c r="AB284" s="296"/>
      <c r="AC284" s="297"/>
      <c r="AD284" s="297"/>
      <c r="AE284" s="297"/>
      <c r="AF284" s="297"/>
      <c r="AG284" s="297"/>
      <c r="AH284" s="297"/>
      <c r="AI284" s="308">
        <v>8</v>
      </c>
      <c r="AJ284" s="515"/>
      <c r="EW284" s="532"/>
    </row>
    <row r="285" spans="2:153" ht="15.6" thickTop="1" x14ac:dyDescent="0.25"/>
  </sheetData>
  <mergeCells count="26">
    <mergeCell ref="AJ246:AJ284"/>
    <mergeCell ref="EW246:EW284"/>
    <mergeCell ref="AJ12:AJ50"/>
    <mergeCell ref="AJ51:AJ89"/>
    <mergeCell ref="EW12:EW50"/>
    <mergeCell ref="EW129:EW167"/>
    <mergeCell ref="EW51:EW89"/>
    <mergeCell ref="EW90:EW128"/>
    <mergeCell ref="AJ90:AJ128"/>
    <mergeCell ref="EW207:EW245"/>
    <mergeCell ref="AJ207:AJ245"/>
    <mergeCell ref="AJ168:AJ206"/>
    <mergeCell ref="EW168:EW206"/>
    <mergeCell ref="AJ129:AJ167"/>
    <mergeCell ref="N2:X2"/>
    <mergeCell ref="N3:X3"/>
    <mergeCell ref="N4:X4"/>
    <mergeCell ref="N5:X5"/>
    <mergeCell ref="B246:B284"/>
    <mergeCell ref="B168:B206"/>
    <mergeCell ref="B207:B245"/>
    <mergeCell ref="B12:B50"/>
    <mergeCell ref="N6:V6"/>
    <mergeCell ref="B51:B89"/>
    <mergeCell ref="B90:B128"/>
    <mergeCell ref="B129:B167"/>
  </mergeCells>
  <phoneticPr fontId="16" type="noConversion"/>
  <conditionalFormatting sqref="D13:AH13 D16:AH16 D19:AH19 D22:AH22 D25:AH25 D28:AH28 D34:AH34 D37:AH37 D40:AH40 D52:AH52 D55:K55 D58:AH58 D61:AH61 D64:AH64 D67:AH67 D73:AH73 D76:AH76 D79:AH79 D94:AH94 D97:AH97 D100:AH100 D103:AH103 D106:AH106 D112:AH112 D115:AH115 D118:AH118 D130:AH130 D133:AH133 D136:AH136 D139:AH139 D142:AH142 D145:AH145 D151:AH151 D154:AH154 D157:AH157 D169:AH169 D172:AH172 D175:AH175 D178:AH178 D181:AH181 D184:AH184 D190:AH190 D193:AH193 D196:AH196 D208:AH208 D211:AH211 D214:AH214 D217:AH217 D220:AH220 D223:AH223 D229:AH229 D232:AH232 D235:AH235 D238:AH238 D241:AH241 D244:AH244 D43:AH43 D46:AH46 D49:AH49 D82:AH82 D85:AH85 D88:AH88 D91:AH91 D121:AH121 D124:AH124 D127:AH127 D160:AH160 D163:AH163 D166:AH166 D199:AH199 D202:AH202 D205:AH205 M55:AH55">
    <cfRule type="cellIs" dxfId="361" priority="6353" stopIfTrue="1" operator="equal">
      <formula>0</formula>
    </cfRule>
    <cfRule type="cellIs" dxfId="360" priority="6354" stopIfTrue="1" operator="equal">
      <formula>0</formula>
    </cfRule>
  </conditionalFormatting>
  <conditionalFormatting sqref="D13:AH13 D16:AH16 D19:AH19 D22:AH22 D25:AH25 D28:AH28 D34:AH34 D37:AH37 D40:AH40 D52:AH52 D55:K55 D58:AH58 D61:AH61 D64:AH64 D67:AH67 D73:AH73 D76:AH76 D79:AH79 D94:AH94 D97:AH97 D100:AH100 D103:AH103 D106:AH106 D112:AH112 D115:AH115 D118:AH118 D130:AH130 D133:AH133 D136:AH136 D139:AH139 D142:AH142 D145:AH145 D151:AH151 D154:AH154 D157:AH157 D169:AH169 D172:AH172 D175:AH175 D178:AH178 D181:AH181 D184:AH184 D190:AH190 D193:AH193 D196:AH196 D208:AH208 D211:AH211 D214:AH214 D217:AH217 D220:AH220 D223:AH223 D229:AH229 D232:AH232 D235:AH235 D238:AH238 D241:AH241 D244:AH244 D43:AH43 D46:AH46 D49:AH49 D82:AH82 D85:AH85 D88:AH88 D91:AH91 D121:AH121 D124:AH124 D127:AH127 D160:AH160 D163:AH163 D166:AH166 D199:AH199 D202:AH202 D205:AH205 M55:AH55">
    <cfRule type="cellIs" dxfId="359" priority="6347" stopIfTrue="1" operator="equal">
      <formula>0</formula>
    </cfRule>
    <cfRule type="cellIs" dxfId="358" priority="6348" stopIfTrue="1" operator="equal">
      <formula>1</formula>
    </cfRule>
    <cfRule type="cellIs" dxfId="357" priority="6349" stopIfTrue="1" operator="equal">
      <formula>0</formula>
    </cfRule>
    <cfRule type="cellIs" dxfId="356" priority="6350" stopIfTrue="1" operator="equal">
      <formula>0</formula>
    </cfRule>
    <cfRule type="cellIs" dxfId="355" priority="6351" stopIfTrue="1" operator="equal">
      <formula>0</formula>
    </cfRule>
    <cfRule type="cellIs" dxfId="354" priority="6352" stopIfTrue="1" operator="equal">
      <formula>1</formula>
    </cfRule>
  </conditionalFormatting>
  <conditionalFormatting sqref="AB13:AH13 AB16:AH16 AB19:AH19 AB22:AH22 AB25:AH25 AB28:AH28 AB34:AH34 AB37:AH37 AB40:AH40 AB52:AH52 AB55:AH55 AB58:AH58 AB61:AH61 AB64:AH64 AB67:AH67 AB73:AH73 AB76:AH76 AB79:AH79 AB94:AH94 AB97:AH97 AB100:AH100 AB103:AH103 AB106:AH106 AB112:AH112 AB115:AH115 AB118:AH118 AB130:AH130 AB133:AH133 AB136:AH136 AB139:AH139 AB142:AH142 AB145:AH145 AB151:AH151 AB154:AH154 AB157:AH157 H13 J13 L13 N13 P13 R13 T13 V13 X13 Z13 H16 J16 L16 N16 P16 R16 T16 V16 X16 Z16 H19 J19 L19 N19 P19 R19 T19 V19 X19 Z19 H22 J22 L22 N22 P22 R22 T22 V22 X22 Z22 H25 J25 L25 N25 P25 R25 T25 V25 X25 Z25 H28 J28 L28 N28 P28 R28 T28 V28 X28 Z28 H34 J34 L34 N34 P34 R34 T34 V34 X34 Z34 H37 J37 L37 N37 P37 R37 T37 V37 X37 Z37 H40 J40 L40 N40 P40 R40 T40 V40 X40 Z40 H43 J43 L43 N43 P43 R43 T43 V43 X43 Z43 H46 J46 L46 N46 P46 R46 T46 V46 X46 Z46 H49 J49 L49 N49 P49 R49 T49 V49 X49 Z49 H52 J52 L52 N52 P52 R52 T52 V52 X52 Z52 H55 J55 N55 P55 R55 T55 V55 X55 Z55 H58 J58 L58 N58 P58 R58 T58 V58 X58 Z58 H61 J61 L61 N61 P61 R61 T61 V61 X61 Z61 H64 J64 L64 N64 P64 R64 T64 V64 X64 Z64 H67 J67 L67 N67 P67 R67 T67 V67 X67 Z67 H73 J73 L73 N73 P73 R73 T73 V73 X73 Z73 H76 J76 L76 N76 P76 R76 T76 V76 X76 Z76 H79 J79 L79 N79 P79 R79 T79 V79 X79 Z79 H82 J82 L82 N82 P82 R82 T82 V82 X82 Z82 H85 J85 L85 N85 P85 R85 T85 V85 X85 Z85 H88 J88 L88 N88 P88 R88 T88 V88 X88 Z88 H91 J91 L91 N91 P91 R91 T91 V91 X91 Z91 H94 J94 L94 N94 P94 R94 T94 V94 X94 Z94 H97 J97 L97 N97 P97 R97 T97 V97 X97 Z97 H100 J100 L100 N100 P100 R100 T100 V100 X100 Z100 H103 J103 L103 N103 P103 R103 T103 V103 X103 Z103 H106 J106 L106 N106 P106 R106 T106 V106 X106 Z106 H112 J112 L112 N112 P112 R112 T112 V112 X112 Z112 H115 J115 L115 N115 P115 R115 T115 V115 X115 Z115 H118 J118 L118 N118 P118 R118 T118 V118 X118 Z118 H121 J121 L121 N121 P121 R121 T121 V121 X121 Z121 H124 J124 L124 N124 P124 R124 T124 V124 X124 Z124 H127 J127 L127 N127 P127 R127 T127 V127 X127 Z127 H130 J130 L130 N130 P130 R130 T130 V130 X130 Z130 H133 J133 L133 N133 P133 R133 T133 V133 X133 Z133 H136 J136 L136 N136 P136 R136 T136 V136 X136 Z136 H139 J139 L139 N139 P139 R139 T139 V139 X139 Z139 H142 J142 L142 N142 P142 R142 T142 V142 X142 Z142 H145 J145 L145 N145 P145 R145 T145 V145 X145 Z145 H151 J151 L151 N151 P151 R151 T151 V151 X151 Z151 H154 J154 L154 N154 P154 R154 T154 V154 X154 Z154 H157 J157 L157 N157 P157 R157 T157 V157 X157 Z157 H160 J160 L160 N160 P160 R160 T160 V160 X160 Z160 H163 J163 L163 N163 P163 R163 T163 AB43:AH43 AB46:AH46 AB49:AH49 AB82:AH82 AB85:AH85 AB88:AH88 AB91:AH91 AB121:AH121 AB124:AH124 AB127:AH127 AB160:AH160">
    <cfRule type="cellIs" dxfId="353" priority="6342" stopIfTrue="1" operator="equal">
      <formula>1</formula>
    </cfRule>
    <cfRule type="cellIs" dxfId="352" priority="6343" stopIfTrue="1" operator="equal">
      <formula>0</formula>
    </cfRule>
    <cfRule type="cellIs" dxfId="351" priority="6344" stopIfTrue="1" operator="equal">
      <formula>0</formula>
    </cfRule>
    <cfRule type="cellIs" dxfId="350" priority="6345" stopIfTrue="1" operator="equal">
      <formula>0</formula>
    </cfRule>
    <cfRule type="cellIs" dxfId="349" priority="6346" stopIfTrue="1" operator="equal">
      <formula>1</formula>
    </cfRule>
  </conditionalFormatting>
  <conditionalFormatting sqref="T25">
    <cfRule type="duplicateValues" dxfId="348" priority="3081" stopIfTrue="1"/>
  </conditionalFormatting>
  <conditionalFormatting sqref="T28">
    <cfRule type="duplicateValues" dxfId="347" priority="3071" stopIfTrue="1"/>
  </conditionalFormatting>
  <conditionalFormatting sqref="T34">
    <cfRule type="duplicateValues" dxfId="346" priority="3061" stopIfTrue="1"/>
  </conditionalFormatting>
  <conditionalFormatting sqref="C13">
    <cfRule type="duplicateValues" dxfId="345" priority="534" stopIfTrue="1"/>
  </conditionalFormatting>
  <conditionalFormatting sqref="C14">
    <cfRule type="duplicateValues" dxfId="344" priority="533" stopIfTrue="1"/>
  </conditionalFormatting>
  <conditionalFormatting sqref="C16">
    <cfRule type="duplicateValues" dxfId="343" priority="532" stopIfTrue="1"/>
  </conditionalFormatting>
  <conditionalFormatting sqref="C17">
    <cfRule type="duplicateValues" dxfId="342" priority="531" stopIfTrue="1"/>
  </conditionalFormatting>
  <conditionalFormatting sqref="C19">
    <cfRule type="duplicateValues" dxfId="341" priority="530" stopIfTrue="1"/>
  </conditionalFormatting>
  <conditionalFormatting sqref="C20">
    <cfRule type="duplicateValues" dxfId="340" priority="529" stopIfTrue="1"/>
  </conditionalFormatting>
  <conditionalFormatting sqref="C22">
    <cfRule type="duplicateValues" dxfId="339" priority="528" stopIfTrue="1"/>
  </conditionalFormatting>
  <conditionalFormatting sqref="C214">
    <cfRule type="duplicateValues" dxfId="338" priority="527" stopIfTrue="1"/>
  </conditionalFormatting>
  <conditionalFormatting sqref="AI13">
    <cfRule type="duplicateValues" dxfId="337" priority="526" stopIfTrue="1"/>
  </conditionalFormatting>
  <conditionalFormatting sqref="AI14">
    <cfRule type="duplicateValues" dxfId="336" priority="525" stopIfTrue="1"/>
  </conditionalFormatting>
  <conditionalFormatting sqref="AI16">
    <cfRule type="duplicateValues" dxfId="335" priority="524" stopIfTrue="1"/>
  </conditionalFormatting>
  <conditionalFormatting sqref="AI17">
    <cfRule type="duplicateValues" dxfId="334" priority="523" stopIfTrue="1"/>
  </conditionalFormatting>
  <conditionalFormatting sqref="AI19">
    <cfRule type="duplicateValues" dxfId="333" priority="522" stopIfTrue="1"/>
  </conditionalFormatting>
  <conditionalFormatting sqref="AI20">
    <cfRule type="duplicateValues" dxfId="332" priority="521" stopIfTrue="1"/>
  </conditionalFormatting>
  <conditionalFormatting sqref="AI22">
    <cfRule type="duplicateValues" dxfId="331" priority="520" stopIfTrue="1"/>
  </conditionalFormatting>
  <conditionalFormatting sqref="AI214">
    <cfRule type="duplicateValues" dxfId="330" priority="519" stopIfTrue="1"/>
  </conditionalFormatting>
  <conditionalFormatting sqref="D13 D16 D34 D37 D40 D43 D46 D49 D52 D55 D58 D61 D64 D67 D73 D76 D79 D82 D85 D88 D91 D94 D97 D100 D103 D106 D112 D115 D118 D121 D124 D127 D130 D133 D136 D139 D142 D145 D151 D154 D157 D160 D163 D166 D169 D172 D178 D181 D184 D190 D193 D196 D199 D202 D205 D208 D211 D214 D217 D220 D223 D229 D232 D235 D238 D241 D244 F13:AH13 F16:AH16 D19:AH19 D22:AH22 D25:AH25 D28:AH28 F34:AH34 F37:AH37 F40:AH40 F52:AH52 F55:K55 F58:AH58 F61:AH61 F64:AH64 F67:AH67 F73:AH73 F76:AH76 F79:AH79 F94:AH94 F97:AH97 F100:AH100 F103:AH103 F106:AH106 F112:AH112 F115:AH115 F118:AH118 F130:AH130 F133:AH133 F136:AH136 F139:AH139 F142:AH142 F145:AH145 F151:AH151 F154:AH154 F157:AH157 F169:AH169 F172:AH172 D175:AH175 F178:AH178 F181:AH181 F184:AH184 F190:AH190 F193:AH193 F196:AH196 F208:AH208 F211:AH211 F214:AH214 F217:AH217 F220:AH220 F223:AH223 F229:AH229 F232:AH232 F235:AH235 F238:AH238 F241:AH241 F244:AH244 F43:AH43 F46:AH46 F49:AH49 F82:AH82 F85:AH85 F88:AH88 F91:AH91 F121:AH121 F124:AH124 F127:AH127 F160:AH160 F163:AH163 F166:AH166 F199:AH199 F202:AH202 F205:AH205 M55:AH55">
    <cfRule type="cellIs" dxfId="329" priority="518" stopIfTrue="1" operator="equal">
      <formula>0</formula>
    </cfRule>
  </conditionalFormatting>
  <conditionalFormatting sqref="T175">
    <cfRule type="duplicateValues" dxfId="328" priority="507" stopIfTrue="1"/>
  </conditionalFormatting>
  <conditionalFormatting sqref="D34:AH34 D37:AH37 D40:AH40 D43:AH43 D46:AH46 D49:AH49">
    <cfRule type="duplicateValues" dxfId="327" priority="6459" stopIfTrue="1"/>
  </conditionalFormatting>
  <conditionalFormatting sqref="D35:AH35 D38:AH38 D41:AH41 D44:AH44 D47:AH47 D50:AH50">
    <cfRule type="duplicateValues" dxfId="326" priority="6471" stopIfTrue="1"/>
  </conditionalFormatting>
  <conditionalFormatting sqref="D52:AH52 D55:K55 D58:AH58 D61:AH61 D64:AH64 D67:AH67 M55:AH55">
    <cfRule type="duplicateValues" dxfId="325" priority="6483" stopIfTrue="1"/>
  </conditionalFormatting>
  <conditionalFormatting sqref="D53:AH53 D56:AH56 D59:AH59 D62:AH62 D65:AH65 D68:AH68">
    <cfRule type="duplicateValues" dxfId="324" priority="6495" stopIfTrue="1"/>
  </conditionalFormatting>
  <conditionalFormatting sqref="D73:AH73 D76:AH76 D79:AH79 D82:AH82 D85:AH85 D88:AH88">
    <cfRule type="duplicateValues" dxfId="323" priority="6507" stopIfTrue="1"/>
  </conditionalFormatting>
  <conditionalFormatting sqref="D74:AH74 D77:AH77 D80:AH80 D83:AH83 D86:AH86 D89:AH89">
    <cfRule type="duplicateValues" dxfId="322" priority="6519" stopIfTrue="1"/>
  </conditionalFormatting>
  <conditionalFormatting sqref="D94:AH94 D97:AH97 D100:AH100 D103:AH103 D106:AH106 D91:AH91">
    <cfRule type="duplicateValues" dxfId="321" priority="6531" stopIfTrue="1"/>
  </conditionalFormatting>
  <conditionalFormatting sqref="D95:AH95 D98:AH98 D101:AH101 D104:AH104 D107:AH107 D92:AH92">
    <cfRule type="duplicateValues" dxfId="320" priority="6543" stopIfTrue="1"/>
  </conditionalFormatting>
  <conditionalFormatting sqref="D112:AH112 D115:AH115 D118:AH118 D121:AH121 D124:AH124 D127:AH127">
    <cfRule type="duplicateValues" dxfId="319" priority="6555" stopIfTrue="1"/>
  </conditionalFormatting>
  <conditionalFormatting sqref="D113:AH113 D116:AH116 D119:AH119 D122:AH122 D125:AH125 D128:AH128">
    <cfRule type="duplicateValues" dxfId="318" priority="6567" stopIfTrue="1"/>
  </conditionalFormatting>
  <conditionalFormatting sqref="D130:AH130 D133:AH133 D136:AH136 D139:AH139 D142:AH142 D145:AH145">
    <cfRule type="duplicateValues" dxfId="317" priority="6579" stopIfTrue="1"/>
  </conditionalFormatting>
  <conditionalFormatting sqref="D131:AH131 D134:AH134 D137:AH137 D140:AH140 D143:AH143 D146:AH146">
    <cfRule type="duplicateValues" dxfId="316" priority="6591" stopIfTrue="1"/>
  </conditionalFormatting>
  <conditionalFormatting sqref="D151:AH151 D154:AH154 D157:AH157 D160:AH160 D163:AH163 D166:AH166">
    <cfRule type="duplicateValues" dxfId="315" priority="6603" stopIfTrue="1"/>
  </conditionalFormatting>
  <conditionalFormatting sqref="D152:AH152 D155:AH155 D158:AH158 D161:AH161 D164:AH164 D167:AH167">
    <cfRule type="duplicateValues" dxfId="314" priority="6615" stopIfTrue="1"/>
  </conditionalFormatting>
  <conditionalFormatting sqref="D169:AH169 D172:AH172 D175:AH175 D178:AH178 D181:AH181 D184:AH184">
    <cfRule type="duplicateValues" dxfId="313" priority="6627" stopIfTrue="1"/>
  </conditionalFormatting>
  <conditionalFormatting sqref="D170:AH170 D173:AH173 D176:AH176 D179:AH179 D182:AH182 D185:AH185">
    <cfRule type="duplicateValues" dxfId="312" priority="6639" stopIfTrue="1"/>
  </conditionalFormatting>
  <conditionalFormatting sqref="D190:AH190 D193:AH193 D196:AH196 D199:AH199 D202:AH202 D205:AH205">
    <cfRule type="duplicateValues" dxfId="311" priority="6651" stopIfTrue="1"/>
  </conditionalFormatting>
  <conditionalFormatting sqref="D191:AH191 D194:AH194 D197:AH197 D200:AH200 D203:AH203 D206:AH206">
    <cfRule type="duplicateValues" dxfId="310" priority="6663" stopIfTrue="1"/>
  </conditionalFormatting>
  <conditionalFormatting sqref="D208:AH208 D211:AH211 D214:AH214 D217:AH217 D220:AH220 D223:AH223">
    <cfRule type="duplicateValues" dxfId="309" priority="6675" stopIfTrue="1"/>
  </conditionalFormatting>
  <conditionalFormatting sqref="D209:AH209 D212:AH212 D215:AH215 D218:AH218 D221:AH221 D224:AH224">
    <cfRule type="duplicateValues" dxfId="308" priority="6687" stopIfTrue="1"/>
  </conditionalFormatting>
  <conditionalFormatting sqref="D229:AH229 D232:AH232 D235:AH235 D238:AH238 D241:AH241 D244:AH244">
    <cfRule type="duplicateValues" dxfId="307" priority="6699" stopIfTrue="1"/>
  </conditionalFormatting>
  <conditionalFormatting sqref="D230:AH230 D233:AH233 D236:AH236 D239:AH239 D242:AH242 D245:AH245">
    <cfRule type="duplicateValues" dxfId="306" priority="6711" stopIfTrue="1"/>
  </conditionalFormatting>
  <conditionalFormatting sqref="D34:AH34">
    <cfRule type="duplicateValues" dxfId="305" priority="6723" stopIfTrue="1"/>
  </conditionalFormatting>
  <conditionalFormatting sqref="D37:AH37">
    <cfRule type="duplicateValues" dxfId="304" priority="6725" stopIfTrue="1"/>
  </conditionalFormatting>
  <conditionalFormatting sqref="D40:AH40">
    <cfRule type="duplicateValues" dxfId="303" priority="6727" stopIfTrue="1"/>
  </conditionalFormatting>
  <conditionalFormatting sqref="D43:AH43">
    <cfRule type="duplicateValues" dxfId="302" priority="6729" stopIfTrue="1"/>
  </conditionalFormatting>
  <conditionalFormatting sqref="D46:AH46">
    <cfRule type="duplicateValues" dxfId="301" priority="6731" stopIfTrue="1"/>
  </conditionalFormatting>
  <conditionalFormatting sqref="D49:AH49">
    <cfRule type="duplicateValues" dxfId="300" priority="6733" stopIfTrue="1"/>
  </conditionalFormatting>
  <conditionalFormatting sqref="D52:AH52">
    <cfRule type="duplicateValues" dxfId="299" priority="6735" stopIfTrue="1"/>
  </conditionalFormatting>
  <conditionalFormatting sqref="D55:K55 M55:AH55">
    <cfRule type="duplicateValues" dxfId="298" priority="6737" stopIfTrue="1"/>
  </conditionalFormatting>
  <conditionalFormatting sqref="D58:AH58">
    <cfRule type="duplicateValues" dxfId="297" priority="6739" stopIfTrue="1"/>
  </conditionalFormatting>
  <conditionalFormatting sqref="D61:AH61">
    <cfRule type="duplicateValues" dxfId="296" priority="6741" stopIfTrue="1"/>
  </conditionalFormatting>
  <conditionalFormatting sqref="D64:AH64">
    <cfRule type="duplicateValues" dxfId="295" priority="6743" stopIfTrue="1"/>
  </conditionalFormatting>
  <conditionalFormatting sqref="D67:AH67">
    <cfRule type="duplicateValues" dxfId="294" priority="6745" stopIfTrue="1"/>
  </conditionalFormatting>
  <conditionalFormatting sqref="D73:AH73">
    <cfRule type="duplicateValues" dxfId="293" priority="6747" stopIfTrue="1"/>
  </conditionalFormatting>
  <conditionalFormatting sqref="D76:AH76">
    <cfRule type="duplicateValues" dxfId="292" priority="6749" stopIfTrue="1"/>
  </conditionalFormatting>
  <conditionalFormatting sqref="D79:AH79">
    <cfRule type="duplicateValues" dxfId="291" priority="6751" stopIfTrue="1"/>
  </conditionalFormatting>
  <conditionalFormatting sqref="D82:AH82">
    <cfRule type="duplicateValues" dxfId="290" priority="6753" stopIfTrue="1"/>
  </conditionalFormatting>
  <conditionalFormatting sqref="D85:AH85">
    <cfRule type="duplicateValues" dxfId="289" priority="6755" stopIfTrue="1"/>
  </conditionalFormatting>
  <conditionalFormatting sqref="D88:AH88">
    <cfRule type="duplicateValues" dxfId="288" priority="6757" stopIfTrue="1"/>
  </conditionalFormatting>
  <conditionalFormatting sqref="D91:AH91">
    <cfRule type="duplicateValues" dxfId="287" priority="6759" stopIfTrue="1"/>
  </conditionalFormatting>
  <conditionalFormatting sqref="D94:AH94">
    <cfRule type="duplicateValues" dxfId="286" priority="6761" stopIfTrue="1"/>
  </conditionalFormatting>
  <conditionalFormatting sqref="D97:AH97">
    <cfRule type="duplicateValues" dxfId="285" priority="6763" stopIfTrue="1"/>
  </conditionalFormatting>
  <conditionalFormatting sqref="D100:AH100">
    <cfRule type="duplicateValues" dxfId="284" priority="6765" stopIfTrue="1"/>
  </conditionalFormatting>
  <conditionalFormatting sqref="D103:AH103">
    <cfRule type="duplicateValues" dxfId="283" priority="6767" stopIfTrue="1"/>
  </conditionalFormatting>
  <conditionalFormatting sqref="D106:AH106">
    <cfRule type="duplicateValues" dxfId="282" priority="6769" stopIfTrue="1"/>
  </conditionalFormatting>
  <conditionalFormatting sqref="D112:AH112">
    <cfRule type="duplicateValues" dxfId="281" priority="6771" stopIfTrue="1"/>
  </conditionalFormatting>
  <conditionalFormatting sqref="D115:AH115">
    <cfRule type="duplicateValues" dxfId="280" priority="6773" stopIfTrue="1"/>
  </conditionalFormatting>
  <conditionalFormatting sqref="D118:AH118">
    <cfRule type="duplicateValues" dxfId="279" priority="6775" stopIfTrue="1"/>
  </conditionalFormatting>
  <conditionalFormatting sqref="D121:AH121">
    <cfRule type="duplicateValues" dxfId="278" priority="6777" stopIfTrue="1"/>
  </conditionalFormatting>
  <conditionalFormatting sqref="D124:AH124">
    <cfRule type="duplicateValues" dxfId="277" priority="6779" stopIfTrue="1"/>
  </conditionalFormatting>
  <conditionalFormatting sqref="D127:AH127">
    <cfRule type="duplicateValues" dxfId="276" priority="6781" stopIfTrue="1"/>
  </conditionalFormatting>
  <conditionalFormatting sqref="D130:AH130">
    <cfRule type="duplicateValues" dxfId="275" priority="6783" stopIfTrue="1"/>
  </conditionalFormatting>
  <conditionalFormatting sqref="D133:AH133">
    <cfRule type="duplicateValues" dxfId="274" priority="6785" stopIfTrue="1"/>
  </conditionalFormatting>
  <conditionalFormatting sqref="D136:AH136">
    <cfRule type="duplicateValues" dxfId="273" priority="6787" stopIfTrue="1"/>
  </conditionalFormatting>
  <conditionalFormatting sqref="D139:AH139">
    <cfRule type="duplicateValues" dxfId="272" priority="6789" stopIfTrue="1"/>
  </conditionalFormatting>
  <conditionalFormatting sqref="D142:AH142">
    <cfRule type="duplicateValues" dxfId="271" priority="6791" stopIfTrue="1"/>
  </conditionalFormatting>
  <conditionalFormatting sqref="D145:AH145">
    <cfRule type="duplicateValues" dxfId="270" priority="6793" stopIfTrue="1"/>
  </conditionalFormatting>
  <conditionalFormatting sqref="D151:AH151">
    <cfRule type="duplicateValues" dxfId="269" priority="6795" stopIfTrue="1"/>
  </conditionalFormatting>
  <conditionalFormatting sqref="D154:AH154">
    <cfRule type="duplicateValues" dxfId="268" priority="6797" stopIfTrue="1"/>
  </conditionalFormatting>
  <conditionalFormatting sqref="D157:AH157">
    <cfRule type="duplicateValues" dxfId="267" priority="6799" stopIfTrue="1"/>
  </conditionalFormatting>
  <conditionalFormatting sqref="D160:AH160">
    <cfRule type="duplicateValues" dxfId="266" priority="6801" stopIfTrue="1"/>
  </conditionalFormatting>
  <conditionalFormatting sqref="D163:AH163">
    <cfRule type="duplicateValues" dxfId="265" priority="6803" stopIfTrue="1"/>
  </conditionalFormatting>
  <conditionalFormatting sqref="D166:AH166">
    <cfRule type="duplicateValues" dxfId="264" priority="6805" stopIfTrue="1"/>
  </conditionalFormatting>
  <conditionalFormatting sqref="D169:AH169">
    <cfRule type="duplicateValues" dxfId="263" priority="6807" stopIfTrue="1"/>
  </conditionalFormatting>
  <conditionalFormatting sqref="D172:AH172">
    <cfRule type="duplicateValues" dxfId="262" priority="6809" stopIfTrue="1"/>
  </conditionalFormatting>
  <conditionalFormatting sqref="D175:AH175">
    <cfRule type="duplicateValues" dxfId="261" priority="6811" stopIfTrue="1"/>
  </conditionalFormatting>
  <conditionalFormatting sqref="D178:AH178">
    <cfRule type="duplicateValues" dxfId="260" priority="6813" stopIfTrue="1"/>
  </conditionalFormatting>
  <conditionalFormatting sqref="D181:AH181">
    <cfRule type="duplicateValues" dxfId="259" priority="6815" stopIfTrue="1"/>
  </conditionalFormatting>
  <conditionalFormatting sqref="D184:AH184">
    <cfRule type="duplicateValues" dxfId="258" priority="6817" stopIfTrue="1"/>
  </conditionalFormatting>
  <conditionalFormatting sqref="D190:AH190">
    <cfRule type="duplicateValues" dxfId="257" priority="6819" stopIfTrue="1"/>
  </conditionalFormatting>
  <conditionalFormatting sqref="D193:AH193">
    <cfRule type="duplicateValues" dxfId="256" priority="6821" stopIfTrue="1"/>
  </conditionalFormatting>
  <conditionalFormatting sqref="D196:AH196">
    <cfRule type="duplicateValues" dxfId="255" priority="6823" stopIfTrue="1"/>
  </conditionalFormatting>
  <conditionalFormatting sqref="D199:AH199">
    <cfRule type="duplicateValues" dxfId="254" priority="6825" stopIfTrue="1"/>
  </conditionalFormatting>
  <conditionalFormatting sqref="D202:AH202">
    <cfRule type="duplicateValues" dxfId="253" priority="6827" stopIfTrue="1"/>
  </conditionalFormatting>
  <conditionalFormatting sqref="D205:AH205">
    <cfRule type="duplicateValues" dxfId="252" priority="6829" stopIfTrue="1"/>
  </conditionalFormatting>
  <conditionalFormatting sqref="D208:AH208">
    <cfRule type="duplicateValues" dxfId="251" priority="6831" stopIfTrue="1"/>
  </conditionalFormatting>
  <conditionalFormatting sqref="D211:AH211">
    <cfRule type="duplicateValues" dxfId="250" priority="6833" stopIfTrue="1"/>
  </conditionalFormatting>
  <conditionalFormatting sqref="D214:AH214">
    <cfRule type="duplicateValues" dxfId="249" priority="6835" stopIfTrue="1"/>
  </conditionalFormatting>
  <conditionalFormatting sqref="D217:AH217">
    <cfRule type="duplicateValues" dxfId="248" priority="6837" stopIfTrue="1"/>
  </conditionalFormatting>
  <conditionalFormatting sqref="D220:AH220">
    <cfRule type="duplicateValues" dxfId="247" priority="6839" stopIfTrue="1"/>
  </conditionalFormatting>
  <conditionalFormatting sqref="D223:AH223">
    <cfRule type="duplicateValues" dxfId="246" priority="6841" stopIfTrue="1"/>
  </conditionalFormatting>
  <conditionalFormatting sqref="D229:AH229">
    <cfRule type="duplicateValues" dxfId="245" priority="6843" stopIfTrue="1"/>
  </conditionalFormatting>
  <conditionalFormatting sqref="D232:AH232">
    <cfRule type="duplicateValues" dxfId="244" priority="6845" stopIfTrue="1"/>
  </conditionalFormatting>
  <conditionalFormatting sqref="D235:AH235">
    <cfRule type="duplicateValues" dxfId="243" priority="6847" stopIfTrue="1"/>
  </conditionalFormatting>
  <conditionalFormatting sqref="D238:AH238">
    <cfRule type="duplicateValues" dxfId="242" priority="6849" stopIfTrue="1"/>
  </conditionalFormatting>
  <conditionalFormatting sqref="D241:AH241">
    <cfRule type="duplicateValues" dxfId="241" priority="6851" stopIfTrue="1"/>
  </conditionalFormatting>
  <conditionalFormatting sqref="D244:AH244">
    <cfRule type="duplicateValues" dxfId="240" priority="6853" stopIfTrue="1"/>
  </conditionalFormatting>
  <conditionalFormatting sqref="D19:AH19">
    <cfRule type="duplicateValues" dxfId="239" priority="10342" stopIfTrue="1"/>
  </conditionalFormatting>
  <conditionalFormatting sqref="D22:AH22">
    <cfRule type="duplicateValues" dxfId="238" priority="10344" stopIfTrue="1"/>
  </conditionalFormatting>
  <conditionalFormatting sqref="D25:AH25">
    <cfRule type="duplicateValues" dxfId="237" priority="10346" stopIfTrue="1"/>
  </conditionalFormatting>
  <conditionalFormatting sqref="D28:AH28">
    <cfRule type="duplicateValues" dxfId="236" priority="10348" stopIfTrue="1"/>
  </conditionalFormatting>
  <conditionalFormatting sqref="D131:AH131">
    <cfRule type="duplicateValues" dxfId="235" priority="10353" stopIfTrue="1"/>
  </conditionalFormatting>
  <conditionalFormatting sqref="D152:AH152">
    <cfRule type="duplicateValues" dxfId="234" priority="10355" stopIfTrue="1"/>
  </conditionalFormatting>
  <conditionalFormatting sqref="A14 D17:AH17 D20:AH20 D23:AH23 D26:AH26 D29:AH29 D14:AH14">
    <cfRule type="duplicateValues" dxfId="233" priority="10365" stopIfTrue="1"/>
  </conditionalFormatting>
  <conditionalFormatting sqref="A16 D16:AH16">
    <cfRule type="duplicateValues" dxfId="232" priority="10378" stopIfTrue="1"/>
  </conditionalFormatting>
  <conditionalFormatting sqref="A17 D17:AH17">
    <cfRule type="duplicateValues" dxfId="231" priority="10381" stopIfTrue="1"/>
  </conditionalFormatting>
  <conditionalFormatting sqref="A20 D20:AH20">
    <cfRule type="duplicateValues" dxfId="230" priority="10384" stopIfTrue="1"/>
  </conditionalFormatting>
  <conditionalFormatting sqref="D247:AH247 D250:AH250 D253:AH253 D256:AH256 D259:AH259 D262:AH262 D268:AH268 D271:AH271 D274:AH274 D277:AH277 D280:AH280 D283:AH283">
    <cfRule type="cellIs" dxfId="229" priority="27" stopIfTrue="1" operator="equal">
      <formula>0</formula>
    </cfRule>
    <cfRule type="cellIs" dxfId="228" priority="28" stopIfTrue="1" operator="equal">
      <formula>0</formula>
    </cfRule>
  </conditionalFormatting>
  <conditionalFormatting sqref="D247:AH247 D250:AH250 D253:AH253 D256:AH256 D259:AH259 D262:AH262 D268:AH268 D271:AH271 D274:AH274 D277:AH277 D280:AH280 D283:AH283">
    <cfRule type="cellIs" dxfId="227" priority="21" stopIfTrue="1" operator="equal">
      <formula>0</formula>
    </cfRule>
    <cfRule type="cellIs" dxfId="226" priority="22" stopIfTrue="1" operator="equal">
      <formula>1</formula>
    </cfRule>
    <cfRule type="cellIs" dxfId="225" priority="23" stopIfTrue="1" operator="equal">
      <formula>0</formula>
    </cfRule>
    <cfRule type="cellIs" dxfId="224" priority="24" stopIfTrue="1" operator="equal">
      <formula>0</formula>
    </cfRule>
    <cfRule type="cellIs" dxfId="223" priority="25" stopIfTrue="1" operator="equal">
      <formula>0</formula>
    </cfRule>
    <cfRule type="cellIs" dxfId="222" priority="26" stopIfTrue="1" operator="equal">
      <formula>1</formula>
    </cfRule>
  </conditionalFormatting>
  <conditionalFormatting sqref="C253">
    <cfRule type="duplicateValues" dxfId="221" priority="20" stopIfTrue="1"/>
  </conditionalFormatting>
  <conditionalFormatting sqref="AI253">
    <cfRule type="duplicateValues" dxfId="220" priority="19" stopIfTrue="1"/>
  </conditionalFormatting>
  <conditionalFormatting sqref="D247 D250 D253 D256 D259 D262 D268 D271 D274 D277 D280 D283 F247:AH247 F250:AH250 F253:AH253 F256:AH256 F259:AH259 F262:AH262 F268:AH268 F271:AH271 F274:AH274 F277:AH277 F280:AH280 F283:AH283">
    <cfRule type="cellIs" dxfId="219" priority="18" stopIfTrue="1" operator="equal">
      <formula>0</formula>
    </cfRule>
  </conditionalFormatting>
  <conditionalFormatting sqref="D247:AH247 D250:AH250 D253:AH253 D256:AH256 D259:AH259 D262:AH262">
    <cfRule type="duplicateValues" dxfId="218" priority="17" stopIfTrue="1"/>
  </conditionalFormatting>
  <conditionalFormatting sqref="D248:AH248 D251:AH251 D254:AH254 D257:AH257 D260:AH260 D263:AH263">
    <cfRule type="duplicateValues" dxfId="217" priority="16" stopIfTrue="1"/>
  </conditionalFormatting>
  <conditionalFormatting sqref="D268:AH268 D271:AH271 D274:AH274 D277:AH277 D280:AH280 D283:AH283">
    <cfRule type="duplicateValues" dxfId="216" priority="15" stopIfTrue="1"/>
  </conditionalFormatting>
  <conditionalFormatting sqref="D269:AH269 D272:AH272 D275:AH275 D278:AH278 D281:AH281 D284:AH284">
    <cfRule type="duplicateValues" dxfId="215" priority="14" stopIfTrue="1"/>
  </conditionalFormatting>
  <conditionalFormatting sqref="D247:AH247">
    <cfRule type="duplicateValues" dxfId="214" priority="13" stopIfTrue="1"/>
  </conditionalFormatting>
  <conditionalFormatting sqref="D250:AH250">
    <cfRule type="duplicateValues" dxfId="213" priority="12" stopIfTrue="1"/>
  </conditionalFormatting>
  <conditionalFormatting sqref="D253:AH253">
    <cfRule type="duplicateValues" dxfId="212" priority="11" stopIfTrue="1"/>
  </conditionalFormatting>
  <conditionalFormatting sqref="D256:AH256">
    <cfRule type="duplicateValues" dxfId="211" priority="10" stopIfTrue="1"/>
  </conditionalFormatting>
  <conditionalFormatting sqref="D259:AH259">
    <cfRule type="duplicateValues" dxfId="210" priority="9" stopIfTrue="1"/>
  </conditionalFormatting>
  <conditionalFormatting sqref="D262:AH262">
    <cfRule type="duplicateValues" dxfId="209" priority="8" stopIfTrue="1"/>
  </conditionalFormatting>
  <conditionalFormatting sqref="D268:AH268">
    <cfRule type="duplicateValues" dxfId="208" priority="7" stopIfTrue="1"/>
  </conditionalFormatting>
  <conditionalFormatting sqref="D271:AH271">
    <cfRule type="duplicateValues" dxfId="207" priority="6" stopIfTrue="1"/>
  </conditionalFormatting>
  <conditionalFormatting sqref="D274:AH274">
    <cfRule type="duplicateValues" dxfId="206" priority="5" stopIfTrue="1"/>
  </conditionalFormatting>
  <conditionalFormatting sqref="D277:AH277">
    <cfRule type="duplicateValues" dxfId="205" priority="4" stopIfTrue="1"/>
  </conditionalFormatting>
  <conditionalFormatting sqref="D280:AH280">
    <cfRule type="duplicateValues" dxfId="204" priority="3" stopIfTrue="1"/>
  </conditionalFormatting>
  <conditionalFormatting sqref="D283:AH283">
    <cfRule type="duplicateValues" dxfId="203" priority="2" stopIfTrue="1"/>
  </conditionalFormatting>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AF283"/>
  <sheetViews>
    <sheetView topLeftCell="L4" workbookViewId="0">
      <selection activeCell="L90" sqref="L90"/>
    </sheetView>
  </sheetViews>
  <sheetFormatPr defaultRowHeight="15" x14ac:dyDescent="0.25"/>
  <cols>
    <col min="5" max="5" width="76.36328125" customWidth="1"/>
    <col min="9" max="9" width="54.36328125" customWidth="1"/>
    <col min="10" max="10" width="41" customWidth="1"/>
    <col min="11" max="11" width="36.1796875" customWidth="1"/>
    <col min="12" max="12" width="41.453125" customWidth="1"/>
    <col min="18" max="18" width="40.90625" bestFit="1" customWidth="1"/>
    <col min="26" max="26" width="26.81640625" customWidth="1"/>
    <col min="30" max="30" width="28.6328125" customWidth="1"/>
    <col min="31" max="31" width="20.54296875" customWidth="1"/>
  </cols>
  <sheetData>
    <row r="6" spans="3:32" ht="15.6" thickBot="1" x14ac:dyDescent="0.3"/>
    <row r="7" spans="3:32" ht="23.4" x14ac:dyDescent="0.45">
      <c r="C7" s="213" t="s">
        <v>0</v>
      </c>
      <c r="D7" s="214" t="s">
        <v>1</v>
      </c>
      <c r="E7" s="211" t="s">
        <v>110</v>
      </c>
      <c r="F7" s="211" t="s">
        <v>111</v>
      </c>
      <c r="G7" s="211" t="s">
        <v>112</v>
      </c>
      <c r="H7" s="211" t="s">
        <v>141</v>
      </c>
      <c r="I7" s="211" t="s">
        <v>144</v>
      </c>
      <c r="J7" s="211" t="s">
        <v>145</v>
      </c>
      <c r="K7" s="211" t="s">
        <v>171</v>
      </c>
      <c r="L7" s="211" t="s">
        <v>138</v>
      </c>
      <c r="M7" s="211" t="s">
        <v>139</v>
      </c>
      <c r="N7" s="211" t="s">
        <v>140</v>
      </c>
      <c r="O7" s="211" t="s">
        <v>96</v>
      </c>
      <c r="P7" s="211" t="s">
        <v>89</v>
      </c>
      <c r="Q7" s="215" t="s">
        <v>97</v>
      </c>
      <c r="R7" s="215" t="s">
        <v>98</v>
      </c>
      <c r="S7" s="215" t="s">
        <v>151</v>
      </c>
      <c r="T7" s="215"/>
      <c r="U7" s="215" t="s">
        <v>135</v>
      </c>
      <c r="V7" s="215" t="s">
        <v>101</v>
      </c>
      <c r="W7" s="215" t="s">
        <v>146</v>
      </c>
      <c r="X7" s="216" t="s">
        <v>147</v>
      </c>
      <c r="Y7" s="216" t="s">
        <v>88</v>
      </c>
      <c r="Z7" s="216" t="s">
        <v>148</v>
      </c>
      <c r="AA7" s="217" t="s">
        <v>100</v>
      </c>
      <c r="AB7" s="216" t="s">
        <v>150</v>
      </c>
      <c r="AC7" s="215" t="s">
        <v>94</v>
      </c>
      <c r="AD7" s="211" t="s">
        <v>75</v>
      </c>
      <c r="AE7" s="211" t="s">
        <v>99</v>
      </c>
      <c r="AF7" s="246" t="s">
        <v>0</v>
      </c>
    </row>
    <row r="8" spans="3:32" ht="23.4" x14ac:dyDescent="0.45">
      <c r="C8" s="103" t="s">
        <v>2</v>
      </c>
      <c r="D8" s="101" t="s">
        <v>0</v>
      </c>
      <c r="E8" s="313" t="s">
        <v>174</v>
      </c>
      <c r="F8" s="313" t="s">
        <v>174</v>
      </c>
      <c r="G8" s="313" t="s">
        <v>173</v>
      </c>
      <c r="H8" s="313" t="s">
        <v>173</v>
      </c>
      <c r="I8" s="313" t="s">
        <v>172</v>
      </c>
      <c r="J8" s="313" t="s">
        <v>172</v>
      </c>
      <c r="K8" s="313" t="s">
        <v>170</v>
      </c>
      <c r="L8" s="313" t="s">
        <v>169</v>
      </c>
      <c r="M8" s="313" t="s">
        <v>169</v>
      </c>
      <c r="N8" s="313" t="s">
        <v>168</v>
      </c>
      <c r="O8" s="313" t="s">
        <v>167</v>
      </c>
      <c r="P8" s="313" t="s">
        <v>166</v>
      </c>
      <c r="Q8" s="313" t="s">
        <v>165</v>
      </c>
      <c r="R8" s="313" t="s">
        <v>164</v>
      </c>
      <c r="S8" s="313" t="s">
        <v>163</v>
      </c>
      <c r="T8" s="313"/>
      <c r="U8" s="313" t="s">
        <v>162</v>
      </c>
      <c r="V8" s="313" t="s">
        <v>161</v>
      </c>
      <c r="W8" s="313" t="s">
        <v>160</v>
      </c>
      <c r="X8" s="313" t="s">
        <v>159</v>
      </c>
      <c r="Y8" s="313" t="s">
        <v>158</v>
      </c>
      <c r="Z8" s="313" t="s">
        <v>157</v>
      </c>
      <c r="AA8" s="313" t="s">
        <v>156</v>
      </c>
      <c r="AB8" s="313" t="s">
        <v>155</v>
      </c>
      <c r="AC8" s="313" t="s">
        <v>154</v>
      </c>
      <c r="AD8" s="313" t="s">
        <v>153</v>
      </c>
      <c r="AE8" s="313" t="s">
        <v>152</v>
      </c>
      <c r="AF8" s="102" t="s">
        <v>2</v>
      </c>
    </row>
    <row r="9" spans="3:32" ht="24" thickBot="1" x14ac:dyDescent="0.5">
      <c r="C9" s="103"/>
      <c r="D9" s="101" t="s">
        <v>3</v>
      </c>
      <c r="E9" s="212">
        <v>45</v>
      </c>
      <c r="F9" s="212">
        <v>37</v>
      </c>
      <c r="G9" s="212">
        <v>45</v>
      </c>
      <c r="H9" s="212">
        <v>20</v>
      </c>
      <c r="I9" s="212">
        <v>50</v>
      </c>
      <c r="J9" s="212">
        <v>50</v>
      </c>
      <c r="K9" s="212">
        <v>15</v>
      </c>
      <c r="L9" s="212">
        <v>82</v>
      </c>
      <c r="M9" s="104">
        <v>47</v>
      </c>
      <c r="N9" s="104">
        <v>15</v>
      </c>
      <c r="O9" s="104">
        <v>78</v>
      </c>
      <c r="P9" s="103">
        <v>47</v>
      </c>
      <c r="Q9" s="103">
        <v>73</v>
      </c>
      <c r="R9" s="103">
        <v>50</v>
      </c>
      <c r="S9" s="103">
        <v>40</v>
      </c>
      <c r="T9" s="103"/>
      <c r="U9" s="103">
        <v>3</v>
      </c>
      <c r="V9" s="102">
        <v>4</v>
      </c>
      <c r="W9" s="102">
        <v>10</v>
      </c>
      <c r="X9" s="102">
        <v>10</v>
      </c>
      <c r="Y9" s="102">
        <v>15</v>
      </c>
      <c r="Z9" s="102">
        <v>8</v>
      </c>
      <c r="AA9" s="102">
        <v>8</v>
      </c>
      <c r="AB9" s="102">
        <v>10</v>
      </c>
      <c r="AC9" s="102">
        <v>40</v>
      </c>
      <c r="AD9" s="102">
        <v>8</v>
      </c>
      <c r="AE9" s="102">
        <v>10</v>
      </c>
      <c r="AF9" s="212"/>
    </row>
    <row r="10" spans="3:32" ht="24" thickTop="1" x14ac:dyDescent="0.45">
      <c r="C10" s="490"/>
      <c r="D10" s="106"/>
      <c r="E10" s="107"/>
      <c r="F10" s="107"/>
      <c r="G10" s="107"/>
      <c r="H10" s="107"/>
      <c r="I10" s="107"/>
      <c r="J10" s="107"/>
      <c r="K10" s="107"/>
      <c r="L10" s="107"/>
      <c r="M10" s="107"/>
      <c r="N10" s="107"/>
      <c r="O10" s="107"/>
      <c r="P10" s="107"/>
      <c r="Q10" s="107"/>
      <c r="R10" s="107"/>
      <c r="S10" s="107"/>
      <c r="T10" s="107"/>
      <c r="U10" s="107"/>
      <c r="V10" s="107"/>
      <c r="W10" s="107"/>
      <c r="X10" s="107"/>
      <c r="Y10" s="107"/>
      <c r="Z10" s="107"/>
      <c r="AA10" s="107"/>
      <c r="AB10" s="107"/>
      <c r="AC10" s="107"/>
      <c r="AD10" s="107"/>
      <c r="AE10" s="107"/>
      <c r="AF10" s="508"/>
    </row>
    <row r="11" spans="3:32" ht="23.4" x14ac:dyDescent="0.45">
      <c r="C11" s="491"/>
      <c r="D11" s="112"/>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491"/>
    </row>
    <row r="12" spans="3:32" ht="24" thickBot="1" x14ac:dyDescent="0.5">
      <c r="C12" s="491"/>
      <c r="D12" s="118"/>
      <c r="E12" s="314" t="e">
        <f>CONCATENATE(TIMETABLE!#REF!," ","[",TIMETABLE!#REF!," ","Students","]"," ",TIMETABLE!#REF!,":"," ",TIMETABLE!#REF!," ",TIMETABLE!#REF!)</f>
        <v>#REF!</v>
      </c>
      <c r="F12" s="314" t="e">
        <f>CONCATENATE(TIMETABLE!#REF!," ","[",TIMETABLE!#REF!," ","Students","]"," ",TIMETABLE!#REF!,":"," ",TIMETABLE!#REF!," ",TIMETABLE!#REF!)</f>
        <v>#REF!</v>
      </c>
      <c r="G12" s="314" t="e">
        <f>CONCATENATE(TIMETABLE!#REF!," ","[",TIMETABLE!#REF!," ","Students","]"," ",TIMETABLE!#REF!,":"," ",TIMETABLE!#REF!," ",TIMETABLE!#REF!)</f>
        <v>#REF!</v>
      </c>
      <c r="H12" s="314" t="e">
        <f>CONCATENATE(TIMETABLE!#REF!," ","[",TIMETABLE!#REF!," ","Students","]"," ",TIMETABLE!#REF!,":"," ",TIMETABLE!#REF!," ",TIMETABLE!#REF!)</f>
        <v>#REF!</v>
      </c>
      <c r="I12" s="314" t="e">
        <f>CONCATENATE(TIMETABLE!#REF!," ","[",TIMETABLE!#REF!," ","Students","]"," ",TIMETABLE!#REF!,":"," ",TIMETABLE!#REF!," ",TIMETABLE!#REF!)</f>
        <v>#REF!</v>
      </c>
      <c r="J12" s="314" t="e">
        <f>CONCATENATE(TIMETABLE!#REF!," ","[",TIMETABLE!#REF!," ","Students","]"," ",TIMETABLE!#REF!,":"," ",TIMETABLE!#REF!," ",TIMETABLE!#REF!)</f>
        <v>#REF!</v>
      </c>
      <c r="K12" s="314" t="e">
        <f>CONCATENATE(TIMETABLE!#REF!," ","[",TIMETABLE!#REF!," ","Students","]"," ",TIMETABLE!#REF!,":"," ",TIMETABLE!#REF!," ",TIMETABLE!#REF!)</f>
        <v>#REF!</v>
      </c>
      <c r="L12" s="314" t="str">
        <f>CONCATENATE(TIMETABLE!D$6," ","[",TIMETABLE!D$7," ","Students","]"," ",TIMETABLE!D8,":"," ",TIMETABLE!D11," ",TIMETABLE!D10)</f>
        <v xml:space="preserve">BSME/SEP2020/J-FT [Y2S1  (50) Students] :  </v>
      </c>
      <c r="M12" s="314" t="str">
        <f>CONCATENATE(TIMETABLE!E$6," ","[",TIMETABLE!E$7," ","Students","]"," ",TIMETABLE!E8,":"," ",TIMETABLE!E11," ",TIMETABLE!E10)</f>
        <v>BSME/AUG2021/J-FT [Y1S2  (55) Students] APS 4102: DR. OMBOGA/LABAN PHY LAB</v>
      </c>
      <c r="N12" s="314" t="e">
        <f>CONCATENATE(TIMETABLE!#REF!," ","[",TIMETABLE!#REF!," ","Students","]"," ",TIMETABLE!#REF!,":"," ",TIMETABLE!#REF!," ",TIMETABLE!#REF!)</f>
        <v>#REF!</v>
      </c>
      <c r="O12" s="314" t="e">
        <f>CONCATENATE(TIMETABLE!#REF!," ","[",TIMETABLE!#REF!," ","Students","]"," ",TIMETABLE!#REF!,":"," ",TIMETABLE!#REF!," ",TIMETABLE!#REF!)</f>
        <v>#REF!</v>
      </c>
      <c r="P12" s="314" t="str">
        <f>CONCATENATE(TIMETABLE!F$6," ","[",TIMETABLE!F$7," ","Students","]"," ",TIMETABLE!F8,":"," ",TIMETABLE!F11," ",TIMETABLE!F10)</f>
        <v xml:space="preserve">BTME/SEP2019/S-PT [Y3S1   (10) Students] :  </v>
      </c>
      <c r="Q12" s="314" t="str">
        <f>CONCATENATE(TIMETABLE!G$6," ","[",TIMETABLE!G$7," ","Students","]"," ",TIMETABLE!G8,":"," ",TIMETABLE!G11," ",TIMETABLE!G10)</f>
        <v xml:space="preserve">BTME/AUG2021/S-PT [Y2S2   (10) Students] :  </v>
      </c>
      <c r="R12" s="314" t="e">
        <f>CONCATENATE(TIMETABLE!#REF!," ","[",TIMETABLE!#REF!," ","Students","]"," ",TIMETABLE!#REF!,":"," ",TIMETABLE!#REF!," ",TIMETABLE!#REF!)</f>
        <v>#REF!</v>
      </c>
      <c r="S12" s="314" t="e">
        <f>CONCATENATE(TIMETABLE!#REF!," ","[",TIMETABLE!#REF!," ","Students","]"," ",TIMETABLE!#REF!,":"," ",TIMETABLE!#REF!," ",TIMETABLE!#REF!)</f>
        <v>#REF!</v>
      </c>
      <c r="T12" s="314" t="str">
        <f>CONCATENATE(TIMETABLE!J$6," ","[",TIMETABLE!J$7," ","Students","]"," ",TIMETABLE!J8,":"," ",TIMETABLE!J11," ",TIMETABLE!J10)</f>
        <v xml:space="preserve">BTME/AUG2021/J&amp;S-FT [Y1S1  (52) Students] :  </v>
      </c>
      <c r="U12" s="314" t="e">
        <f>CONCATENATE(TIMETABLE!#REF!," ","[",TIMETABLE!#REF!," ","Students","]"," ",TIMETABLE!#REF!,":"," ",TIMETABLE!#REF!," ",TIMETABLE!#REF!)</f>
        <v>#REF!</v>
      </c>
      <c r="V12" s="314" t="e">
        <f>CONCATENATE(TIMETABLE!#REF!," ","[",TIMETABLE!#REF!," ","Students","]"," ",TIMETABLE!#REF!,":"," ",TIMETABLE!#REF!," ",TIMETABLE!#REF!)</f>
        <v>#REF!</v>
      </c>
      <c r="W12" s="314" t="e">
        <f>CONCATENATE(TIMETABLE!#REF!," ","[",TIMETABLE!#REF!," ","Students","]"," ",TIMETABLE!#REF!,":"," ",TIMETABLE!#REF!," ",TIMETABLE!#REF!)</f>
        <v>#REF!</v>
      </c>
      <c r="X12" s="314" t="e">
        <f>CONCATENATE(TIMETABLE!#REF!," ","[",TIMETABLE!#REF!," ","Students","]"," ",TIMETABLE!#REF!,":"," ",TIMETABLE!#REF!," ",TIMETABLE!#REF!)</f>
        <v>#REF!</v>
      </c>
      <c r="Y12" s="314" t="e">
        <f>CONCATENATE(TIMETABLE!#REF!," ","[",TIMETABLE!#REF!," ","Students","]"," ",TIMETABLE!#REF!,":"," ",TIMETABLE!#REF!," ",TIMETABLE!#REF!)</f>
        <v>#REF!</v>
      </c>
      <c r="Z12" s="314" t="e">
        <f>CONCATENATE(TIMETABLE!#REF!," ","[",TIMETABLE!#REF!," ","Students","]"," ",TIMETABLE!#REF!,":"," ",TIMETABLE!#REF!," ",TIMETABLE!#REF!)</f>
        <v>#REF!</v>
      </c>
      <c r="AA12" s="314" t="e">
        <f>CONCATENATE(TIMETABLE!#REF!," ","[",TIMETABLE!#REF!," ","Students","]"," ",TIMETABLE!#REF!,":"," ",TIMETABLE!#REF!," ",TIMETABLE!#REF!)</f>
        <v>#REF!</v>
      </c>
      <c r="AB12" s="314" t="e">
        <f>CONCATENATE(TIMETABLE!#REF!," ","[",TIMETABLE!#REF!," ","Students","]"," ",TIMETABLE!#REF!,":"," ",TIMETABLE!#REF!," ",TIMETABLE!#REF!)</f>
        <v>#REF!</v>
      </c>
      <c r="AC12" s="314" t="str">
        <f>CONCATENATE(TIMETABLE!W$6," ","[",TIMETABLE!W$7," ","Students","]"," ",TIMETABLE!W8,":"," ",TIMETABLE!W11," ",TIMETABLE!W10)</f>
        <v xml:space="preserve">DMAE/SEP20201J&amp;S-FT [Y1S2   (60) Students] :  </v>
      </c>
      <c r="AD12" s="314" t="e">
        <f>CONCATENATE(TIMETABLE!#REF!," ","[",TIMETABLE!#REF!," ","Students","]"," ",TIMETABLE!#REF!,":"," ",TIMETABLE!#REF!," ",TIMETABLE!#REF!)</f>
        <v>#REF!</v>
      </c>
      <c r="AE12" s="314" t="e">
        <f>CONCATENATE(TIMETABLE!#REF!," ","[",TIMETABLE!#REF!," ","Students","]"," ",TIMETABLE!#REF!,":"," ",TIMETABLE!#REF!," ",TIMETABLE!#REF!)</f>
        <v>#REF!</v>
      </c>
      <c r="AF12" s="491"/>
    </row>
    <row r="13" spans="3:32" ht="23.4" x14ac:dyDescent="0.45">
      <c r="C13" s="491"/>
      <c r="D13" s="121"/>
      <c r="E13" s="107"/>
      <c r="F13" s="107"/>
      <c r="G13" s="107"/>
      <c r="H13" s="107"/>
      <c r="I13" s="107"/>
      <c r="J13" s="107"/>
      <c r="K13" s="107"/>
      <c r="L13" s="107"/>
      <c r="M13" s="107"/>
      <c r="N13" s="107"/>
      <c r="O13" s="107"/>
      <c r="P13" s="107"/>
      <c r="Q13" s="107"/>
      <c r="R13" s="107"/>
      <c r="S13" s="107"/>
      <c r="T13" s="107"/>
      <c r="U13" s="107"/>
      <c r="V13" s="107"/>
      <c r="W13" s="107"/>
      <c r="X13" s="107"/>
      <c r="Y13" s="107"/>
      <c r="Z13" s="107"/>
      <c r="AA13" s="107"/>
      <c r="AB13" s="107"/>
      <c r="AC13" s="107"/>
      <c r="AD13" s="107"/>
      <c r="AE13" s="107"/>
      <c r="AF13" s="491"/>
    </row>
    <row r="14" spans="3:32" ht="23.4" x14ac:dyDescent="0.45">
      <c r="C14" s="491"/>
      <c r="D14" s="121"/>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491"/>
    </row>
    <row r="15" spans="3:32" ht="24" thickBot="1" x14ac:dyDescent="0.5">
      <c r="C15" s="491"/>
      <c r="D15" s="118"/>
      <c r="E15" s="314" t="e">
        <f>CONCATENATE(TIMETABLE!#REF!," ","[",TIMETABLE!#REF!," ","Students","]"," ",TIMETABLE!#REF!,":"," ",TIMETABLE!#REF!," ",TIMETABLE!#REF!)</f>
        <v>#REF!</v>
      </c>
      <c r="F15" s="314" t="e">
        <f>CONCATENATE(TIMETABLE!#REF!," ","[",TIMETABLE!#REF!," ","Students","]"," ",TIMETABLE!#REF!,":"," ",TIMETABLE!#REF!," ",TIMETABLE!#REF!)</f>
        <v>#REF!</v>
      </c>
      <c r="G15" s="314" t="e">
        <f>CONCATENATE(TIMETABLE!#REF!," ","[",TIMETABLE!#REF!," ","Students","]"," ",TIMETABLE!#REF!,":"," ",TIMETABLE!#REF!," ",TIMETABLE!#REF!)</f>
        <v>#REF!</v>
      </c>
      <c r="H15" s="314" t="e">
        <f>CONCATENATE(TIMETABLE!#REF!," ","[",TIMETABLE!#REF!," ","Students","]"," ",TIMETABLE!#REF!,":"," ",TIMETABLE!#REF!," ",TIMETABLE!#REF!)</f>
        <v>#REF!</v>
      </c>
      <c r="I15" s="314" t="e">
        <f>CONCATENATE(TIMETABLE!#REF!," ","[",TIMETABLE!#REF!," ","Students","]"," ",TIMETABLE!#REF!,":"," ",TIMETABLE!#REF!," ",TIMETABLE!#REF!)</f>
        <v>#REF!</v>
      </c>
      <c r="J15" s="314" t="e">
        <f>CONCATENATE(TIMETABLE!#REF!," ","[",TIMETABLE!#REF!," ","Students","]"," ",TIMETABLE!#REF!,":"," ",TIMETABLE!#REF!," ",TIMETABLE!#REF!)</f>
        <v>#REF!</v>
      </c>
      <c r="K15" s="314" t="e">
        <f>CONCATENATE(TIMETABLE!#REF!," ","[",TIMETABLE!#REF!," ","Students","]"," ",TIMETABLE!#REF!,":"," ",TIMETABLE!#REF!," ",TIMETABLE!#REF!)</f>
        <v>#REF!</v>
      </c>
      <c r="L15" s="314" t="e">
        <f>CONCATENATE(TIMETABLE!D$6," ","[",TIMETABLE!D$7," ","Students","]"," ",TIMETABLE!#REF!,":"," ",TIMETABLE!#REF!," ",TIMETABLE!#REF!)</f>
        <v>#REF!</v>
      </c>
      <c r="M15" s="314" t="e">
        <f>CONCATENATE(TIMETABLE!E$6," ","[",TIMETABLE!E$7," ","Students","]"," ",TIMETABLE!#REF!,":"," ",TIMETABLE!#REF!," ",TIMETABLE!#REF!)</f>
        <v>#REF!</v>
      </c>
      <c r="N15" s="314" t="e">
        <f>CONCATENATE(TIMETABLE!#REF!," ","[",TIMETABLE!#REF!," ","Students","]"," ",TIMETABLE!#REF!,":"," ",TIMETABLE!#REF!," ",TIMETABLE!#REF!)</f>
        <v>#REF!</v>
      </c>
      <c r="O15" s="314" t="e">
        <f>CONCATENATE(TIMETABLE!#REF!," ","[",TIMETABLE!#REF!," ","Students","]"," ",TIMETABLE!#REF!,":"," ",TIMETABLE!#REF!," ",TIMETABLE!#REF!)</f>
        <v>#REF!</v>
      </c>
      <c r="P15" s="314" t="e">
        <f>CONCATENATE(TIMETABLE!F$6," ","[",TIMETABLE!F$7," ","Students","]"," ",TIMETABLE!#REF!,":"," ",TIMETABLE!#REF!," ",TIMETABLE!#REF!)</f>
        <v>#REF!</v>
      </c>
      <c r="Q15" s="314" t="e">
        <f>CONCATENATE(TIMETABLE!G$6," ","[",TIMETABLE!G$7," ","Students","]"," ",TIMETABLE!#REF!,":"," ",TIMETABLE!#REF!," ",TIMETABLE!#REF!)</f>
        <v>#REF!</v>
      </c>
      <c r="R15" s="314" t="e">
        <f>CONCATENATE(TIMETABLE!#REF!," ","[",TIMETABLE!#REF!," ","Students","]"," ",TIMETABLE!#REF!,":"," ",TIMETABLE!#REF!," ",TIMETABLE!#REF!)</f>
        <v>#REF!</v>
      </c>
      <c r="S15" s="314" t="e">
        <f>CONCATENATE(TIMETABLE!#REF!," ","[",TIMETABLE!#REF!," ","Students","]"," ",TIMETABLE!#REF!,":"," ",TIMETABLE!#REF!," ",TIMETABLE!#REF!)</f>
        <v>#REF!</v>
      </c>
      <c r="T15" s="314" t="e">
        <f>CONCATENATE(TIMETABLE!J$6," ","[",TIMETABLE!J$7," ","Students","]"," ",TIMETABLE!#REF!,":"," ",TIMETABLE!#REF!," ",TIMETABLE!#REF!)</f>
        <v>#REF!</v>
      </c>
      <c r="U15" s="314" t="e">
        <f>CONCATENATE(TIMETABLE!#REF!," ","[",TIMETABLE!#REF!," ","Students","]"," ",TIMETABLE!#REF!,":"," ",TIMETABLE!#REF!," ",TIMETABLE!#REF!)</f>
        <v>#REF!</v>
      </c>
      <c r="V15" s="314" t="e">
        <f>CONCATENATE(TIMETABLE!#REF!," ","[",TIMETABLE!#REF!," ","Students","]"," ",TIMETABLE!#REF!,":"," ",TIMETABLE!#REF!," ",TIMETABLE!#REF!)</f>
        <v>#REF!</v>
      </c>
      <c r="W15" s="314" t="e">
        <f>CONCATENATE(TIMETABLE!#REF!," ","[",TIMETABLE!#REF!," ","Students","]"," ",TIMETABLE!#REF!,":"," ",TIMETABLE!#REF!," ",TIMETABLE!#REF!)</f>
        <v>#REF!</v>
      </c>
      <c r="X15" s="314" t="e">
        <f>CONCATENATE(TIMETABLE!#REF!," ","[",TIMETABLE!#REF!," ","Students","]"," ",TIMETABLE!#REF!,":"," ",TIMETABLE!#REF!," ",TIMETABLE!#REF!)</f>
        <v>#REF!</v>
      </c>
      <c r="Y15" s="314" t="e">
        <f>CONCATENATE(TIMETABLE!#REF!," ","[",TIMETABLE!#REF!," ","Students","]"," ",TIMETABLE!#REF!,":"," ",TIMETABLE!#REF!," ",TIMETABLE!#REF!)</f>
        <v>#REF!</v>
      </c>
      <c r="Z15" s="314" t="e">
        <f>CONCATENATE(TIMETABLE!#REF!," ","[",TIMETABLE!#REF!," ","Students","]"," ",TIMETABLE!#REF!,":"," ",TIMETABLE!#REF!," ",TIMETABLE!#REF!)</f>
        <v>#REF!</v>
      </c>
      <c r="AA15" s="314" t="e">
        <f>CONCATENATE(TIMETABLE!#REF!," ","[",TIMETABLE!#REF!," ","Students","]"," ",TIMETABLE!#REF!,":"," ",TIMETABLE!#REF!," ",TIMETABLE!#REF!)</f>
        <v>#REF!</v>
      </c>
      <c r="AB15" s="314" t="e">
        <f>CONCATENATE(TIMETABLE!#REF!," ","[",TIMETABLE!#REF!," ","Students","]"," ",TIMETABLE!#REF!,":"," ",TIMETABLE!#REF!," ",TIMETABLE!#REF!)</f>
        <v>#REF!</v>
      </c>
      <c r="AC15" s="314" t="e">
        <f>CONCATENATE(TIMETABLE!W$6," ","[",TIMETABLE!W$7," ","Students","]"," ",TIMETABLE!#REF!,":"," ",TIMETABLE!#REF!," ",TIMETABLE!#REF!)</f>
        <v>#REF!</v>
      </c>
      <c r="AD15" s="314" t="e">
        <f>CONCATENATE(TIMETABLE!#REF!," ","[",TIMETABLE!#REF!," ","Students","]"," ",TIMETABLE!#REF!,":"," ",TIMETABLE!#REF!," ",TIMETABLE!#REF!)</f>
        <v>#REF!</v>
      </c>
      <c r="AE15" s="314" t="e">
        <f>CONCATENATE(TIMETABLE!#REF!," ","[",TIMETABLE!#REF!," ","Students","]"," ",TIMETABLE!#REF!,":"," ",TIMETABLE!#REF!," ",TIMETABLE!#REF!)</f>
        <v>#REF!</v>
      </c>
      <c r="AF15" s="491"/>
    </row>
    <row r="16" spans="3:32" ht="23.4" x14ac:dyDescent="0.45">
      <c r="C16" s="491"/>
      <c r="D16" s="121"/>
      <c r="E16" s="107"/>
      <c r="F16" s="107"/>
      <c r="G16" s="107"/>
      <c r="H16" s="107"/>
      <c r="I16" s="107"/>
      <c r="J16" s="107"/>
      <c r="K16" s="107"/>
      <c r="L16" s="107"/>
      <c r="M16" s="107"/>
      <c r="N16" s="107"/>
      <c r="O16" s="107"/>
      <c r="P16" s="107"/>
      <c r="Q16" s="107"/>
      <c r="R16" s="107"/>
      <c r="S16" s="107"/>
      <c r="T16" s="107"/>
      <c r="U16" s="107"/>
      <c r="V16" s="107"/>
      <c r="W16" s="107"/>
      <c r="X16" s="107"/>
      <c r="Y16" s="107"/>
      <c r="Z16" s="107"/>
      <c r="AA16" s="107"/>
      <c r="AB16" s="107"/>
      <c r="AC16" s="107"/>
      <c r="AD16" s="107"/>
      <c r="AE16" s="107"/>
      <c r="AF16" s="491"/>
    </row>
    <row r="17" spans="3:32" ht="23.4" x14ac:dyDescent="0.45">
      <c r="C17" s="491"/>
      <c r="D17" s="122"/>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491"/>
    </row>
    <row r="18" spans="3:32" ht="24" thickBot="1" x14ac:dyDescent="0.5">
      <c r="C18" s="491"/>
      <c r="D18" s="118"/>
      <c r="E18" s="314" t="e">
        <f>CONCATENATE(TIMETABLE!#REF!," ","[",TIMETABLE!#REF!," ","Students","]"," ",TIMETABLE!#REF!,":"," ",TIMETABLE!#REF!," ",TIMETABLE!#REF!)</f>
        <v>#REF!</v>
      </c>
      <c r="F18" s="314" t="e">
        <f>CONCATENATE(TIMETABLE!#REF!," ","[",TIMETABLE!#REF!," ","Students","]"," ",TIMETABLE!#REF!,":"," ",TIMETABLE!#REF!," ",TIMETABLE!#REF!)</f>
        <v>#REF!</v>
      </c>
      <c r="G18" s="314" t="e">
        <f>CONCATENATE(TIMETABLE!#REF!," ","[",TIMETABLE!#REF!," ","Students","]"," ",TIMETABLE!#REF!,":"," ",TIMETABLE!#REF!," ",TIMETABLE!#REF!)</f>
        <v>#REF!</v>
      </c>
      <c r="H18" s="314" t="e">
        <f>CONCATENATE(TIMETABLE!#REF!," ","[",TIMETABLE!#REF!," ","Students","]"," ",TIMETABLE!#REF!,":"," ",TIMETABLE!#REF!," ",TIMETABLE!#REF!)</f>
        <v>#REF!</v>
      </c>
      <c r="I18" s="314" t="e">
        <f>CONCATENATE(TIMETABLE!#REF!," ","[",TIMETABLE!#REF!," ","Students","]"," ",TIMETABLE!#REF!,":"," ",TIMETABLE!#REF!," ",TIMETABLE!#REF!)</f>
        <v>#REF!</v>
      </c>
      <c r="J18" s="314" t="e">
        <f>CONCATENATE(TIMETABLE!#REF!," ","[",TIMETABLE!#REF!," ","Students","]"," ",TIMETABLE!#REF!,":"," ",TIMETABLE!#REF!," ",TIMETABLE!#REF!)</f>
        <v>#REF!</v>
      </c>
      <c r="K18" s="314" t="e">
        <f>CONCATENATE(TIMETABLE!#REF!," ","[",TIMETABLE!#REF!," ","Students","]"," ",TIMETABLE!#REF!,":"," ",TIMETABLE!#REF!," ",TIMETABLE!#REF!)</f>
        <v>#REF!</v>
      </c>
      <c r="L18" s="314" t="e">
        <f>CONCATENATE(TIMETABLE!D$6," ","[",TIMETABLE!D$7," ","Students","]"," ",TIMETABLE!#REF!,":"," ",TIMETABLE!#REF!," ",TIMETABLE!#REF!)</f>
        <v>#REF!</v>
      </c>
      <c r="M18" s="314" t="e">
        <f>CONCATENATE(TIMETABLE!E$6," ","[",TIMETABLE!E$7," ","Students","]"," ",TIMETABLE!#REF!,":"," ",TIMETABLE!#REF!," ",TIMETABLE!#REF!)</f>
        <v>#REF!</v>
      </c>
      <c r="N18" s="314" t="e">
        <f>CONCATENATE(TIMETABLE!#REF!," ","[",TIMETABLE!#REF!," ","Students","]"," ",TIMETABLE!#REF!,":"," ",TIMETABLE!#REF!," ",TIMETABLE!#REF!)</f>
        <v>#REF!</v>
      </c>
      <c r="O18" s="314" t="e">
        <f>CONCATENATE(TIMETABLE!#REF!," ","[",TIMETABLE!#REF!," ","Students","]"," ",TIMETABLE!#REF!,":"," ",TIMETABLE!#REF!," ",TIMETABLE!#REF!)</f>
        <v>#REF!</v>
      </c>
      <c r="P18" s="314" t="e">
        <f>CONCATENATE(TIMETABLE!F$6," ","[",TIMETABLE!F$7," ","Students","]"," ",TIMETABLE!#REF!,":"," ",TIMETABLE!#REF!," ",TIMETABLE!#REF!)</f>
        <v>#REF!</v>
      </c>
      <c r="Q18" s="314" t="e">
        <f>CONCATENATE(TIMETABLE!G$6," ","[",TIMETABLE!G$7," ","Students","]"," ",TIMETABLE!#REF!,":"," ",TIMETABLE!#REF!," ",TIMETABLE!#REF!)</f>
        <v>#REF!</v>
      </c>
      <c r="R18" s="314" t="e">
        <f>CONCATENATE(TIMETABLE!#REF!," ","[",TIMETABLE!#REF!," ","Students","]"," ",TIMETABLE!#REF!,":"," ",TIMETABLE!#REF!," ",TIMETABLE!#REF!)</f>
        <v>#REF!</v>
      </c>
      <c r="S18" s="314" t="e">
        <f>CONCATENATE(TIMETABLE!#REF!," ","[",TIMETABLE!#REF!," ","Students","]"," ",TIMETABLE!#REF!,":"," ",TIMETABLE!#REF!," ",TIMETABLE!#REF!)</f>
        <v>#REF!</v>
      </c>
      <c r="T18" s="314" t="e">
        <f>CONCATENATE(TIMETABLE!J$6," ","[",TIMETABLE!J$7," ","Students","]"," ",TIMETABLE!#REF!,":"," ",TIMETABLE!#REF!," ",TIMETABLE!#REF!)</f>
        <v>#REF!</v>
      </c>
      <c r="U18" s="314" t="e">
        <f>CONCATENATE(TIMETABLE!#REF!," ","[",TIMETABLE!#REF!," ","Students","]"," ",TIMETABLE!#REF!,":"," ",TIMETABLE!#REF!," ",TIMETABLE!#REF!)</f>
        <v>#REF!</v>
      </c>
      <c r="V18" s="314" t="e">
        <f>CONCATENATE(TIMETABLE!#REF!," ","[",TIMETABLE!#REF!," ","Students","]"," ",TIMETABLE!#REF!,":"," ",TIMETABLE!#REF!," ",TIMETABLE!#REF!)</f>
        <v>#REF!</v>
      </c>
      <c r="W18" s="314" t="e">
        <f>CONCATENATE(TIMETABLE!#REF!," ","[",TIMETABLE!#REF!," ","Students","]"," ",TIMETABLE!#REF!,":"," ",TIMETABLE!#REF!," ",TIMETABLE!#REF!)</f>
        <v>#REF!</v>
      </c>
      <c r="X18" s="314" t="e">
        <f>CONCATENATE(TIMETABLE!#REF!," ","[",TIMETABLE!#REF!," ","Students","]"," ",TIMETABLE!#REF!,":"," ",TIMETABLE!#REF!," ",TIMETABLE!#REF!)</f>
        <v>#REF!</v>
      </c>
      <c r="Y18" s="314" t="e">
        <f>CONCATENATE(TIMETABLE!#REF!," ","[",TIMETABLE!#REF!," ","Students","]"," ",TIMETABLE!#REF!,":"," ",TIMETABLE!#REF!," ",TIMETABLE!#REF!)</f>
        <v>#REF!</v>
      </c>
      <c r="Z18" s="314" t="e">
        <f>CONCATENATE(TIMETABLE!#REF!," ","[",TIMETABLE!#REF!," ","Students","]"," ",TIMETABLE!#REF!,":"," ",TIMETABLE!#REF!," ",TIMETABLE!#REF!)</f>
        <v>#REF!</v>
      </c>
      <c r="AA18" s="314" t="e">
        <f>CONCATENATE(TIMETABLE!#REF!," ","[",TIMETABLE!#REF!," ","Students","]"," ",TIMETABLE!#REF!,":"," ",TIMETABLE!#REF!," ",TIMETABLE!#REF!)</f>
        <v>#REF!</v>
      </c>
      <c r="AB18" s="314" t="e">
        <f>CONCATENATE(TIMETABLE!#REF!," ","[",TIMETABLE!#REF!," ","Students","]"," ",TIMETABLE!#REF!,":"," ",TIMETABLE!#REF!," ",TIMETABLE!#REF!)</f>
        <v>#REF!</v>
      </c>
      <c r="AC18" s="314" t="e">
        <f>CONCATENATE(TIMETABLE!W$6," ","[",TIMETABLE!W$7," ","Students","]"," ",TIMETABLE!#REF!,":"," ",TIMETABLE!#REF!," ",TIMETABLE!#REF!)</f>
        <v>#REF!</v>
      </c>
      <c r="AD18" s="314" t="e">
        <f>CONCATENATE(TIMETABLE!#REF!," ","[",TIMETABLE!#REF!," ","Students","]"," ",TIMETABLE!#REF!,":"," ",TIMETABLE!#REF!," ",TIMETABLE!#REF!)</f>
        <v>#REF!</v>
      </c>
      <c r="AE18" s="314" t="e">
        <f>CONCATENATE(TIMETABLE!#REF!," ","[",TIMETABLE!#REF!," ","Students","]"," ",TIMETABLE!#REF!,":"," ",TIMETABLE!#REF!," ",TIMETABLE!#REF!)</f>
        <v>#REF!</v>
      </c>
      <c r="AF18" s="491"/>
    </row>
    <row r="19" spans="3:32" ht="23.4" x14ac:dyDescent="0.45">
      <c r="C19" s="491"/>
      <c r="D19" s="121"/>
      <c r="E19" s="107"/>
      <c r="F19" s="107"/>
      <c r="G19" s="107"/>
      <c r="H19" s="107"/>
      <c r="I19" s="107"/>
      <c r="J19" s="107"/>
      <c r="K19" s="107"/>
      <c r="L19" s="107"/>
      <c r="M19" s="107"/>
      <c r="N19" s="107"/>
      <c r="O19" s="107"/>
      <c r="P19" s="107"/>
      <c r="Q19" s="107"/>
      <c r="R19" s="107"/>
      <c r="S19" s="107"/>
      <c r="T19" s="107"/>
      <c r="U19" s="107"/>
      <c r="V19" s="107"/>
      <c r="W19" s="107"/>
      <c r="X19" s="107"/>
      <c r="Y19" s="107"/>
      <c r="Z19" s="107"/>
      <c r="AA19" s="107"/>
      <c r="AB19" s="107"/>
      <c r="AC19" s="107"/>
      <c r="AD19" s="107"/>
      <c r="AE19" s="107"/>
      <c r="AF19" s="491"/>
    </row>
    <row r="20" spans="3:32" ht="23.4" x14ac:dyDescent="0.45">
      <c r="C20" s="491"/>
      <c r="D20" s="12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491"/>
    </row>
    <row r="21" spans="3:32" ht="24" thickBot="1" x14ac:dyDescent="0.5">
      <c r="C21" s="491"/>
      <c r="D21" s="118"/>
      <c r="E21" s="314" t="e">
        <f>CONCATENATE(TIMETABLE!#REF!," ","[",TIMETABLE!#REF!," ","Students","]"," ",TIMETABLE!#REF!,":"," ",TIMETABLE!#REF!," ",TIMETABLE!#REF!)</f>
        <v>#REF!</v>
      </c>
      <c r="F21" s="314" t="e">
        <f>CONCATENATE(TIMETABLE!#REF!," ","[",TIMETABLE!#REF!," ","Students","]"," ",TIMETABLE!#REF!,":"," ",TIMETABLE!#REF!," ",TIMETABLE!#REF!)</f>
        <v>#REF!</v>
      </c>
      <c r="G21" s="314" t="e">
        <f>CONCATENATE(TIMETABLE!#REF!," ","[",TIMETABLE!#REF!," ","Students","]"," ",TIMETABLE!#REF!,":"," ",TIMETABLE!#REF!," ",TIMETABLE!#REF!)</f>
        <v>#REF!</v>
      </c>
      <c r="H21" s="314" t="e">
        <f>CONCATENATE(TIMETABLE!#REF!," ","[",TIMETABLE!#REF!," ","Students","]"," ",TIMETABLE!#REF!,":"," ",TIMETABLE!#REF!," ",TIMETABLE!#REF!)</f>
        <v>#REF!</v>
      </c>
      <c r="I21" s="314" t="e">
        <f>CONCATENATE(TIMETABLE!#REF!," ","[",TIMETABLE!#REF!," ","Students","]"," ",TIMETABLE!#REF!,":"," ",TIMETABLE!#REF!," ",TIMETABLE!#REF!)</f>
        <v>#REF!</v>
      </c>
      <c r="J21" s="314" t="e">
        <f>CONCATENATE(TIMETABLE!#REF!," ","[",TIMETABLE!#REF!," ","Students","]"," ",TIMETABLE!#REF!,":"," ",TIMETABLE!#REF!," ",TIMETABLE!#REF!)</f>
        <v>#REF!</v>
      </c>
      <c r="K21" s="314" t="e">
        <f>CONCATENATE(TIMETABLE!#REF!," ","[",TIMETABLE!#REF!," ","Students","]"," ",TIMETABLE!#REF!,":"," ",TIMETABLE!#REF!," ",TIMETABLE!#REF!)</f>
        <v>#REF!</v>
      </c>
      <c r="L21" s="314" t="str">
        <f>CONCATENATE(TIMETABLE!D$6," ","[",TIMETABLE!D$7," ","Students","]"," ",TIMETABLE!D12,":"," ",TIMETABLE!D15," ",TIMETABLE!D14)</f>
        <v xml:space="preserve">BSME/SEP2020/J-FT [Y2S1  (50) Students] :  </v>
      </c>
      <c r="M21" s="314" t="str">
        <f>CONCATENATE(TIMETABLE!E$6," ","[",TIMETABLE!E$7," ","Students","]"," ",TIMETABLE!E12,":"," ",TIMETABLE!E15," ",TIMETABLE!E14)</f>
        <v>BSME/AUG2021/J-FT [Y1S2  (55) Students] AMA 4103: MWAMUNGA FET108</v>
      </c>
      <c r="N21" s="314" t="e">
        <f>CONCATENATE(TIMETABLE!#REF!," ","[",TIMETABLE!#REF!," ","Students","]"," ",TIMETABLE!#REF!,":"," ",TIMETABLE!#REF!," ",TIMETABLE!#REF!)</f>
        <v>#REF!</v>
      </c>
      <c r="O21" s="314" t="e">
        <f>CONCATENATE(TIMETABLE!#REF!," ","[",TIMETABLE!#REF!," ","Students","]"," ",TIMETABLE!#REF!,":"," ",TIMETABLE!#REF!," ",TIMETABLE!#REF!)</f>
        <v>#REF!</v>
      </c>
      <c r="P21" s="314" t="str">
        <f>CONCATENATE(TIMETABLE!F$6," ","[",TIMETABLE!F$7," ","Students","]"," ",TIMETABLE!F12,":"," ",TIMETABLE!F15," ",TIMETABLE!F14)</f>
        <v xml:space="preserve">BTME/SEP2019/S-PT [Y3S1   (10) Students] :  </v>
      </c>
      <c r="Q21" s="314" t="str">
        <f>CONCATENATE(TIMETABLE!G$6," ","[",TIMETABLE!G$7," ","Students","]"," ",TIMETABLE!G12,":"," ",TIMETABLE!G15," ",TIMETABLE!G14)</f>
        <v xml:space="preserve">BTME/AUG2021/S-PT [Y2S2   (10) Students] :  </v>
      </c>
      <c r="R21" s="314" t="e">
        <f>CONCATENATE(TIMETABLE!#REF!," ","[",TIMETABLE!#REF!," ","Students","]"," ",TIMETABLE!#REF!,":"," ",TIMETABLE!#REF!," ",TIMETABLE!#REF!)</f>
        <v>#REF!</v>
      </c>
      <c r="S21" s="314" t="e">
        <f>CONCATENATE(TIMETABLE!#REF!," ","[",TIMETABLE!#REF!," ","Students","]"," ",TIMETABLE!#REF!,":"," ",TIMETABLE!#REF!," ",TIMETABLE!#REF!)</f>
        <v>#REF!</v>
      </c>
      <c r="T21" s="314" t="str">
        <f>CONCATENATE(TIMETABLE!J$6," ","[",TIMETABLE!J$7," ","Students","]"," ",TIMETABLE!J12,":"," ",TIMETABLE!J15," ",TIMETABLE!J14)</f>
        <v xml:space="preserve">BTME/AUG2021/J&amp;S-FT [Y1S1  (52) Students] :  </v>
      </c>
      <c r="U21" s="314" t="e">
        <f>CONCATENATE(TIMETABLE!#REF!," ","[",TIMETABLE!#REF!," ","Students","]"," ",TIMETABLE!#REF!,":"," ",TIMETABLE!#REF!," ",TIMETABLE!#REF!)</f>
        <v>#REF!</v>
      </c>
      <c r="V21" s="314" t="e">
        <f>CONCATENATE(TIMETABLE!#REF!," ","[",TIMETABLE!#REF!," ","Students","]"," ",TIMETABLE!#REF!,":"," ",TIMETABLE!#REF!," ",TIMETABLE!#REF!)</f>
        <v>#REF!</v>
      </c>
      <c r="W21" s="314" t="e">
        <f>CONCATENATE(TIMETABLE!#REF!," ","[",TIMETABLE!#REF!," ","Students","]"," ",TIMETABLE!#REF!,":"," ",TIMETABLE!#REF!," ",TIMETABLE!#REF!)</f>
        <v>#REF!</v>
      </c>
      <c r="X21" s="314" t="e">
        <f>CONCATENATE(TIMETABLE!#REF!," ","[",TIMETABLE!#REF!," ","Students","]"," ",TIMETABLE!#REF!,":"," ",TIMETABLE!#REF!," ",TIMETABLE!#REF!)</f>
        <v>#REF!</v>
      </c>
      <c r="Y21" s="314" t="e">
        <f>CONCATENATE(TIMETABLE!#REF!," ","[",TIMETABLE!#REF!," ","Students","]"," ",TIMETABLE!#REF!,":"," ",TIMETABLE!#REF!," ",TIMETABLE!#REF!)</f>
        <v>#REF!</v>
      </c>
      <c r="Z21" s="314" t="e">
        <f>CONCATENATE(TIMETABLE!#REF!," ","[",TIMETABLE!#REF!," ","Students","]"," ",TIMETABLE!#REF!,":"," ",TIMETABLE!#REF!," ",TIMETABLE!#REF!)</f>
        <v>#REF!</v>
      </c>
      <c r="AA21" s="314" t="e">
        <f>CONCATENATE(TIMETABLE!#REF!," ","[",TIMETABLE!#REF!," ","Students","]"," ",TIMETABLE!#REF!,":"," ",TIMETABLE!#REF!," ",TIMETABLE!#REF!)</f>
        <v>#REF!</v>
      </c>
      <c r="AB21" s="314" t="e">
        <f>CONCATENATE(TIMETABLE!#REF!," ","[",TIMETABLE!#REF!," ","Students","]"," ",TIMETABLE!#REF!,":"," ",TIMETABLE!#REF!," ",TIMETABLE!#REF!)</f>
        <v>#REF!</v>
      </c>
      <c r="AC21" s="314" t="str">
        <f>CONCATENATE(TIMETABLE!W$6," ","[",TIMETABLE!W$7," ","Students","]"," ",TIMETABLE!W12,":"," ",TIMETABLE!W15," ",TIMETABLE!W14)</f>
        <v>DMAE/SEP20201J&amp;S-FT [Y1S2   (60) Students] EMR 2115: MUCHIRU SC/LAB</v>
      </c>
      <c r="AD21" s="314" t="e">
        <f>CONCATENATE(TIMETABLE!#REF!," ","[",TIMETABLE!#REF!," ","Students","]"," ",TIMETABLE!#REF!,":"," ",TIMETABLE!#REF!," ",TIMETABLE!#REF!)</f>
        <v>#REF!</v>
      </c>
      <c r="AE21" s="314" t="e">
        <f>CONCATENATE(TIMETABLE!#REF!," ","[",TIMETABLE!#REF!," ","Students","]"," ",TIMETABLE!#REF!,":"," ",TIMETABLE!#REF!," ",TIMETABLE!#REF!)</f>
        <v>#REF!</v>
      </c>
      <c r="AF21" s="491"/>
    </row>
    <row r="22" spans="3:32" ht="23.4" x14ac:dyDescent="0.45">
      <c r="C22" s="491"/>
      <c r="D22" s="121"/>
      <c r="E22" s="107"/>
      <c r="F22" s="107"/>
      <c r="G22" s="107"/>
      <c r="H22" s="107"/>
      <c r="I22" s="107"/>
      <c r="J22" s="107"/>
      <c r="K22" s="107"/>
      <c r="L22" s="107"/>
      <c r="M22" s="107"/>
      <c r="N22" s="107"/>
      <c r="O22" s="107"/>
      <c r="P22" s="107"/>
      <c r="Q22" s="107"/>
      <c r="R22" s="107"/>
      <c r="S22" s="107"/>
      <c r="T22" s="107"/>
      <c r="U22" s="107"/>
      <c r="V22" s="107"/>
      <c r="W22" s="107"/>
      <c r="X22" s="107"/>
      <c r="Y22" s="107"/>
      <c r="Z22" s="107"/>
      <c r="AA22" s="107"/>
      <c r="AB22" s="107"/>
      <c r="AC22" s="107"/>
      <c r="AD22" s="107"/>
      <c r="AE22" s="107"/>
      <c r="AF22" s="491"/>
    </row>
    <row r="23" spans="3:32" ht="23.4" x14ac:dyDescent="0.45">
      <c r="C23" s="491"/>
      <c r="D23" s="112"/>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491"/>
    </row>
    <row r="24" spans="3:32" ht="24" thickBot="1" x14ac:dyDescent="0.5">
      <c r="C24" s="491"/>
      <c r="D24" s="118"/>
      <c r="E24" s="314" t="e">
        <f>CONCATENATE(TIMETABLE!#REF!," ","[",TIMETABLE!#REF!," ","Students","]"," ",TIMETABLE!#REF!,":"," ",TIMETABLE!#REF!," ",TIMETABLE!#REF!)</f>
        <v>#REF!</v>
      </c>
      <c r="F24" s="314" t="e">
        <f>CONCATENATE(TIMETABLE!#REF!," ","[",TIMETABLE!#REF!," ","Students","]"," ",TIMETABLE!#REF!,":"," ",TIMETABLE!#REF!," ",TIMETABLE!#REF!)</f>
        <v>#REF!</v>
      </c>
      <c r="G24" s="314" t="e">
        <f>CONCATENATE(TIMETABLE!#REF!," ","[",TIMETABLE!#REF!," ","Students","]"," ",TIMETABLE!#REF!,":"," ",TIMETABLE!#REF!," ",TIMETABLE!#REF!)</f>
        <v>#REF!</v>
      </c>
      <c r="H24" s="314" t="e">
        <f>CONCATENATE(TIMETABLE!#REF!," ","[",TIMETABLE!#REF!," ","Students","]"," ",TIMETABLE!#REF!,":"," ",TIMETABLE!#REF!," ",TIMETABLE!#REF!)</f>
        <v>#REF!</v>
      </c>
      <c r="I24" s="314" t="e">
        <f>CONCATENATE(TIMETABLE!#REF!," ","[",TIMETABLE!#REF!," ","Students","]"," ",TIMETABLE!#REF!,":"," ",TIMETABLE!#REF!," ",TIMETABLE!#REF!)</f>
        <v>#REF!</v>
      </c>
      <c r="J24" s="314" t="e">
        <f>CONCATENATE(TIMETABLE!#REF!," ","[",TIMETABLE!#REF!," ","Students","]"," ",TIMETABLE!#REF!,":"," ",TIMETABLE!#REF!," ",TIMETABLE!#REF!)</f>
        <v>#REF!</v>
      </c>
      <c r="K24" s="314" t="e">
        <f>CONCATENATE(TIMETABLE!#REF!," ","[",TIMETABLE!#REF!," ","Students","]"," ",TIMETABLE!#REF!,":"," ",TIMETABLE!#REF!," ",TIMETABLE!#REF!)</f>
        <v>#REF!</v>
      </c>
      <c r="L24" s="314" t="e">
        <f>CONCATENATE(TIMETABLE!D$6," ","[",TIMETABLE!D$7," ","Students","]"," ",TIMETABLE!#REF!,":"," ",TIMETABLE!#REF!," ",TIMETABLE!#REF!)</f>
        <v>#REF!</v>
      </c>
      <c r="M24" s="314" t="e">
        <f>CONCATENATE(TIMETABLE!E$6," ","[",TIMETABLE!E$7," ","Students","]"," ",TIMETABLE!#REF!,":"," ",TIMETABLE!#REF!," ",TIMETABLE!#REF!)</f>
        <v>#REF!</v>
      </c>
      <c r="N24" s="314" t="e">
        <f>CONCATENATE(TIMETABLE!#REF!," ","[",TIMETABLE!#REF!," ","Students","]"," ",TIMETABLE!#REF!,":"," ",TIMETABLE!#REF!," ",TIMETABLE!#REF!)</f>
        <v>#REF!</v>
      </c>
      <c r="O24" s="314" t="e">
        <f>CONCATENATE(TIMETABLE!#REF!," ","[",TIMETABLE!#REF!," ","Students","]"," ",TIMETABLE!#REF!,":"," ",TIMETABLE!#REF!," ",TIMETABLE!#REF!)</f>
        <v>#REF!</v>
      </c>
      <c r="P24" s="314" t="e">
        <f>CONCATENATE(TIMETABLE!F$6," ","[",TIMETABLE!F$7," ","Students","]"," ",TIMETABLE!#REF!,":"," ",TIMETABLE!#REF!," ",TIMETABLE!#REF!)</f>
        <v>#REF!</v>
      </c>
      <c r="Q24" s="314" t="e">
        <f>CONCATENATE(TIMETABLE!G$6," ","[",TIMETABLE!G$7," ","Students","]"," ",TIMETABLE!#REF!,":"," ",TIMETABLE!#REF!," ",TIMETABLE!#REF!)</f>
        <v>#REF!</v>
      </c>
      <c r="R24" s="314" t="e">
        <f>CONCATENATE(TIMETABLE!#REF!," ","[",TIMETABLE!#REF!," ","Students","]"," ",TIMETABLE!#REF!,":"," ",TIMETABLE!#REF!," ",TIMETABLE!#REF!)</f>
        <v>#REF!</v>
      </c>
      <c r="S24" s="314" t="e">
        <f>CONCATENATE(TIMETABLE!#REF!," ","[",TIMETABLE!#REF!," ","Students","]"," ",TIMETABLE!#REF!,":"," ",TIMETABLE!#REF!," ",TIMETABLE!#REF!)</f>
        <v>#REF!</v>
      </c>
      <c r="T24" s="314" t="e">
        <f>CONCATENATE(TIMETABLE!J$6," ","[",TIMETABLE!J$7," ","Students","]"," ",TIMETABLE!#REF!,":"," ",TIMETABLE!#REF!," ",TIMETABLE!#REF!)</f>
        <v>#REF!</v>
      </c>
      <c r="U24" s="314" t="e">
        <f>CONCATENATE(TIMETABLE!#REF!," ","[",TIMETABLE!#REF!," ","Students","]"," ",TIMETABLE!#REF!,":"," ",TIMETABLE!#REF!," ",TIMETABLE!#REF!)</f>
        <v>#REF!</v>
      </c>
      <c r="V24" s="314" t="e">
        <f>CONCATENATE(TIMETABLE!#REF!," ","[",TIMETABLE!#REF!," ","Students","]"," ",TIMETABLE!#REF!,":"," ",TIMETABLE!#REF!," ",TIMETABLE!#REF!)</f>
        <v>#REF!</v>
      </c>
      <c r="W24" s="314" t="e">
        <f>CONCATENATE(TIMETABLE!#REF!," ","[",TIMETABLE!#REF!," ","Students","]"," ",TIMETABLE!#REF!,":"," ",TIMETABLE!#REF!," ",TIMETABLE!#REF!)</f>
        <v>#REF!</v>
      </c>
      <c r="X24" s="314" t="e">
        <f>CONCATENATE(TIMETABLE!#REF!," ","[",TIMETABLE!#REF!," ","Students","]"," ",TIMETABLE!#REF!,":"," ",TIMETABLE!#REF!," ",TIMETABLE!#REF!)</f>
        <v>#REF!</v>
      </c>
      <c r="Y24" s="314" t="e">
        <f>CONCATENATE(TIMETABLE!#REF!," ","[",TIMETABLE!#REF!," ","Students","]"," ",TIMETABLE!#REF!,":"," ",TIMETABLE!#REF!," ",TIMETABLE!#REF!)</f>
        <v>#REF!</v>
      </c>
      <c r="Z24" s="314" t="e">
        <f>CONCATENATE(TIMETABLE!#REF!," ","[",TIMETABLE!#REF!," ","Students","]"," ",TIMETABLE!#REF!,":"," ",TIMETABLE!#REF!," ",TIMETABLE!#REF!)</f>
        <v>#REF!</v>
      </c>
      <c r="AA24" s="314" t="e">
        <f>CONCATENATE(TIMETABLE!#REF!," ","[",TIMETABLE!#REF!," ","Students","]"," ",TIMETABLE!#REF!,":"," ",TIMETABLE!#REF!," ",TIMETABLE!#REF!)</f>
        <v>#REF!</v>
      </c>
      <c r="AB24" s="314" t="e">
        <f>CONCATENATE(TIMETABLE!#REF!," ","[",TIMETABLE!#REF!," ","Students","]"," ",TIMETABLE!#REF!,":"," ",TIMETABLE!#REF!," ",TIMETABLE!#REF!)</f>
        <v>#REF!</v>
      </c>
      <c r="AC24" s="314" t="e">
        <f>CONCATENATE(TIMETABLE!W$6," ","[",TIMETABLE!W$7," ","Students","]"," ",TIMETABLE!#REF!,":"," ",TIMETABLE!#REF!," ",TIMETABLE!#REF!)</f>
        <v>#REF!</v>
      </c>
      <c r="AD24" s="314" t="e">
        <f>CONCATENATE(TIMETABLE!#REF!," ","[",TIMETABLE!#REF!," ","Students","]"," ",TIMETABLE!#REF!,":"," ",TIMETABLE!#REF!," ",TIMETABLE!#REF!)</f>
        <v>#REF!</v>
      </c>
      <c r="AE24" s="314" t="e">
        <f>CONCATENATE(TIMETABLE!#REF!," ","[",TIMETABLE!#REF!," ","Students","]"," ",TIMETABLE!#REF!,":"," ",TIMETABLE!#REF!," ",TIMETABLE!#REF!)</f>
        <v>#REF!</v>
      </c>
      <c r="AF24" s="491"/>
    </row>
    <row r="25" spans="3:32" ht="23.4" x14ac:dyDescent="0.45">
      <c r="C25" s="491"/>
      <c r="D25" s="121"/>
      <c r="E25" s="107"/>
      <c r="F25" s="107"/>
      <c r="G25" s="107"/>
      <c r="H25" s="107"/>
      <c r="I25" s="107"/>
      <c r="J25" s="107"/>
      <c r="K25" s="107"/>
      <c r="L25" s="107"/>
      <c r="M25" s="107"/>
      <c r="N25" s="107"/>
      <c r="O25" s="107"/>
      <c r="P25" s="107"/>
      <c r="Q25" s="107"/>
      <c r="R25" s="107"/>
      <c r="S25" s="107"/>
      <c r="T25" s="107"/>
      <c r="U25" s="107"/>
      <c r="V25" s="107"/>
      <c r="W25" s="107"/>
      <c r="X25" s="107"/>
      <c r="Y25" s="107"/>
      <c r="Z25" s="107"/>
      <c r="AA25" s="107"/>
      <c r="AB25" s="107"/>
      <c r="AC25" s="107"/>
      <c r="AD25" s="107"/>
      <c r="AE25" s="107"/>
      <c r="AF25" s="491"/>
    </row>
    <row r="26" spans="3:32" ht="23.4" x14ac:dyDescent="0.45">
      <c r="C26" s="491"/>
      <c r="D26" s="112"/>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491"/>
    </row>
    <row r="27" spans="3:32" ht="24" thickBot="1" x14ac:dyDescent="0.5">
      <c r="C27" s="491"/>
      <c r="D27" s="118"/>
      <c r="E27" s="314" t="e">
        <f>CONCATENATE(TIMETABLE!#REF!," ","[",TIMETABLE!#REF!," ","Students","]"," ",TIMETABLE!#REF!,":"," ",TIMETABLE!#REF!," ",TIMETABLE!#REF!)</f>
        <v>#REF!</v>
      </c>
      <c r="F27" s="314" t="e">
        <f>CONCATENATE(TIMETABLE!#REF!," ","[",TIMETABLE!#REF!," ","Students","]"," ",TIMETABLE!#REF!,":"," ",TIMETABLE!#REF!," ",TIMETABLE!#REF!)</f>
        <v>#REF!</v>
      </c>
      <c r="G27" s="314" t="e">
        <f>CONCATENATE(TIMETABLE!#REF!," ","[",TIMETABLE!#REF!," ","Students","]"," ",TIMETABLE!#REF!,":"," ",TIMETABLE!#REF!," ",TIMETABLE!#REF!)</f>
        <v>#REF!</v>
      </c>
      <c r="H27" s="314" t="e">
        <f>CONCATENATE(TIMETABLE!#REF!," ","[",TIMETABLE!#REF!," ","Students","]"," ",TIMETABLE!#REF!,":"," ",TIMETABLE!#REF!," ",TIMETABLE!#REF!)</f>
        <v>#REF!</v>
      </c>
      <c r="I27" s="314" t="e">
        <f>CONCATENATE(TIMETABLE!#REF!," ","[",TIMETABLE!#REF!," ","Students","]"," ",TIMETABLE!#REF!,":"," ",TIMETABLE!#REF!," ",TIMETABLE!#REF!)</f>
        <v>#REF!</v>
      </c>
      <c r="J27" s="314" t="e">
        <f>CONCATENATE(TIMETABLE!#REF!," ","[",TIMETABLE!#REF!," ","Students","]"," ",TIMETABLE!#REF!,":"," ",TIMETABLE!#REF!," ",TIMETABLE!#REF!)</f>
        <v>#REF!</v>
      </c>
      <c r="K27" s="314" t="e">
        <f>CONCATENATE(TIMETABLE!#REF!," ","[",TIMETABLE!#REF!," ","Students","]"," ",TIMETABLE!#REF!,":"," ",TIMETABLE!#REF!," ",TIMETABLE!#REF!)</f>
        <v>#REF!</v>
      </c>
      <c r="L27" s="314" t="e">
        <f>CONCATENATE(TIMETABLE!D$6," ","[",TIMETABLE!D$7," ","Students","]"," ",TIMETABLE!#REF!,":"," ",TIMETABLE!#REF!," ",TIMETABLE!#REF!)</f>
        <v>#REF!</v>
      </c>
      <c r="M27" s="314" t="e">
        <f>CONCATENATE(TIMETABLE!E$6," ","[",TIMETABLE!E$7," ","Students","]"," ",TIMETABLE!#REF!,":"," ",TIMETABLE!#REF!," ",TIMETABLE!#REF!)</f>
        <v>#REF!</v>
      </c>
      <c r="N27" s="314" t="e">
        <f>CONCATENATE(TIMETABLE!#REF!," ","[",TIMETABLE!#REF!," ","Students","]"," ",TIMETABLE!#REF!,":"," ",TIMETABLE!#REF!," ",TIMETABLE!#REF!)</f>
        <v>#REF!</v>
      </c>
      <c r="O27" s="314" t="e">
        <f>CONCATENATE(TIMETABLE!#REF!," ","[",TIMETABLE!#REF!," ","Students","]"," ",TIMETABLE!#REF!,":"," ",TIMETABLE!#REF!," ",TIMETABLE!#REF!)</f>
        <v>#REF!</v>
      </c>
      <c r="P27" s="314" t="e">
        <f>CONCATENATE(TIMETABLE!F$6," ","[",TIMETABLE!F$7," ","Students","]"," ",TIMETABLE!#REF!,":"," ",TIMETABLE!#REF!," ",TIMETABLE!#REF!)</f>
        <v>#REF!</v>
      </c>
      <c r="Q27" s="314" t="e">
        <f>CONCATENATE(TIMETABLE!G$6," ","[",TIMETABLE!G$7," ","Students","]"," ",TIMETABLE!#REF!,":"," ",TIMETABLE!#REF!," ",TIMETABLE!#REF!)</f>
        <v>#REF!</v>
      </c>
      <c r="R27" s="314" t="e">
        <f>CONCATENATE(TIMETABLE!#REF!," ","[",TIMETABLE!#REF!," ","Students","]"," ",TIMETABLE!#REF!,":"," ",TIMETABLE!#REF!," ",TIMETABLE!#REF!)</f>
        <v>#REF!</v>
      </c>
      <c r="S27" s="314" t="e">
        <f>CONCATENATE(TIMETABLE!#REF!," ","[",TIMETABLE!#REF!," ","Students","]"," ",TIMETABLE!#REF!,":"," ",TIMETABLE!#REF!," ",TIMETABLE!#REF!)</f>
        <v>#REF!</v>
      </c>
      <c r="T27" s="314" t="e">
        <f>CONCATENATE(TIMETABLE!J$6," ","[",TIMETABLE!J$7," ","Students","]"," ",TIMETABLE!#REF!,":"," ",TIMETABLE!#REF!," ",TIMETABLE!#REF!)</f>
        <v>#REF!</v>
      </c>
      <c r="U27" s="314" t="e">
        <f>CONCATENATE(TIMETABLE!#REF!," ","[",TIMETABLE!#REF!," ","Students","]"," ",TIMETABLE!#REF!,":"," ",TIMETABLE!#REF!," ",TIMETABLE!#REF!)</f>
        <v>#REF!</v>
      </c>
      <c r="V27" s="314" t="e">
        <f>CONCATENATE(TIMETABLE!#REF!," ","[",TIMETABLE!#REF!," ","Students","]"," ",TIMETABLE!#REF!,":"," ",TIMETABLE!#REF!," ",TIMETABLE!#REF!)</f>
        <v>#REF!</v>
      </c>
      <c r="W27" s="314" t="e">
        <f>CONCATENATE(TIMETABLE!#REF!," ","[",TIMETABLE!#REF!," ","Students","]"," ",TIMETABLE!#REF!,":"," ",TIMETABLE!#REF!," ",TIMETABLE!#REF!)</f>
        <v>#REF!</v>
      </c>
      <c r="X27" s="314" t="e">
        <f>CONCATENATE(TIMETABLE!#REF!," ","[",TIMETABLE!#REF!," ","Students","]"," ",TIMETABLE!#REF!,":"," ",TIMETABLE!#REF!," ",TIMETABLE!#REF!)</f>
        <v>#REF!</v>
      </c>
      <c r="Y27" s="314" t="e">
        <f>CONCATENATE(TIMETABLE!#REF!," ","[",TIMETABLE!#REF!," ","Students","]"," ",TIMETABLE!#REF!,":"," ",TIMETABLE!#REF!," ",TIMETABLE!#REF!)</f>
        <v>#REF!</v>
      </c>
      <c r="Z27" s="314" t="e">
        <f>CONCATENATE(TIMETABLE!#REF!," ","[",TIMETABLE!#REF!," ","Students","]"," ",TIMETABLE!#REF!,":"," ",TIMETABLE!#REF!," ",TIMETABLE!#REF!)</f>
        <v>#REF!</v>
      </c>
      <c r="AA27" s="314" t="e">
        <f>CONCATENATE(TIMETABLE!#REF!," ","[",TIMETABLE!#REF!," ","Students","]"," ",TIMETABLE!#REF!,":"," ",TIMETABLE!#REF!," ",TIMETABLE!#REF!)</f>
        <v>#REF!</v>
      </c>
      <c r="AB27" s="314" t="e">
        <f>CONCATENATE(TIMETABLE!#REF!," ","[",TIMETABLE!#REF!," ","Students","]"," ",TIMETABLE!#REF!,":"," ",TIMETABLE!#REF!," ",TIMETABLE!#REF!)</f>
        <v>#REF!</v>
      </c>
      <c r="AC27" s="314" t="e">
        <f>CONCATENATE(TIMETABLE!W$6," ","[",TIMETABLE!W$7," ","Students","]"," ",TIMETABLE!#REF!,":"," ",TIMETABLE!#REF!," ",TIMETABLE!#REF!)</f>
        <v>#REF!</v>
      </c>
      <c r="AD27" s="314" t="e">
        <f>CONCATENATE(TIMETABLE!#REF!," ","[",TIMETABLE!#REF!," ","Students","]"," ",TIMETABLE!#REF!,":"," ",TIMETABLE!#REF!," ",TIMETABLE!#REF!)</f>
        <v>#REF!</v>
      </c>
      <c r="AE27" s="314" t="e">
        <f>CONCATENATE(TIMETABLE!#REF!," ","[",TIMETABLE!#REF!," ","Students","]"," ",TIMETABLE!#REF!,":"," ",TIMETABLE!#REF!," ",TIMETABLE!#REF!)</f>
        <v>#REF!</v>
      </c>
      <c r="AF27" s="491"/>
    </row>
    <row r="28" spans="3:32" ht="23.4" x14ac:dyDescent="0.45">
      <c r="C28" s="491"/>
      <c r="D28" s="229"/>
      <c r="E28" s="229"/>
      <c r="F28" s="229"/>
      <c r="G28" s="229"/>
      <c r="H28" s="229"/>
      <c r="I28" s="229"/>
      <c r="J28" s="229"/>
      <c r="K28" s="229"/>
      <c r="L28" s="229"/>
      <c r="M28" s="229"/>
      <c r="N28" s="229"/>
      <c r="O28" s="229"/>
      <c r="P28" s="229"/>
      <c r="Q28" s="229"/>
      <c r="R28" s="229"/>
      <c r="S28" s="229"/>
      <c r="T28" s="229"/>
      <c r="U28" s="229"/>
      <c r="V28" s="229"/>
      <c r="W28" s="229"/>
      <c r="X28" s="229"/>
      <c r="Y28" s="229"/>
      <c r="Z28" s="229"/>
      <c r="AA28" s="229"/>
      <c r="AB28" s="229"/>
      <c r="AC28" s="229"/>
      <c r="AD28" s="229"/>
      <c r="AE28" s="229"/>
      <c r="AF28" s="491"/>
    </row>
    <row r="29" spans="3:32" ht="23.4" x14ac:dyDescent="0.45">
      <c r="C29" s="491"/>
      <c r="D29" s="188"/>
      <c r="E29" s="188"/>
      <c r="F29" s="188"/>
      <c r="G29" s="188"/>
      <c r="H29" s="188"/>
      <c r="I29" s="188"/>
      <c r="J29" s="188"/>
      <c r="K29" s="188"/>
      <c r="L29" s="188"/>
      <c r="M29" s="188"/>
      <c r="N29" s="188"/>
      <c r="O29" s="188"/>
      <c r="P29" s="188"/>
      <c r="Q29" s="188"/>
      <c r="R29" s="188"/>
      <c r="S29" s="188"/>
      <c r="T29" s="188"/>
      <c r="U29" s="188"/>
      <c r="V29" s="188"/>
      <c r="W29" s="188"/>
      <c r="X29" s="188"/>
      <c r="Y29" s="188"/>
      <c r="Z29" s="188"/>
      <c r="AA29" s="188"/>
      <c r="AB29" s="188"/>
      <c r="AC29" s="188"/>
      <c r="AD29" s="188"/>
      <c r="AE29" s="188"/>
      <c r="AF29" s="491"/>
    </row>
    <row r="30" spans="3:32" ht="24" thickBot="1" x14ac:dyDescent="0.5">
      <c r="C30" s="491"/>
      <c r="D30" s="230"/>
      <c r="E30" s="393" t="e">
        <f>CONCATENATE(TIMETABLE!#REF!," ","[",TIMETABLE!#REF!," ","Students","]"," ",TIMETABLE!#REF!,":"," ",TIMETABLE!#REF!," ",TIMETABLE!#REF!)</f>
        <v>#REF!</v>
      </c>
      <c r="F30" s="393" t="e">
        <f>CONCATENATE(TIMETABLE!#REF!," ","[",TIMETABLE!#REF!," ","Students","]"," ",TIMETABLE!#REF!,":"," ",TIMETABLE!#REF!," ",TIMETABLE!#REF!)</f>
        <v>#REF!</v>
      </c>
      <c r="G30" s="393" t="e">
        <f>CONCATENATE(TIMETABLE!#REF!," ","[",TIMETABLE!#REF!," ","Students","]"," ",TIMETABLE!#REF!,":"," ",TIMETABLE!#REF!," ",TIMETABLE!#REF!)</f>
        <v>#REF!</v>
      </c>
      <c r="H30" s="393" t="e">
        <f>CONCATENATE(TIMETABLE!#REF!," ","[",TIMETABLE!#REF!," ","Students","]"," ",TIMETABLE!#REF!,":"," ",TIMETABLE!#REF!," ",TIMETABLE!#REF!)</f>
        <v>#REF!</v>
      </c>
      <c r="I30" s="393" t="e">
        <f>CONCATENATE(TIMETABLE!#REF!," ","[",TIMETABLE!#REF!," ","Students","]"," ",TIMETABLE!#REF!,":"," ",TIMETABLE!#REF!," ",TIMETABLE!#REF!)</f>
        <v>#REF!</v>
      </c>
      <c r="J30" s="393" t="e">
        <f>CONCATENATE(TIMETABLE!#REF!," ","[",TIMETABLE!#REF!," ","Students","]"," ",TIMETABLE!#REF!,":"," ",TIMETABLE!#REF!," ",TIMETABLE!#REF!)</f>
        <v>#REF!</v>
      </c>
      <c r="K30" s="393" t="e">
        <f>CONCATENATE(TIMETABLE!#REF!," ","[",TIMETABLE!#REF!," ","Students","]"," ",TIMETABLE!#REF!,":"," ",TIMETABLE!#REF!," ",TIMETABLE!#REF!)</f>
        <v>#REF!</v>
      </c>
      <c r="L30" s="393" t="str">
        <f>CONCATENATE(TIMETABLE!D$6," ","[",TIMETABLE!D$7," ","Students","]"," ",TIMETABLE!D16,":"," ",TIMETABLE!D18," ",TIMETABLE!D17)</f>
        <v xml:space="preserve">BSME/SEP2020/J-FT [Y2S1  (50) Students] :  </v>
      </c>
      <c r="M30" s="393" t="str">
        <f>CONCATENATE(TIMETABLE!E$6," ","[",TIMETABLE!E$7," ","Students","]"," ",TIMETABLE!E16,":"," ",TIMETABLE!E18," ",TIMETABLE!E17)</f>
        <v xml:space="preserve">BSME/AUG2021/J-FT [Y1S2  (55) Students] :  </v>
      </c>
      <c r="N30" s="393" t="e">
        <f>CONCATENATE(TIMETABLE!#REF!," ","[",TIMETABLE!#REF!," ","Students","]"," ",TIMETABLE!#REF!,":"," ",TIMETABLE!#REF!," ",TIMETABLE!#REF!)</f>
        <v>#REF!</v>
      </c>
      <c r="O30" s="393" t="e">
        <f>CONCATENATE(TIMETABLE!#REF!," ","[",TIMETABLE!#REF!," ","Students","]"," ",TIMETABLE!#REF!,":"," ",TIMETABLE!#REF!," ",TIMETABLE!#REF!)</f>
        <v>#REF!</v>
      </c>
      <c r="P30" s="393" t="str">
        <f>CONCATENATE(TIMETABLE!F$6," ","[",TIMETABLE!F$7," ","Students","]"," ",TIMETABLE!F16,":"," ",TIMETABLE!F18," ",TIMETABLE!F17)</f>
        <v xml:space="preserve">BTME/SEP2019/S-PT [Y3S1   (10) Students] :  </v>
      </c>
      <c r="Q30" s="393" t="str">
        <f>CONCATENATE(TIMETABLE!G$6," ","[",TIMETABLE!G$7," ","Students","]"," ",TIMETABLE!G16,":"," ",TIMETABLE!G18," ",TIMETABLE!G17)</f>
        <v xml:space="preserve">BTME/AUG2021/S-PT [Y2S2   (10) Students] :  </v>
      </c>
      <c r="R30" s="393" t="e">
        <f>CONCATENATE(TIMETABLE!#REF!," ","[",TIMETABLE!#REF!," ","Students","]"," ",TIMETABLE!#REF!,":"," ",TIMETABLE!#REF!," ",TIMETABLE!#REF!)</f>
        <v>#REF!</v>
      </c>
      <c r="S30" s="393" t="e">
        <f>CONCATENATE(TIMETABLE!#REF!," ","[",TIMETABLE!#REF!," ","Students","]"," ",TIMETABLE!#REF!,":"," ",TIMETABLE!#REF!," ",TIMETABLE!#REF!)</f>
        <v>#REF!</v>
      </c>
      <c r="T30" s="393" t="str">
        <f>CONCATENATE(TIMETABLE!J$6," ","[",TIMETABLE!J$7," ","Students","]"," ",TIMETABLE!J16,":"," ",TIMETABLE!J18," ",TIMETABLE!J17)</f>
        <v xml:space="preserve">BTME/AUG2021/J&amp;S-FT [Y1S1  (52) Students] :  </v>
      </c>
      <c r="U30" s="393" t="e">
        <f>CONCATENATE(TIMETABLE!#REF!," ","[",TIMETABLE!#REF!," ","Students","]"," ",TIMETABLE!#REF!,":"," ",TIMETABLE!#REF!," ",TIMETABLE!#REF!)</f>
        <v>#REF!</v>
      </c>
      <c r="V30" s="393" t="e">
        <f>CONCATENATE(TIMETABLE!#REF!," ","[",TIMETABLE!#REF!," ","Students","]"," ",TIMETABLE!#REF!,":"," ",TIMETABLE!#REF!," ",TIMETABLE!#REF!)</f>
        <v>#REF!</v>
      </c>
      <c r="W30" s="393" t="e">
        <f>CONCATENATE(TIMETABLE!#REF!," ","[",TIMETABLE!#REF!," ","Students","]"," ",TIMETABLE!#REF!,":"," ",TIMETABLE!#REF!," ",TIMETABLE!#REF!)</f>
        <v>#REF!</v>
      </c>
      <c r="X30" s="393" t="e">
        <f>CONCATENATE(TIMETABLE!#REF!," ","[",TIMETABLE!#REF!," ","Students","]"," ",TIMETABLE!#REF!,":"," ",TIMETABLE!#REF!," ",TIMETABLE!#REF!)</f>
        <v>#REF!</v>
      </c>
      <c r="Y30" s="393" t="e">
        <f>CONCATENATE(TIMETABLE!#REF!," ","[",TIMETABLE!#REF!," ","Students","]"," ",TIMETABLE!#REF!,":"," ",TIMETABLE!#REF!," ",TIMETABLE!#REF!)</f>
        <v>#REF!</v>
      </c>
      <c r="Z30" s="393" t="e">
        <f>CONCATENATE(TIMETABLE!#REF!," ","[",TIMETABLE!#REF!," ","Students","]"," ",TIMETABLE!#REF!,":"," ",TIMETABLE!#REF!," ",TIMETABLE!#REF!)</f>
        <v>#REF!</v>
      </c>
      <c r="AA30" s="393" t="e">
        <f>CONCATENATE(TIMETABLE!#REF!," ","[",TIMETABLE!#REF!," ","Students","]"," ",TIMETABLE!#REF!,":"," ",TIMETABLE!#REF!," ",TIMETABLE!#REF!)</f>
        <v>#REF!</v>
      </c>
      <c r="AB30" s="393" t="e">
        <f>CONCATENATE(TIMETABLE!#REF!," ","[",TIMETABLE!#REF!," ","Students","]"," ",TIMETABLE!#REF!,":"," ",TIMETABLE!#REF!," ",TIMETABLE!#REF!)</f>
        <v>#REF!</v>
      </c>
      <c r="AC30" s="393" t="str">
        <f>CONCATENATE(TIMETABLE!W$6," ","[",TIMETABLE!W$7," ","Students","]"," ",TIMETABLE!W16,":"," ",TIMETABLE!W18," ",TIMETABLE!W17)</f>
        <v xml:space="preserve">DMAE/SEP20201J&amp;S-FT [Y1S2   (60) Students] :  </v>
      </c>
      <c r="AD30" s="393" t="e">
        <f>CONCATENATE(TIMETABLE!#REF!," ","[",TIMETABLE!#REF!," ","Students","]"," ",TIMETABLE!#REF!,":"," ",TIMETABLE!#REF!," ",TIMETABLE!#REF!)</f>
        <v>#REF!</v>
      </c>
      <c r="AE30" s="393" t="e">
        <f>CONCATENATE(TIMETABLE!#REF!," ","[",TIMETABLE!#REF!," ","Students","]"," ",TIMETABLE!#REF!,":"," ",TIMETABLE!#REF!," ",TIMETABLE!#REF!)</f>
        <v>#REF!</v>
      </c>
      <c r="AF30" s="491"/>
    </row>
    <row r="31" spans="3:32" ht="23.4" x14ac:dyDescent="0.45">
      <c r="C31" s="491"/>
      <c r="D31" s="124"/>
      <c r="E31" s="107"/>
      <c r="F31" s="107"/>
      <c r="G31" s="107"/>
      <c r="H31" s="107"/>
      <c r="I31" s="107"/>
      <c r="J31" s="107"/>
      <c r="K31" s="107"/>
      <c r="L31" s="107"/>
      <c r="M31" s="107"/>
      <c r="N31" s="107"/>
      <c r="O31" s="107"/>
      <c r="P31" s="107"/>
      <c r="Q31" s="107"/>
      <c r="R31" s="107"/>
      <c r="S31" s="107"/>
      <c r="T31" s="107"/>
      <c r="U31" s="107"/>
      <c r="V31" s="107"/>
      <c r="W31" s="107"/>
      <c r="X31" s="107"/>
      <c r="Y31" s="107"/>
      <c r="Z31" s="107"/>
      <c r="AA31" s="107"/>
      <c r="AB31" s="107"/>
      <c r="AC31" s="107"/>
      <c r="AD31" s="107"/>
      <c r="AE31" s="107"/>
      <c r="AF31" s="491"/>
    </row>
    <row r="32" spans="3:32" ht="23.4" x14ac:dyDescent="0.45">
      <c r="C32" s="491"/>
      <c r="D32" s="125"/>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491"/>
    </row>
    <row r="33" spans="1:32" ht="24" thickBot="1" x14ac:dyDescent="0.5">
      <c r="C33" s="491"/>
      <c r="D33" s="126"/>
      <c r="E33" s="314" t="e">
        <f>CONCATENATE(TIMETABLE!#REF!," ","[",TIMETABLE!#REF!," ","Students","]"," ",TIMETABLE!#REF!,":"," ",TIMETABLE!#REF!," ",TIMETABLE!#REF!)</f>
        <v>#REF!</v>
      </c>
      <c r="F33" s="314" t="e">
        <f>CONCATENATE(TIMETABLE!#REF!," ","[",TIMETABLE!#REF!," ","Students","]"," ",TIMETABLE!#REF!,":"," ",TIMETABLE!#REF!," ",TIMETABLE!#REF!)</f>
        <v>#REF!</v>
      </c>
      <c r="G33" s="314" t="e">
        <f>CONCATENATE(TIMETABLE!#REF!," ","[",TIMETABLE!#REF!," ","Students","]"," ",TIMETABLE!#REF!,":"," ",TIMETABLE!#REF!," ",TIMETABLE!#REF!)</f>
        <v>#REF!</v>
      </c>
      <c r="H33" s="314" t="e">
        <f>CONCATENATE(TIMETABLE!#REF!," ","[",TIMETABLE!#REF!," ","Students","]"," ",TIMETABLE!#REF!,":"," ",TIMETABLE!#REF!," ",TIMETABLE!#REF!)</f>
        <v>#REF!</v>
      </c>
      <c r="I33" s="314" t="e">
        <f>CONCATENATE(TIMETABLE!#REF!," ","[",TIMETABLE!#REF!," ","Students","]"," ",TIMETABLE!#REF!,":"," ",TIMETABLE!#REF!," ",TIMETABLE!#REF!)</f>
        <v>#REF!</v>
      </c>
      <c r="J33" s="314" t="e">
        <f>CONCATENATE(TIMETABLE!#REF!," ","[",TIMETABLE!#REF!," ","Students","]"," ",TIMETABLE!#REF!,":"," ",TIMETABLE!#REF!," ",TIMETABLE!#REF!)</f>
        <v>#REF!</v>
      </c>
      <c r="K33" s="314" t="e">
        <f>CONCATENATE(TIMETABLE!#REF!," ","[",TIMETABLE!#REF!," ","Students","]"," ",TIMETABLE!#REF!,":"," ",TIMETABLE!#REF!," ",TIMETABLE!#REF!)</f>
        <v>#REF!</v>
      </c>
      <c r="L33" s="314" t="str">
        <f>CONCATENATE(TIMETABLE!D$6," ","[",TIMETABLE!D$7," ","Students","]"," ",TIMETABLE!D19,":"," ",TIMETABLE!D22," ",TIMETABLE!D21)</f>
        <v>BSME/SEP2020/J-FT [Y2S1  (50) Students] EMC 4213: WANGOMBE MB O2</v>
      </c>
      <c r="M33" s="314" t="str">
        <f>CONCATENATE(TIMETABLE!E$6," ","[",TIMETABLE!E$7," ","Students","]"," ",TIMETABLE!E19,":"," ",TIMETABLE!E22," ",TIMETABLE!E21)</f>
        <v xml:space="preserve">BSME/AUG2021/J-FT [Y1S2  (55) Students] :  </v>
      </c>
      <c r="N33" s="314" t="e">
        <f>CONCATENATE(TIMETABLE!#REF!," ","[",TIMETABLE!#REF!," ","Students","]"," ",TIMETABLE!#REF!,":"," ",TIMETABLE!#REF!," ",TIMETABLE!#REF!)</f>
        <v>#REF!</v>
      </c>
      <c r="O33" s="314" t="e">
        <f>CONCATENATE(TIMETABLE!#REF!," ","[",TIMETABLE!#REF!," ","Students","]"," ",TIMETABLE!#REF!,":"," ",TIMETABLE!#REF!," ",TIMETABLE!#REF!)</f>
        <v>#REF!</v>
      </c>
      <c r="P33" s="314" t="str">
        <f>CONCATENATE(TIMETABLE!F$6," ","[",TIMETABLE!F$7," ","Students","]"," ",TIMETABLE!F19,":"," ",TIMETABLE!F22," ",TIMETABLE!F21)</f>
        <v xml:space="preserve">BTME/SEP2019/S-PT [Y3S1   (10) Students] :  </v>
      </c>
      <c r="Q33" s="314" t="str">
        <f>CONCATENATE(TIMETABLE!G$6," ","[",TIMETABLE!G$7," ","Students","]"," ",TIMETABLE!G19,":"," ",TIMETABLE!G22," ",TIMETABLE!G21)</f>
        <v xml:space="preserve">BTME/AUG2021/S-PT [Y2S2   (10) Students] :  </v>
      </c>
      <c r="R33" s="314" t="e">
        <f>CONCATENATE(TIMETABLE!#REF!," ","[",TIMETABLE!#REF!," ","Students","]"," ",TIMETABLE!#REF!,":"," ",TIMETABLE!#REF!," ",TIMETABLE!#REF!)</f>
        <v>#REF!</v>
      </c>
      <c r="S33" s="314" t="e">
        <f>CONCATENATE(TIMETABLE!#REF!," ","[",TIMETABLE!#REF!," ","Students","]"," ",TIMETABLE!#REF!,":"," ",TIMETABLE!#REF!," ",TIMETABLE!#REF!)</f>
        <v>#REF!</v>
      </c>
      <c r="T33" s="314" t="str">
        <f>CONCATENATE(TIMETABLE!J$6," ","[",TIMETABLE!J$7," ","Students","]"," ",TIMETABLE!J19,":"," ",TIMETABLE!J22," ",TIMETABLE!J21)</f>
        <v>BTME/AUG2021/J&amp;S-FT [Y1S1  (52) Students] TMC 4105: SWALAH/MWAFONDO LAB</v>
      </c>
      <c r="U33" s="314" t="e">
        <f>CONCATENATE(TIMETABLE!#REF!," ","[",TIMETABLE!#REF!," ","Students","]"," ",TIMETABLE!#REF!,":"," ",TIMETABLE!#REF!," ",TIMETABLE!#REF!)</f>
        <v>#REF!</v>
      </c>
      <c r="V33" s="314" t="e">
        <f>CONCATENATE(TIMETABLE!#REF!," ","[",TIMETABLE!#REF!," ","Students","]"," ",TIMETABLE!#REF!,":"," ",TIMETABLE!#REF!," ",TIMETABLE!#REF!)</f>
        <v>#REF!</v>
      </c>
      <c r="W33" s="314" t="e">
        <f>CONCATENATE(TIMETABLE!#REF!," ","[",TIMETABLE!#REF!," ","Students","]"," ",TIMETABLE!#REF!,":"," ",TIMETABLE!#REF!," ",TIMETABLE!#REF!)</f>
        <v>#REF!</v>
      </c>
      <c r="X33" s="314" t="e">
        <f>CONCATENATE(TIMETABLE!#REF!," ","[",TIMETABLE!#REF!," ","Students","]"," ",TIMETABLE!#REF!,":"," ",TIMETABLE!#REF!," ",TIMETABLE!#REF!)</f>
        <v>#REF!</v>
      </c>
      <c r="Y33" s="314" t="e">
        <f>CONCATENATE(TIMETABLE!#REF!," ","[",TIMETABLE!#REF!," ","Students","]"," ",TIMETABLE!#REF!,":"," ",TIMETABLE!#REF!," ",TIMETABLE!#REF!)</f>
        <v>#REF!</v>
      </c>
      <c r="Z33" s="314" t="e">
        <f>CONCATENATE(TIMETABLE!#REF!," ","[",TIMETABLE!#REF!," ","Students","]"," ",TIMETABLE!#REF!,":"," ",TIMETABLE!#REF!," ",TIMETABLE!#REF!)</f>
        <v>#REF!</v>
      </c>
      <c r="AA33" s="314" t="e">
        <f>CONCATENATE(TIMETABLE!#REF!," ","[",TIMETABLE!#REF!," ","Students","]"," ",TIMETABLE!#REF!,":"," ",TIMETABLE!#REF!," ",TIMETABLE!#REF!)</f>
        <v>#REF!</v>
      </c>
      <c r="AB33" s="314" t="e">
        <f>CONCATENATE(TIMETABLE!#REF!," ","[",TIMETABLE!#REF!," ","Students","]"," ",TIMETABLE!#REF!,":"," ",TIMETABLE!#REF!," ",TIMETABLE!#REF!)</f>
        <v>#REF!</v>
      </c>
      <c r="AC33" s="314" t="str">
        <f>CONCATENATE(TIMETABLE!W$6," ","[",TIMETABLE!W$7," ","Students","]"," ",TIMETABLE!W19,":"," ",TIMETABLE!W22," ",TIMETABLE!W21)</f>
        <v>DMAE/SEP20201J&amp;S-FT [Y1S2   (60) Students] EMR 2131: KIMATHI FET 108</v>
      </c>
      <c r="AD33" s="314" t="e">
        <f>CONCATENATE(TIMETABLE!#REF!," ","[",TIMETABLE!#REF!," ","Students","]"," ",TIMETABLE!#REF!,":"," ",TIMETABLE!#REF!," ",TIMETABLE!#REF!)</f>
        <v>#REF!</v>
      </c>
      <c r="AE33" s="314" t="e">
        <f>CONCATENATE(TIMETABLE!#REF!," ","[",TIMETABLE!#REF!," ","Students","]"," ",TIMETABLE!#REF!,":"," ",TIMETABLE!#REF!," ",TIMETABLE!#REF!)</f>
        <v>#REF!</v>
      </c>
      <c r="AF33" s="491"/>
    </row>
    <row r="34" spans="1:32" ht="23.4" x14ac:dyDescent="0.45">
      <c r="C34" s="491"/>
      <c r="D34" s="124"/>
      <c r="E34" s="107"/>
      <c r="F34" s="107"/>
      <c r="G34" s="107"/>
      <c r="H34" s="107"/>
      <c r="I34" s="107"/>
      <c r="J34" s="107"/>
      <c r="K34" s="107"/>
      <c r="L34" s="107"/>
      <c r="M34" s="107"/>
      <c r="N34" s="107"/>
      <c r="O34" s="107"/>
      <c r="P34" s="107"/>
      <c r="Q34" s="107"/>
      <c r="R34" s="107"/>
      <c r="S34" s="107"/>
      <c r="T34" s="107"/>
      <c r="U34" s="107"/>
      <c r="V34" s="107"/>
      <c r="W34" s="107"/>
      <c r="X34" s="107"/>
      <c r="Y34" s="107"/>
      <c r="Z34" s="107"/>
      <c r="AA34" s="107"/>
      <c r="AB34" s="107"/>
      <c r="AC34" s="107"/>
      <c r="AD34" s="107"/>
      <c r="AE34" s="107"/>
      <c r="AF34" s="491"/>
    </row>
    <row r="35" spans="1:32" ht="23.4" x14ac:dyDescent="0.45">
      <c r="C35" s="491"/>
      <c r="D35" s="125"/>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491"/>
    </row>
    <row r="36" spans="1:32" ht="24" thickBot="1" x14ac:dyDescent="0.5">
      <c r="C36" s="491"/>
      <c r="D36" s="126"/>
      <c r="E36" s="314" t="e">
        <f>CONCATENATE(TIMETABLE!#REF!," ","[",TIMETABLE!#REF!," ","Students","]"," ",TIMETABLE!#REF!,":"," ",TIMETABLE!#REF!," ",TIMETABLE!#REF!)</f>
        <v>#REF!</v>
      </c>
      <c r="F36" s="314" t="e">
        <f>CONCATENATE(TIMETABLE!#REF!," ","[",TIMETABLE!#REF!," ","Students","]"," ",TIMETABLE!#REF!,":"," ",TIMETABLE!#REF!," ",TIMETABLE!#REF!)</f>
        <v>#REF!</v>
      </c>
      <c r="G36" s="314" t="e">
        <f>CONCATENATE(TIMETABLE!#REF!," ","[",TIMETABLE!#REF!," ","Students","]"," ",TIMETABLE!#REF!,":"," ",TIMETABLE!#REF!," ",TIMETABLE!#REF!)</f>
        <v>#REF!</v>
      </c>
      <c r="H36" s="314" t="e">
        <f>CONCATENATE(TIMETABLE!#REF!," ","[",TIMETABLE!#REF!," ","Students","]"," ",TIMETABLE!#REF!,":"," ",TIMETABLE!#REF!," ",TIMETABLE!#REF!)</f>
        <v>#REF!</v>
      </c>
      <c r="I36" s="314" t="e">
        <f>CONCATENATE(TIMETABLE!#REF!," ","[",TIMETABLE!#REF!," ","Students","]"," ",TIMETABLE!#REF!,":"," ",TIMETABLE!#REF!," ",TIMETABLE!#REF!)</f>
        <v>#REF!</v>
      </c>
      <c r="J36" s="314" t="e">
        <f>CONCATENATE(TIMETABLE!#REF!," ","[",TIMETABLE!#REF!," ","Students","]"," ",TIMETABLE!#REF!,":"," ",TIMETABLE!#REF!," ",TIMETABLE!#REF!)</f>
        <v>#REF!</v>
      </c>
      <c r="K36" s="314" t="e">
        <f>CONCATENATE(TIMETABLE!#REF!," ","[",TIMETABLE!#REF!," ","Students","]"," ",TIMETABLE!#REF!,":"," ",TIMETABLE!#REF!," ",TIMETABLE!#REF!)</f>
        <v>#REF!</v>
      </c>
      <c r="L36" s="314" t="e">
        <f>CONCATENATE(TIMETABLE!D$6," ","[",TIMETABLE!D$7," ","Students","]"," ",TIMETABLE!#REF!,":"," ",TIMETABLE!#REF!," ",TIMETABLE!#REF!)</f>
        <v>#REF!</v>
      </c>
      <c r="M36" s="314" t="e">
        <f>CONCATENATE(TIMETABLE!E$6," ","[",TIMETABLE!E$7," ","Students","]"," ",TIMETABLE!#REF!,":"," ",TIMETABLE!#REF!," ",TIMETABLE!#REF!)</f>
        <v>#REF!</v>
      </c>
      <c r="N36" s="314" t="e">
        <f>CONCATENATE(TIMETABLE!#REF!," ","[",TIMETABLE!#REF!," ","Students","]"," ",TIMETABLE!#REF!,":"," ",TIMETABLE!#REF!," ",TIMETABLE!#REF!)</f>
        <v>#REF!</v>
      </c>
      <c r="O36" s="314" t="e">
        <f>CONCATENATE(TIMETABLE!#REF!," ","[",TIMETABLE!#REF!," ","Students","]"," ",TIMETABLE!#REF!,":"," ",TIMETABLE!#REF!," ",TIMETABLE!#REF!)</f>
        <v>#REF!</v>
      </c>
      <c r="P36" s="314" t="e">
        <f>CONCATENATE(TIMETABLE!F$6," ","[",TIMETABLE!F$7," ","Students","]"," ",TIMETABLE!#REF!,":"," ",TIMETABLE!#REF!," ",TIMETABLE!#REF!)</f>
        <v>#REF!</v>
      </c>
      <c r="Q36" s="314" t="e">
        <f>CONCATENATE(TIMETABLE!G$6," ","[",TIMETABLE!G$7," ","Students","]"," ",TIMETABLE!#REF!,":"," ",TIMETABLE!#REF!," ",TIMETABLE!#REF!)</f>
        <v>#REF!</v>
      </c>
      <c r="R36" s="314" t="e">
        <f>CONCATENATE(TIMETABLE!#REF!," ","[",TIMETABLE!#REF!," ","Students","]"," ",TIMETABLE!#REF!,":"," ",TIMETABLE!#REF!," ",TIMETABLE!#REF!)</f>
        <v>#REF!</v>
      </c>
      <c r="S36" s="314" t="e">
        <f>CONCATENATE(TIMETABLE!#REF!," ","[",TIMETABLE!#REF!," ","Students","]"," ",TIMETABLE!#REF!,":"," ",TIMETABLE!#REF!," ",TIMETABLE!#REF!)</f>
        <v>#REF!</v>
      </c>
      <c r="T36" s="314" t="e">
        <f>CONCATENATE(TIMETABLE!J$6," ","[",TIMETABLE!J$7," ","Students","]"," ",TIMETABLE!#REF!,":"," ",TIMETABLE!#REF!," ",TIMETABLE!#REF!)</f>
        <v>#REF!</v>
      </c>
      <c r="U36" s="314" t="e">
        <f>CONCATENATE(TIMETABLE!#REF!," ","[",TIMETABLE!#REF!," ","Students","]"," ",TIMETABLE!#REF!,":"," ",TIMETABLE!#REF!," ",TIMETABLE!#REF!)</f>
        <v>#REF!</v>
      </c>
      <c r="V36" s="314" t="e">
        <f>CONCATENATE(TIMETABLE!#REF!," ","[",TIMETABLE!#REF!," ","Students","]"," ",TIMETABLE!#REF!,":"," ",TIMETABLE!#REF!," ",TIMETABLE!#REF!)</f>
        <v>#REF!</v>
      </c>
      <c r="W36" s="314" t="e">
        <f>CONCATENATE(TIMETABLE!#REF!," ","[",TIMETABLE!#REF!," ","Students","]"," ",TIMETABLE!#REF!,":"," ",TIMETABLE!#REF!," ",TIMETABLE!#REF!)</f>
        <v>#REF!</v>
      </c>
      <c r="X36" s="314" t="e">
        <f>CONCATENATE(TIMETABLE!#REF!," ","[",TIMETABLE!#REF!," ","Students","]"," ",TIMETABLE!#REF!,":"," ",TIMETABLE!#REF!," ",TIMETABLE!#REF!)</f>
        <v>#REF!</v>
      </c>
      <c r="Y36" s="314" t="e">
        <f>CONCATENATE(TIMETABLE!#REF!," ","[",TIMETABLE!#REF!," ","Students","]"," ",TIMETABLE!#REF!,":"," ",TIMETABLE!#REF!," ",TIMETABLE!#REF!)</f>
        <v>#REF!</v>
      </c>
      <c r="Z36" s="314" t="e">
        <f>CONCATENATE(TIMETABLE!#REF!," ","[",TIMETABLE!#REF!," ","Students","]"," ",TIMETABLE!#REF!,":"," ",TIMETABLE!#REF!," ",TIMETABLE!#REF!)</f>
        <v>#REF!</v>
      </c>
      <c r="AA36" s="314" t="e">
        <f>CONCATENATE(TIMETABLE!#REF!," ","[",TIMETABLE!#REF!," ","Students","]"," ",TIMETABLE!#REF!,":"," ",TIMETABLE!#REF!," ",TIMETABLE!#REF!)</f>
        <v>#REF!</v>
      </c>
      <c r="AB36" s="314" t="e">
        <f>CONCATENATE(TIMETABLE!#REF!," ","[",TIMETABLE!#REF!," ","Students","]"," ",TIMETABLE!#REF!,":"," ",TIMETABLE!#REF!," ",TIMETABLE!#REF!)</f>
        <v>#REF!</v>
      </c>
      <c r="AC36" s="314" t="e">
        <f>CONCATENATE(TIMETABLE!W$6," ","[",TIMETABLE!W$7," ","Students","]"," ",TIMETABLE!#REF!,":"," ",TIMETABLE!#REF!," ",TIMETABLE!#REF!)</f>
        <v>#REF!</v>
      </c>
      <c r="AD36" s="314" t="e">
        <f>CONCATENATE(TIMETABLE!#REF!," ","[",TIMETABLE!#REF!," ","Students","]"," ",TIMETABLE!#REF!,":"," ",TIMETABLE!#REF!," ",TIMETABLE!#REF!)</f>
        <v>#REF!</v>
      </c>
      <c r="AE36" s="314" t="e">
        <f>CONCATENATE(TIMETABLE!#REF!," ","[",TIMETABLE!#REF!," ","Students","]"," ",TIMETABLE!#REF!,":"," ",TIMETABLE!#REF!," ",TIMETABLE!#REF!)</f>
        <v>#REF!</v>
      </c>
      <c r="AF36" s="491"/>
    </row>
    <row r="37" spans="1:32" ht="23.4" x14ac:dyDescent="0.45">
      <c r="C37" s="491"/>
      <c r="D37" s="124"/>
      <c r="E37" s="107"/>
      <c r="F37" s="107"/>
      <c r="G37" s="107"/>
      <c r="H37" s="107"/>
      <c r="I37" s="107"/>
      <c r="J37" s="107"/>
      <c r="K37" s="107"/>
      <c r="L37" s="107"/>
      <c r="M37" s="107"/>
      <c r="N37" s="107"/>
      <c r="O37" s="107"/>
      <c r="P37" s="107"/>
      <c r="Q37" s="107"/>
      <c r="R37" s="107"/>
      <c r="S37" s="107"/>
      <c r="T37" s="107"/>
      <c r="U37" s="107"/>
      <c r="V37" s="107"/>
      <c r="W37" s="107"/>
      <c r="X37" s="107"/>
      <c r="Y37" s="107"/>
      <c r="Z37" s="107"/>
      <c r="AA37" s="107"/>
      <c r="AB37" s="107"/>
      <c r="AC37" s="107"/>
      <c r="AD37" s="107"/>
      <c r="AE37" s="107"/>
      <c r="AF37" s="491"/>
    </row>
    <row r="38" spans="1:32" ht="23.4" x14ac:dyDescent="0.45">
      <c r="C38" s="491"/>
      <c r="D38" s="125"/>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491"/>
    </row>
    <row r="39" spans="1:32" ht="24" thickBot="1" x14ac:dyDescent="0.5">
      <c r="A39" s="96"/>
      <c r="C39" s="491"/>
      <c r="D39" s="126"/>
      <c r="E39" s="314" t="e">
        <f>CONCATENATE(TIMETABLE!#REF!," ","[",TIMETABLE!#REF!," ","Students","]"," ",TIMETABLE!#REF!,":"," ",TIMETABLE!#REF!," ",TIMETABLE!#REF!)</f>
        <v>#REF!</v>
      </c>
      <c r="F39" s="314" t="e">
        <f>CONCATENATE(TIMETABLE!#REF!," ","[",TIMETABLE!#REF!," ","Students","]"," ",TIMETABLE!#REF!,":"," ",TIMETABLE!#REF!," ",TIMETABLE!#REF!)</f>
        <v>#REF!</v>
      </c>
      <c r="G39" s="314" t="e">
        <f>CONCATENATE(TIMETABLE!#REF!," ","[",TIMETABLE!#REF!," ","Students","]"," ",TIMETABLE!#REF!,":"," ",TIMETABLE!#REF!," ",TIMETABLE!#REF!)</f>
        <v>#REF!</v>
      </c>
      <c r="H39" s="314" t="e">
        <f>CONCATENATE(TIMETABLE!#REF!," ","[",TIMETABLE!#REF!," ","Students","]"," ",TIMETABLE!#REF!,":"," ",TIMETABLE!#REF!," ",TIMETABLE!#REF!)</f>
        <v>#REF!</v>
      </c>
      <c r="I39" s="314" t="e">
        <f>CONCATENATE(TIMETABLE!#REF!," ","[",TIMETABLE!#REF!," ","Students","]"," ",TIMETABLE!#REF!,":"," ",TIMETABLE!#REF!," ",TIMETABLE!#REF!)</f>
        <v>#REF!</v>
      </c>
      <c r="J39" s="314" t="e">
        <f>CONCATENATE(TIMETABLE!#REF!," ","[",TIMETABLE!#REF!," ","Students","]"," ",TIMETABLE!#REF!,":"," ",TIMETABLE!#REF!," ",TIMETABLE!#REF!)</f>
        <v>#REF!</v>
      </c>
      <c r="K39" s="314" t="e">
        <f>CONCATENATE(TIMETABLE!#REF!," ","[",TIMETABLE!#REF!," ","Students","]"," ",TIMETABLE!#REF!,":"," ",TIMETABLE!#REF!," ",TIMETABLE!#REF!)</f>
        <v>#REF!</v>
      </c>
      <c r="L39" s="314" t="e">
        <f>CONCATENATE(TIMETABLE!D$6," ","[",TIMETABLE!D$7," ","Students","]"," ",TIMETABLE!#REF!,":"," ",TIMETABLE!#REF!," ",TIMETABLE!#REF!)</f>
        <v>#REF!</v>
      </c>
      <c r="M39" s="314" t="e">
        <f>CONCATENATE(TIMETABLE!E$6," ","[",TIMETABLE!E$7," ","Students","]"," ",TIMETABLE!#REF!,":"," ",TIMETABLE!#REF!," ",TIMETABLE!#REF!)</f>
        <v>#REF!</v>
      </c>
      <c r="N39" s="314" t="e">
        <f>CONCATENATE(TIMETABLE!#REF!," ","[",TIMETABLE!#REF!," ","Students","]"," ",TIMETABLE!#REF!,":"," ",TIMETABLE!#REF!," ",TIMETABLE!#REF!)</f>
        <v>#REF!</v>
      </c>
      <c r="O39" s="314" t="e">
        <f>CONCATENATE(TIMETABLE!#REF!," ","[",TIMETABLE!#REF!," ","Students","]"," ",TIMETABLE!#REF!,":"," ",TIMETABLE!#REF!," ",TIMETABLE!#REF!)</f>
        <v>#REF!</v>
      </c>
      <c r="P39" s="314" t="e">
        <f>CONCATENATE(TIMETABLE!F$6," ","[",TIMETABLE!F$7," ","Students","]"," ",TIMETABLE!#REF!,":"," ",TIMETABLE!#REF!," ",TIMETABLE!#REF!)</f>
        <v>#REF!</v>
      </c>
      <c r="Q39" s="314" t="e">
        <f>CONCATENATE(TIMETABLE!G$6," ","[",TIMETABLE!G$7," ","Students","]"," ",TIMETABLE!#REF!,":"," ",TIMETABLE!#REF!," ",TIMETABLE!#REF!)</f>
        <v>#REF!</v>
      </c>
      <c r="R39" s="314" t="e">
        <f>CONCATENATE(TIMETABLE!#REF!," ","[",TIMETABLE!#REF!," ","Students","]"," ",TIMETABLE!#REF!,":"," ",TIMETABLE!#REF!," ",TIMETABLE!#REF!)</f>
        <v>#REF!</v>
      </c>
      <c r="S39" s="314" t="e">
        <f>CONCATENATE(TIMETABLE!#REF!," ","[",TIMETABLE!#REF!," ","Students","]"," ",TIMETABLE!#REF!,":"," ",TIMETABLE!#REF!," ",TIMETABLE!#REF!)</f>
        <v>#REF!</v>
      </c>
      <c r="T39" s="314" t="e">
        <f>CONCATENATE(TIMETABLE!J$6," ","[",TIMETABLE!J$7," ","Students","]"," ",TIMETABLE!#REF!,":"," ",TIMETABLE!#REF!," ",TIMETABLE!#REF!)</f>
        <v>#REF!</v>
      </c>
      <c r="U39" s="314" t="e">
        <f>CONCATENATE(TIMETABLE!#REF!," ","[",TIMETABLE!#REF!," ","Students","]"," ",TIMETABLE!#REF!,":"," ",TIMETABLE!#REF!," ",TIMETABLE!#REF!)</f>
        <v>#REF!</v>
      </c>
      <c r="V39" s="314" t="e">
        <f>CONCATENATE(TIMETABLE!#REF!," ","[",TIMETABLE!#REF!," ","Students","]"," ",TIMETABLE!#REF!,":"," ",TIMETABLE!#REF!," ",TIMETABLE!#REF!)</f>
        <v>#REF!</v>
      </c>
      <c r="W39" s="314" t="e">
        <f>CONCATENATE(TIMETABLE!#REF!," ","[",TIMETABLE!#REF!," ","Students","]"," ",TIMETABLE!#REF!,":"," ",TIMETABLE!#REF!," ",TIMETABLE!#REF!)</f>
        <v>#REF!</v>
      </c>
      <c r="X39" s="314" t="e">
        <f>CONCATENATE(TIMETABLE!#REF!," ","[",TIMETABLE!#REF!," ","Students","]"," ",TIMETABLE!#REF!,":"," ",TIMETABLE!#REF!," ",TIMETABLE!#REF!)</f>
        <v>#REF!</v>
      </c>
      <c r="Y39" s="314" t="e">
        <f>CONCATENATE(TIMETABLE!#REF!," ","[",TIMETABLE!#REF!," ","Students","]"," ",TIMETABLE!#REF!,":"," ",TIMETABLE!#REF!," ",TIMETABLE!#REF!)</f>
        <v>#REF!</v>
      </c>
      <c r="Z39" s="314" t="e">
        <f>CONCATENATE(TIMETABLE!#REF!," ","[",TIMETABLE!#REF!," ","Students","]"," ",TIMETABLE!#REF!,":"," ",TIMETABLE!#REF!," ",TIMETABLE!#REF!)</f>
        <v>#REF!</v>
      </c>
      <c r="AA39" s="314" t="e">
        <f>CONCATENATE(TIMETABLE!#REF!," ","[",TIMETABLE!#REF!," ","Students","]"," ",TIMETABLE!#REF!,":"," ",TIMETABLE!#REF!," ",TIMETABLE!#REF!)</f>
        <v>#REF!</v>
      </c>
      <c r="AB39" s="314" t="e">
        <f>CONCATENATE(TIMETABLE!#REF!," ","[",TIMETABLE!#REF!," ","Students","]"," ",TIMETABLE!#REF!,":"," ",TIMETABLE!#REF!," ",TIMETABLE!#REF!)</f>
        <v>#REF!</v>
      </c>
      <c r="AC39" s="314" t="e">
        <f>CONCATENATE(TIMETABLE!W$6," ","[",TIMETABLE!W$7," ","Students","]"," ",TIMETABLE!#REF!,":"," ",TIMETABLE!#REF!," ",TIMETABLE!#REF!)</f>
        <v>#REF!</v>
      </c>
      <c r="AD39" s="314" t="e">
        <f>CONCATENATE(TIMETABLE!#REF!," ","[",TIMETABLE!#REF!," ","Students","]"," ",TIMETABLE!#REF!,":"," ",TIMETABLE!#REF!," ",TIMETABLE!#REF!)</f>
        <v>#REF!</v>
      </c>
      <c r="AE39" s="314" t="e">
        <f>CONCATENATE(TIMETABLE!#REF!," ","[",TIMETABLE!#REF!," ","Students","]"," ",TIMETABLE!#REF!,":"," ",TIMETABLE!#REF!," ",TIMETABLE!#REF!)</f>
        <v>#REF!</v>
      </c>
      <c r="AF39" s="491"/>
    </row>
    <row r="40" spans="1:32" ht="23.4" x14ac:dyDescent="0.45">
      <c r="C40" s="491"/>
      <c r="D40" s="124"/>
      <c r="E40" s="107"/>
      <c r="F40" s="107"/>
      <c r="G40" s="107"/>
      <c r="H40" s="107"/>
      <c r="I40" s="107"/>
      <c r="J40" s="107"/>
      <c r="K40" s="107"/>
      <c r="L40" s="107"/>
      <c r="M40" s="107"/>
      <c r="N40" s="107"/>
      <c r="O40" s="107"/>
      <c r="P40" s="107"/>
      <c r="Q40" s="107"/>
      <c r="R40" s="107"/>
      <c r="S40" s="107"/>
      <c r="T40" s="107"/>
      <c r="U40" s="107"/>
      <c r="V40" s="107"/>
      <c r="W40" s="107"/>
      <c r="X40" s="107"/>
      <c r="Y40" s="107"/>
      <c r="Z40" s="107"/>
      <c r="AA40" s="107"/>
      <c r="AB40" s="107"/>
      <c r="AC40" s="107"/>
      <c r="AD40" s="107"/>
      <c r="AE40" s="107"/>
      <c r="AF40" s="491"/>
    </row>
    <row r="41" spans="1:32" ht="23.4" x14ac:dyDescent="0.45">
      <c r="C41" s="491"/>
      <c r="D41" s="125"/>
      <c r="E41" s="115"/>
      <c r="F41" s="115"/>
      <c r="G41" s="115"/>
      <c r="H41" s="115"/>
      <c r="I41" s="115"/>
      <c r="J41" s="115"/>
      <c r="K41" s="115"/>
      <c r="L41" s="115"/>
      <c r="M41" s="115"/>
      <c r="N41" s="115"/>
      <c r="O41" s="115"/>
      <c r="P41" s="115"/>
      <c r="Q41" s="115"/>
      <c r="R41" s="115"/>
      <c r="S41" s="115"/>
      <c r="T41" s="115"/>
      <c r="U41" s="115"/>
      <c r="V41" s="115"/>
      <c r="W41" s="115"/>
      <c r="X41" s="115"/>
      <c r="Y41" s="115"/>
      <c r="Z41" s="115"/>
      <c r="AA41" s="115"/>
      <c r="AB41" s="115"/>
      <c r="AC41" s="115"/>
      <c r="AD41" s="115"/>
      <c r="AE41" s="115"/>
      <c r="AF41" s="491"/>
    </row>
    <row r="42" spans="1:32" ht="24" thickBot="1" x14ac:dyDescent="0.5">
      <c r="C42" s="491"/>
      <c r="D42" s="126"/>
      <c r="E42" s="314" t="e">
        <f>CONCATENATE(TIMETABLE!#REF!," ","[",TIMETABLE!#REF!," ","Students","]"," ",TIMETABLE!#REF!,":"," ",TIMETABLE!#REF!," ",TIMETABLE!#REF!)</f>
        <v>#REF!</v>
      </c>
      <c r="F42" s="314" t="e">
        <f>CONCATENATE(TIMETABLE!#REF!," ","[",TIMETABLE!#REF!," ","Students","]"," ",TIMETABLE!#REF!,":"," ",TIMETABLE!#REF!," ",TIMETABLE!#REF!)</f>
        <v>#REF!</v>
      </c>
      <c r="G42" s="314" t="e">
        <f>CONCATENATE(TIMETABLE!#REF!," ","[",TIMETABLE!#REF!," ","Students","]"," ",TIMETABLE!#REF!,":"," ",TIMETABLE!#REF!," ",TIMETABLE!#REF!)</f>
        <v>#REF!</v>
      </c>
      <c r="H42" s="314" t="e">
        <f>CONCATENATE(TIMETABLE!#REF!," ","[",TIMETABLE!#REF!," ","Students","]"," ",TIMETABLE!#REF!,":"," ",TIMETABLE!#REF!," ",TIMETABLE!#REF!)</f>
        <v>#REF!</v>
      </c>
      <c r="I42" s="314" t="e">
        <f>CONCATENATE(TIMETABLE!#REF!," ","[",TIMETABLE!#REF!," ","Students","]"," ",TIMETABLE!#REF!,":"," ",TIMETABLE!#REF!," ",TIMETABLE!#REF!)</f>
        <v>#REF!</v>
      </c>
      <c r="J42" s="314" t="e">
        <f>CONCATENATE(TIMETABLE!#REF!," ","[",TIMETABLE!#REF!," ","Students","]"," ",TIMETABLE!#REF!,":"," ",TIMETABLE!#REF!," ",TIMETABLE!#REF!)</f>
        <v>#REF!</v>
      </c>
      <c r="K42" s="314" t="e">
        <f>CONCATENATE(TIMETABLE!#REF!," ","[",TIMETABLE!#REF!," ","Students","]"," ",TIMETABLE!#REF!,":"," ",TIMETABLE!#REF!," ",TIMETABLE!#REF!)</f>
        <v>#REF!</v>
      </c>
      <c r="L42" s="314" t="e">
        <f>CONCATENATE(TIMETABLE!D$6," ","[",TIMETABLE!D$7," ","Students","]"," ",TIMETABLE!#REF!,":"," ",TIMETABLE!#REF!," ",TIMETABLE!#REF!)</f>
        <v>#REF!</v>
      </c>
      <c r="M42" s="314" t="e">
        <f>CONCATENATE(TIMETABLE!E$6," ","[",TIMETABLE!E$7," ","Students","]"," ",TIMETABLE!#REF!,":"," ",TIMETABLE!#REF!," ",TIMETABLE!#REF!)</f>
        <v>#REF!</v>
      </c>
      <c r="N42" s="314" t="e">
        <f>CONCATENATE(TIMETABLE!#REF!," ","[",TIMETABLE!#REF!," ","Students","]"," ",TIMETABLE!#REF!,":"," ",TIMETABLE!#REF!," ",TIMETABLE!#REF!)</f>
        <v>#REF!</v>
      </c>
      <c r="O42" s="314" t="e">
        <f>CONCATENATE(TIMETABLE!#REF!," ","[",TIMETABLE!#REF!," ","Students","]"," ",TIMETABLE!#REF!,":"," ",TIMETABLE!#REF!," ",TIMETABLE!#REF!)</f>
        <v>#REF!</v>
      </c>
      <c r="P42" s="314" t="e">
        <f>CONCATENATE(TIMETABLE!F$6," ","[",TIMETABLE!F$7," ","Students","]"," ",TIMETABLE!#REF!,":"," ",TIMETABLE!#REF!," ",TIMETABLE!#REF!)</f>
        <v>#REF!</v>
      </c>
      <c r="Q42" s="314" t="e">
        <f>CONCATENATE(TIMETABLE!G$6," ","[",TIMETABLE!G$7," ","Students","]"," ",TIMETABLE!#REF!,":"," ",TIMETABLE!#REF!," ",TIMETABLE!#REF!)</f>
        <v>#REF!</v>
      </c>
      <c r="R42" s="314" t="e">
        <f>CONCATENATE(TIMETABLE!#REF!," ","[",TIMETABLE!#REF!," ","Students","]"," ",TIMETABLE!#REF!,":"," ",TIMETABLE!#REF!," ",TIMETABLE!#REF!)</f>
        <v>#REF!</v>
      </c>
      <c r="S42" s="314" t="e">
        <f>CONCATENATE(TIMETABLE!#REF!," ","[",TIMETABLE!#REF!," ","Students","]"," ",TIMETABLE!#REF!,":"," ",TIMETABLE!#REF!," ",TIMETABLE!#REF!)</f>
        <v>#REF!</v>
      </c>
      <c r="T42" s="314" t="e">
        <f>CONCATENATE(TIMETABLE!J$6," ","[",TIMETABLE!J$7," ","Students","]"," ",TIMETABLE!#REF!,":"," ",TIMETABLE!#REF!," ",TIMETABLE!#REF!)</f>
        <v>#REF!</v>
      </c>
      <c r="U42" s="314" t="e">
        <f>CONCATENATE(TIMETABLE!#REF!," ","[",TIMETABLE!#REF!," ","Students","]"," ",TIMETABLE!#REF!,":"," ",TIMETABLE!#REF!," ",TIMETABLE!#REF!)</f>
        <v>#REF!</v>
      </c>
      <c r="V42" s="314" t="e">
        <f>CONCATENATE(TIMETABLE!#REF!," ","[",TIMETABLE!#REF!," ","Students","]"," ",TIMETABLE!#REF!,":"," ",TIMETABLE!#REF!," ",TIMETABLE!#REF!)</f>
        <v>#REF!</v>
      </c>
      <c r="W42" s="314" t="e">
        <f>CONCATENATE(TIMETABLE!#REF!," ","[",TIMETABLE!#REF!," ","Students","]"," ",TIMETABLE!#REF!,":"," ",TIMETABLE!#REF!," ",TIMETABLE!#REF!)</f>
        <v>#REF!</v>
      </c>
      <c r="X42" s="314" t="e">
        <f>CONCATENATE(TIMETABLE!#REF!," ","[",TIMETABLE!#REF!," ","Students","]"," ",TIMETABLE!#REF!,":"," ",TIMETABLE!#REF!," ",TIMETABLE!#REF!)</f>
        <v>#REF!</v>
      </c>
      <c r="Y42" s="314" t="e">
        <f>CONCATENATE(TIMETABLE!#REF!," ","[",TIMETABLE!#REF!," ","Students","]"," ",TIMETABLE!#REF!,":"," ",TIMETABLE!#REF!," ",TIMETABLE!#REF!)</f>
        <v>#REF!</v>
      </c>
      <c r="Z42" s="314" t="e">
        <f>CONCATENATE(TIMETABLE!#REF!," ","[",TIMETABLE!#REF!," ","Students","]"," ",TIMETABLE!#REF!,":"," ",TIMETABLE!#REF!," ",TIMETABLE!#REF!)</f>
        <v>#REF!</v>
      </c>
      <c r="AA42" s="314" t="e">
        <f>CONCATENATE(TIMETABLE!#REF!," ","[",TIMETABLE!#REF!," ","Students","]"," ",TIMETABLE!#REF!,":"," ",TIMETABLE!#REF!," ",TIMETABLE!#REF!)</f>
        <v>#REF!</v>
      </c>
      <c r="AB42" s="314" t="e">
        <f>CONCATENATE(TIMETABLE!#REF!," ","[",TIMETABLE!#REF!," ","Students","]"," ",TIMETABLE!#REF!,":"," ",TIMETABLE!#REF!," ",TIMETABLE!#REF!)</f>
        <v>#REF!</v>
      </c>
      <c r="AC42" s="314" t="e">
        <f>CONCATENATE(TIMETABLE!W$6," ","[",TIMETABLE!W$7," ","Students","]"," ",TIMETABLE!#REF!,":"," ",TIMETABLE!#REF!," ",TIMETABLE!#REF!)</f>
        <v>#REF!</v>
      </c>
      <c r="AD42" s="314" t="e">
        <f>CONCATENATE(TIMETABLE!#REF!," ","[",TIMETABLE!#REF!," ","Students","]"," ",TIMETABLE!#REF!,":"," ",TIMETABLE!#REF!," ",TIMETABLE!#REF!)</f>
        <v>#REF!</v>
      </c>
      <c r="AE42" s="314" t="e">
        <f>CONCATENATE(TIMETABLE!#REF!," ","[",TIMETABLE!#REF!," ","Students","]"," ",TIMETABLE!#REF!,":"," ",TIMETABLE!#REF!," ",TIMETABLE!#REF!)</f>
        <v>#REF!</v>
      </c>
      <c r="AF42" s="491"/>
    </row>
    <row r="43" spans="1:32" ht="23.4" x14ac:dyDescent="0.45">
      <c r="C43" s="491"/>
      <c r="D43" s="127"/>
      <c r="E43" s="107"/>
      <c r="F43" s="107"/>
      <c r="G43" s="107"/>
      <c r="H43" s="107"/>
      <c r="I43" s="107"/>
      <c r="J43" s="107"/>
      <c r="K43" s="107"/>
      <c r="L43" s="107"/>
      <c r="M43" s="107"/>
      <c r="N43" s="107"/>
      <c r="O43" s="107"/>
      <c r="P43" s="107"/>
      <c r="Q43" s="107"/>
      <c r="R43" s="107"/>
      <c r="S43" s="107"/>
      <c r="T43" s="107"/>
      <c r="U43" s="107"/>
      <c r="V43" s="107"/>
      <c r="W43" s="107"/>
      <c r="X43" s="107"/>
      <c r="Y43" s="107"/>
      <c r="Z43" s="107"/>
      <c r="AA43" s="107"/>
      <c r="AB43" s="107"/>
      <c r="AC43" s="107"/>
      <c r="AD43" s="107"/>
      <c r="AE43" s="107"/>
      <c r="AF43" s="491"/>
    </row>
    <row r="44" spans="1:32" ht="23.4" x14ac:dyDescent="0.45">
      <c r="C44" s="491"/>
      <c r="D44" s="125"/>
      <c r="E44" s="115"/>
      <c r="F44" s="115"/>
      <c r="G44" s="115"/>
      <c r="H44" s="115"/>
      <c r="I44" s="115"/>
      <c r="J44" s="115"/>
      <c r="K44" s="115"/>
      <c r="L44" s="115"/>
      <c r="M44" s="115"/>
      <c r="N44" s="115"/>
      <c r="O44" s="115"/>
      <c r="P44" s="115"/>
      <c r="Q44" s="115"/>
      <c r="R44" s="115"/>
      <c r="S44" s="115"/>
      <c r="T44" s="115"/>
      <c r="U44" s="115"/>
      <c r="V44" s="115"/>
      <c r="W44" s="115"/>
      <c r="X44" s="115"/>
      <c r="Y44" s="115"/>
      <c r="Z44" s="115"/>
      <c r="AA44" s="115"/>
      <c r="AB44" s="115"/>
      <c r="AC44" s="115"/>
      <c r="AD44" s="115"/>
      <c r="AE44" s="115"/>
      <c r="AF44" s="491"/>
    </row>
    <row r="45" spans="1:32" ht="24" thickBot="1" x14ac:dyDescent="0.5">
      <c r="C45" s="491"/>
      <c r="D45" s="126"/>
      <c r="E45" s="314" t="e">
        <f>CONCATENATE(TIMETABLE!#REF!," ","[",TIMETABLE!#REF!," ","Students","]"," ",TIMETABLE!#REF!,":"," ",TIMETABLE!#REF!," ",TIMETABLE!#REF!)</f>
        <v>#REF!</v>
      </c>
      <c r="F45" s="314" t="e">
        <f>CONCATENATE(TIMETABLE!#REF!," ","[",TIMETABLE!#REF!," ","Students","]"," ",TIMETABLE!#REF!,":"," ",TIMETABLE!#REF!," ",TIMETABLE!#REF!)</f>
        <v>#REF!</v>
      </c>
      <c r="G45" s="314" t="e">
        <f>CONCATENATE(TIMETABLE!#REF!," ","[",TIMETABLE!#REF!," ","Students","]"," ",TIMETABLE!#REF!,":"," ",TIMETABLE!#REF!," ",TIMETABLE!#REF!)</f>
        <v>#REF!</v>
      </c>
      <c r="H45" s="314" t="e">
        <f>CONCATENATE(TIMETABLE!#REF!," ","[",TIMETABLE!#REF!," ","Students","]"," ",TIMETABLE!#REF!,":"," ",TIMETABLE!#REF!," ",TIMETABLE!#REF!)</f>
        <v>#REF!</v>
      </c>
      <c r="I45" s="314" t="e">
        <f>CONCATENATE(TIMETABLE!#REF!," ","[",TIMETABLE!#REF!," ","Students","]"," ",TIMETABLE!#REF!,":"," ",TIMETABLE!#REF!," ",TIMETABLE!#REF!)</f>
        <v>#REF!</v>
      </c>
      <c r="J45" s="314" t="e">
        <f>CONCATENATE(TIMETABLE!#REF!," ","[",TIMETABLE!#REF!," ","Students","]"," ",TIMETABLE!#REF!,":"," ",TIMETABLE!#REF!," ",TIMETABLE!#REF!)</f>
        <v>#REF!</v>
      </c>
      <c r="K45" s="314" t="e">
        <f>CONCATENATE(TIMETABLE!#REF!," ","[",TIMETABLE!#REF!," ","Students","]"," ",TIMETABLE!#REF!,":"," ",TIMETABLE!#REF!," ",TIMETABLE!#REF!)</f>
        <v>#REF!</v>
      </c>
      <c r="L45" s="314" t="e">
        <f>CONCATENATE(TIMETABLE!D$6," ","[",TIMETABLE!D$7," ","Students","]"," ",TIMETABLE!#REF!,":"," ",TIMETABLE!#REF!," ",TIMETABLE!#REF!)</f>
        <v>#REF!</v>
      </c>
      <c r="M45" s="314" t="e">
        <f>CONCATENATE(TIMETABLE!E$6," ","[",TIMETABLE!E$7," ","Students","]"," ",TIMETABLE!#REF!,":"," ",TIMETABLE!#REF!," ",TIMETABLE!#REF!)</f>
        <v>#REF!</v>
      </c>
      <c r="N45" s="314" t="e">
        <f>CONCATENATE(TIMETABLE!#REF!," ","[",TIMETABLE!#REF!," ","Students","]"," ",TIMETABLE!#REF!,":"," ",TIMETABLE!#REF!," ",TIMETABLE!#REF!)</f>
        <v>#REF!</v>
      </c>
      <c r="O45" s="314" t="e">
        <f>CONCATENATE(TIMETABLE!#REF!," ","[",TIMETABLE!#REF!," ","Students","]"," ",TIMETABLE!#REF!,":"," ",TIMETABLE!#REF!," ",TIMETABLE!#REF!)</f>
        <v>#REF!</v>
      </c>
      <c r="P45" s="314" t="e">
        <f>CONCATENATE(TIMETABLE!F$6," ","[",TIMETABLE!F$7," ","Students","]"," ",TIMETABLE!#REF!,":"," ",TIMETABLE!#REF!," ",TIMETABLE!#REF!)</f>
        <v>#REF!</v>
      </c>
      <c r="Q45" s="314" t="e">
        <f>CONCATENATE(TIMETABLE!G$6," ","[",TIMETABLE!G$7," ","Students","]"," ",TIMETABLE!#REF!,":"," ",TIMETABLE!#REF!," ",TIMETABLE!#REF!)</f>
        <v>#REF!</v>
      </c>
      <c r="R45" s="314" t="e">
        <f>CONCATENATE(TIMETABLE!#REF!," ","[",TIMETABLE!#REF!," ","Students","]"," ",TIMETABLE!#REF!,":"," ",TIMETABLE!#REF!," ",TIMETABLE!#REF!)</f>
        <v>#REF!</v>
      </c>
      <c r="S45" s="314" t="e">
        <f>CONCATENATE(TIMETABLE!#REF!," ","[",TIMETABLE!#REF!," ","Students","]"," ",TIMETABLE!#REF!,":"," ",TIMETABLE!#REF!," ",TIMETABLE!#REF!)</f>
        <v>#REF!</v>
      </c>
      <c r="T45" s="314" t="e">
        <f>CONCATENATE(TIMETABLE!J$6," ","[",TIMETABLE!J$7," ","Students","]"," ",TIMETABLE!#REF!,":"," ",TIMETABLE!#REF!," ",TIMETABLE!#REF!)</f>
        <v>#REF!</v>
      </c>
      <c r="U45" s="314" t="e">
        <f>CONCATENATE(TIMETABLE!#REF!," ","[",TIMETABLE!#REF!," ","Students","]"," ",TIMETABLE!#REF!,":"," ",TIMETABLE!#REF!," ",TIMETABLE!#REF!)</f>
        <v>#REF!</v>
      </c>
      <c r="V45" s="314" t="e">
        <f>CONCATENATE(TIMETABLE!#REF!," ","[",TIMETABLE!#REF!," ","Students","]"," ",TIMETABLE!#REF!,":"," ",TIMETABLE!#REF!," ",TIMETABLE!#REF!)</f>
        <v>#REF!</v>
      </c>
      <c r="W45" s="314" t="e">
        <f>CONCATENATE(TIMETABLE!#REF!," ","[",TIMETABLE!#REF!," ","Students","]"," ",TIMETABLE!#REF!,":"," ",TIMETABLE!#REF!," ",TIMETABLE!#REF!)</f>
        <v>#REF!</v>
      </c>
      <c r="X45" s="314" t="e">
        <f>CONCATENATE(TIMETABLE!#REF!," ","[",TIMETABLE!#REF!," ","Students","]"," ",TIMETABLE!#REF!,":"," ",TIMETABLE!#REF!," ",TIMETABLE!#REF!)</f>
        <v>#REF!</v>
      </c>
      <c r="Y45" s="314" t="e">
        <f>CONCATENATE(TIMETABLE!#REF!," ","[",TIMETABLE!#REF!," ","Students","]"," ",TIMETABLE!#REF!,":"," ",TIMETABLE!#REF!," ",TIMETABLE!#REF!)</f>
        <v>#REF!</v>
      </c>
      <c r="Z45" s="314" t="e">
        <f>CONCATENATE(TIMETABLE!#REF!," ","[",TIMETABLE!#REF!," ","Students","]"," ",TIMETABLE!#REF!,":"," ",TIMETABLE!#REF!," ",TIMETABLE!#REF!)</f>
        <v>#REF!</v>
      </c>
      <c r="AA45" s="314" t="e">
        <f>CONCATENATE(TIMETABLE!#REF!," ","[",TIMETABLE!#REF!," ","Students","]"," ",TIMETABLE!#REF!,":"," ",TIMETABLE!#REF!," ",TIMETABLE!#REF!)</f>
        <v>#REF!</v>
      </c>
      <c r="AB45" s="314" t="e">
        <f>CONCATENATE(TIMETABLE!#REF!," ","[",TIMETABLE!#REF!," ","Students","]"," ",TIMETABLE!#REF!,":"," ",TIMETABLE!#REF!," ",TIMETABLE!#REF!)</f>
        <v>#REF!</v>
      </c>
      <c r="AC45" s="314" t="e">
        <f>CONCATENATE(TIMETABLE!W$6," ","[",TIMETABLE!W$7," ","Students","]"," ",TIMETABLE!#REF!,":"," ",TIMETABLE!#REF!," ",TIMETABLE!#REF!)</f>
        <v>#REF!</v>
      </c>
      <c r="AD45" s="314" t="e">
        <f>CONCATENATE(TIMETABLE!#REF!," ","[",TIMETABLE!#REF!," ","Students","]"," ",TIMETABLE!#REF!,":"," ",TIMETABLE!#REF!," ",TIMETABLE!#REF!)</f>
        <v>#REF!</v>
      </c>
      <c r="AE45" s="314" t="e">
        <f>CONCATENATE(TIMETABLE!#REF!," ","[",TIMETABLE!#REF!," ","Students","]"," ",TIMETABLE!#REF!,":"," ",TIMETABLE!#REF!," ",TIMETABLE!#REF!)</f>
        <v>#REF!</v>
      </c>
      <c r="AF45" s="491"/>
    </row>
    <row r="46" spans="1:32" ht="23.4" x14ac:dyDescent="0.45">
      <c r="C46" s="491"/>
      <c r="D46" s="125"/>
      <c r="E46" s="107"/>
      <c r="F46" s="107"/>
      <c r="G46" s="107"/>
      <c r="H46" s="107"/>
      <c r="I46" s="107"/>
      <c r="J46" s="107"/>
      <c r="K46" s="107"/>
      <c r="L46" s="107"/>
      <c r="M46" s="107"/>
      <c r="N46" s="107"/>
      <c r="O46" s="107"/>
      <c r="P46" s="107"/>
      <c r="Q46" s="107"/>
      <c r="R46" s="107"/>
      <c r="S46" s="107"/>
      <c r="T46" s="107"/>
      <c r="U46" s="107"/>
      <c r="V46" s="107"/>
      <c r="W46" s="107"/>
      <c r="X46" s="107"/>
      <c r="Y46" s="107"/>
      <c r="Z46" s="107"/>
      <c r="AA46" s="107"/>
      <c r="AB46" s="107"/>
      <c r="AC46" s="107"/>
      <c r="AD46" s="107"/>
      <c r="AE46" s="107"/>
      <c r="AF46" s="491"/>
    </row>
    <row r="47" spans="1:32" ht="23.4" x14ac:dyDescent="0.45">
      <c r="C47" s="491"/>
      <c r="D47" s="125"/>
      <c r="E47" s="115"/>
      <c r="F47" s="115"/>
      <c r="G47" s="115"/>
      <c r="H47" s="115"/>
      <c r="I47" s="115"/>
      <c r="J47" s="115"/>
      <c r="K47" s="115"/>
      <c r="L47" s="115"/>
      <c r="M47" s="115"/>
      <c r="N47" s="115"/>
      <c r="O47" s="115"/>
      <c r="P47" s="115"/>
      <c r="Q47" s="115"/>
      <c r="R47" s="115"/>
      <c r="S47" s="115"/>
      <c r="T47" s="115"/>
      <c r="U47" s="115"/>
      <c r="V47" s="115"/>
      <c r="W47" s="115"/>
      <c r="X47" s="115"/>
      <c r="Y47" s="115"/>
      <c r="Z47" s="115"/>
      <c r="AA47" s="115"/>
      <c r="AB47" s="115"/>
      <c r="AC47" s="115"/>
      <c r="AD47" s="115"/>
      <c r="AE47" s="115"/>
      <c r="AF47" s="491"/>
    </row>
    <row r="48" spans="1:32" ht="24" thickBot="1" x14ac:dyDescent="0.5">
      <c r="C48" s="492"/>
      <c r="D48" s="128"/>
      <c r="E48" s="314" t="e">
        <f>CONCATENATE(TIMETABLE!#REF!," ","[",TIMETABLE!#REF!," ","Students","]"," ",TIMETABLE!#REF!,":"," ",TIMETABLE!#REF!," ",TIMETABLE!#REF!)</f>
        <v>#REF!</v>
      </c>
      <c r="F48" s="314" t="e">
        <f>CONCATENATE(TIMETABLE!#REF!," ","[",TIMETABLE!#REF!," ","Students","]"," ",TIMETABLE!#REF!,":"," ",TIMETABLE!#REF!," ",TIMETABLE!#REF!)</f>
        <v>#REF!</v>
      </c>
      <c r="G48" s="314" t="e">
        <f>CONCATENATE(TIMETABLE!#REF!," ","[",TIMETABLE!#REF!," ","Students","]"," ",TIMETABLE!#REF!,":"," ",TIMETABLE!#REF!," ",TIMETABLE!#REF!)</f>
        <v>#REF!</v>
      </c>
      <c r="H48" s="314" t="e">
        <f>CONCATENATE(TIMETABLE!#REF!," ","[",TIMETABLE!#REF!," ","Students","]"," ",TIMETABLE!#REF!,":"," ",TIMETABLE!#REF!," ",TIMETABLE!#REF!)</f>
        <v>#REF!</v>
      </c>
      <c r="I48" s="314" t="e">
        <f>CONCATENATE(TIMETABLE!#REF!," ","[",TIMETABLE!#REF!," ","Students","]"," ",TIMETABLE!#REF!,":"," ",TIMETABLE!#REF!," ",TIMETABLE!#REF!)</f>
        <v>#REF!</v>
      </c>
      <c r="J48" s="314" t="e">
        <f>CONCATENATE(TIMETABLE!#REF!," ","[",TIMETABLE!#REF!," ","Students","]"," ",TIMETABLE!#REF!,":"," ",TIMETABLE!#REF!," ",TIMETABLE!#REF!)</f>
        <v>#REF!</v>
      </c>
      <c r="K48" s="314" t="e">
        <f>CONCATENATE(TIMETABLE!#REF!," ","[",TIMETABLE!#REF!," ","Students","]"," ",TIMETABLE!#REF!,":"," ",TIMETABLE!#REF!," ",TIMETABLE!#REF!)</f>
        <v>#REF!</v>
      </c>
      <c r="L48" s="314" t="str">
        <f>CONCATENATE(TIMETABLE!D$6," ","[",TIMETABLE!D$7," ","Students","]"," ",TIMETABLE!D23,":"," ",TIMETABLE!D26," ",TIMETABLE!D25)</f>
        <v xml:space="preserve">BSME/SEP2020/J-FT [Y2S1  (50) Students] :  </v>
      </c>
      <c r="M48" s="314" t="str">
        <f>CONCATENATE(TIMETABLE!E$6," ","[",TIMETABLE!E$7," ","Students","]"," ",TIMETABLE!E23,":"," ",TIMETABLE!E26," ",TIMETABLE!E25)</f>
        <v xml:space="preserve">BSME/AUG2021/J-FT [Y1S2  (55) Students] :  </v>
      </c>
      <c r="N48" s="314" t="e">
        <f>CONCATENATE(TIMETABLE!#REF!," ","[",TIMETABLE!#REF!," ","Students","]"," ",TIMETABLE!#REF!,":"," ",TIMETABLE!#REF!," ",TIMETABLE!#REF!)</f>
        <v>#REF!</v>
      </c>
      <c r="O48" s="314" t="e">
        <f>CONCATENATE(TIMETABLE!#REF!," ","[",TIMETABLE!#REF!," ","Students","]"," ",TIMETABLE!#REF!,":"," ",TIMETABLE!#REF!," ",TIMETABLE!#REF!)</f>
        <v>#REF!</v>
      </c>
      <c r="P48" s="314" t="str">
        <f>CONCATENATE(TIMETABLE!F$6," ","[",TIMETABLE!F$7," ","Students","]"," ",TIMETABLE!F23,":"," ",TIMETABLE!F26," ",TIMETABLE!F25)</f>
        <v>BTME/SEP2019/S-PT [Y3S1   (10) Students] TMC 4311: NYAMU.. FET 109</v>
      </c>
      <c r="Q48" s="314" t="str">
        <f>CONCATENATE(TIMETABLE!G$6," ","[",TIMETABLE!G$7," ","Students","]"," ",TIMETABLE!G23,":"," ",TIMETABLE!G26," ",TIMETABLE!G25)</f>
        <v>BTME/AUG2021/S-PT [Y2S2   (10) Students] TMC 4225: MUNIALO CH</v>
      </c>
      <c r="R48" s="314" t="e">
        <f>CONCATENATE(TIMETABLE!#REF!," ","[",TIMETABLE!#REF!," ","Students","]"," ",TIMETABLE!#REF!,":"," ",TIMETABLE!#REF!," ",TIMETABLE!#REF!)</f>
        <v>#REF!</v>
      </c>
      <c r="S48" s="314" t="e">
        <f>CONCATENATE(TIMETABLE!#REF!," ","[",TIMETABLE!#REF!," ","Students","]"," ",TIMETABLE!#REF!,":"," ",TIMETABLE!#REF!," ",TIMETABLE!#REF!)</f>
        <v>#REF!</v>
      </c>
      <c r="T48" s="314" t="str">
        <f>CONCATENATE(TIMETABLE!J$6," ","[",TIMETABLE!J$7," ","Students","]"," ",TIMETABLE!J23,":"," ",TIMETABLE!J26," ",TIMETABLE!J25)</f>
        <v xml:space="preserve">BTME/AUG2021/J&amp;S-FT [Y1S1  (52) Students] :  </v>
      </c>
      <c r="U48" s="314" t="e">
        <f>CONCATENATE(TIMETABLE!#REF!," ","[",TIMETABLE!#REF!," ","Students","]"," ",TIMETABLE!#REF!,":"," ",TIMETABLE!#REF!," ",TIMETABLE!#REF!)</f>
        <v>#REF!</v>
      </c>
      <c r="V48" s="314" t="e">
        <f>CONCATENATE(TIMETABLE!#REF!," ","[",TIMETABLE!#REF!," ","Students","]"," ",TIMETABLE!#REF!,":"," ",TIMETABLE!#REF!," ",TIMETABLE!#REF!)</f>
        <v>#REF!</v>
      </c>
      <c r="W48" s="314" t="e">
        <f>CONCATENATE(TIMETABLE!#REF!," ","[",TIMETABLE!#REF!," ","Students","]"," ",TIMETABLE!#REF!,":"," ",TIMETABLE!#REF!," ",TIMETABLE!#REF!)</f>
        <v>#REF!</v>
      </c>
      <c r="X48" s="314" t="e">
        <f>CONCATENATE(TIMETABLE!#REF!," ","[",TIMETABLE!#REF!," ","Students","]"," ",TIMETABLE!#REF!,":"," ",TIMETABLE!#REF!," ",TIMETABLE!#REF!)</f>
        <v>#REF!</v>
      </c>
      <c r="Y48" s="314" t="e">
        <f>CONCATENATE(TIMETABLE!#REF!," ","[",TIMETABLE!#REF!," ","Students","]"," ",TIMETABLE!#REF!,":"," ",TIMETABLE!#REF!," ",TIMETABLE!#REF!)</f>
        <v>#REF!</v>
      </c>
      <c r="Z48" s="314" t="e">
        <f>CONCATENATE(TIMETABLE!#REF!," ","[",TIMETABLE!#REF!," ","Students","]"," ",TIMETABLE!#REF!,":"," ",TIMETABLE!#REF!," ",TIMETABLE!#REF!)</f>
        <v>#REF!</v>
      </c>
      <c r="AA48" s="314" t="e">
        <f>CONCATENATE(TIMETABLE!#REF!," ","[",TIMETABLE!#REF!," ","Students","]"," ",TIMETABLE!#REF!,":"," ",TIMETABLE!#REF!," ",TIMETABLE!#REF!)</f>
        <v>#REF!</v>
      </c>
      <c r="AB48" s="314" t="e">
        <f>CONCATENATE(TIMETABLE!#REF!," ","[",TIMETABLE!#REF!," ","Students","]"," ",TIMETABLE!#REF!,":"," ",TIMETABLE!#REF!," ",TIMETABLE!#REF!)</f>
        <v>#REF!</v>
      </c>
      <c r="AC48" s="314" t="str">
        <f>CONCATENATE(TIMETABLE!W$6," ","[",TIMETABLE!W$7," ","Students","]"," ",TIMETABLE!W23,":"," ",TIMETABLE!W26," ",TIMETABLE!W25)</f>
        <v xml:space="preserve">DMAE/SEP20201J&amp;S-FT [Y1S2   (60) Students] :  </v>
      </c>
      <c r="AD48" s="314" t="e">
        <f>CONCATENATE(TIMETABLE!#REF!," ","[",TIMETABLE!#REF!," ","Students","]"," ",TIMETABLE!#REF!,":"," ",TIMETABLE!#REF!," ",TIMETABLE!#REF!)</f>
        <v>#REF!</v>
      </c>
      <c r="AE48" s="314" t="e">
        <f>CONCATENATE(TIMETABLE!#REF!," ","[",TIMETABLE!#REF!," ","Students","]"," ",TIMETABLE!#REF!,":"," ",TIMETABLE!#REF!," ",TIMETABLE!#REF!)</f>
        <v>#REF!</v>
      </c>
      <c r="AF48" s="491"/>
    </row>
    <row r="49" spans="3:32" ht="24" thickTop="1" x14ac:dyDescent="0.45">
      <c r="C49" s="502"/>
      <c r="D49" s="129"/>
      <c r="E49" s="130"/>
      <c r="F49" s="130"/>
      <c r="G49" s="130"/>
      <c r="H49" s="130"/>
      <c r="I49" s="130"/>
      <c r="J49" s="130"/>
      <c r="K49" s="130"/>
      <c r="L49" s="130"/>
      <c r="M49" s="130"/>
      <c r="N49" s="130"/>
      <c r="O49" s="130"/>
      <c r="P49" s="130"/>
      <c r="Q49" s="130"/>
      <c r="R49" s="130"/>
      <c r="S49" s="130"/>
      <c r="T49" s="130"/>
      <c r="U49" s="130"/>
      <c r="V49" s="130"/>
      <c r="W49" s="130"/>
      <c r="X49" s="130"/>
      <c r="Y49" s="130"/>
      <c r="Z49" s="130"/>
      <c r="AA49" s="130"/>
      <c r="AB49" s="130"/>
      <c r="AC49" s="130"/>
      <c r="AD49" s="130"/>
      <c r="AE49" s="130"/>
      <c r="AF49" s="505"/>
    </row>
    <row r="50" spans="3:32" ht="23.4" x14ac:dyDescent="0.45">
      <c r="C50" s="495"/>
      <c r="D50" s="133"/>
      <c r="E50" s="134"/>
      <c r="F50" s="134"/>
      <c r="G50" s="134"/>
      <c r="H50" s="134"/>
      <c r="I50" s="134"/>
      <c r="J50" s="134"/>
      <c r="K50" s="134"/>
      <c r="L50" s="134"/>
      <c r="M50" s="134"/>
      <c r="N50" s="134"/>
      <c r="O50" s="134"/>
      <c r="P50" s="134"/>
      <c r="Q50" s="134"/>
      <c r="R50" s="134"/>
      <c r="S50" s="134"/>
      <c r="T50" s="134"/>
      <c r="U50" s="134"/>
      <c r="V50" s="134"/>
      <c r="W50" s="134"/>
      <c r="X50" s="134"/>
      <c r="Y50" s="134"/>
      <c r="Z50" s="134"/>
      <c r="AA50" s="134"/>
      <c r="AB50" s="134"/>
      <c r="AC50" s="134"/>
      <c r="AD50" s="134"/>
      <c r="AE50" s="134"/>
      <c r="AF50" s="495"/>
    </row>
    <row r="51" spans="3:32" ht="24" thickBot="1" x14ac:dyDescent="0.5">
      <c r="C51" s="495"/>
      <c r="D51" s="135"/>
      <c r="E51" s="315" t="e">
        <f>CONCATENATE(TIMETABLE!#REF!," ","[",TIMETABLE!#REF!," ","Students","]"," ",TIMETABLE!#REF!,":"," ",TIMETABLE!#REF!," ",TIMETABLE!#REF!)</f>
        <v>#REF!</v>
      </c>
      <c r="F51" s="315" t="e">
        <f>CONCATENATE(TIMETABLE!#REF!," ","[",TIMETABLE!#REF!," ","Students","]"," ",TIMETABLE!#REF!,":"," ",TIMETABLE!#REF!," ",TIMETABLE!#REF!)</f>
        <v>#REF!</v>
      </c>
      <c r="G51" s="315" t="e">
        <f>CONCATENATE(TIMETABLE!#REF!," ","[",TIMETABLE!#REF!," ","Students","]"," ",TIMETABLE!#REF!,":"," ",TIMETABLE!#REF!," ",TIMETABLE!#REF!)</f>
        <v>#REF!</v>
      </c>
      <c r="H51" s="315" t="e">
        <f>CONCATENATE(TIMETABLE!#REF!," ","[",TIMETABLE!#REF!," ","Students","]"," ",TIMETABLE!#REF!,":"," ",TIMETABLE!#REF!," ",TIMETABLE!#REF!)</f>
        <v>#REF!</v>
      </c>
      <c r="I51" s="315" t="e">
        <f>CONCATENATE(TIMETABLE!#REF!," ","[",TIMETABLE!#REF!," ","Students","]"," ",TIMETABLE!#REF!,":"," ",TIMETABLE!#REF!," ",TIMETABLE!#REF!)</f>
        <v>#REF!</v>
      </c>
      <c r="J51" s="315" t="e">
        <f>CONCATENATE(TIMETABLE!#REF!," ","[",TIMETABLE!#REF!," ","Students","]"," ",TIMETABLE!#REF!,":"," ",TIMETABLE!#REF!," ",TIMETABLE!#REF!)</f>
        <v>#REF!</v>
      </c>
      <c r="K51" s="315" t="e">
        <f>CONCATENATE(TIMETABLE!#REF!," ","[",TIMETABLE!#REF!," ","Students","]"," ",TIMETABLE!#REF!,":"," ",TIMETABLE!#REF!," ",TIMETABLE!#REF!)</f>
        <v>#REF!</v>
      </c>
      <c r="L51" s="315" t="e">
        <f>CONCATENATE(TIMETABLE!D$6," ","[",TIMETABLE!D$7," ","Students","]"," ",TIMETABLE!#REF!,":"," ",TIMETABLE!#REF!," ",TIMETABLE!#REF!)</f>
        <v>#REF!</v>
      </c>
      <c r="M51" s="315" t="str">
        <f>CONCATENATE(TIMETABLE!E$6," ","[",TIMETABLE!E$7," ","Students","]"," ",TIMETABLE!E27,":"," ",TIMETABLE!E30," ",TIMETABLE!E29)</f>
        <v>BSME/AUG2021/J-FT [Y1S2  (55) Students] APS 4102: DR. OMBOGA MB 13A</v>
      </c>
      <c r="N51" s="315" t="e">
        <f>CONCATENATE(TIMETABLE!#REF!," ","[",TIMETABLE!#REF!," ","Students","]"," ",TIMETABLE!#REF!,":"," ",TIMETABLE!#REF!," ",TIMETABLE!#REF!)</f>
        <v>#REF!</v>
      </c>
      <c r="O51" s="315" t="e">
        <f>CONCATENATE(TIMETABLE!#REF!," ","[",TIMETABLE!#REF!," ","Students","]"," ",TIMETABLE!#REF!,":"," ",TIMETABLE!#REF!," ",TIMETABLE!#REF!)</f>
        <v>#REF!</v>
      </c>
      <c r="P51" s="315" t="str">
        <f>CONCATENATE(TIMETABLE!F$6," ","[",TIMETABLE!F$7," ","Students","]"," ",TIMETABLE!F27,":"," ",TIMETABLE!F30," ",TIMETABLE!F29)</f>
        <v xml:space="preserve">BTME/SEP2019/S-PT [Y3S1   (10) Students] :  </v>
      </c>
      <c r="Q51" s="315" t="str">
        <f>CONCATENATE(TIMETABLE!G$6," ","[",TIMETABLE!G$7," ","Students","]"," ",TIMETABLE!G27,":"," ",TIMETABLE!G30," ",TIMETABLE!G29)</f>
        <v xml:space="preserve">BTME/AUG2021/S-PT [Y2S2   (10) Students] :  </v>
      </c>
      <c r="R51" s="315" t="e">
        <f>CONCATENATE(TIMETABLE!#REF!," ","[",TIMETABLE!#REF!," ","Students","]"," ",TIMETABLE!#REF!,":"," ",TIMETABLE!#REF!," ",TIMETABLE!#REF!)</f>
        <v>#REF!</v>
      </c>
      <c r="S51" s="315" t="e">
        <f>CONCATENATE(TIMETABLE!#REF!," ","[",TIMETABLE!#REF!," ","Students","]"," ",TIMETABLE!#REF!,":"," ",TIMETABLE!#REF!," ",TIMETABLE!#REF!)</f>
        <v>#REF!</v>
      </c>
      <c r="T51" s="315" t="e">
        <f>CONCATENATE(TIMETABLE!J$6," ","[",TIMETABLE!J$7," ","Students","]"," ",TIMETABLE!#REF!,":"," ",TIMETABLE!#REF!," ",TIMETABLE!#REF!)</f>
        <v>#REF!</v>
      </c>
      <c r="U51" s="315" t="e">
        <f>CONCATENATE(TIMETABLE!#REF!," ","[",TIMETABLE!#REF!," ","Students","]"," ",TIMETABLE!#REF!,":"," ",TIMETABLE!#REF!," ",TIMETABLE!#REF!)</f>
        <v>#REF!</v>
      </c>
      <c r="V51" s="315" t="e">
        <f>CONCATENATE(TIMETABLE!#REF!," ","[",TIMETABLE!#REF!," ","Students","]"," ",TIMETABLE!#REF!,":"," ",TIMETABLE!#REF!," ",TIMETABLE!#REF!)</f>
        <v>#REF!</v>
      </c>
      <c r="W51" s="315" t="e">
        <f>CONCATENATE(TIMETABLE!#REF!," ","[",TIMETABLE!#REF!," ","Students","]"," ",TIMETABLE!#REF!,":"," ",TIMETABLE!#REF!," ",TIMETABLE!#REF!)</f>
        <v>#REF!</v>
      </c>
      <c r="X51" s="315" t="e">
        <f>CONCATENATE(TIMETABLE!#REF!," ","[",TIMETABLE!#REF!," ","Students","]"," ",TIMETABLE!#REF!,":"," ",TIMETABLE!#REF!," ",TIMETABLE!#REF!)</f>
        <v>#REF!</v>
      </c>
      <c r="Y51" s="315" t="e">
        <f>CONCATENATE(TIMETABLE!#REF!," ","[",TIMETABLE!#REF!," ","Students","]"," ",TIMETABLE!#REF!,":"," ",TIMETABLE!#REF!," ",TIMETABLE!#REF!)</f>
        <v>#REF!</v>
      </c>
      <c r="Z51" s="315" t="e">
        <f>CONCATENATE(TIMETABLE!#REF!," ","[",TIMETABLE!#REF!," ","Students","]"," ",TIMETABLE!#REF!,":"," ",TIMETABLE!#REF!," ",TIMETABLE!#REF!)</f>
        <v>#REF!</v>
      </c>
      <c r="AA51" s="315" t="e">
        <f>CONCATENATE(TIMETABLE!#REF!," ","[",TIMETABLE!#REF!," ","Students","]"," ",TIMETABLE!#REF!,":"," ",TIMETABLE!#REF!," ",TIMETABLE!#REF!)</f>
        <v>#REF!</v>
      </c>
      <c r="AB51" s="315" t="e">
        <f>CONCATENATE(TIMETABLE!#REF!," ","[",TIMETABLE!#REF!," ","Students","]"," ",TIMETABLE!#REF!,":"," ",TIMETABLE!#REF!," ",TIMETABLE!#REF!)</f>
        <v>#REF!</v>
      </c>
      <c r="AC51" s="315" t="str">
        <f>CONCATENATE(TIMETABLE!W$6," ","[",TIMETABLE!W$7," ","Students","]"," ",TIMETABLE!W27,":"," ",TIMETABLE!W30," ",TIMETABLE!W29)</f>
        <v>DMAE/SEP20201J&amp;S-FT [Y1S2   (60) Students] EMR 2131: KIMATHI/MUTUKU MV/WSHOP</v>
      </c>
      <c r="AD51" s="315" t="e">
        <f>CONCATENATE(TIMETABLE!#REF!," ","[",TIMETABLE!#REF!," ","Students","]"," ",TIMETABLE!#REF!,":"," ",TIMETABLE!#REF!," ",TIMETABLE!#REF!)</f>
        <v>#REF!</v>
      </c>
      <c r="AE51" s="315" t="e">
        <f>CONCATENATE(TIMETABLE!#REF!," ","[",TIMETABLE!#REF!," ","Students","]"," ",TIMETABLE!#REF!,":"," ",TIMETABLE!#REF!," ",TIMETABLE!#REF!)</f>
        <v>#REF!</v>
      </c>
      <c r="AF51" s="495"/>
    </row>
    <row r="52" spans="3:32" ht="23.4" x14ac:dyDescent="0.45">
      <c r="C52" s="495"/>
      <c r="D52" s="137"/>
      <c r="E52" s="130"/>
      <c r="F52" s="130"/>
      <c r="G52" s="130"/>
      <c r="H52" s="130"/>
      <c r="I52" s="130"/>
      <c r="J52" s="130"/>
      <c r="K52" s="130"/>
      <c r="L52" s="130"/>
      <c r="M52" s="130"/>
      <c r="N52" s="130"/>
      <c r="O52" s="130"/>
      <c r="P52" s="130"/>
      <c r="Q52" s="130"/>
      <c r="R52" s="130"/>
      <c r="S52" s="130"/>
      <c r="T52" s="130"/>
      <c r="U52" s="130"/>
      <c r="V52" s="130"/>
      <c r="W52" s="130"/>
      <c r="X52" s="130"/>
      <c r="Y52" s="130"/>
      <c r="Z52" s="130"/>
      <c r="AA52" s="130"/>
      <c r="AB52" s="130"/>
      <c r="AC52" s="130"/>
      <c r="AD52" s="130"/>
      <c r="AE52" s="130"/>
      <c r="AF52" s="495"/>
    </row>
    <row r="53" spans="3:32" ht="23.4" x14ac:dyDescent="0.45">
      <c r="C53" s="495"/>
      <c r="D53" s="137"/>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c r="AC53" s="134"/>
      <c r="AD53" s="134"/>
      <c r="AE53" s="134"/>
      <c r="AF53" s="495"/>
    </row>
    <row r="54" spans="3:32" ht="24" thickBot="1" x14ac:dyDescent="0.5">
      <c r="C54" s="495"/>
      <c r="D54" s="135"/>
      <c r="E54" s="315" t="e">
        <f>CONCATENATE(TIMETABLE!#REF!," ","[",TIMETABLE!#REF!," ","Students","]"," ",TIMETABLE!#REF!,":"," ",TIMETABLE!#REF!," ",TIMETABLE!#REF!)</f>
        <v>#REF!</v>
      </c>
      <c r="F54" s="315" t="e">
        <f>CONCATENATE(TIMETABLE!#REF!," ","[",TIMETABLE!#REF!," ","Students","]"," ",TIMETABLE!#REF!,":"," ",TIMETABLE!#REF!," ",TIMETABLE!#REF!)</f>
        <v>#REF!</v>
      </c>
      <c r="G54" s="315" t="e">
        <f>CONCATENATE(TIMETABLE!#REF!," ","[",TIMETABLE!#REF!," ","Students","]"," ",TIMETABLE!#REF!,":"," ",TIMETABLE!#REF!," ",TIMETABLE!#REF!)</f>
        <v>#REF!</v>
      </c>
      <c r="H54" s="315" t="e">
        <f>CONCATENATE(TIMETABLE!#REF!," ","[",TIMETABLE!#REF!," ","Students","]"," ",TIMETABLE!#REF!,":"," ",TIMETABLE!#REF!," ",TIMETABLE!#REF!)</f>
        <v>#REF!</v>
      </c>
      <c r="I54" s="315" t="e">
        <f>CONCATENATE(TIMETABLE!#REF!," ","[",TIMETABLE!#REF!," ","Students","]"," ",TIMETABLE!#REF!,":"," ",TIMETABLE!#REF!," ",TIMETABLE!#REF!)</f>
        <v>#REF!</v>
      </c>
      <c r="J54" s="315" t="e">
        <f>CONCATENATE(TIMETABLE!#REF!," ","[",TIMETABLE!#REF!," ","Students","]"," ",TIMETABLE!#REF!,":"," ",TIMETABLE!#REF!," ",TIMETABLE!#REF!)</f>
        <v>#REF!</v>
      </c>
      <c r="K54" s="315" t="e">
        <f>CONCATENATE(TIMETABLE!#REF!," ","[",TIMETABLE!#REF!," ","Students","]"," ",TIMETABLE!#REF!,":"," ",TIMETABLE!#REF!," ",TIMETABLE!#REF!)</f>
        <v>#REF!</v>
      </c>
      <c r="L54" s="315" t="e">
        <f>CONCATENATE(TIMETABLE!D$6," ","[",TIMETABLE!D$7," ","Students","]"," ",TIMETABLE!#REF!,":"," ",TIMETABLE!#REF!," ",TIMETABLE!#REF!)</f>
        <v>#REF!</v>
      </c>
      <c r="M54" s="315" t="e">
        <f>CONCATENATE(TIMETABLE!E$6," ","[",TIMETABLE!E$7," ","Students","]"," ",TIMETABLE!#REF!,":"," ",TIMETABLE!#REF!," ",TIMETABLE!#REF!)</f>
        <v>#REF!</v>
      </c>
      <c r="N54" s="315" t="e">
        <f>CONCATENATE(TIMETABLE!#REF!," ","[",TIMETABLE!#REF!," ","Students","]"," ",TIMETABLE!#REF!,":"," ",TIMETABLE!#REF!," ",TIMETABLE!#REF!)</f>
        <v>#REF!</v>
      </c>
      <c r="O54" s="315" t="e">
        <f>CONCATENATE(TIMETABLE!#REF!," ","[",TIMETABLE!#REF!," ","Students","]"," ",TIMETABLE!#REF!,":"," ",TIMETABLE!#REF!," ",TIMETABLE!#REF!)</f>
        <v>#REF!</v>
      </c>
      <c r="P54" s="315" t="e">
        <f>CONCATENATE(TIMETABLE!F$6," ","[",TIMETABLE!F$7," ","Students","]"," ",TIMETABLE!#REF!,":"," ",TIMETABLE!#REF!," ",TIMETABLE!#REF!)</f>
        <v>#REF!</v>
      </c>
      <c r="Q54" s="315" t="e">
        <f>CONCATENATE(TIMETABLE!G$6," ","[",TIMETABLE!G$7," ","Students","]"," ",TIMETABLE!#REF!,":"," ",TIMETABLE!#REF!," ",TIMETABLE!#REF!)</f>
        <v>#REF!</v>
      </c>
      <c r="R54" s="315" t="e">
        <f>CONCATENATE(TIMETABLE!#REF!," ","[",TIMETABLE!#REF!," ","Students","]"," ",TIMETABLE!#REF!,":"," ",TIMETABLE!#REF!," ",TIMETABLE!#REF!)</f>
        <v>#REF!</v>
      </c>
      <c r="S54" s="315" t="e">
        <f>CONCATENATE(TIMETABLE!#REF!," ","[",TIMETABLE!#REF!," ","Students","]"," ",TIMETABLE!#REF!,":"," ",TIMETABLE!#REF!," ",TIMETABLE!#REF!)</f>
        <v>#REF!</v>
      </c>
      <c r="T54" s="315" t="e">
        <f>CONCATENATE(TIMETABLE!J$6," ","[",TIMETABLE!J$7," ","Students","]"," ",TIMETABLE!#REF!,":"," ",TIMETABLE!#REF!," ",TIMETABLE!#REF!)</f>
        <v>#REF!</v>
      </c>
      <c r="U54" s="315" t="e">
        <f>CONCATENATE(TIMETABLE!#REF!," ","[",TIMETABLE!#REF!," ","Students","]"," ",TIMETABLE!#REF!,":"," ",TIMETABLE!#REF!," ",TIMETABLE!#REF!)</f>
        <v>#REF!</v>
      </c>
      <c r="V54" s="315" t="e">
        <f>CONCATENATE(TIMETABLE!#REF!," ","[",TIMETABLE!#REF!," ","Students","]"," ",TIMETABLE!#REF!,":"," ",TIMETABLE!#REF!," ",TIMETABLE!#REF!)</f>
        <v>#REF!</v>
      </c>
      <c r="W54" s="315" t="e">
        <f>CONCATENATE(TIMETABLE!#REF!," ","[",TIMETABLE!#REF!," ","Students","]"," ",TIMETABLE!#REF!,":"," ",TIMETABLE!#REF!," ",TIMETABLE!#REF!)</f>
        <v>#REF!</v>
      </c>
      <c r="X54" s="315" t="e">
        <f>CONCATENATE(TIMETABLE!#REF!," ","[",TIMETABLE!#REF!," ","Students","]"," ",TIMETABLE!#REF!,":"," ",TIMETABLE!#REF!," ",TIMETABLE!#REF!)</f>
        <v>#REF!</v>
      </c>
      <c r="Y54" s="315" t="e">
        <f>CONCATENATE(TIMETABLE!#REF!," ","[",TIMETABLE!#REF!," ","Students","]"," ",TIMETABLE!#REF!,":"," ",TIMETABLE!#REF!," ",TIMETABLE!#REF!)</f>
        <v>#REF!</v>
      </c>
      <c r="Z54" s="315" t="e">
        <f>CONCATENATE(TIMETABLE!#REF!," ","[",TIMETABLE!#REF!," ","Students","]"," ",TIMETABLE!#REF!,":"," ",TIMETABLE!#REF!," ",TIMETABLE!#REF!)</f>
        <v>#REF!</v>
      </c>
      <c r="AA54" s="315" t="e">
        <f>CONCATENATE(TIMETABLE!#REF!," ","[",TIMETABLE!#REF!," ","Students","]"," ",TIMETABLE!#REF!,":"," ",TIMETABLE!#REF!," ",TIMETABLE!#REF!)</f>
        <v>#REF!</v>
      </c>
      <c r="AB54" s="315" t="e">
        <f>CONCATENATE(TIMETABLE!#REF!," ","[",TIMETABLE!#REF!," ","Students","]"," ",TIMETABLE!#REF!,":"," ",TIMETABLE!#REF!," ",TIMETABLE!#REF!)</f>
        <v>#REF!</v>
      </c>
      <c r="AC54" s="315" t="e">
        <f>CONCATENATE(TIMETABLE!W$6," ","[",TIMETABLE!W$7," ","Students","]"," ",TIMETABLE!#REF!,":"," ",TIMETABLE!#REF!," ",TIMETABLE!#REF!)</f>
        <v>#REF!</v>
      </c>
      <c r="AD54" s="315" t="e">
        <f>CONCATENATE(TIMETABLE!#REF!," ","[",TIMETABLE!#REF!," ","Students","]"," ",TIMETABLE!#REF!,":"," ",TIMETABLE!#REF!," ",TIMETABLE!#REF!)</f>
        <v>#REF!</v>
      </c>
      <c r="AE54" s="315" t="e">
        <f>CONCATENATE(TIMETABLE!#REF!," ","[",TIMETABLE!#REF!," ","Students","]"," ",TIMETABLE!#REF!,":"," ",TIMETABLE!#REF!," ",TIMETABLE!#REF!)</f>
        <v>#REF!</v>
      </c>
      <c r="AF54" s="495"/>
    </row>
    <row r="55" spans="3:32" ht="23.4" x14ac:dyDescent="0.45">
      <c r="C55" s="495"/>
      <c r="D55" s="137"/>
      <c r="E55" s="130"/>
      <c r="F55" s="130"/>
      <c r="G55" s="130"/>
      <c r="H55" s="130"/>
      <c r="I55" s="130"/>
      <c r="J55" s="130"/>
      <c r="K55" s="130"/>
      <c r="L55" s="130"/>
      <c r="M55" s="130"/>
      <c r="N55" s="130"/>
      <c r="O55" s="130"/>
      <c r="P55" s="130"/>
      <c r="Q55" s="130"/>
      <c r="R55" s="130"/>
      <c r="S55" s="130"/>
      <c r="T55" s="130"/>
      <c r="U55" s="130"/>
      <c r="V55" s="130"/>
      <c r="W55" s="130"/>
      <c r="X55" s="130"/>
      <c r="Y55" s="130"/>
      <c r="Z55" s="130"/>
      <c r="AA55" s="130"/>
      <c r="AB55" s="130"/>
      <c r="AC55" s="130"/>
      <c r="AD55" s="130"/>
      <c r="AE55" s="130"/>
      <c r="AF55" s="495"/>
    </row>
    <row r="56" spans="3:32" ht="23.4" x14ac:dyDescent="0.45">
      <c r="C56" s="495"/>
      <c r="D56" s="139"/>
      <c r="E56" s="134"/>
      <c r="F56" s="134"/>
      <c r="G56" s="134"/>
      <c r="H56" s="134"/>
      <c r="I56" s="134"/>
      <c r="J56" s="134"/>
      <c r="K56" s="134"/>
      <c r="L56" s="134"/>
      <c r="M56" s="134"/>
      <c r="N56" s="134"/>
      <c r="O56" s="134"/>
      <c r="P56" s="134"/>
      <c r="Q56" s="134"/>
      <c r="R56" s="134"/>
      <c r="S56" s="134"/>
      <c r="T56" s="134"/>
      <c r="U56" s="134"/>
      <c r="V56" s="134"/>
      <c r="W56" s="134"/>
      <c r="X56" s="134"/>
      <c r="Y56" s="134"/>
      <c r="Z56" s="134"/>
      <c r="AA56" s="134"/>
      <c r="AB56" s="134"/>
      <c r="AC56" s="134"/>
      <c r="AD56" s="134"/>
      <c r="AE56" s="134"/>
      <c r="AF56" s="495"/>
    </row>
    <row r="57" spans="3:32" ht="24" thickBot="1" x14ac:dyDescent="0.5">
      <c r="C57" s="495"/>
      <c r="D57" s="135"/>
      <c r="E57" s="315" t="e">
        <f>CONCATENATE(TIMETABLE!#REF!," ","[",TIMETABLE!#REF!," ","Students","]"," ",TIMETABLE!#REF!,":"," ",TIMETABLE!#REF!," ",TIMETABLE!#REF!)</f>
        <v>#REF!</v>
      </c>
      <c r="F57" s="315" t="e">
        <f>CONCATENATE(TIMETABLE!#REF!," ","[",TIMETABLE!#REF!," ","Students","]"," ",TIMETABLE!#REF!,":"," ",TIMETABLE!#REF!," ",TIMETABLE!#REF!)</f>
        <v>#REF!</v>
      </c>
      <c r="G57" s="315" t="e">
        <f>CONCATENATE(TIMETABLE!#REF!," ","[",TIMETABLE!#REF!," ","Students","]"," ",TIMETABLE!#REF!,":"," ",TIMETABLE!#REF!," ",TIMETABLE!#REF!)</f>
        <v>#REF!</v>
      </c>
      <c r="H57" s="315" t="e">
        <f>CONCATENATE(TIMETABLE!#REF!," ","[",TIMETABLE!#REF!," ","Students","]"," ",TIMETABLE!#REF!,":"," ",TIMETABLE!#REF!," ",TIMETABLE!#REF!)</f>
        <v>#REF!</v>
      </c>
      <c r="I57" s="315" t="e">
        <f>CONCATENATE(TIMETABLE!#REF!," ","[",TIMETABLE!#REF!," ","Students","]"," ",TIMETABLE!#REF!,":"," ",TIMETABLE!#REF!," ",TIMETABLE!#REF!)</f>
        <v>#REF!</v>
      </c>
      <c r="J57" s="315" t="e">
        <f>CONCATENATE(TIMETABLE!#REF!," ","[",TIMETABLE!#REF!," ","Students","]"," ",TIMETABLE!#REF!,":"," ",TIMETABLE!#REF!," ",TIMETABLE!#REF!)</f>
        <v>#REF!</v>
      </c>
      <c r="K57" s="315" t="e">
        <f>CONCATENATE(TIMETABLE!#REF!," ","[",TIMETABLE!#REF!," ","Students","]"," ",TIMETABLE!#REF!,":"," ",TIMETABLE!#REF!," ",TIMETABLE!#REF!)</f>
        <v>#REF!</v>
      </c>
      <c r="L57" s="315" t="e">
        <f>CONCATENATE(TIMETABLE!D$6," ","[",TIMETABLE!D$7," ","Students","]"," ",TIMETABLE!#REF!,":"," ",TIMETABLE!#REF!," ",TIMETABLE!#REF!)</f>
        <v>#REF!</v>
      </c>
      <c r="M57" s="315" t="e">
        <f>CONCATENATE(TIMETABLE!E$6," ","[",TIMETABLE!E$7," ","Students","]"," ",TIMETABLE!#REF!,":"," ",TIMETABLE!#REF!," ",TIMETABLE!#REF!)</f>
        <v>#REF!</v>
      </c>
      <c r="N57" s="315" t="e">
        <f>CONCATENATE(TIMETABLE!#REF!," ","[",TIMETABLE!#REF!," ","Students","]"," ",TIMETABLE!#REF!,":"," ",TIMETABLE!#REF!," ",TIMETABLE!#REF!)</f>
        <v>#REF!</v>
      </c>
      <c r="O57" s="315" t="e">
        <f>CONCATENATE(TIMETABLE!#REF!," ","[",TIMETABLE!#REF!," ","Students","]"," ",TIMETABLE!#REF!,":"," ",TIMETABLE!#REF!," ",TIMETABLE!#REF!)</f>
        <v>#REF!</v>
      </c>
      <c r="P57" s="315" t="e">
        <f>CONCATENATE(TIMETABLE!F$6," ","[",TIMETABLE!F$7," ","Students","]"," ",TIMETABLE!#REF!,":"," ",TIMETABLE!#REF!," ",TIMETABLE!#REF!)</f>
        <v>#REF!</v>
      </c>
      <c r="Q57" s="315" t="e">
        <f>CONCATENATE(TIMETABLE!G$6," ","[",TIMETABLE!G$7," ","Students","]"," ",TIMETABLE!#REF!,":"," ",TIMETABLE!#REF!," ",TIMETABLE!#REF!)</f>
        <v>#REF!</v>
      </c>
      <c r="R57" s="315" t="e">
        <f>CONCATENATE(TIMETABLE!#REF!," ","[",TIMETABLE!#REF!," ","Students","]"," ",TIMETABLE!#REF!,":"," ",TIMETABLE!#REF!," ",TIMETABLE!#REF!)</f>
        <v>#REF!</v>
      </c>
      <c r="S57" s="315" t="e">
        <f>CONCATENATE(TIMETABLE!#REF!," ","[",TIMETABLE!#REF!," ","Students","]"," ",TIMETABLE!#REF!,":"," ",TIMETABLE!#REF!," ",TIMETABLE!#REF!)</f>
        <v>#REF!</v>
      </c>
      <c r="T57" s="315" t="e">
        <f>CONCATENATE(TIMETABLE!J$6," ","[",TIMETABLE!J$7," ","Students","]"," ",TIMETABLE!#REF!,":"," ",TIMETABLE!#REF!," ",TIMETABLE!#REF!)</f>
        <v>#REF!</v>
      </c>
      <c r="U57" s="315" t="e">
        <f>CONCATENATE(TIMETABLE!#REF!," ","[",TIMETABLE!#REF!," ","Students","]"," ",TIMETABLE!#REF!,":"," ",TIMETABLE!#REF!," ",TIMETABLE!#REF!)</f>
        <v>#REF!</v>
      </c>
      <c r="V57" s="315" t="e">
        <f>CONCATENATE(TIMETABLE!#REF!," ","[",TIMETABLE!#REF!," ","Students","]"," ",TIMETABLE!#REF!,":"," ",TIMETABLE!#REF!," ",TIMETABLE!#REF!)</f>
        <v>#REF!</v>
      </c>
      <c r="W57" s="315" t="e">
        <f>CONCATENATE(TIMETABLE!#REF!," ","[",TIMETABLE!#REF!," ","Students","]"," ",TIMETABLE!#REF!,":"," ",TIMETABLE!#REF!," ",TIMETABLE!#REF!)</f>
        <v>#REF!</v>
      </c>
      <c r="X57" s="315" t="e">
        <f>CONCATENATE(TIMETABLE!#REF!," ","[",TIMETABLE!#REF!," ","Students","]"," ",TIMETABLE!#REF!,":"," ",TIMETABLE!#REF!," ",TIMETABLE!#REF!)</f>
        <v>#REF!</v>
      </c>
      <c r="Y57" s="315" t="e">
        <f>CONCATENATE(TIMETABLE!#REF!," ","[",TIMETABLE!#REF!," ","Students","]"," ",TIMETABLE!#REF!,":"," ",TIMETABLE!#REF!," ",TIMETABLE!#REF!)</f>
        <v>#REF!</v>
      </c>
      <c r="Z57" s="315" t="e">
        <f>CONCATENATE(TIMETABLE!#REF!," ","[",TIMETABLE!#REF!," ","Students","]"," ",TIMETABLE!#REF!,":"," ",TIMETABLE!#REF!," ",TIMETABLE!#REF!)</f>
        <v>#REF!</v>
      </c>
      <c r="AA57" s="315" t="e">
        <f>CONCATENATE(TIMETABLE!#REF!," ","[",TIMETABLE!#REF!," ","Students","]"," ",TIMETABLE!#REF!,":"," ",TIMETABLE!#REF!," ",TIMETABLE!#REF!)</f>
        <v>#REF!</v>
      </c>
      <c r="AB57" s="315" t="e">
        <f>CONCATENATE(TIMETABLE!#REF!," ","[",TIMETABLE!#REF!," ","Students","]"," ",TIMETABLE!#REF!,":"," ",TIMETABLE!#REF!," ",TIMETABLE!#REF!)</f>
        <v>#REF!</v>
      </c>
      <c r="AC57" s="315" t="e">
        <f>CONCATENATE(TIMETABLE!W$6," ","[",TIMETABLE!W$7," ","Students","]"," ",TIMETABLE!#REF!,":"," ",TIMETABLE!#REF!," ",TIMETABLE!#REF!)</f>
        <v>#REF!</v>
      </c>
      <c r="AD57" s="315" t="e">
        <f>CONCATENATE(TIMETABLE!#REF!," ","[",TIMETABLE!#REF!," ","Students","]"," ",TIMETABLE!#REF!,":"," ",TIMETABLE!#REF!," ",TIMETABLE!#REF!)</f>
        <v>#REF!</v>
      </c>
      <c r="AE57" s="315" t="e">
        <f>CONCATENATE(TIMETABLE!#REF!," ","[",TIMETABLE!#REF!," ","Students","]"," ",TIMETABLE!#REF!,":"," ",TIMETABLE!#REF!," ",TIMETABLE!#REF!)</f>
        <v>#REF!</v>
      </c>
      <c r="AF57" s="495"/>
    </row>
    <row r="58" spans="3:32" ht="23.4" x14ac:dyDescent="0.45">
      <c r="C58" s="495"/>
      <c r="D58" s="137"/>
      <c r="E58" s="130"/>
      <c r="F58" s="130"/>
      <c r="G58" s="130"/>
      <c r="H58" s="130"/>
      <c r="I58" s="130"/>
      <c r="J58" s="130"/>
      <c r="K58" s="130"/>
      <c r="L58" s="130"/>
      <c r="M58" s="130"/>
      <c r="N58" s="130"/>
      <c r="O58" s="130"/>
      <c r="P58" s="130"/>
      <c r="Q58" s="130"/>
      <c r="R58" s="130"/>
      <c r="S58" s="130"/>
      <c r="T58" s="130"/>
      <c r="U58" s="130"/>
      <c r="V58" s="130"/>
      <c r="W58" s="130"/>
      <c r="X58" s="130"/>
      <c r="Y58" s="130"/>
      <c r="Z58" s="130"/>
      <c r="AA58" s="130"/>
      <c r="AB58" s="130"/>
      <c r="AC58" s="130"/>
      <c r="AD58" s="130"/>
      <c r="AE58" s="130"/>
      <c r="AF58" s="495"/>
    </row>
    <row r="59" spans="3:32" ht="23.4" x14ac:dyDescent="0.45">
      <c r="C59" s="495"/>
      <c r="D59" s="141"/>
      <c r="E59" s="134"/>
      <c r="F59" s="134"/>
      <c r="G59" s="134"/>
      <c r="H59" s="134"/>
      <c r="I59" s="134"/>
      <c r="J59" s="134"/>
      <c r="K59" s="134"/>
      <c r="L59" s="134"/>
      <c r="M59" s="134"/>
      <c r="N59" s="134"/>
      <c r="O59" s="134"/>
      <c r="P59" s="134"/>
      <c r="Q59" s="134"/>
      <c r="R59" s="134"/>
      <c r="S59" s="134"/>
      <c r="T59" s="134"/>
      <c r="U59" s="134"/>
      <c r="V59" s="134"/>
      <c r="W59" s="134"/>
      <c r="X59" s="134"/>
      <c r="Y59" s="134"/>
      <c r="Z59" s="134"/>
      <c r="AA59" s="134"/>
      <c r="AB59" s="134"/>
      <c r="AC59" s="134"/>
      <c r="AD59" s="134"/>
      <c r="AE59" s="134"/>
      <c r="AF59" s="495"/>
    </row>
    <row r="60" spans="3:32" ht="24" thickBot="1" x14ac:dyDescent="0.5">
      <c r="C60" s="495"/>
      <c r="D60" s="135"/>
      <c r="E60" s="315" t="e">
        <f>CONCATENATE(TIMETABLE!#REF!," ","[",TIMETABLE!#REF!," ","Students","]"," ",TIMETABLE!#REF!,":"," ",TIMETABLE!#REF!," ",TIMETABLE!#REF!)</f>
        <v>#REF!</v>
      </c>
      <c r="F60" s="315" t="e">
        <f>CONCATENATE(TIMETABLE!#REF!," ","[",TIMETABLE!#REF!," ","Students","]"," ",TIMETABLE!#REF!,":"," ",TIMETABLE!#REF!," ",TIMETABLE!#REF!)</f>
        <v>#REF!</v>
      </c>
      <c r="G60" s="315" t="e">
        <f>CONCATENATE(TIMETABLE!#REF!," ","[",TIMETABLE!#REF!," ","Students","]"," ",TIMETABLE!#REF!,":"," ",TIMETABLE!#REF!," ",TIMETABLE!#REF!)</f>
        <v>#REF!</v>
      </c>
      <c r="H60" s="315" t="e">
        <f>CONCATENATE(TIMETABLE!#REF!," ","[",TIMETABLE!#REF!," ","Students","]"," ",TIMETABLE!#REF!,":"," ",TIMETABLE!#REF!," ",TIMETABLE!#REF!)</f>
        <v>#REF!</v>
      </c>
      <c r="I60" s="315" t="e">
        <f>CONCATENATE(TIMETABLE!#REF!," ","[",TIMETABLE!#REF!," ","Students","]"," ",TIMETABLE!#REF!,":"," ",TIMETABLE!#REF!," ",TIMETABLE!#REF!)</f>
        <v>#REF!</v>
      </c>
      <c r="J60" s="315" t="e">
        <f>CONCATENATE(TIMETABLE!#REF!," ","[",TIMETABLE!#REF!," ","Students","]"," ",TIMETABLE!#REF!,":"," ",TIMETABLE!#REF!," ",TIMETABLE!#REF!)</f>
        <v>#REF!</v>
      </c>
      <c r="K60" s="315" t="e">
        <f>CONCATENATE(TIMETABLE!#REF!," ","[",TIMETABLE!#REF!," ","Students","]"," ",TIMETABLE!#REF!,":"," ",TIMETABLE!#REF!," ",TIMETABLE!#REF!)</f>
        <v>#REF!</v>
      </c>
      <c r="L60" s="315" t="str">
        <f>CONCATENATE(TIMETABLE!D$6," ","[",TIMETABLE!D$7," ","Students","]"," ",TIMETABLE!D31,":"," ",TIMETABLE!D34," ",TIMETABLE!D33)</f>
        <v>BSME/SEP2020/J-FT [Y2S1  (50) Students] AMA 4203: KARAKACHA FET108</v>
      </c>
      <c r="M60" s="315" t="str">
        <f>CONCATENATE(TIMETABLE!E$6," ","[",TIMETABLE!E$7," ","Students","]"," ",TIMETABLE!E31,":"," ",TIMETABLE!E34," ",TIMETABLE!E33)</f>
        <v>BSME/AUG2021/J-FT [Y1S2  (55) Students] EMC 4122: BENSON FET 107</v>
      </c>
      <c r="N60" s="315" t="e">
        <f>CONCATENATE(TIMETABLE!#REF!," ","[",TIMETABLE!#REF!," ","Students","]"," ",TIMETABLE!#REF!,":"," ",TIMETABLE!#REF!," ",TIMETABLE!#REF!)</f>
        <v>#REF!</v>
      </c>
      <c r="O60" s="315" t="e">
        <f>CONCATENATE(TIMETABLE!#REF!," ","[",TIMETABLE!#REF!," ","Students","]"," ",TIMETABLE!#REF!,":"," ",TIMETABLE!#REF!," ",TIMETABLE!#REF!)</f>
        <v>#REF!</v>
      </c>
      <c r="P60" s="315" t="str">
        <f>CONCATENATE(TIMETABLE!F$6," ","[",TIMETABLE!F$7," ","Students","]"," ",TIMETABLE!F31,":"," ",TIMETABLE!F34," ",TIMETABLE!F33)</f>
        <v xml:space="preserve">BTME/SEP2019/S-PT [Y3S1   (10) Students] :  </v>
      </c>
      <c r="Q60" s="315" t="str">
        <f>CONCATENATE(TIMETABLE!G$6," ","[",TIMETABLE!G$7," ","Students","]"," ",TIMETABLE!G31,":"," ",TIMETABLE!G34," ",TIMETABLE!G33)</f>
        <v xml:space="preserve">BTME/AUG2021/S-PT [Y2S2   (10) Students] :  </v>
      </c>
      <c r="R60" s="315" t="e">
        <f>CONCATENATE(TIMETABLE!#REF!," ","[",TIMETABLE!#REF!," ","Students","]"," ",TIMETABLE!#REF!,":"," ",TIMETABLE!#REF!," ",TIMETABLE!#REF!)</f>
        <v>#REF!</v>
      </c>
      <c r="S60" s="315" t="e">
        <f>CONCATENATE(TIMETABLE!#REF!," ","[",TIMETABLE!#REF!," ","Students","]"," ",TIMETABLE!#REF!,":"," ",TIMETABLE!#REF!," ",TIMETABLE!#REF!)</f>
        <v>#REF!</v>
      </c>
      <c r="T60" s="315" t="str">
        <f>CONCATENATE(TIMETABLE!J$6," ","[",TIMETABLE!J$7," ","Students","]"," ",TIMETABLE!J27,":"," ",TIMETABLE!J30," ",TIMETABLE!J29)</f>
        <v>BTME/AUG2021/J&amp;S-FT [Y1S1  (52) Students] CCI 4101: DR,MVURYA FET 316</v>
      </c>
      <c r="U60" s="315" t="e">
        <f>CONCATENATE(TIMETABLE!#REF!," ","[",TIMETABLE!#REF!," ","Students","]"," ",TIMETABLE!#REF!,":"," ",TIMETABLE!#REF!," ",TIMETABLE!#REF!)</f>
        <v>#REF!</v>
      </c>
      <c r="V60" s="315" t="e">
        <f>CONCATENATE(TIMETABLE!#REF!," ","[",TIMETABLE!#REF!," ","Students","]"," ",TIMETABLE!#REF!,":"," ",TIMETABLE!#REF!," ",TIMETABLE!#REF!)</f>
        <v>#REF!</v>
      </c>
      <c r="W60" s="315" t="e">
        <f>CONCATENATE(TIMETABLE!#REF!," ","[",TIMETABLE!#REF!," ","Students","]"," ",TIMETABLE!#REF!,":"," ",TIMETABLE!#REF!," ",TIMETABLE!#REF!)</f>
        <v>#REF!</v>
      </c>
      <c r="X60" s="315" t="e">
        <f>CONCATENATE(TIMETABLE!#REF!," ","[",TIMETABLE!#REF!," ","Students","]"," ",TIMETABLE!#REF!,":"," ",TIMETABLE!#REF!," ",TIMETABLE!#REF!)</f>
        <v>#REF!</v>
      </c>
      <c r="Y60" s="315" t="e">
        <f>CONCATENATE(TIMETABLE!#REF!," ","[",TIMETABLE!#REF!," ","Students","]"," ",TIMETABLE!#REF!,":"," ",TIMETABLE!#REF!," ",TIMETABLE!#REF!)</f>
        <v>#REF!</v>
      </c>
      <c r="Z60" s="315" t="e">
        <f>CONCATENATE(TIMETABLE!#REF!," ","[",TIMETABLE!#REF!," ","Students","]"," ",TIMETABLE!#REF!,":"," ",TIMETABLE!#REF!," ",TIMETABLE!#REF!)</f>
        <v>#REF!</v>
      </c>
      <c r="AA60" s="315" t="e">
        <f>CONCATENATE(TIMETABLE!#REF!," ","[",TIMETABLE!#REF!," ","Students","]"," ",TIMETABLE!#REF!,":"," ",TIMETABLE!#REF!," ",TIMETABLE!#REF!)</f>
        <v>#REF!</v>
      </c>
      <c r="AB60" s="315" t="e">
        <f>CONCATENATE(TIMETABLE!#REF!," ","[",TIMETABLE!#REF!," ","Students","]"," ",TIMETABLE!#REF!,":"," ",TIMETABLE!#REF!," ",TIMETABLE!#REF!)</f>
        <v>#REF!</v>
      </c>
      <c r="AC60" s="315" t="str">
        <f>CONCATENATE(TIMETABLE!W$6," ","[",TIMETABLE!W$7," ","Students","]"," ",TIMETABLE!W31,":"," ",TIMETABLE!W34," ",TIMETABLE!W33)</f>
        <v>DMAE/SEP20201J&amp;S-FT [Y1S2   (60) Students] EMR 2129: ALBEITY WT 2</v>
      </c>
      <c r="AD60" s="315" t="e">
        <f>CONCATENATE(TIMETABLE!#REF!," ","[",TIMETABLE!#REF!," ","Students","]"," ",TIMETABLE!#REF!,":"," ",TIMETABLE!#REF!," ",TIMETABLE!#REF!)</f>
        <v>#REF!</v>
      </c>
      <c r="AE60" s="315" t="e">
        <f>CONCATENATE(TIMETABLE!#REF!," ","[",TIMETABLE!#REF!," ","Students","]"," ",TIMETABLE!#REF!,":"," ",TIMETABLE!#REF!," ",TIMETABLE!#REF!)</f>
        <v>#REF!</v>
      </c>
      <c r="AF60" s="495"/>
    </row>
    <row r="61" spans="3:32" ht="23.4" x14ac:dyDescent="0.45">
      <c r="C61" s="495"/>
      <c r="D61" s="137"/>
      <c r="E61" s="130"/>
      <c r="F61" s="130"/>
      <c r="G61" s="130"/>
      <c r="H61" s="130"/>
      <c r="I61" s="130"/>
      <c r="J61" s="130"/>
      <c r="K61" s="130"/>
      <c r="L61" s="130"/>
      <c r="M61" s="130"/>
      <c r="N61" s="130"/>
      <c r="O61" s="130"/>
      <c r="P61" s="130"/>
      <c r="Q61" s="130"/>
      <c r="R61" s="130"/>
      <c r="S61" s="130"/>
      <c r="T61" s="130"/>
      <c r="U61" s="130"/>
      <c r="V61" s="130"/>
      <c r="W61" s="130"/>
      <c r="X61" s="130"/>
      <c r="Y61" s="130"/>
      <c r="Z61" s="130"/>
      <c r="AA61" s="130"/>
      <c r="AB61" s="130"/>
      <c r="AC61" s="130"/>
      <c r="AD61" s="130"/>
      <c r="AE61" s="130"/>
      <c r="AF61" s="495"/>
    </row>
    <row r="62" spans="3:32" ht="23.4" x14ac:dyDescent="0.45">
      <c r="C62" s="495"/>
      <c r="D62" s="133"/>
      <c r="E62" s="134"/>
      <c r="F62" s="134"/>
      <c r="G62" s="134"/>
      <c r="H62" s="134"/>
      <c r="I62" s="134"/>
      <c r="J62" s="134"/>
      <c r="K62" s="134"/>
      <c r="L62" s="134"/>
      <c r="M62" s="134"/>
      <c r="N62" s="134"/>
      <c r="O62" s="134"/>
      <c r="P62" s="134"/>
      <c r="Q62" s="134"/>
      <c r="R62" s="134"/>
      <c r="S62" s="134"/>
      <c r="T62" s="134"/>
      <c r="U62" s="134"/>
      <c r="V62" s="134"/>
      <c r="W62" s="134"/>
      <c r="X62" s="134"/>
      <c r="Y62" s="134"/>
      <c r="Z62" s="134"/>
      <c r="AA62" s="134"/>
      <c r="AB62" s="134"/>
      <c r="AC62" s="134"/>
      <c r="AD62" s="134"/>
      <c r="AE62" s="134"/>
      <c r="AF62" s="495"/>
    </row>
    <row r="63" spans="3:32" ht="24" thickBot="1" x14ac:dyDescent="0.5">
      <c r="C63" s="495"/>
      <c r="D63" s="135"/>
      <c r="E63" s="315" t="e">
        <f>CONCATENATE(TIMETABLE!#REF!," ","[",TIMETABLE!#REF!," ","Students","]"," ",TIMETABLE!#REF!,":"," ",TIMETABLE!#REF!," ",TIMETABLE!#REF!)</f>
        <v>#REF!</v>
      </c>
      <c r="F63" s="315" t="e">
        <f>CONCATENATE(TIMETABLE!#REF!," ","[",TIMETABLE!#REF!," ","Students","]"," ",TIMETABLE!#REF!,":"," ",TIMETABLE!#REF!," ",TIMETABLE!#REF!)</f>
        <v>#REF!</v>
      </c>
      <c r="G63" s="315" t="e">
        <f>CONCATENATE(TIMETABLE!#REF!," ","[",TIMETABLE!#REF!," ","Students","]"," ",TIMETABLE!#REF!,":"," ",TIMETABLE!#REF!," ",TIMETABLE!#REF!)</f>
        <v>#REF!</v>
      </c>
      <c r="H63" s="315" t="e">
        <f>CONCATENATE(TIMETABLE!#REF!," ","[",TIMETABLE!#REF!," ","Students","]"," ",TIMETABLE!#REF!,":"," ",TIMETABLE!#REF!," ",TIMETABLE!#REF!)</f>
        <v>#REF!</v>
      </c>
      <c r="I63" s="315" t="e">
        <f>CONCATENATE(TIMETABLE!#REF!," ","[",TIMETABLE!#REF!," ","Students","]"," ",TIMETABLE!#REF!,":"," ",TIMETABLE!#REF!," ",TIMETABLE!#REF!)</f>
        <v>#REF!</v>
      </c>
      <c r="J63" s="315" t="e">
        <f>CONCATENATE(TIMETABLE!#REF!," ","[",TIMETABLE!#REF!," ","Students","]"," ",TIMETABLE!#REF!,":"," ",TIMETABLE!#REF!," ",TIMETABLE!#REF!)</f>
        <v>#REF!</v>
      </c>
      <c r="K63" s="315" t="e">
        <f>CONCATENATE(TIMETABLE!#REF!," ","[",TIMETABLE!#REF!," ","Students","]"," ",TIMETABLE!#REF!,":"," ",TIMETABLE!#REF!," ",TIMETABLE!#REF!)</f>
        <v>#REF!</v>
      </c>
      <c r="L63" s="315" t="e">
        <f>CONCATENATE(TIMETABLE!D$6," ","[",TIMETABLE!D$7," ","Students","]"," ",TIMETABLE!#REF!,":"," ",TIMETABLE!#REF!," ",TIMETABLE!#REF!)</f>
        <v>#REF!</v>
      </c>
      <c r="M63" s="315" t="e">
        <f>CONCATENATE(TIMETABLE!E$6," ","[",TIMETABLE!E$7," ","Students","]"," ",TIMETABLE!#REF!,":"," ",TIMETABLE!#REF!," ",TIMETABLE!#REF!)</f>
        <v>#REF!</v>
      </c>
      <c r="N63" s="315" t="e">
        <f>CONCATENATE(TIMETABLE!#REF!," ","[",TIMETABLE!#REF!," ","Students","]"," ",TIMETABLE!#REF!,":"," ",TIMETABLE!#REF!," ",TIMETABLE!#REF!)</f>
        <v>#REF!</v>
      </c>
      <c r="O63" s="315" t="e">
        <f>CONCATENATE(TIMETABLE!#REF!," ","[",TIMETABLE!#REF!," ","Students","]"," ",TIMETABLE!#REF!,":"," ",TIMETABLE!#REF!," ",TIMETABLE!#REF!)</f>
        <v>#REF!</v>
      </c>
      <c r="P63" s="315" t="e">
        <f>CONCATENATE(TIMETABLE!F$6," ","[",TIMETABLE!F$7," ","Students","]"," ",TIMETABLE!#REF!,":"," ",TIMETABLE!#REF!," ",TIMETABLE!#REF!)</f>
        <v>#REF!</v>
      </c>
      <c r="Q63" s="315" t="e">
        <f>CONCATENATE(TIMETABLE!G$6," ","[",TIMETABLE!G$7," ","Students","]"," ",TIMETABLE!#REF!,":"," ",TIMETABLE!#REF!," ",TIMETABLE!#REF!)</f>
        <v>#REF!</v>
      </c>
      <c r="R63" s="315" t="e">
        <f>CONCATENATE(TIMETABLE!#REF!," ","[",TIMETABLE!#REF!," ","Students","]"," ",TIMETABLE!#REF!,":"," ",TIMETABLE!#REF!," ",TIMETABLE!#REF!)</f>
        <v>#REF!</v>
      </c>
      <c r="S63" s="315" t="e">
        <f>CONCATENATE(TIMETABLE!#REF!," ","[",TIMETABLE!#REF!," ","Students","]"," ",TIMETABLE!#REF!,":"," ",TIMETABLE!#REF!," ",TIMETABLE!#REF!)</f>
        <v>#REF!</v>
      </c>
      <c r="T63" s="315" t="e">
        <f>CONCATENATE(TIMETABLE!J$6," ","[",TIMETABLE!J$7," ","Students","]"," ",TIMETABLE!#REF!,":"," ",TIMETABLE!#REF!," ",TIMETABLE!#REF!)</f>
        <v>#REF!</v>
      </c>
      <c r="U63" s="315" t="e">
        <f>CONCATENATE(TIMETABLE!#REF!," ","[",TIMETABLE!#REF!," ","Students","]"," ",TIMETABLE!#REF!,":"," ",TIMETABLE!#REF!," ",TIMETABLE!#REF!)</f>
        <v>#REF!</v>
      </c>
      <c r="V63" s="315" t="e">
        <f>CONCATENATE(TIMETABLE!#REF!," ","[",TIMETABLE!#REF!," ","Students","]"," ",TIMETABLE!#REF!,":"," ",TIMETABLE!#REF!," ",TIMETABLE!#REF!)</f>
        <v>#REF!</v>
      </c>
      <c r="W63" s="315" t="e">
        <f>CONCATENATE(TIMETABLE!#REF!," ","[",TIMETABLE!#REF!," ","Students","]"," ",TIMETABLE!#REF!,":"," ",TIMETABLE!#REF!," ",TIMETABLE!#REF!)</f>
        <v>#REF!</v>
      </c>
      <c r="X63" s="315" t="e">
        <f>CONCATENATE(TIMETABLE!#REF!," ","[",TIMETABLE!#REF!," ","Students","]"," ",TIMETABLE!#REF!,":"," ",TIMETABLE!#REF!," ",TIMETABLE!#REF!)</f>
        <v>#REF!</v>
      </c>
      <c r="Y63" s="315" t="e">
        <f>CONCATENATE(TIMETABLE!#REF!," ","[",TIMETABLE!#REF!," ","Students","]"," ",TIMETABLE!#REF!,":"," ",TIMETABLE!#REF!," ",TIMETABLE!#REF!)</f>
        <v>#REF!</v>
      </c>
      <c r="Z63" s="315" t="e">
        <f>CONCATENATE(TIMETABLE!#REF!," ","[",TIMETABLE!#REF!," ","Students","]"," ",TIMETABLE!#REF!,":"," ",TIMETABLE!#REF!," ",TIMETABLE!#REF!)</f>
        <v>#REF!</v>
      </c>
      <c r="AA63" s="315" t="e">
        <f>CONCATENATE(TIMETABLE!#REF!," ","[",TIMETABLE!#REF!," ","Students","]"," ",TIMETABLE!#REF!,":"," ",TIMETABLE!#REF!," ",TIMETABLE!#REF!)</f>
        <v>#REF!</v>
      </c>
      <c r="AB63" s="315" t="e">
        <f>CONCATENATE(TIMETABLE!#REF!," ","[",TIMETABLE!#REF!," ","Students","]"," ",TIMETABLE!#REF!,":"," ",TIMETABLE!#REF!," ",TIMETABLE!#REF!)</f>
        <v>#REF!</v>
      </c>
      <c r="AC63" s="315" t="e">
        <f>CONCATENATE(TIMETABLE!W$6," ","[",TIMETABLE!W$7," ","Students","]"," ",TIMETABLE!#REF!,":"," ",TIMETABLE!#REF!," ",TIMETABLE!#REF!)</f>
        <v>#REF!</v>
      </c>
      <c r="AD63" s="315" t="e">
        <f>CONCATENATE(TIMETABLE!#REF!," ","[",TIMETABLE!#REF!," ","Students","]"," ",TIMETABLE!#REF!,":"," ",TIMETABLE!#REF!," ",TIMETABLE!#REF!)</f>
        <v>#REF!</v>
      </c>
      <c r="AE63" s="315" t="e">
        <f>CONCATENATE(TIMETABLE!#REF!," ","[",TIMETABLE!#REF!," ","Students","]"," ",TIMETABLE!#REF!,":"," ",TIMETABLE!#REF!," ",TIMETABLE!#REF!)</f>
        <v>#REF!</v>
      </c>
      <c r="AF63" s="495"/>
    </row>
    <row r="64" spans="3:32" ht="23.4" x14ac:dyDescent="0.45">
      <c r="C64" s="495"/>
      <c r="D64" s="137"/>
      <c r="E64" s="130"/>
      <c r="F64" s="130"/>
      <c r="G64" s="130"/>
      <c r="H64" s="130"/>
      <c r="I64" s="130"/>
      <c r="J64" s="130"/>
      <c r="K64" s="130"/>
      <c r="L64" s="130"/>
      <c r="M64" s="130"/>
      <c r="N64" s="130"/>
      <c r="O64" s="130"/>
      <c r="P64" s="130"/>
      <c r="Q64" s="130"/>
      <c r="R64" s="130"/>
      <c r="S64" s="130"/>
      <c r="T64" s="130"/>
      <c r="U64" s="130"/>
      <c r="V64" s="130"/>
      <c r="W64" s="130"/>
      <c r="X64" s="130"/>
      <c r="Y64" s="130"/>
      <c r="Z64" s="130"/>
      <c r="AA64" s="130"/>
      <c r="AB64" s="130"/>
      <c r="AC64" s="130"/>
      <c r="AD64" s="130"/>
      <c r="AE64" s="130"/>
      <c r="AF64" s="495"/>
    </row>
    <row r="65" spans="3:32" ht="23.4" x14ac:dyDescent="0.45">
      <c r="C65" s="495"/>
      <c r="D65" s="133"/>
      <c r="E65" s="134"/>
      <c r="F65" s="134"/>
      <c r="G65" s="134"/>
      <c r="H65" s="134"/>
      <c r="I65" s="134"/>
      <c r="J65" s="134"/>
      <c r="K65" s="134"/>
      <c r="L65" s="134"/>
      <c r="M65" s="134"/>
      <c r="N65" s="134"/>
      <c r="O65" s="134"/>
      <c r="P65" s="134"/>
      <c r="Q65" s="134"/>
      <c r="R65" s="134"/>
      <c r="S65" s="134"/>
      <c r="T65" s="134"/>
      <c r="U65" s="134"/>
      <c r="V65" s="134"/>
      <c r="W65" s="134"/>
      <c r="X65" s="134"/>
      <c r="Y65" s="134"/>
      <c r="Z65" s="134"/>
      <c r="AA65" s="134"/>
      <c r="AB65" s="134"/>
      <c r="AC65" s="134"/>
      <c r="AD65" s="134"/>
      <c r="AE65" s="134"/>
      <c r="AF65" s="495"/>
    </row>
    <row r="66" spans="3:32" ht="24" thickBot="1" x14ac:dyDescent="0.5">
      <c r="C66" s="495"/>
      <c r="D66" s="135"/>
      <c r="E66" s="315" t="e">
        <f>CONCATENATE(TIMETABLE!#REF!," ","[",TIMETABLE!#REF!," ","Students","]"," ",TIMETABLE!#REF!,":"," ",TIMETABLE!#REF!," ",TIMETABLE!#REF!)</f>
        <v>#REF!</v>
      </c>
      <c r="F66" s="315" t="e">
        <f>CONCATENATE(TIMETABLE!#REF!," ","[",TIMETABLE!#REF!," ","Students","]"," ",TIMETABLE!#REF!,":"," ",TIMETABLE!#REF!," ",TIMETABLE!#REF!)</f>
        <v>#REF!</v>
      </c>
      <c r="G66" s="315" t="e">
        <f>CONCATENATE(TIMETABLE!#REF!," ","[",TIMETABLE!#REF!," ","Students","]"," ",TIMETABLE!#REF!,":"," ",TIMETABLE!#REF!," ",TIMETABLE!#REF!)</f>
        <v>#REF!</v>
      </c>
      <c r="H66" s="315" t="e">
        <f>CONCATENATE(TIMETABLE!#REF!," ","[",TIMETABLE!#REF!," ","Students","]"," ",TIMETABLE!#REF!,":"," ",TIMETABLE!#REF!," ",TIMETABLE!#REF!)</f>
        <v>#REF!</v>
      </c>
      <c r="I66" s="315" t="e">
        <f>CONCATENATE(TIMETABLE!#REF!," ","[",TIMETABLE!#REF!," ","Students","]"," ",TIMETABLE!#REF!,":"," ",TIMETABLE!#REF!," ",TIMETABLE!#REF!)</f>
        <v>#REF!</v>
      </c>
      <c r="J66" s="315" t="e">
        <f>CONCATENATE(TIMETABLE!#REF!," ","[",TIMETABLE!#REF!," ","Students","]"," ",TIMETABLE!#REF!,":"," ",TIMETABLE!#REF!," ",TIMETABLE!#REF!)</f>
        <v>#REF!</v>
      </c>
      <c r="K66" s="315" t="e">
        <f>CONCATENATE(TIMETABLE!#REF!," ","[",TIMETABLE!#REF!," ","Students","]"," ",TIMETABLE!#REF!,":"," ",TIMETABLE!#REF!," ",TIMETABLE!#REF!)</f>
        <v>#REF!</v>
      </c>
      <c r="L66" s="315" t="e">
        <f>CONCATENATE(TIMETABLE!D$6," ","[",TIMETABLE!D$7," ","Students","]"," ",TIMETABLE!#REF!,":"," ",TIMETABLE!#REF!," ",TIMETABLE!#REF!)</f>
        <v>#REF!</v>
      </c>
      <c r="M66" s="315" t="e">
        <f>CONCATENATE(TIMETABLE!E$6," ","[",TIMETABLE!E$7," ","Students","]"," ",TIMETABLE!#REF!,":"," ",TIMETABLE!#REF!," ",TIMETABLE!#REF!)</f>
        <v>#REF!</v>
      </c>
      <c r="N66" s="315" t="e">
        <f>CONCATENATE(TIMETABLE!#REF!," ","[",TIMETABLE!#REF!," ","Students","]"," ",TIMETABLE!#REF!,":"," ",TIMETABLE!#REF!," ",TIMETABLE!#REF!)</f>
        <v>#REF!</v>
      </c>
      <c r="O66" s="315" t="e">
        <f>CONCATENATE(TIMETABLE!#REF!," ","[",TIMETABLE!#REF!," ","Students","]"," ",TIMETABLE!#REF!,":"," ",TIMETABLE!#REF!," ",TIMETABLE!#REF!)</f>
        <v>#REF!</v>
      </c>
      <c r="P66" s="315" t="e">
        <f>CONCATENATE(TIMETABLE!F$6," ","[",TIMETABLE!F$7," ","Students","]"," ",TIMETABLE!#REF!,":"," ",TIMETABLE!#REF!," ",TIMETABLE!#REF!)</f>
        <v>#REF!</v>
      </c>
      <c r="Q66" s="315" t="e">
        <f>CONCATENATE(TIMETABLE!G$6," ","[",TIMETABLE!G$7," ","Students","]"," ",TIMETABLE!#REF!,":"," ",TIMETABLE!#REF!," ",TIMETABLE!#REF!)</f>
        <v>#REF!</v>
      </c>
      <c r="R66" s="315" t="e">
        <f>CONCATENATE(TIMETABLE!#REF!," ","[",TIMETABLE!#REF!," ","Students","]"," ",TIMETABLE!#REF!,":"," ",TIMETABLE!#REF!," ",TIMETABLE!#REF!)</f>
        <v>#REF!</v>
      </c>
      <c r="S66" s="315" t="e">
        <f>CONCATENATE(TIMETABLE!#REF!," ","[",TIMETABLE!#REF!," ","Students","]"," ",TIMETABLE!#REF!,":"," ",TIMETABLE!#REF!," ",TIMETABLE!#REF!)</f>
        <v>#REF!</v>
      </c>
      <c r="T66" s="315" t="e">
        <f>CONCATENATE(TIMETABLE!J$6," ","[",TIMETABLE!J$7," ","Students","]"," ",TIMETABLE!#REF!,":"," ",TIMETABLE!#REF!," ",TIMETABLE!#REF!)</f>
        <v>#REF!</v>
      </c>
      <c r="U66" s="315" t="e">
        <f>CONCATENATE(TIMETABLE!#REF!," ","[",TIMETABLE!#REF!," ","Students","]"," ",TIMETABLE!#REF!,":"," ",TIMETABLE!#REF!," ",TIMETABLE!#REF!)</f>
        <v>#REF!</v>
      </c>
      <c r="V66" s="315" t="e">
        <f>CONCATENATE(TIMETABLE!#REF!," ","[",TIMETABLE!#REF!," ","Students","]"," ",TIMETABLE!#REF!,":"," ",TIMETABLE!#REF!," ",TIMETABLE!#REF!)</f>
        <v>#REF!</v>
      </c>
      <c r="W66" s="315" t="e">
        <f>CONCATENATE(TIMETABLE!#REF!," ","[",TIMETABLE!#REF!," ","Students","]"," ",TIMETABLE!#REF!,":"," ",TIMETABLE!#REF!," ",TIMETABLE!#REF!)</f>
        <v>#REF!</v>
      </c>
      <c r="X66" s="315" t="e">
        <f>CONCATENATE(TIMETABLE!#REF!," ","[",TIMETABLE!#REF!," ","Students","]"," ",TIMETABLE!#REF!,":"," ",TIMETABLE!#REF!," ",TIMETABLE!#REF!)</f>
        <v>#REF!</v>
      </c>
      <c r="Y66" s="315" t="e">
        <f>CONCATENATE(TIMETABLE!#REF!," ","[",TIMETABLE!#REF!," ","Students","]"," ",TIMETABLE!#REF!,":"," ",TIMETABLE!#REF!," ",TIMETABLE!#REF!)</f>
        <v>#REF!</v>
      </c>
      <c r="Z66" s="315" t="e">
        <f>CONCATENATE(TIMETABLE!#REF!," ","[",TIMETABLE!#REF!," ","Students","]"," ",TIMETABLE!#REF!,":"," ",TIMETABLE!#REF!," ",TIMETABLE!#REF!)</f>
        <v>#REF!</v>
      </c>
      <c r="AA66" s="315" t="e">
        <f>CONCATENATE(TIMETABLE!#REF!," ","[",TIMETABLE!#REF!," ","Students","]"," ",TIMETABLE!#REF!,":"," ",TIMETABLE!#REF!," ",TIMETABLE!#REF!)</f>
        <v>#REF!</v>
      </c>
      <c r="AB66" s="315" t="e">
        <f>CONCATENATE(TIMETABLE!#REF!," ","[",TIMETABLE!#REF!," ","Students","]"," ",TIMETABLE!#REF!,":"," ",TIMETABLE!#REF!," ",TIMETABLE!#REF!)</f>
        <v>#REF!</v>
      </c>
      <c r="AC66" s="315" t="e">
        <f>CONCATENATE(TIMETABLE!W$6," ","[",TIMETABLE!W$7," ","Students","]"," ",TIMETABLE!#REF!,":"," ",TIMETABLE!#REF!," ",TIMETABLE!#REF!)</f>
        <v>#REF!</v>
      </c>
      <c r="AD66" s="315" t="e">
        <f>CONCATENATE(TIMETABLE!#REF!," ","[",TIMETABLE!#REF!," ","Students","]"," ",TIMETABLE!#REF!,":"," ",TIMETABLE!#REF!," ",TIMETABLE!#REF!)</f>
        <v>#REF!</v>
      </c>
      <c r="AE66" s="315" t="e">
        <f>CONCATENATE(TIMETABLE!#REF!," ","[",TIMETABLE!#REF!," ","Students","]"," ",TIMETABLE!#REF!,":"," ",TIMETABLE!#REF!," ",TIMETABLE!#REF!)</f>
        <v>#REF!</v>
      </c>
      <c r="AF66" s="495"/>
    </row>
    <row r="67" spans="3:32" ht="23.4" x14ac:dyDescent="0.45">
      <c r="C67" s="495"/>
      <c r="D67" s="226"/>
      <c r="E67" s="229"/>
      <c r="F67" s="229"/>
      <c r="G67" s="229"/>
      <c r="H67" s="229"/>
      <c r="I67" s="229"/>
      <c r="J67" s="229"/>
      <c r="K67" s="229"/>
      <c r="L67" s="229"/>
      <c r="M67" s="229"/>
      <c r="N67" s="229"/>
      <c r="O67" s="229"/>
      <c r="P67" s="229"/>
      <c r="Q67" s="229"/>
      <c r="R67" s="229"/>
      <c r="S67" s="229"/>
      <c r="T67" s="229"/>
      <c r="U67" s="229"/>
      <c r="V67" s="229"/>
      <c r="W67" s="229"/>
      <c r="X67" s="229"/>
      <c r="Y67" s="229"/>
      <c r="Z67" s="229"/>
      <c r="AA67" s="229"/>
      <c r="AB67" s="229"/>
      <c r="AC67" s="229"/>
      <c r="AD67" s="229"/>
      <c r="AE67" s="229"/>
      <c r="AF67" s="495"/>
    </row>
    <row r="68" spans="3:32" ht="23.4" x14ac:dyDescent="0.45">
      <c r="C68" s="495"/>
      <c r="D68" s="227"/>
      <c r="E68" s="188"/>
      <c r="F68" s="188"/>
      <c r="G68" s="188"/>
      <c r="H68" s="188"/>
      <c r="I68" s="188"/>
      <c r="J68" s="188"/>
      <c r="K68" s="188"/>
      <c r="L68" s="188"/>
      <c r="M68" s="188"/>
      <c r="N68" s="188"/>
      <c r="O68" s="188"/>
      <c r="P68" s="188"/>
      <c r="Q68" s="188"/>
      <c r="R68" s="188"/>
      <c r="S68" s="188"/>
      <c r="T68" s="188"/>
      <c r="U68" s="188"/>
      <c r="V68" s="188"/>
      <c r="W68" s="188"/>
      <c r="X68" s="188"/>
      <c r="Y68" s="188"/>
      <c r="Z68" s="188"/>
      <c r="AA68" s="188"/>
      <c r="AB68" s="188"/>
      <c r="AC68" s="188"/>
      <c r="AD68" s="188"/>
      <c r="AE68" s="188"/>
      <c r="AF68" s="495"/>
    </row>
    <row r="69" spans="3:32" ht="24" thickBot="1" x14ac:dyDescent="0.5">
      <c r="C69" s="495"/>
      <c r="D69" s="228"/>
      <c r="E69" s="393" t="e">
        <f>CONCATENATE(TIMETABLE!#REF!," ","[",TIMETABLE!#REF!," ","Students","]"," ",TIMETABLE!#REF!,":"," ",TIMETABLE!#REF!," ",TIMETABLE!#REF!)</f>
        <v>#REF!</v>
      </c>
      <c r="F69" s="393" t="e">
        <f>CONCATENATE(TIMETABLE!#REF!," ","[",TIMETABLE!#REF!," ","Students","]"," ",TIMETABLE!#REF!,":"," ",TIMETABLE!#REF!," ",TIMETABLE!#REF!)</f>
        <v>#REF!</v>
      </c>
      <c r="G69" s="393" t="e">
        <f>CONCATENATE(TIMETABLE!#REF!," ","[",TIMETABLE!#REF!," ","Students","]"," ",TIMETABLE!#REF!,":"," ",TIMETABLE!#REF!," ",TIMETABLE!#REF!)</f>
        <v>#REF!</v>
      </c>
      <c r="H69" s="393" t="e">
        <f>CONCATENATE(TIMETABLE!#REF!," ","[",TIMETABLE!#REF!," ","Students","]"," ",TIMETABLE!#REF!,":"," ",TIMETABLE!#REF!," ",TIMETABLE!#REF!)</f>
        <v>#REF!</v>
      </c>
      <c r="I69" s="393" t="e">
        <f>CONCATENATE(TIMETABLE!#REF!," ","[",TIMETABLE!#REF!," ","Students","]"," ",TIMETABLE!#REF!,":"," ",TIMETABLE!#REF!," ",TIMETABLE!#REF!)</f>
        <v>#REF!</v>
      </c>
      <c r="J69" s="393" t="e">
        <f>CONCATENATE(TIMETABLE!#REF!," ","[",TIMETABLE!#REF!," ","Students","]"," ",TIMETABLE!#REF!,":"," ",TIMETABLE!#REF!," ",TIMETABLE!#REF!)</f>
        <v>#REF!</v>
      </c>
      <c r="K69" s="393" t="e">
        <f>CONCATENATE(TIMETABLE!#REF!," ","[",TIMETABLE!#REF!," ","Students","]"," ",TIMETABLE!#REF!,":"," ",TIMETABLE!#REF!," ",TIMETABLE!#REF!)</f>
        <v>#REF!</v>
      </c>
      <c r="L69" s="393" t="str">
        <f>CONCATENATE(TIMETABLE!D$6," ","[",TIMETABLE!D$7," ","Students","]"," ",TIMETABLE!D35,":"," ",TIMETABLE!D37," ",TIMETABLE!D36)</f>
        <v xml:space="preserve">BSME/SEP2020/J-FT [Y2S1  (50) Students] :  </v>
      </c>
      <c r="M69" s="393" t="str">
        <f>CONCATENATE(TIMETABLE!E$6," ","[",TIMETABLE!E$7," ","Students","]"," ",TIMETABLE!E35,":"," ",TIMETABLE!E37," ",TIMETABLE!E36)</f>
        <v xml:space="preserve">BSME/AUG2021/J-FT [Y1S2  (55) Students] :  </v>
      </c>
      <c r="N69" s="393" t="e">
        <f>CONCATENATE(TIMETABLE!#REF!," ","[",TIMETABLE!#REF!," ","Students","]"," ",TIMETABLE!#REF!,":"," ",TIMETABLE!#REF!," ",TIMETABLE!#REF!)</f>
        <v>#REF!</v>
      </c>
      <c r="O69" s="393" t="e">
        <f>CONCATENATE(TIMETABLE!#REF!," ","[",TIMETABLE!#REF!," ","Students","]"," ",TIMETABLE!#REF!,":"," ",TIMETABLE!#REF!," ",TIMETABLE!#REF!)</f>
        <v>#REF!</v>
      </c>
      <c r="P69" s="393" t="str">
        <f>CONCATENATE(TIMETABLE!F$6," ","[",TIMETABLE!F$7," ","Students","]"," ",TIMETABLE!F35,":"," ",TIMETABLE!F37," ",TIMETABLE!F36)</f>
        <v xml:space="preserve">BTME/SEP2019/S-PT [Y3S1   (10) Students] :  </v>
      </c>
      <c r="Q69" s="393" t="str">
        <f>CONCATENATE(TIMETABLE!G$6," ","[",TIMETABLE!G$7," ","Students","]"," ",TIMETABLE!G35,":"," ",TIMETABLE!G37," ",TIMETABLE!G36)</f>
        <v xml:space="preserve">BTME/AUG2021/S-PT [Y2S2   (10) Students] :  </v>
      </c>
      <c r="R69" s="393" t="e">
        <f>CONCATENATE(TIMETABLE!#REF!," ","[",TIMETABLE!#REF!," ","Students","]"," ",TIMETABLE!#REF!,":"," ",TIMETABLE!#REF!," ",TIMETABLE!#REF!)</f>
        <v>#REF!</v>
      </c>
      <c r="S69" s="393" t="e">
        <f>CONCATENATE(TIMETABLE!#REF!," ","[",TIMETABLE!#REF!," ","Students","]"," ",TIMETABLE!#REF!,":"," ",TIMETABLE!#REF!," ",TIMETABLE!#REF!)</f>
        <v>#REF!</v>
      </c>
      <c r="T69" s="393" t="str">
        <f>CONCATENATE(TIMETABLE!J$6," ","[",TIMETABLE!J$7," ","Students","]"," ",TIMETABLE!J35,":"," ",TIMETABLE!J37," ",TIMETABLE!J36)</f>
        <v xml:space="preserve">BTME/AUG2021/J&amp;S-FT [Y1S1  (52) Students] :  </v>
      </c>
      <c r="U69" s="393" t="e">
        <f>CONCATENATE(TIMETABLE!#REF!," ","[",TIMETABLE!#REF!," ","Students","]"," ",TIMETABLE!#REF!,":"," ",TIMETABLE!#REF!," ",TIMETABLE!#REF!)</f>
        <v>#REF!</v>
      </c>
      <c r="V69" s="393" t="e">
        <f>CONCATENATE(TIMETABLE!#REF!," ","[",TIMETABLE!#REF!," ","Students","]"," ",TIMETABLE!#REF!,":"," ",TIMETABLE!#REF!," ",TIMETABLE!#REF!)</f>
        <v>#REF!</v>
      </c>
      <c r="W69" s="393" t="e">
        <f>CONCATENATE(TIMETABLE!#REF!," ","[",TIMETABLE!#REF!," ","Students","]"," ",TIMETABLE!#REF!,":"," ",TIMETABLE!#REF!," ",TIMETABLE!#REF!)</f>
        <v>#REF!</v>
      </c>
      <c r="X69" s="393" t="e">
        <f>CONCATENATE(TIMETABLE!#REF!," ","[",TIMETABLE!#REF!," ","Students","]"," ",TIMETABLE!#REF!,":"," ",TIMETABLE!#REF!," ",TIMETABLE!#REF!)</f>
        <v>#REF!</v>
      </c>
      <c r="Y69" s="393" t="e">
        <f>CONCATENATE(TIMETABLE!#REF!," ","[",TIMETABLE!#REF!," ","Students","]"," ",TIMETABLE!#REF!,":"," ",TIMETABLE!#REF!," ",TIMETABLE!#REF!)</f>
        <v>#REF!</v>
      </c>
      <c r="Z69" s="393" t="e">
        <f>CONCATENATE(TIMETABLE!#REF!," ","[",TIMETABLE!#REF!," ","Students","]"," ",TIMETABLE!#REF!,":"," ",TIMETABLE!#REF!," ",TIMETABLE!#REF!)</f>
        <v>#REF!</v>
      </c>
      <c r="AA69" s="393" t="e">
        <f>CONCATENATE(TIMETABLE!#REF!," ","[",TIMETABLE!#REF!," ","Students","]"," ",TIMETABLE!#REF!,":"," ",TIMETABLE!#REF!," ",TIMETABLE!#REF!)</f>
        <v>#REF!</v>
      </c>
      <c r="AB69" s="393" t="e">
        <f>CONCATENATE(TIMETABLE!#REF!," ","[",TIMETABLE!#REF!," ","Students","]"," ",TIMETABLE!#REF!,":"," ",TIMETABLE!#REF!," ",TIMETABLE!#REF!)</f>
        <v>#REF!</v>
      </c>
      <c r="AC69" s="393" t="str">
        <f>CONCATENATE(TIMETABLE!W$6," ","[",TIMETABLE!W$7," ","Students","]"," ",TIMETABLE!W35,":"," ",TIMETABLE!W37," ",TIMETABLE!W36)</f>
        <v xml:space="preserve">DMAE/SEP20201J&amp;S-FT [Y1S2   (60) Students] :  </v>
      </c>
      <c r="AD69" s="393" t="e">
        <f>CONCATENATE(TIMETABLE!#REF!," ","[",TIMETABLE!#REF!," ","Students","]"," ",TIMETABLE!#REF!,":"," ",TIMETABLE!#REF!," ",TIMETABLE!#REF!)</f>
        <v>#REF!</v>
      </c>
      <c r="AE69" s="393" t="e">
        <f>CONCATENATE(TIMETABLE!#REF!," ","[",TIMETABLE!#REF!," ","Students","]"," ",TIMETABLE!#REF!,":"," ",TIMETABLE!#REF!," ",TIMETABLE!#REF!)</f>
        <v>#REF!</v>
      </c>
      <c r="AF69" s="495"/>
    </row>
    <row r="70" spans="3:32" ht="23.4" x14ac:dyDescent="0.45">
      <c r="C70" s="495"/>
      <c r="D70" s="142"/>
      <c r="E70" s="130"/>
      <c r="F70" s="130"/>
      <c r="G70" s="130"/>
      <c r="H70" s="130"/>
      <c r="I70" s="130"/>
      <c r="J70" s="130"/>
      <c r="K70" s="130"/>
      <c r="L70" s="130"/>
      <c r="M70" s="130"/>
      <c r="N70" s="130"/>
      <c r="O70" s="130"/>
      <c r="P70" s="130"/>
      <c r="Q70" s="130"/>
      <c r="R70" s="130"/>
      <c r="S70" s="130"/>
      <c r="T70" s="130"/>
      <c r="U70" s="130"/>
      <c r="V70" s="130"/>
      <c r="W70" s="130"/>
      <c r="X70" s="130"/>
      <c r="Y70" s="130"/>
      <c r="Z70" s="130"/>
      <c r="AA70" s="130"/>
      <c r="AB70" s="130"/>
      <c r="AC70" s="130"/>
      <c r="AD70" s="130"/>
      <c r="AE70" s="130"/>
      <c r="AF70" s="495"/>
    </row>
    <row r="71" spans="3:32" ht="23.4" x14ac:dyDescent="0.45">
      <c r="C71" s="495"/>
      <c r="D71" s="143"/>
      <c r="E71" s="134"/>
      <c r="F71" s="134"/>
      <c r="G71" s="134"/>
      <c r="H71" s="134"/>
      <c r="I71" s="134"/>
      <c r="J71" s="134"/>
      <c r="K71" s="134"/>
      <c r="L71" s="134"/>
      <c r="M71" s="134"/>
      <c r="N71" s="134"/>
      <c r="O71" s="134"/>
      <c r="P71" s="134"/>
      <c r="Q71" s="134"/>
      <c r="R71" s="134"/>
      <c r="S71" s="134"/>
      <c r="T71" s="134"/>
      <c r="U71" s="134"/>
      <c r="V71" s="134"/>
      <c r="W71" s="134"/>
      <c r="X71" s="134"/>
      <c r="Y71" s="134"/>
      <c r="Z71" s="134"/>
      <c r="AA71" s="134"/>
      <c r="AB71" s="134"/>
      <c r="AC71" s="134"/>
      <c r="AD71" s="134"/>
      <c r="AE71" s="134"/>
      <c r="AF71" s="495"/>
    </row>
    <row r="72" spans="3:32" ht="24" thickBot="1" x14ac:dyDescent="0.5">
      <c r="C72" s="495"/>
      <c r="D72" s="144"/>
      <c r="E72" s="315" t="e">
        <f>CONCATENATE(TIMETABLE!#REF!," ","[",TIMETABLE!#REF!," ","Students","]"," ",TIMETABLE!#REF!,":"," ",TIMETABLE!#REF!," ",TIMETABLE!#REF!)</f>
        <v>#REF!</v>
      </c>
      <c r="F72" s="315" t="e">
        <f>CONCATENATE(TIMETABLE!#REF!," ","[",TIMETABLE!#REF!," ","Students","]"," ",TIMETABLE!#REF!,":"," ",TIMETABLE!#REF!," ",TIMETABLE!#REF!)</f>
        <v>#REF!</v>
      </c>
      <c r="G72" s="315" t="e">
        <f>CONCATENATE(TIMETABLE!#REF!," ","[",TIMETABLE!#REF!," ","Students","]"," ",TIMETABLE!#REF!,":"," ",TIMETABLE!#REF!," ",TIMETABLE!#REF!)</f>
        <v>#REF!</v>
      </c>
      <c r="H72" s="315" t="e">
        <f>CONCATENATE(TIMETABLE!#REF!," ","[",TIMETABLE!#REF!," ","Students","]"," ",TIMETABLE!#REF!,":"," ",TIMETABLE!#REF!," ",TIMETABLE!#REF!)</f>
        <v>#REF!</v>
      </c>
      <c r="I72" s="315" t="e">
        <f>CONCATENATE(TIMETABLE!#REF!," ","[",TIMETABLE!#REF!," ","Students","]"," ",TIMETABLE!#REF!,":"," ",TIMETABLE!#REF!," ",TIMETABLE!#REF!)</f>
        <v>#REF!</v>
      </c>
      <c r="J72" s="315" t="e">
        <f>CONCATENATE(TIMETABLE!#REF!," ","[",TIMETABLE!#REF!," ","Students","]"," ",TIMETABLE!#REF!,":"," ",TIMETABLE!#REF!," ",TIMETABLE!#REF!)</f>
        <v>#REF!</v>
      </c>
      <c r="K72" s="315" t="e">
        <f>CONCATENATE(TIMETABLE!#REF!," ","[",TIMETABLE!#REF!," ","Students","]"," ",TIMETABLE!#REF!,":"," ",TIMETABLE!#REF!," ",TIMETABLE!#REF!)</f>
        <v>#REF!</v>
      </c>
      <c r="L72" s="315" t="e">
        <f>CONCATENATE(TIMETABLE!D$6," ","[",TIMETABLE!D$7," ","Students","]"," ",TIMETABLE!#REF!,":"," ",TIMETABLE!#REF!," ",TIMETABLE!#REF!)</f>
        <v>#REF!</v>
      </c>
      <c r="M72" s="315" t="str">
        <f>CONCATENATE(TIMETABLE!E$6," ","[",TIMETABLE!E$7," ","Students","]"," ",TIMETABLE!E38,":"," ",TIMETABLE!E41," ",TIMETABLE!E40)</f>
        <v xml:space="preserve">BSME/AUG2021/J-FT [Y1S2  (55) Students] :  </v>
      </c>
      <c r="N72" s="315" t="e">
        <f>CONCATENATE(TIMETABLE!#REF!," ","[",TIMETABLE!#REF!," ","Students","]"," ",TIMETABLE!#REF!,":"," ",TIMETABLE!#REF!," ",TIMETABLE!#REF!)</f>
        <v>#REF!</v>
      </c>
      <c r="O72" s="315" t="e">
        <f>CONCATENATE(TIMETABLE!#REF!," ","[",TIMETABLE!#REF!," ","Students","]"," ",TIMETABLE!#REF!,":"," ",TIMETABLE!#REF!," ",TIMETABLE!#REF!)</f>
        <v>#REF!</v>
      </c>
      <c r="P72" s="315" t="str">
        <f>CONCATENATE(TIMETABLE!F$6," ","[",TIMETABLE!F$7," ","Students","]"," ",TIMETABLE!F38,":"," ",TIMETABLE!F41," ",TIMETABLE!F40)</f>
        <v xml:space="preserve">BTME/SEP2019/S-PT [Y3S1   (10) Students] :  </v>
      </c>
      <c r="Q72" s="315" t="str">
        <f>CONCATENATE(TIMETABLE!G$6," ","[",TIMETABLE!G$7," ","Students","]"," ",TIMETABLE!G38,":"," ",TIMETABLE!G41," ",TIMETABLE!G40)</f>
        <v xml:space="preserve">BTME/AUG2021/S-PT [Y2S2   (10) Students] :  </v>
      </c>
      <c r="R72" s="315" t="e">
        <f>CONCATENATE(TIMETABLE!#REF!," ","[",TIMETABLE!#REF!," ","Students","]"," ",TIMETABLE!#REF!,":"," ",TIMETABLE!#REF!," ",TIMETABLE!#REF!)</f>
        <v>#REF!</v>
      </c>
      <c r="S72" s="315" t="e">
        <f>CONCATENATE(TIMETABLE!#REF!," ","[",TIMETABLE!#REF!," ","Students","]"," ",TIMETABLE!#REF!,":"," ",TIMETABLE!#REF!," ",TIMETABLE!#REF!)</f>
        <v>#REF!</v>
      </c>
      <c r="T72" s="315" t="str">
        <f>CONCATENATE(TIMETABLE!J$6," ","[",TIMETABLE!J$7," ","Students","]"," ",TIMETABLE!J38,":"," ",TIMETABLE!J41," ",TIMETABLE!J40)</f>
        <v xml:space="preserve">BTME/AUG2021/J&amp;S-FT [Y1S1  (52) Students] :  </v>
      </c>
      <c r="U72" s="315" t="e">
        <f>CONCATENATE(TIMETABLE!#REF!," ","[",TIMETABLE!#REF!," ","Students","]"," ",TIMETABLE!#REF!,":"," ",TIMETABLE!#REF!," ",TIMETABLE!#REF!)</f>
        <v>#REF!</v>
      </c>
      <c r="V72" s="315" t="e">
        <f>CONCATENATE(TIMETABLE!#REF!," ","[",TIMETABLE!#REF!," ","Students","]"," ",TIMETABLE!#REF!,":"," ",TIMETABLE!#REF!," ",TIMETABLE!#REF!)</f>
        <v>#REF!</v>
      </c>
      <c r="W72" s="315" t="e">
        <f>CONCATENATE(TIMETABLE!#REF!," ","[",TIMETABLE!#REF!," ","Students","]"," ",TIMETABLE!#REF!,":"," ",TIMETABLE!#REF!," ",TIMETABLE!#REF!)</f>
        <v>#REF!</v>
      </c>
      <c r="X72" s="315" t="e">
        <f>CONCATENATE(TIMETABLE!#REF!," ","[",TIMETABLE!#REF!," ","Students","]"," ",TIMETABLE!#REF!,":"," ",TIMETABLE!#REF!," ",TIMETABLE!#REF!)</f>
        <v>#REF!</v>
      </c>
      <c r="Y72" s="315" t="e">
        <f>CONCATENATE(TIMETABLE!#REF!," ","[",TIMETABLE!#REF!," ","Students","]"," ",TIMETABLE!#REF!,":"," ",TIMETABLE!#REF!," ",TIMETABLE!#REF!)</f>
        <v>#REF!</v>
      </c>
      <c r="Z72" s="315" t="e">
        <f>CONCATENATE(TIMETABLE!#REF!," ","[",TIMETABLE!#REF!," ","Students","]"," ",TIMETABLE!#REF!,":"," ",TIMETABLE!#REF!," ",TIMETABLE!#REF!)</f>
        <v>#REF!</v>
      </c>
      <c r="AA72" s="315" t="e">
        <f>CONCATENATE(TIMETABLE!#REF!," ","[",TIMETABLE!#REF!," ","Students","]"," ",TIMETABLE!#REF!,":"," ",TIMETABLE!#REF!," ",TIMETABLE!#REF!)</f>
        <v>#REF!</v>
      </c>
      <c r="AB72" s="315" t="e">
        <f>CONCATENATE(TIMETABLE!#REF!," ","[",TIMETABLE!#REF!," ","Students","]"," ",TIMETABLE!#REF!,":"," ",TIMETABLE!#REF!," ",TIMETABLE!#REF!)</f>
        <v>#REF!</v>
      </c>
      <c r="AC72" s="315" t="str">
        <f>CONCATENATE(TIMETABLE!W$6," ","[",TIMETABLE!W$7," ","Students","]"," ",TIMETABLE!W38,":"," ",TIMETABLE!W41," ",TIMETABLE!W40)</f>
        <v>DMAE/SEP20201J&amp;S-FT [Y1S2   (60) Students] EMR 2120: ABDILLAHI MB 01</v>
      </c>
      <c r="AD72" s="315" t="e">
        <f>CONCATENATE(TIMETABLE!#REF!," ","[",TIMETABLE!#REF!," ","Students","]"," ",TIMETABLE!#REF!,":"," ",TIMETABLE!#REF!," ",TIMETABLE!#REF!)</f>
        <v>#REF!</v>
      </c>
      <c r="AE72" s="315" t="e">
        <f>CONCATENATE(TIMETABLE!#REF!," ","[",TIMETABLE!#REF!," ","Students","]"," ",TIMETABLE!#REF!,":"," ",TIMETABLE!#REF!," ",TIMETABLE!#REF!)</f>
        <v>#REF!</v>
      </c>
      <c r="AF72" s="495"/>
    </row>
    <row r="73" spans="3:32" ht="23.4" x14ac:dyDescent="0.45">
      <c r="C73" s="495"/>
      <c r="D73" s="142"/>
      <c r="E73" s="130"/>
      <c r="F73" s="130"/>
      <c r="G73" s="130"/>
      <c r="H73" s="130"/>
      <c r="I73" s="130"/>
      <c r="J73" s="130"/>
      <c r="K73" s="130"/>
      <c r="L73" s="130"/>
      <c r="M73" s="130"/>
      <c r="N73" s="130"/>
      <c r="O73" s="130"/>
      <c r="P73" s="130"/>
      <c r="Q73" s="130"/>
      <c r="R73" s="130"/>
      <c r="S73" s="130"/>
      <c r="T73" s="130"/>
      <c r="U73" s="130"/>
      <c r="V73" s="130"/>
      <c r="W73" s="130"/>
      <c r="X73" s="130"/>
      <c r="Y73" s="130"/>
      <c r="Z73" s="130"/>
      <c r="AA73" s="130"/>
      <c r="AB73" s="130"/>
      <c r="AC73" s="130"/>
      <c r="AD73" s="130"/>
      <c r="AE73" s="130"/>
      <c r="AF73" s="495"/>
    </row>
    <row r="74" spans="3:32" ht="23.4" x14ac:dyDescent="0.45">
      <c r="C74" s="495"/>
      <c r="D74" s="143"/>
      <c r="E74" s="134"/>
      <c r="F74" s="134"/>
      <c r="G74" s="134"/>
      <c r="H74" s="134"/>
      <c r="I74" s="134"/>
      <c r="J74" s="134"/>
      <c r="K74" s="134"/>
      <c r="L74" s="134"/>
      <c r="M74" s="134"/>
      <c r="N74" s="134"/>
      <c r="O74" s="134"/>
      <c r="P74" s="134"/>
      <c r="Q74" s="134"/>
      <c r="R74" s="134"/>
      <c r="S74" s="134"/>
      <c r="T74" s="134"/>
      <c r="U74" s="134"/>
      <c r="V74" s="134"/>
      <c r="W74" s="134"/>
      <c r="X74" s="134"/>
      <c r="Y74" s="134"/>
      <c r="Z74" s="134"/>
      <c r="AA74" s="134"/>
      <c r="AB74" s="134"/>
      <c r="AC74" s="134"/>
      <c r="AD74" s="134"/>
      <c r="AE74" s="134"/>
      <c r="AF74" s="495"/>
    </row>
    <row r="75" spans="3:32" ht="24" thickBot="1" x14ac:dyDescent="0.5">
      <c r="C75" s="495"/>
      <c r="D75" s="144"/>
      <c r="E75" s="315" t="e">
        <f>CONCATENATE(TIMETABLE!#REF!," ","[",TIMETABLE!#REF!," ","Students","]"," ",TIMETABLE!#REF!,":"," ",TIMETABLE!#REF!," ",TIMETABLE!#REF!)</f>
        <v>#REF!</v>
      </c>
      <c r="F75" s="315" t="e">
        <f>CONCATENATE(TIMETABLE!#REF!," ","[",TIMETABLE!#REF!," ","Students","]"," ",TIMETABLE!#REF!,":"," ",TIMETABLE!#REF!," ",TIMETABLE!#REF!)</f>
        <v>#REF!</v>
      </c>
      <c r="G75" s="315" t="e">
        <f>CONCATENATE(TIMETABLE!#REF!," ","[",TIMETABLE!#REF!," ","Students","]"," ",TIMETABLE!#REF!,":"," ",TIMETABLE!#REF!," ",TIMETABLE!#REF!)</f>
        <v>#REF!</v>
      </c>
      <c r="H75" s="315" t="e">
        <f>CONCATENATE(TIMETABLE!#REF!," ","[",TIMETABLE!#REF!," ","Students","]"," ",TIMETABLE!#REF!,":"," ",TIMETABLE!#REF!," ",TIMETABLE!#REF!)</f>
        <v>#REF!</v>
      </c>
      <c r="I75" s="315" t="e">
        <f>CONCATENATE(TIMETABLE!#REF!," ","[",TIMETABLE!#REF!," ","Students","]"," ",TIMETABLE!#REF!,":"," ",TIMETABLE!#REF!," ",TIMETABLE!#REF!)</f>
        <v>#REF!</v>
      </c>
      <c r="J75" s="315" t="e">
        <f>CONCATENATE(TIMETABLE!#REF!," ","[",TIMETABLE!#REF!," ","Students","]"," ",TIMETABLE!#REF!,":"," ",TIMETABLE!#REF!," ",TIMETABLE!#REF!)</f>
        <v>#REF!</v>
      </c>
      <c r="K75" s="315" t="e">
        <f>CONCATENATE(TIMETABLE!#REF!," ","[",TIMETABLE!#REF!," ","Students","]"," ",TIMETABLE!#REF!,":"," ",TIMETABLE!#REF!," ",TIMETABLE!#REF!)</f>
        <v>#REF!</v>
      </c>
      <c r="L75" s="315" t="e">
        <f>CONCATENATE(TIMETABLE!D$6," ","[",TIMETABLE!D$7," ","Students","]"," ",TIMETABLE!#REF!,":"," ",TIMETABLE!#REF!," ",TIMETABLE!#REF!)</f>
        <v>#REF!</v>
      </c>
      <c r="M75" s="315" t="e">
        <f>CONCATENATE(TIMETABLE!E$6," ","[",TIMETABLE!E$7," ","Students","]"," ",TIMETABLE!#REF!,":"," ",TIMETABLE!#REF!," ",TIMETABLE!#REF!)</f>
        <v>#REF!</v>
      </c>
      <c r="N75" s="315" t="e">
        <f>CONCATENATE(TIMETABLE!#REF!," ","[",TIMETABLE!#REF!," ","Students","]"," ",TIMETABLE!#REF!,":"," ",TIMETABLE!#REF!," ",TIMETABLE!#REF!)</f>
        <v>#REF!</v>
      </c>
      <c r="O75" s="315" t="e">
        <f>CONCATENATE(TIMETABLE!#REF!," ","[",TIMETABLE!#REF!," ","Students","]"," ",TIMETABLE!#REF!,":"," ",TIMETABLE!#REF!," ",TIMETABLE!#REF!)</f>
        <v>#REF!</v>
      </c>
      <c r="P75" s="315" t="e">
        <f>CONCATENATE(TIMETABLE!F$6," ","[",TIMETABLE!F$7," ","Students","]"," ",TIMETABLE!#REF!,":"," ",TIMETABLE!#REF!," ",TIMETABLE!#REF!)</f>
        <v>#REF!</v>
      </c>
      <c r="Q75" s="315" t="e">
        <f>CONCATENATE(TIMETABLE!G$6," ","[",TIMETABLE!G$7," ","Students","]"," ",TIMETABLE!#REF!,":"," ",TIMETABLE!#REF!," ",TIMETABLE!#REF!)</f>
        <v>#REF!</v>
      </c>
      <c r="R75" s="315" t="e">
        <f>CONCATENATE(TIMETABLE!#REF!," ","[",TIMETABLE!#REF!," ","Students","]"," ",TIMETABLE!#REF!,":"," ",TIMETABLE!#REF!," ",TIMETABLE!#REF!)</f>
        <v>#REF!</v>
      </c>
      <c r="S75" s="315" t="e">
        <f>CONCATENATE(TIMETABLE!#REF!," ","[",TIMETABLE!#REF!," ","Students","]"," ",TIMETABLE!#REF!,":"," ",TIMETABLE!#REF!," ",TIMETABLE!#REF!)</f>
        <v>#REF!</v>
      </c>
      <c r="T75" s="315" t="e">
        <f>CONCATENATE(TIMETABLE!J$6," ","[",TIMETABLE!J$7," ","Students","]"," ",TIMETABLE!#REF!,":"," ",TIMETABLE!#REF!," ",TIMETABLE!#REF!)</f>
        <v>#REF!</v>
      </c>
      <c r="U75" s="315" t="e">
        <f>CONCATENATE(TIMETABLE!#REF!," ","[",TIMETABLE!#REF!," ","Students","]"," ",TIMETABLE!#REF!,":"," ",TIMETABLE!#REF!," ",TIMETABLE!#REF!)</f>
        <v>#REF!</v>
      </c>
      <c r="V75" s="315" t="e">
        <f>CONCATENATE(TIMETABLE!#REF!," ","[",TIMETABLE!#REF!," ","Students","]"," ",TIMETABLE!#REF!,":"," ",TIMETABLE!#REF!," ",TIMETABLE!#REF!)</f>
        <v>#REF!</v>
      </c>
      <c r="W75" s="315" t="e">
        <f>CONCATENATE(TIMETABLE!#REF!," ","[",TIMETABLE!#REF!," ","Students","]"," ",TIMETABLE!#REF!,":"," ",TIMETABLE!#REF!," ",TIMETABLE!#REF!)</f>
        <v>#REF!</v>
      </c>
      <c r="X75" s="315" t="e">
        <f>CONCATENATE(TIMETABLE!#REF!," ","[",TIMETABLE!#REF!," ","Students","]"," ",TIMETABLE!#REF!,":"," ",TIMETABLE!#REF!," ",TIMETABLE!#REF!)</f>
        <v>#REF!</v>
      </c>
      <c r="Y75" s="315" t="e">
        <f>CONCATENATE(TIMETABLE!#REF!," ","[",TIMETABLE!#REF!," ","Students","]"," ",TIMETABLE!#REF!,":"," ",TIMETABLE!#REF!," ",TIMETABLE!#REF!)</f>
        <v>#REF!</v>
      </c>
      <c r="Z75" s="315" t="e">
        <f>CONCATENATE(TIMETABLE!#REF!," ","[",TIMETABLE!#REF!," ","Students","]"," ",TIMETABLE!#REF!,":"," ",TIMETABLE!#REF!," ",TIMETABLE!#REF!)</f>
        <v>#REF!</v>
      </c>
      <c r="AA75" s="315" t="e">
        <f>CONCATENATE(TIMETABLE!#REF!," ","[",TIMETABLE!#REF!," ","Students","]"," ",TIMETABLE!#REF!,":"," ",TIMETABLE!#REF!," ",TIMETABLE!#REF!)</f>
        <v>#REF!</v>
      </c>
      <c r="AB75" s="315" t="e">
        <f>CONCATENATE(TIMETABLE!#REF!," ","[",TIMETABLE!#REF!," ","Students","]"," ",TIMETABLE!#REF!,":"," ",TIMETABLE!#REF!," ",TIMETABLE!#REF!)</f>
        <v>#REF!</v>
      </c>
      <c r="AC75" s="315" t="e">
        <f>CONCATENATE(TIMETABLE!W$6," ","[",TIMETABLE!W$7," ","Students","]"," ",TIMETABLE!#REF!,":"," ",TIMETABLE!#REF!," ",TIMETABLE!#REF!)</f>
        <v>#REF!</v>
      </c>
      <c r="AD75" s="315" t="e">
        <f>CONCATENATE(TIMETABLE!#REF!," ","[",TIMETABLE!#REF!," ","Students","]"," ",TIMETABLE!#REF!,":"," ",TIMETABLE!#REF!," ",TIMETABLE!#REF!)</f>
        <v>#REF!</v>
      </c>
      <c r="AE75" s="315" t="e">
        <f>CONCATENATE(TIMETABLE!#REF!," ","[",TIMETABLE!#REF!," ","Students","]"," ",TIMETABLE!#REF!,":"," ",TIMETABLE!#REF!," ",TIMETABLE!#REF!)</f>
        <v>#REF!</v>
      </c>
      <c r="AF75" s="495"/>
    </row>
    <row r="76" spans="3:32" ht="23.4" x14ac:dyDescent="0.45">
      <c r="C76" s="495"/>
      <c r="D76" s="142"/>
      <c r="E76" s="130"/>
      <c r="F76" s="130"/>
      <c r="G76" s="130"/>
      <c r="H76" s="130"/>
      <c r="I76" s="130"/>
      <c r="J76" s="130"/>
      <c r="K76" s="130"/>
      <c r="L76" s="130"/>
      <c r="M76" s="130"/>
      <c r="N76" s="130"/>
      <c r="O76" s="130"/>
      <c r="P76" s="130"/>
      <c r="Q76" s="130"/>
      <c r="R76" s="130"/>
      <c r="S76" s="130"/>
      <c r="T76" s="130"/>
      <c r="U76" s="130"/>
      <c r="V76" s="130"/>
      <c r="W76" s="130"/>
      <c r="X76" s="130"/>
      <c r="Y76" s="130"/>
      <c r="Z76" s="130"/>
      <c r="AA76" s="130"/>
      <c r="AB76" s="130"/>
      <c r="AC76" s="130"/>
      <c r="AD76" s="130"/>
      <c r="AE76" s="130"/>
      <c r="AF76" s="495"/>
    </row>
    <row r="77" spans="3:32" ht="23.4" x14ac:dyDescent="0.45">
      <c r="C77" s="495"/>
      <c r="D77" s="143"/>
      <c r="E77" s="134"/>
      <c r="F77" s="134"/>
      <c r="G77" s="134"/>
      <c r="H77" s="134"/>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495"/>
    </row>
    <row r="78" spans="3:32" ht="24" thickBot="1" x14ac:dyDescent="0.5">
      <c r="C78" s="495"/>
      <c r="D78" s="144"/>
      <c r="E78" s="315" t="e">
        <f>CONCATENATE(TIMETABLE!#REF!," ","[",TIMETABLE!#REF!," ","Students","]"," ",TIMETABLE!#REF!,":"," ",TIMETABLE!#REF!," ",TIMETABLE!#REF!)</f>
        <v>#REF!</v>
      </c>
      <c r="F78" s="315" t="e">
        <f>CONCATENATE(TIMETABLE!#REF!," ","[",TIMETABLE!#REF!," ","Students","]"," ",TIMETABLE!#REF!,":"," ",TIMETABLE!#REF!," ",TIMETABLE!#REF!)</f>
        <v>#REF!</v>
      </c>
      <c r="G78" s="315" t="e">
        <f>CONCATENATE(TIMETABLE!#REF!," ","[",TIMETABLE!#REF!," ","Students","]"," ",TIMETABLE!#REF!,":"," ",TIMETABLE!#REF!," ",TIMETABLE!#REF!)</f>
        <v>#REF!</v>
      </c>
      <c r="H78" s="315" t="e">
        <f>CONCATENATE(TIMETABLE!#REF!," ","[",TIMETABLE!#REF!," ","Students","]"," ",TIMETABLE!#REF!,":"," ",TIMETABLE!#REF!," ",TIMETABLE!#REF!)</f>
        <v>#REF!</v>
      </c>
      <c r="I78" s="315" t="e">
        <f>CONCATENATE(TIMETABLE!#REF!," ","[",TIMETABLE!#REF!," ","Students","]"," ",TIMETABLE!#REF!,":"," ",TIMETABLE!#REF!," ",TIMETABLE!#REF!)</f>
        <v>#REF!</v>
      </c>
      <c r="J78" s="315" t="e">
        <f>CONCATENATE(TIMETABLE!#REF!," ","[",TIMETABLE!#REF!," ","Students","]"," ",TIMETABLE!#REF!,":"," ",TIMETABLE!#REF!," ",TIMETABLE!#REF!)</f>
        <v>#REF!</v>
      </c>
      <c r="K78" s="315" t="e">
        <f>CONCATENATE(TIMETABLE!#REF!," ","[",TIMETABLE!#REF!," ","Students","]"," ",TIMETABLE!#REF!,":"," ",TIMETABLE!#REF!," ",TIMETABLE!#REF!)</f>
        <v>#REF!</v>
      </c>
      <c r="L78" s="315" t="e">
        <f>CONCATENATE(TIMETABLE!D$6," ","[",TIMETABLE!D$7," ","Students","]"," ",TIMETABLE!#REF!,":"," ",TIMETABLE!#REF!," ",TIMETABLE!#REF!)</f>
        <v>#REF!</v>
      </c>
      <c r="M78" s="315" t="e">
        <f>CONCATENATE(TIMETABLE!E$6," ","[",TIMETABLE!E$7," ","Students","]"," ",TIMETABLE!#REF!,":"," ",TIMETABLE!#REF!," ",TIMETABLE!#REF!)</f>
        <v>#REF!</v>
      </c>
      <c r="N78" s="315" t="e">
        <f>CONCATENATE(TIMETABLE!#REF!," ","[",TIMETABLE!#REF!," ","Students","]"," ",TIMETABLE!#REF!,":"," ",TIMETABLE!#REF!," ",TIMETABLE!#REF!)</f>
        <v>#REF!</v>
      </c>
      <c r="O78" s="315" t="e">
        <f>CONCATENATE(TIMETABLE!#REF!," ","[",TIMETABLE!#REF!," ","Students","]"," ",TIMETABLE!#REF!,":"," ",TIMETABLE!#REF!," ",TIMETABLE!#REF!)</f>
        <v>#REF!</v>
      </c>
      <c r="P78" s="315" t="e">
        <f>CONCATENATE(TIMETABLE!F$6," ","[",TIMETABLE!F$7," ","Students","]"," ",TIMETABLE!#REF!,":"," ",TIMETABLE!#REF!," ",TIMETABLE!#REF!)</f>
        <v>#REF!</v>
      </c>
      <c r="Q78" s="315" t="e">
        <f>CONCATENATE(TIMETABLE!G$6," ","[",TIMETABLE!G$7," ","Students","]"," ",TIMETABLE!#REF!,":"," ",TIMETABLE!#REF!," ",TIMETABLE!#REF!)</f>
        <v>#REF!</v>
      </c>
      <c r="R78" s="315" t="e">
        <f>CONCATENATE(TIMETABLE!#REF!," ","[",TIMETABLE!#REF!," ","Students","]"," ",TIMETABLE!#REF!,":"," ",TIMETABLE!#REF!," ",TIMETABLE!#REF!)</f>
        <v>#REF!</v>
      </c>
      <c r="S78" s="315" t="e">
        <f>CONCATENATE(TIMETABLE!#REF!," ","[",TIMETABLE!#REF!," ","Students","]"," ",TIMETABLE!#REF!,":"," ",TIMETABLE!#REF!," ",TIMETABLE!#REF!)</f>
        <v>#REF!</v>
      </c>
      <c r="T78" s="315" t="e">
        <f>CONCATENATE(TIMETABLE!J$6," ","[",TIMETABLE!J$7," ","Students","]"," ",TIMETABLE!#REF!,":"," ",TIMETABLE!#REF!," ",TIMETABLE!#REF!)</f>
        <v>#REF!</v>
      </c>
      <c r="U78" s="315" t="e">
        <f>CONCATENATE(TIMETABLE!#REF!," ","[",TIMETABLE!#REF!," ","Students","]"," ",TIMETABLE!#REF!,":"," ",TIMETABLE!#REF!," ",TIMETABLE!#REF!)</f>
        <v>#REF!</v>
      </c>
      <c r="V78" s="315" t="e">
        <f>CONCATENATE(TIMETABLE!#REF!," ","[",TIMETABLE!#REF!," ","Students","]"," ",TIMETABLE!#REF!,":"," ",TIMETABLE!#REF!," ",TIMETABLE!#REF!)</f>
        <v>#REF!</v>
      </c>
      <c r="W78" s="315" t="e">
        <f>CONCATENATE(TIMETABLE!#REF!," ","[",TIMETABLE!#REF!," ","Students","]"," ",TIMETABLE!#REF!,":"," ",TIMETABLE!#REF!," ",TIMETABLE!#REF!)</f>
        <v>#REF!</v>
      </c>
      <c r="X78" s="315" t="e">
        <f>CONCATENATE(TIMETABLE!#REF!," ","[",TIMETABLE!#REF!," ","Students","]"," ",TIMETABLE!#REF!,":"," ",TIMETABLE!#REF!," ",TIMETABLE!#REF!)</f>
        <v>#REF!</v>
      </c>
      <c r="Y78" s="315" t="e">
        <f>CONCATENATE(TIMETABLE!#REF!," ","[",TIMETABLE!#REF!," ","Students","]"," ",TIMETABLE!#REF!,":"," ",TIMETABLE!#REF!," ",TIMETABLE!#REF!)</f>
        <v>#REF!</v>
      </c>
      <c r="Z78" s="315" t="e">
        <f>CONCATENATE(TIMETABLE!#REF!," ","[",TIMETABLE!#REF!," ","Students","]"," ",TIMETABLE!#REF!,":"," ",TIMETABLE!#REF!," ",TIMETABLE!#REF!)</f>
        <v>#REF!</v>
      </c>
      <c r="AA78" s="315" t="e">
        <f>CONCATENATE(TIMETABLE!#REF!," ","[",TIMETABLE!#REF!," ","Students","]"," ",TIMETABLE!#REF!,":"," ",TIMETABLE!#REF!," ",TIMETABLE!#REF!)</f>
        <v>#REF!</v>
      </c>
      <c r="AB78" s="315" t="e">
        <f>CONCATENATE(TIMETABLE!#REF!," ","[",TIMETABLE!#REF!," ","Students","]"," ",TIMETABLE!#REF!,":"," ",TIMETABLE!#REF!," ",TIMETABLE!#REF!)</f>
        <v>#REF!</v>
      </c>
      <c r="AC78" s="315" t="e">
        <f>CONCATENATE(TIMETABLE!W$6," ","[",TIMETABLE!W$7," ","Students","]"," ",TIMETABLE!#REF!,":"," ",TIMETABLE!#REF!," ",TIMETABLE!#REF!)</f>
        <v>#REF!</v>
      </c>
      <c r="AD78" s="315" t="e">
        <f>CONCATENATE(TIMETABLE!#REF!," ","[",TIMETABLE!#REF!," ","Students","]"," ",TIMETABLE!#REF!,":"," ",TIMETABLE!#REF!," ",TIMETABLE!#REF!)</f>
        <v>#REF!</v>
      </c>
      <c r="AE78" s="315" t="e">
        <f>CONCATENATE(TIMETABLE!#REF!," ","[",TIMETABLE!#REF!," ","Students","]"," ",TIMETABLE!#REF!,":"," ",TIMETABLE!#REF!," ",TIMETABLE!#REF!)</f>
        <v>#REF!</v>
      </c>
      <c r="AF78" s="495"/>
    </row>
    <row r="79" spans="3:32" ht="23.4" x14ac:dyDescent="0.45">
      <c r="C79" s="495"/>
      <c r="D79" s="142"/>
      <c r="E79" s="130"/>
      <c r="F79" s="130"/>
      <c r="G79" s="130"/>
      <c r="H79" s="130"/>
      <c r="I79" s="130"/>
      <c r="J79" s="130"/>
      <c r="K79" s="130"/>
      <c r="L79" s="130"/>
      <c r="M79" s="130"/>
      <c r="N79" s="130"/>
      <c r="O79" s="130"/>
      <c r="P79" s="130"/>
      <c r="Q79" s="130"/>
      <c r="R79" s="130"/>
      <c r="S79" s="130"/>
      <c r="T79" s="130"/>
      <c r="U79" s="130"/>
      <c r="V79" s="130"/>
      <c r="W79" s="130"/>
      <c r="X79" s="130"/>
      <c r="Y79" s="130"/>
      <c r="Z79" s="130"/>
      <c r="AA79" s="130"/>
      <c r="AB79" s="130"/>
      <c r="AC79" s="130"/>
      <c r="AD79" s="130"/>
      <c r="AE79" s="130"/>
      <c r="AF79" s="495"/>
    </row>
    <row r="80" spans="3:32" ht="23.4" x14ac:dyDescent="0.45">
      <c r="C80" s="495"/>
      <c r="D80" s="143"/>
      <c r="E80" s="134"/>
      <c r="F80" s="134"/>
      <c r="G80" s="134"/>
      <c r="H80" s="134"/>
      <c r="I80" s="134"/>
      <c r="J80" s="134"/>
      <c r="K80" s="134"/>
      <c r="L80" s="134"/>
      <c r="M80" s="134"/>
      <c r="N80" s="134"/>
      <c r="O80" s="134"/>
      <c r="P80" s="134"/>
      <c r="Q80" s="134"/>
      <c r="R80" s="134"/>
      <c r="S80" s="134"/>
      <c r="T80" s="134"/>
      <c r="U80" s="134"/>
      <c r="V80" s="134"/>
      <c r="W80" s="134"/>
      <c r="X80" s="134"/>
      <c r="Y80" s="134"/>
      <c r="Z80" s="134"/>
      <c r="AA80" s="134"/>
      <c r="AB80" s="134"/>
      <c r="AC80" s="134"/>
      <c r="AD80" s="134"/>
      <c r="AE80" s="134"/>
      <c r="AF80" s="495"/>
    </row>
    <row r="81" spans="3:32" ht="24" thickBot="1" x14ac:dyDescent="0.5">
      <c r="C81" s="495"/>
      <c r="D81" s="144"/>
      <c r="E81" s="315" t="e">
        <f>CONCATENATE(TIMETABLE!#REF!," ","[",TIMETABLE!#REF!," ","Students","]"," ",TIMETABLE!#REF!,":"," ",TIMETABLE!#REF!," ",TIMETABLE!#REF!)</f>
        <v>#REF!</v>
      </c>
      <c r="F81" s="315" t="e">
        <f>CONCATENATE(TIMETABLE!#REF!," ","[",TIMETABLE!#REF!," ","Students","]"," ",TIMETABLE!#REF!,":"," ",TIMETABLE!#REF!," ",TIMETABLE!#REF!)</f>
        <v>#REF!</v>
      </c>
      <c r="G81" s="315" t="e">
        <f>CONCATENATE(TIMETABLE!#REF!," ","[",TIMETABLE!#REF!," ","Students","]"," ",TIMETABLE!#REF!,":"," ",TIMETABLE!#REF!," ",TIMETABLE!#REF!)</f>
        <v>#REF!</v>
      </c>
      <c r="H81" s="315" t="e">
        <f>CONCATENATE(TIMETABLE!#REF!," ","[",TIMETABLE!#REF!," ","Students","]"," ",TIMETABLE!#REF!,":"," ",TIMETABLE!#REF!," ",TIMETABLE!#REF!)</f>
        <v>#REF!</v>
      </c>
      <c r="I81" s="315" t="e">
        <f>CONCATENATE(TIMETABLE!#REF!," ","[",TIMETABLE!#REF!," ","Students","]"," ",TIMETABLE!#REF!,":"," ",TIMETABLE!#REF!," ",TIMETABLE!#REF!)</f>
        <v>#REF!</v>
      </c>
      <c r="J81" s="315" t="e">
        <f>CONCATENATE(TIMETABLE!#REF!," ","[",TIMETABLE!#REF!," ","Students","]"," ",TIMETABLE!#REF!,":"," ",TIMETABLE!#REF!," ",TIMETABLE!#REF!)</f>
        <v>#REF!</v>
      </c>
      <c r="K81" s="315" t="e">
        <f>CONCATENATE(TIMETABLE!#REF!," ","[",TIMETABLE!#REF!," ","Students","]"," ",TIMETABLE!#REF!,":"," ",TIMETABLE!#REF!," ",TIMETABLE!#REF!)</f>
        <v>#REF!</v>
      </c>
      <c r="L81" s="315" t="str">
        <f>CONCATENATE(TIMETABLE!D$6," ","[",TIMETABLE!D$7," ","Students","]"," ",TIMETABLE!D42,":"," ",TIMETABLE!D45," ",TIMETABLE!D44)</f>
        <v xml:space="preserve">BSME/SEP2020/J-FT [Y2S1  (50) Students] :  </v>
      </c>
      <c r="M81" s="315" t="str">
        <f>CONCATENATE(TIMETABLE!E$6," ","[",TIMETABLE!E$7," ","Students","]"," ",TIMETABLE!E42,":"," ",TIMETABLE!E45," ",TIMETABLE!E44)</f>
        <v xml:space="preserve">BSME/AUG2021/J-FT [Y1S2  (55) Students] :  </v>
      </c>
      <c r="N81" s="315" t="e">
        <f>CONCATENATE(TIMETABLE!#REF!," ","[",TIMETABLE!#REF!," ","Students","]"," ",TIMETABLE!#REF!,":"," ",TIMETABLE!#REF!," ",TIMETABLE!#REF!)</f>
        <v>#REF!</v>
      </c>
      <c r="O81" s="315" t="e">
        <f>CONCATENATE(TIMETABLE!#REF!," ","[",TIMETABLE!#REF!," ","Students","]"," ",TIMETABLE!#REF!,":"," ",TIMETABLE!#REF!," ",TIMETABLE!#REF!)</f>
        <v>#REF!</v>
      </c>
      <c r="P81" s="315" t="str">
        <f>CONCATENATE(TIMETABLE!F$6," ","[",TIMETABLE!F$7," ","Students","]"," ",TIMETABLE!F42,":"," ",TIMETABLE!F45," ",TIMETABLE!F44)</f>
        <v>BTME/SEP2019/S-PT [Y3S1   (10) Students] TMC 4317: MUNIALO FET 109</v>
      </c>
      <c r="Q81" s="315" t="str">
        <f>CONCATENATE(TIMETABLE!G$6," ","[",TIMETABLE!G$7," ","Students","]"," ",TIMETABLE!G42,":"," ",TIMETABLE!G45," ",TIMETABLE!G44)</f>
        <v>BTME/AUG2021/S-PT [Y2S2   (10) Students] AMA 4203: KARAKACHA FET 109</v>
      </c>
      <c r="R81" s="315" t="e">
        <f>CONCATENATE(TIMETABLE!#REF!," ","[",TIMETABLE!#REF!," ","Students","]"," ",TIMETABLE!#REF!,":"," ",TIMETABLE!#REF!," ",TIMETABLE!#REF!)</f>
        <v>#REF!</v>
      </c>
      <c r="S81" s="315" t="e">
        <f>CONCATENATE(TIMETABLE!#REF!," ","[",TIMETABLE!#REF!," ","Students","]"," ",TIMETABLE!#REF!,":"," ",TIMETABLE!#REF!," ",TIMETABLE!#REF!)</f>
        <v>#REF!</v>
      </c>
      <c r="T81" s="315" t="e">
        <f>CONCATENATE(TIMETABLE!J$6," ","[",TIMETABLE!J$7," ","Students","]"," ",TIMETABLE!#REF!,":"," ",TIMETABLE!#REF!," ",TIMETABLE!#REF!)</f>
        <v>#REF!</v>
      </c>
      <c r="U81" s="315" t="e">
        <f>CONCATENATE(TIMETABLE!#REF!," ","[",TIMETABLE!#REF!," ","Students","]"," ",TIMETABLE!#REF!,":"," ",TIMETABLE!#REF!," ",TIMETABLE!#REF!)</f>
        <v>#REF!</v>
      </c>
      <c r="V81" s="315" t="e">
        <f>CONCATENATE(TIMETABLE!#REF!," ","[",TIMETABLE!#REF!," ","Students","]"," ",TIMETABLE!#REF!,":"," ",TIMETABLE!#REF!," ",TIMETABLE!#REF!)</f>
        <v>#REF!</v>
      </c>
      <c r="W81" s="315" t="e">
        <f>CONCATENATE(TIMETABLE!#REF!," ","[",TIMETABLE!#REF!," ","Students","]"," ",TIMETABLE!#REF!,":"," ",TIMETABLE!#REF!," ",TIMETABLE!#REF!)</f>
        <v>#REF!</v>
      </c>
      <c r="X81" s="315" t="e">
        <f>CONCATENATE(TIMETABLE!#REF!," ","[",TIMETABLE!#REF!," ","Students","]"," ",TIMETABLE!#REF!,":"," ",TIMETABLE!#REF!," ",TIMETABLE!#REF!)</f>
        <v>#REF!</v>
      </c>
      <c r="Y81" s="315" t="e">
        <f>CONCATENATE(TIMETABLE!#REF!," ","[",TIMETABLE!#REF!," ","Students","]"," ",TIMETABLE!#REF!,":"," ",TIMETABLE!#REF!," ",TIMETABLE!#REF!)</f>
        <v>#REF!</v>
      </c>
      <c r="Z81" s="315" t="e">
        <f>CONCATENATE(TIMETABLE!#REF!," ","[",TIMETABLE!#REF!," ","Students","]"," ",TIMETABLE!#REF!,":"," ",TIMETABLE!#REF!," ",TIMETABLE!#REF!)</f>
        <v>#REF!</v>
      </c>
      <c r="AA81" s="315" t="e">
        <f>CONCATENATE(TIMETABLE!#REF!," ","[",TIMETABLE!#REF!," ","Students","]"," ",TIMETABLE!#REF!,":"," ",TIMETABLE!#REF!," ",TIMETABLE!#REF!)</f>
        <v>#REF!</v>
      </c>
      <c r="AB81" s="315" t="e">
        <f>CONCATENATE(TIMETABLE!#REF!," ","[",TIMETABLE!#REF!," ","Students","]"," ",TIMETABLE!#REF!,":"," ",TIMETABLE!#REF!," ",TIMETABLE!#REF!)</f>
        <v>#REF!</v>
      </c>
      <c r="AC81" s="315" t="str">
        <f>CONCATENATE(TIMETABLE!W$6," ","[",TIMETABLE!W$7," ","Students","]"," ",TIMETABLE!W42,":"," ",TIMETABLE!W45," ",TIMETABLE!W44)</f>
        <v xml:space="preserve">DMAE/SEP20201J&amp;S-FT [Y1S2   (60) Students] :  </v>
      </c>
      <c r="AD81" s="315" t="e">
        <f>CONCATENATE(TIMETABLE!#REF!," ","[",TIMETABLE!#REF!," ","Students","]"," ",TIMETABLE!#REF!,":"," ",TIMETABLE!#REF!," ",TIMETABLE!#REF!)</f>
        <v>#REF!</v>
      </c>
      <c r="AE81" s="315" t="e">
        <f>CONCATENATE(TIMETABLE!#REF!," ","[",TIMETABLE!#REF!," ","Students","]"," ",TIMETABLE!#REF!,":"," ",TIMETABLE!#REF!," ",TIMETABLE!#REF!)</f>
        <v>#REF!</v>
      </c>
      <c r="AF81" s="495"/>
    </row>
    <row r="82" spans="3:32" ht="23.4" x14ac:dyDescent="0.45">
      <c r="C82" s="495"/>
      <c r="D82" s="145"/>
      <c r="E82" s="130"/>
      <c r="F82" s="130"/>
      <c r="G82" s="130"/>
      <c r="H82" s="130"/>
      <c r="I82" s="130"/>
      <c r="J82" s="130"/>
      <c r="K82" s="130"/>
      <c r="L82" s="130"/>
      <c r="M82" s="130"/>
      <c r="N82" s="130"/>
      <c r="O82" s="130"/>
      <c r="P82" s="130"/>
      <c r="Q82" s="130"/>
      <c r="R82" s="130"/>
      <c r="S82" s="130"/>
      <c r="T82" s="130"/>
      <c r="U82" s="130"/>
      <c r="V82" s="130"/>
      <c r="W82" s="130"/>
      <c r="X82" s="130"/>
      <c r="Y82" s="130"/>
      <c r="Z82" s="130"/>
      <c r="AA82" s="130"/>
      <c r="AB82" s="130"/>
      <c r="AC82" s="130"/>
      <c r="AD82" s="130"/>
      <c r="AE82" s="130"/>
      <c r="AF82" s="495"/>
    </row>
    <row r="83" spans="3:32" ht="23.4" x14ac:dyDescent="0.45">
      <c r="C83" s="495"/>
      <c r="D83" s="143"/>
      <c r="E83" s="134"/>
      <c r="F83" s="134"/>
      <c r="G83" s="134"/>
      <c r="H83" s="134"/>
      <c r="I83" s="134"/>
      <c r="J83" s="134"/>
      <c r="K83" s="134"/>
      <c r="L83" s="134"/>
      <c r="M83" s="134"/>
      <c r="N83" s="134"/>
      <c r="O83" s="134"/>
      <c r="P83" s="134"/>
      <c r="Q83" s="134"/>
      <c r="R83" s="134"/>
      <c r="S83" s="134"/>
      <c r="T83" s="134"/>
      <c r="U83" s="134"/>
      <c r="V83" s="134"/>
      <c r="W83" s="134"/>
      <c r="X83" s="134"/>
      <c r="Y83" s="134"/>
      <c r="Z83" s="134"/>
      <c r="AA83" s="134"/>
      <c r="AB83" s="134"/>
      <c r="AC83" s="134"/>
      <c r="AD83" s="134"/>
      <c r="AE83" s="134"/>
      <c r="AF83" s="495"/>
    </row>
    <row r="84" spans="3:32" ht="24" thickBot="1" x14ac:dyDescent="0.5">
      <c r="C84" s="495"/>
      <c r="D84" s="144"/>
      <c r="E84" s="315" t="e">
        <f>CONCATENATE(TIMETABLE!#REF!," ","[",TIMETABLE!#REF!," ","Students","]"," ",TIMETABLE!#REF!,":"," ",TIMETABLE!#REF!," ",TIMETABLE!#REF!)</f>
        <v>#REF!</v>
      </c>
      <c r="F84" s="315" t="e">
        <f>CONCATENATE(TIMETABLE!#REF!," ","[",TIMETABLE!#REF!," ","Students","]"," ",TIMETABLE!#REF!,":"," ",TIMETABLE!#REF!," ",TIMETABLE!#REF!)</f>
        <v>#REF!</v>
      </c>
      <c r="G84" s="315" t="e">
        <f>CONCATENATE(TIMETABLE!#REF!," ","[",TIMETABLE!#REF!," ","Students","]"," ",TIMETABLE!#REF!,":"," ",TIMETABLE!#REF!," ",TIMETABLE!#REF!)</f>
        <v>#REF!</v>
      </c>
      <c r="H84" s="315" t="e">
        <f>CONCATENATE(TIMETABLE!#REF!," ","[",TIMETABLE!#REF!," ","Students","]"," ",TIMETABLE!#REF!,":"," ",TIMETABLE!#REF!," ",TIMETABLE!#REF!)</f>
        <v>#REF!</v>
      </c>
      <c r="I84" s="315" t="e">
        <f>CONCATENATE(TIMETABLE!#REF!," ","[",TIMETABLE!#REF!," ","Students","]"," ",TIMETABLE!#REF!,":"," ",TIMETABLE!#REF!," ",TIMETABLE!#REF!)</f>
        <v>#REF!</v>
      </c>
      <c r="J84" s="315" t="e">
        <f>CONCATENATE(TIMETABLE!#REF!," ","[",TIMETABLE!#REF!," ","Students","]"," ",TIMETABLE!#REF!,":"," ",TIMETABLE!#REF!," ",TIMETABLE!#REF!)</f>
        <v>#REF!</v>
      </c>
      <c r="K84" s="315" t="e">
        <f>CONCATENATE(TIMETABLE!#REF!," ","[",TIMETABLE!#REF!," ","Students","]"," ",TIMETABLE!#REF!,":"," ",TIMETABLE!#REF!," ",TIMETABLE!#REF!)</f>
        <v>#REF!</v>
      </c>
      <c r="L84" s="315" t="e">
        <f>CONCATENATE(TIMETABLE!D$6," ","[",TIMETABLE!D$7," ","Students","]"," ",TIMETABLE!#REF!,":"," ",TIMETABLE!#REF!," ",TIMETABLE!#REF!)</f>
        <v>#REF!</v>
      </c>
      <c r="M84" s="315" t="e">
        <f>CONCATENATE(TIMETABLE!E$6," ","[",TIMETABLE!E$7," ","Students","]"," ",TIMETABLE!#REF!,":"," ",TIMETABLE!#REF!," ",TIMETABLE!#REF!)</f>
        <v>#REF!</v>
      </c>
      <c r="N84" s="315" t="e">
        <f>CONCATENATE(TIMETABLE!#REF!," ","[",TIMETABLE!#REF!," ","Students","]"," ",TIMETABLE!#REF!,":"," ",TIMETABLE!#REF!," ",TIMETABLE!#REF!)</f>
        <v>#REF!</v>
      </c>
      <c r="O84" s="315" t="e">
        <f>CONCATENATE(TIMETABLE!#REF!," ","[",TIMETABLE!#REF!," ","Students","]"," ",TIMETABLE!#REF!,":"," ",TIMETABLE!#REF!," ",TIMETABLE!#REF!)</f>
        <v>#REF!</v>
      </c>
      <c r="P84" s="315" t="e">
        <f>CONCATENATE(TIMETABLE!F$6," ","[",TIMETABLE!F$7," ","Students","]"," ",TIMETABLE!#REF!,":"," ",TIMETABLE!#REF!," ",TIMETABLE!#REF!)</f>
        <v>#REF!</v>
      </c>
      <c r="Q84" s="315" t="e">
        <f>CONCATENATE(TIMETABLE!G$6," ","[",TIMETABLE!G$7," ","Students","]"," ",TIMETABLE!#REF!,":"," ",TIMETABLE!#REF!," ",TIMETABLE!#REF!)</f>
        <v>#REF!</v>
      </c>
      <c r="R84" s="315" t="e">
        <f>CONCATENATE(TIMETABLE!#REF!," ","[",TIMETABLE!#REF!," ","Students","]"," ",TIMETABLE!#REF!,":"," ",TIMETABLE!#REF!," ",TIMETABLE!#REF!)</f>
        <v>#REF!</v>
      </c>
      <c r="S84" s="315" t="e">
        <f>CONCATENATE(TIMETABLE!#REF!," ","[",TIMETABLE!#REF!," ","Students","]"," ",TIMETABLE!#REF!,":"," ",TIMETABLE!#REF!," ",TIMETABLE!#REF!)</f>
        <v>#REF!</v>
      </c>
      <c r="T84" s="315" t="e">
        <f>CONCATENATE(TIMETABLE!J$6," ","[",TIMETABLE!J$7," ","Students","]"," ",TIMETABLE!#REF!,":"," ",TIMETABLE!#REF!," ",TIMETABLE!#REF!)</f>
        <v>#REF!</v>
      </c>
      <c r="U84" s="315" t="e">
        <f>CONCATENATE(TIMETABLE!#REF!," ","[",TIMETABLE!#REF!," ","Students","]"," ",TIMETABLE!#REF!,":"," ",TIMETABLE!#REF!," ",TIMETABLE!#REF!)</f>
        <v>#REF!</v>
      </c>
      <c r="V84" s="315" t="e">
        <f>CONCATENATE(TIMETABLE!#REF!," ","[",TIMETABLE!#REF!," ","Students","]"," ",TIMETABLE!#REF!,":"," ",TIMETABLE!#REF!," ",TIMETABLE!#REF!)</f>
        <v>#REF!</v>
      </c>
      <c r="W84" s="315" t="e">
        <f>CONCATENATE(TIMETABLE!#REF!," ","[",TIMETABLE!#REF!," ","Students","]"," ",TIMETABLE!#REF!,":"," ",TIMETABLE!#REF!," ",TIMETABLE!#REF!)</f>
        <v>#REF!</v>
      </c>
      <c r="X84" s="315" t="e">
        <f>CONCATENATE(TIMETABLE!#REF!," ","[",TIMETABLE!#REF!," ","Students","]"," ",TIMETABLE!#REF!,":"," ",TIMETABLE!#REF!," ",TIMETABLE!#REF!)</f>
        <v>#REF!</v>
      </c>
      <c r="Y84" s="315" t="e">
        <f>CONCATENATE(TIMETABLE!#REF!," ","[",TIMETABLE!#REF!," ","Students","]"," ",TIMETABLE!#REF!,":"," ",TIMETABLE!#REF!," ",TIMETABLE!#REF!)</f>
        <v>#REF!</v>
      </c>
      <c r="Z84" s="315" t="e">
        <f>CONCATENATE(TIMETABLE!#REF!," ","[",TIMETABLE!#REF!," ","Students","]"," ",TIMETABLE!#REF!,":"," ",TIMETABLE!#REF!," ",TIMETABLE!#REF!)</f>
        <v>#REF!</v>
      </c>
      <c r="AA84" s="315" t="e">
        <f>CONCATENATE(TIMETABLE!#REF!," ","[",TIMETABLE!#REF!," ","Students","]"," ",TIMETABLE!#REF!,":"," ",TIMETABLE!#REF!," ",TIMETABLE!#REF!)</f>
        <v>#REF!</v>
      </c>
      <c r="AB84" s="315" t="e">
        <f>CONCATENATE(TIMETABLE!#REF!," ","[",TIMETABLE!#REF!," ","Students","]"," ",TIMETABLE!#REF!,":"," ",TIMETABLE!#REF!," ",TIMETABLE!#REF!)</f>
        <v>#REF!</v>
      </c>
      <c r="AC84" s="315" t="e">
        <f>CONCATENATE(TIMETABLE!W$6," ","[",TIMETABLE!W$7," ","Students","]"," ",TIMETABLE!#REF!,":"," ",TIMETABLE!#REF!," ",TIMETABLE!#REF!)</f>
        <v>#REF!</v>
      </c>
      <c r="AD84" s="315" t="e">
        <f>CONCATENATE(TIMETABLE!#REF!," ","[",TIMETABLE!#REF!," ","Students","]"," ",TIMETABLE!#REF!,":"," ",TIMETABLE!#REF!," ",TIMETABLE!#REF!)</f>
        <v>#REF!</v>
      </c>
      <c r="AE84" s="315" t="e">
        <f>CONCATENATE(TIMETABLE!#REF!," ","[",TIMETABLE!#REF!," ","Students","]"," ",TIMETABLE!#REF!,":"," ",TIMETABLE!#REF!," ",TIMETABLE!#REF!)</f>
        <v>#REF!</v>
      </c>
      <c r="AF84" s="495"/>
    </row>
    <row r="85" spans="3:32" ht="23.4" x14ac:dyDescent="0.45">
      <c r="C85" s="495"/>
      <c r="D85" s="143"/>
      <c r="E85" s="130"/>
      <c r="F85" s="130"/>
      <c r="G85" s="130"/>
      <c r="H85" s="130"/>
      <c r="I85" s="130"/>
      <c r="J85" s="130"/>
      <c r="K85" s="130"/>
      <c r="L85" s="130"/>
      <c r="M85" s="130"/>
      <c r="N85" s="130"/>
      <c r="O85" s="130"/>
      <c r="P85" s="130"/>
      <c r="Q85" s="130"/>
      <c r="R85" s="130"/>
      <c r="S85" s="130"/>
      <c r="T85" s="130"/>
      <c r="U85" s="130"/>
      <c r="V85" s="130"/>
      <c r="W85" s="130"/>
      <c r="X85" s="130"/>
      <c r="Y85" s="130"/>
      <c r="Z85" s="130"/>
      <c r="AA85" s="130"/>
      <c r="AB85" s="130"/>
      <c r="AC85" s="130"/>
      <c r="AD85" s="130"/>
      <c r="AE85" s="130"/>
      <c r="AF85" s="495"/>
    </row>
    <row r="86" spans="3:32" ht="23.4" x14ac:dyDescent="0.45">
      <c r="C86" s="495"/>
      <c r="D86" s="143"/>
      <c r="E86" s="134"/>
      <c r="F86" s="134"/>
      <c r="G86" s="134"/>
      <c r="H86" s="134"/>
      <c r="I86" s="134"/>
      <c r="J86" s="134"/>
      <c r="K86" s="134"/>
      <c r="L86" s="134"/>
      <c r="M86" s="134"/>
      <c r="N86" s="134"/>
      <c r="O86" s="134"/>
      <c r="P86" s="134"/>
      <c r="Q86" s="134"/>
      <c r="R86" s="134"/>
      <c r="S86" s="134"/>
      <c r="T86" s="134"/>
      <c r="U86" s="134"/>
      <c r="V86" s="134"/>
      <c r="W86" s="134"/>
      <c r="X86" s="134"/>
      <c r="Y86" s="134"/>
      <c r="Z86" s="134"/>
      <c r="AA86" s="134"/>
      <c r="AB86" s="134"/>
      <c r="AC86" s="134"/>
      <c r="AD86" s="134"/>
      <c r="AE86" s="134"/>
      <c r="AF86" s="495"/>
    </row>
    <row r="87" spans="3:32" ht="24" thickBot="1" x14ac:dyDescent="0.5">
      <c r="C87" s="496"/>
      <c r="D87" s="146"/>
      <c r="E87" s="315" t="e">
        <f>CONCATENATE(TIMETABLE!#REF!," ","[",TIMETABLE!#REF!," ","Students","]"," ",TIMETABLE!#REF!,":"," ",TIMETABLE!#REF!," ",TIMETABLE!#REF!)</f>
        <v>#REF!</v>
      </c>
      <c r="F87" s="315" t="e">
        <f>CONCATENATE(TIMETABLE!#REF!," ","[",TIMETABLE!#REF!," ","Students","]"," ",TIMETABLE!#REF!,":"," ",TIMETABLE!#REF!," ",TIMETABLE!#REF!)</f>
        <v>#REF!</v>
      </c>
      <c r="G87" s="315" t="e">
        <f>CONCATENATE(TIMETABLE!#REF!," ","[",TIMETABLE!#REF!," ","Students","]"," ",TIMETABLE!#REF!,":"," ",TIMETABLE!#REF!," ",TIMETABLE!#REF!)</f>
        <v>#REF!</v>
      </c>
      <c r="H87" s="315" t="e">
        <f>CONCATENATE(TIMETABLE!#REF!," ","[",TIMETABLE!#REF!," ","Students","]"," ",TIMETABLE!#REF!,":"," ",TIMETABLE!#REF!," ",TIMETABLE!#REF!)</f>
        <v>#REF!</v>
      </c>
      <c r="I87" s="315" t="e">
        <f>CONCATENATE(TIMETABLE!#REF!," ","[",TIMETABLE!#REF!," ","Students","]"," ",TIMETABLE!#REF!,":"," ",TIMETABLE!#REF!," ",TIMETABLE!#REF!)</f>
        <v>#REF!</v>
      </c>
      <c r="J87" s="315" t="e">
        <f>CONCATENATE(TIMETABLE!#REF!," ","[",TIMETABLE!#REF!," ","Students","]"," ",TIMETABLE!#REF!,":"," ",TIMETABLE!#REF!," ",TIMETABLE!#REF!)</f>
        <v>#REF!</v>
      </c>
      <c r="K87" s="315" t="e">
        <f>CONCATENATE(TIMETABLE!#REF!," ","[",TIMETABLE!#REF!," ","Students","]"," ",TIMETABLE!#REF!,":"," ",TIMETABLE!#REF!," ",TIMETABLE!#REF!)</f>
        <v>#REF!</v>
      </c>
      <c r="L87" s="315" t="e">
        <f>CONCATENATE(TIMETABLE!D$6," ","[",TIMETABLE!D$7," ","Students","]"," ",TIMETABLE!#REF!,":"," ",TIMETABLE!#REF!," ",TIMETABLE!#REF!)</f>
        <v>#REF!</v>
      </c>
      <c r="M87" s="315" t="e">
        <f>CONCATENATE(TIMETABLE!E$6," ","[",TIMETABLE!E$7," ","Students","]"," ",TIMETABLE!#REF!,":"," ",TIMETABLE!#REF!," ",TIMETABLE!#REF!)</f>
        <v>#REF!</v>
      </c>
      <c r="N87" s="315" t="e">
        <f>CONCATENATE(TIMETABLE!#REF!," ","[",TIMETABLE!#REF!," ","Students","]"," ",TIMETABLE!#REF!,":"," ",TIMETABLE!#REF!," ",TIMETABLE!#REF!)</f>
        <v>#REF!</v>
      </c>
      <c r="O87" s="315" t="e">
        <f>CONCATENATE(TIMETABLE!#REF!," ","[",TIMETABLE!#REF!," ","Students","]"," ",TIMETABLE!#REF!,":"," ",TIMETABLE!#REF!," ",TIMETABLE!#REF!)</f>
        <v>#REF!</v>
      </c>
      <c r="P87" s="315" t="e">
        <f>CONCATENATE(TIMETABLE!F$6," ","[",TIMETABLE!F$7," ","Students","]"," ",TIMETABLE!#REF!,":"," ",TIMETABLE!#REF!," ",TIMETABLE!#REF!)</f>
        <v>#REF!</v>
      </c>
      <c r="Q87" s="315" t="e">
        <f>CONCATENATE(TIMETABLE!G$6," ","[",TIMETABLE!G$7," ","Students","]"," ",TIMETABLE!#REF!,":"," ",TIMETABLE!#REF!," ",TIMETABLE!#REF!)</f>
        <v>#REF!</v>
      </c>
      <c r="R87" s="315" t="e">
        <f>CONCATENATE(TIMETABLE!#REF!," ","[",TIMETABLE!#REF!," ","Students","]"," ",TIMETABLE!#REF!,":"," ",TIMETABLE!#REF!," ",TIMETABLE!#REF!)</f>
        <v>#REF!</v>
      </c>
      <c r="S87" s="315" t="e">
        <f>CONCATENATE(TIMETABLE!#REF!," ","[",TIMETABLE!#REF!," ","Students","]"," ",TIMETABLE!#REF!,":"," ",TIMETABLE!#REF!," ",TIMETABLE!#REF!)</f>
        <v>#REF!</v>
      </c>
      <c r="T87" s="315" t="e">
        <f>CONCATENATE(TIMETABLE!J$6," ","[",TIMETABLE!J$7," ","Students","]"," ",TIMETABLE!#REF!,":"," ",TIMETABLE!#REF!," ",TIMETABLE!#REF!)</f>
        <v>#REF!</v>
      </c>
      <c r="U87" s="315" t="e">
        <f>CONCATENATE(TIMETABLE!#REF!," ","[",TIMETABLE!#REF!," ","Students","]"," ",TIMETABLE!#REF!,":"," ",TIMETABLE!#REF!," ",TIMETABLE!#REF!)</f>
        <v>#REF!</v>
      </c>
      <c r="V87" s="315" t="e">
        <f>CONCATENATE(TIMETABLE!#REF!," ","[",TIMETABLE!#REF!," ","Students","]"," ",TIMETABLE!#REF!,":"," ",TIMETABLE!#REF!," ",TIMETABLE!#REF!)</f>
        <v>#REF!</v>
      </c>
      <c r="W87" s="315" t="e">
        <f>CONCATENATE(TIMETABLE!#REF!," ","[",TIMETABLE!#REF!," ","Students","]"," ",TIMETABLE!#REF!,":"," ",TIMETABLE!#REF!," ",TIMETABLE!#REF!)</f>
        <v>#REF!</v>
      </c>
      <c r="X87" s="315" t="e">
        <f>CONCATENATE(TIMETABLE!#REF!," ","[",TIMETABLE!#REF!," ","Students","]"," ",TIMETABLE!#REF!,":"," ",TIMETABLE!#REF!," ",TIMETABLE!#REF!)</f>
        <v>#REF!</v>
      </c>
      <c r="Y87" s="315" t="e">
        <f>CONCATENATE(TIMETABLE!#REF!," ","[",TIMETABLE!#REF!," ","Students","]"," ",TIMETABLE!#REF!,":"," ",TIMETABLE!#REF!," ",TIMETABLE!#REF!)</f>
        <v>#REF!</v>
      </c>
      <c r="Z87" s="315" t="e">
        <f>CONCATENATE(TIMETABLE!#REF!," ","[",TIMETABLE!#REF!," ","Students","]"," ",TIMETABLE!#REF!,":"," ",TIMETABLE!#REF!," ",TIMETABLE!#REF!)</f>
        <v>#REF!</v>
      </c>
      <c r="AA87" s="315" t="e">
        <f>CONCATENATE(TIMETABLE!#REF!," ","[",TIMETABLE!#REF!," ","Students","]"," ",TIMETABLE!#REF!,":"," ",TIMETABLE!#REF!," ",TIMETABLE!#REF!)</f>
        <v>#REF!</v>
      </c>
      <c r="AB87" s="315" t="e">
        <f>CONCATENATE(TIMETABLE!#REF!," ","[",TIMETABLE!#REF!," ","Students","]"," ",TIMETABLE!#REF!,":"," ",TIMETABLE!#REF!," ",TIMETABLE!#REF!)</f>
        <v>#REF!</v>
      </c>
      <c r="AC87" s="315" t="e">
        <f>CONCATENATE(TIMETABLE!W$6," ","[",TIMETABLE!W$7," ","Students","]"," ",TIMETABLE!#REF!,":"," ",TIMETABLE!#REF!," ",TIMETABLE!#REF!)</f>
        <v>#REF!</v>
      </c>
      <c r="AD87" s="315" t="e">
        <f>CONCATENATE(TIMETABLE!#REF!," ","[",TIMETABLE!#REF!," ","Students","]"," ",TIMETABLE!#REF!,":"," ",TIMETABLE!#REF!," ",TIMETABLE!#REF!)</f>
        <v>#REF!</v>
      </c>
      <c r="AE87" s="315" t="e">
        <f>CONCATENATE(TIMETABLE!#REF!," ","[",TIMETABLE!#REF!," ","Students","]"," ",TIMETABLE!#REF!,":"," ",TIMETABLE!#REF!," ",TIMETABLE!#REF!)</f>
        <v>#REF!</v>
      </c>
      <c r="AF87" s="506"/>
    </row>
    <row r="88" spans="3:32" ht="24" thickTop="1" x14ac:dyDescent="0.45">
      <c r="C88" s="503"/>
      <c r="D88" s="147"/>
      <c r="E88" s="148"/>
      <c r="F88" s="148"/>
      <c r="G88" s="148"/>
      <c r="H88" s="148"/>
      <c r="I88" s="148"/>
      <c r="J88" s="148"/>
      <c r="K88" s="148"/>
      <c r="L88" s="148"/>
      <c r="M88" s="148"/>
      <c r="N88" s="148"/>
      <c r="O88" s="148"/>
      <c r="P88" s="148"/>
      <c r="Q88" s="148"/>
      <c r="R88" s="148"/>
      <c r="S88" s="148"/>
      <c r="T88" s="148"/>
      <c r="U88" s="148"/>
      <c r="V88" s="148"/>
      <c r="W88" s="148"/>
      <c r="X88" s="148"/>
      <c r="Y88" s="148"/>
      <c r="Z88" s="148"/>
      <c r="AA88" s="148"/>
      <c r="AB88" s="148"/>
      <c r="AC88" s="148"/>
      <c r="AD88" s="148"/>
      <c r="AE88" s="148"/>
      <c r="AF88" s="504"/>
    </row>
    <row r="89" spans="3:32" ht="23.4" x14ac:dyDescent="0.45">
      <c r="C89" s="504"/>
      <c r="D89" s="150"/>
      <c r="E89" s="151"/>
      <c r="F89" s="151"/>
      <c r="G89" s="151"/>
      <c r="H89" s="151"/>
      <c r="I89" s="151"/>
      <c r="J89" s="151"/>
      <c r="K89" s="151"/>
      <c r="L89" s="151"/>
      <c r="M89" s="151"/>
      <c r="N89" s="151"/>
      <c r="O89" s="151"/>
      <c r="P89" s="151"/>
      <c r="Q89" s="151"/>
      <c r="R89" s="151"/>
      <c r="S89" s="151"/>
      <c r="T89" s="151"/>
      <c r="U89" s="151"/>
      <c r="V89" s="151"/>
      <c r="W89" s="151"/>
      <c r="X89" s="151"/>
      <c r="Y89" s="151"/>
      <c r="Z89" s="151"/>
      <c r="AA89" s="151"/>
      <c r="AB89" s="151"/>
      <c r="AC89" s="151"/>
      <c r="AD89" s="151"/>
      <c r="AE89" s="151"/>
      <c r="AF89" s="504"/>
    </row>
    <row r="90" spans="3:32" ht="24" thickBot="1" x14ac:dyDescent="0.5">
      <c r="C90" s="504"/>
      <c r="D90" s="152"/>
      <c r="E90" s="316" t="e">
        <f>CONCATENATE(TIMETABLE!#REF!," ","[",TIMETABLE!#REF!," ","Students","]"," ",TIMETABLE!#REF!,":"," ",TIMETABLE!#REF!," ",TIMETABLE!#REF!)</f>
        <v>#REF!</v>
      </c>
      <c r="F90" s="316" t="e">
        <f>CONCATENATE(TIMETABLE!#REF!," ","[",TIMETABLE!#REF!," ","Students","]"," ",TIMETABLE!#REF!,":"," ",TIMETABLE!#REF!," ",TIMETABLE!#REF!)</f>
        <v>#REF!</v>
      </c>
      <c r="G90" s="316" t="e">
        <f>CONCATENATE(TIMETABLE!#REF!," ","[",TIMETABLE!#REF!," ","Students","]"," ",TIMETABLE!#REF!,":"," ",TIMETABLE!#REF!," ",TIMETABLE!#REF!)</f>
        <v>#REF!</v>
      </c>
      <c r="H90" s="316" t="e">
        <f>CONCATENATE(TIMETABLE!#REF!," ","[",TIMETABLE!#REF!," ","Students","]"," ",TIMETABLE!#REF!,":"," ",TIMETABLE!#REF!," ",TIMETABLE!#REF!)</f>
        <v>#REF!</v>
      </c>
      <c r="I90" s="316" t="e">
        <f>CONCATENATE(TIMETABLE!#REF!," ","[",TIMETABLE!#REF!," ","Students","]"," ",TIMETABLE!#REF!,":"," ",TIMETABLE!#REF!," ",TIMETABLE!#REF!)</f>
        <v>#REF!</v>
      </c>
      <c r="J90" s="316" t="e">
        <f>CONCATENATE(TIMETABLE!#REF!," ","[",TIMETABLE!#REF!," ","Students","]"," ",TIMETABLE!#REF!,":"," ",TIMETABLE!#REF!," ",TIMETABLE!#REF!)</f>
        <v>#REF!</v>
      </c>
      <c r="K90" s="316" t="e">
        <f>CONCATENATE(TIMETABLE!#REF!," ","[",TIMETABLE!#REF!," ","Students","]"," ",TIMETABLE!#REF!,":"," ",TIMETABLE!#REF!," ",TIMETABLE!#REF!)</f>
        <v>#REF!</v>
      </c>
      <c r="L90" s="316" t="str">
        <f>CONCATENATE(TIMETABLE!D$6," ","[",TIMETABLE!D$7," ","Students","]"," ",TIMETABLE!D46,":"," ",TIMETABLE!D49," ",TIMETABLE!D48)</f>
        <v>BSME/SEP2020/J-FT [Y2S1  (50) Students] BEN 4401: BUYA ONLINE</v>
      </c>
      <c r="M90" s="316" t="str">
        <f>CONCATENATE(TIMETABLE!E$6," ","[",TIMETABLE!E$7," ","Students","]"," ",TIMETABLE!E46,":"," ",TIMETABLE!E49," ",TIMETABLE!E48)</f>
        <v xml:space="preserve">BSME/AUG2021/J-FT [Y1S2  (55) Students] :  </v>
      </c>
      <c r="N90" s="316" t="e">
        <f>CONCATENATE(TIMETABLE!#REF!," ","[",TIMETABLE!#REF!," ","Students","]"," ",TIMETABLE!#REF!,":"," ",TIMETABLE!#REF!," ",TIMETABLE!#REF!)</f>
        <v>#REF!</v>
      </c>
      <c r="O90" s="316" t="e">
        <f>CONCATENATE(TIMETABLE!#REF!," ","[",TIMETABLE!#REF!," ","Students","]"," ",TIMETABLE!#REF!,":"," ",TIMETABLE!#REF!," ",TIMETABLE!#REF!)</f>
        <v>#REF!</v>
      </c>
      <c r="P90" s="316" t="str">
        <f>CONCATENATE(TIMETABLE!F$6," ","[",TIMETABLE!F$7," ","Students","]"," ",TIMETABLE!F46,":"," ",TIMETABLE!F49," ",TIMETABLE!F48)</f>
        <v xml:space="preserve">BTME/SEP2019/S-PT [Y3S1   (10) Students] :  </v>
      </c>
      <c r="Q90" s="316" t="str">
        <f>CONCATENATE(TIMETABLE!G$6," ","[",TIMETABLE!G$7," ","Students","]"," ",TIMETABLE!G46,":"," ",TIMETABLE!G49," ",TIMETABLE!G48)</f>
        <v xml:space="preserve">BTME/AUG2021/S-PT [Y2S2   (10) Students] :  </v>
      </c>
      <c r="R90" s="316" t="e">
        <f>CONCATENATE(TIMETABLE!#REF!," ","[",TIMETABLE!#REF!," ","Students","]"," ",TIMETABLE!#REF!,":"," ",TIMETABLE!#REF!," ",TIMETABLE!#REF!)</f>
        <v>#REF!</v>
      </c>
      <c r="S90" s="316" t="e">
        <f>CONCATENATE(TIMETABLE!#REF!," ","[",TIMETABLE!#REF!," ","Students","]"," ",TIMETABLE!#REF!,":"," ",TIMETABLE!#REF!," ",TIMETABLE!#REF!)</f>
        <v>#REF!</v>
      </c>
      <c r="T90" s="316" t="str">
        <f>CONCATENATE(TIMETABLE!J$6," ","[",TIMETABLE!J$7," ","Students","]"," ",TIMETABLE!J46,":"," ",TIMETABLE!J49," ",TIMETABLE!J48)</f>
        <v>BTME/AUG2021/J&amp;S-FT [Y1S1  (52) Students] BEN 4401: BUYA. ONLINE.</v>
      </c>
      <c r="U90" s="316" t="e">
        <f>CONCATENATE(TIMETABLE!#REF!," ","[",TIMETABLE!#REF!," ","Students","]"," ",TIMETABLE!#REF!,":"," ",TIMETABLE!#REF!," ",TIMETABLE!#REF!)</f>
        <v>#REF!</v>
      </c>
      <c r="V90" s="316" t="e">
        <f>CONCATENATE(TIMETABLE!#REF!," ","[",TIMETABLE!#REF!," ","Students","]"," ",TIMETABLE!#REF!,":"," ",TIMETABLE!#REF!," ",TIMETABLE!#REF!)</f>
        <v>#REF!</v>
      </c>
      <c r="W90" s="316" t="e">
        <f>CONCATENATE(TIMETABLE!#REF!," ","[",TIMETABLE!#REF!," ","Students","]"," ",TIMETABLE!#REF!,":"," ",TIMETABLE!#REF!," ",TIMETABLE!#REF!)</f>
        <v>#REF!</v>
      </c>
      <c r="X90" s="316" t="e">
        <f>CONCATENATE(TIMETABLE!#REF!," ","[",TIMETABLE!#REF!," ","Students","]"," ",TIMETABLE!#REF!,":"," ",TIMETABLE!#REF!," ",TIMETABLE!#REF!)</f>
        <v>#REF!</v>
      </c>
      <c r="Y90" s="316" t="e">
        <f>CONCATENATE(TIMETABLE!#REF!," ","[",TIMETABLE!#REF!," ","Students","]"," ",TIMETABLE!#REF!,":"," ",TIMETABLE!#REF!," ",TIMETABLE!#REF!)</f>
        <v>#REF!</v>
      </c>
      <c r="Z90" s="316" t="e">
        <f>CONCATENATE(TIMETABLE!#REF!," ","[",TIMETABLE!#REF!," ","Students","]"," ",TIMETABLE!#REF!,":"," ",TIMETABLE!#REF!," ",TIMETABLE!#REF!)</f>
        <v>#REF!</v>
      </c>
      <c r="AA90" s="316" t="e">
        <f>CONCATENATE(TIMETABLE!#REF!," ","[",TIMETABLE!#REF!," ","Students","]"," ",TIMETABLE!#REF!,":"," ",TIMETABLE!#REF!," ",TIMETABLE!#REF!)</f>
        <v>#REF!</v>
      </c>
      <c r="AB90" s="316" t="e">
        <f>CONCATENATE(TIMETABLE!#REF!," ","[",TIMETABLE!#REF!," ","Students","]"," ",TIMETABLE!#REF!,":"," ",TIMETABLE!#REF!," ",TIMETABLE!#REF!)</f>
        <v>#REF!</v>
      </c>
      <c r="AC90" s="316" t="str">
        <f>CONCATENATE(TIMETABLE!W$6," ","[",TIMETABLE!W$7," ","Students","]"," ",TIMETABLE!W46,":"," ",TIMETABLE!W49," ",TIMETABLE!W48)</f>
        <v>DMAE/SEP20201J&amp;S-FT [Y1S2   (60) Students] EMR 2129: ALBEITY /MUSAU ELEC LAB.</v>
      </c>
      <c r="AD90" s="316" t="e">
        <f>CONCATENATE(TIMETABLE!#REF!," ","[",TIMETABLE!#REF!," ","Students","]"," ",TIMETABLE!#REF!,":"," ",TIMETABLE!#REF!," ",TIMETABLE!#REF!)</f>
        <v>#REF!</v>
      </c>
      <c r="AE90" s="316" t="e">
        <f>CONCATENATE(TIMETABLE!#REF!," ","[",TIMETABLE!#REF!," ","Students","]"," ",TIMETABLE!#REF!,":"," ",TIMETABLE!#REF!," ",TIMETABLE!#REF!)</f>
        <v>#REF!</v>
      </c>
      <c r="AF90" s="504"/>
    </row>
    <row r="91" spans="3:32" ht="23.4" x14ac:dyDescent="0.45">
      <c r="C91" s="504"/>
      <c r="D91" s="154"/>
      <c r="E91" s="148"/>
      <c r="F91" s="148"/>
      <c r="G91" s="148"/>
      <c r="H91" s="148"/>
      <c r="I91" s="148"/>
      <c r="J91" s="148"/>
      <c r="K91" s="148"/>
      <c r="L91" s="148"/>
      <c r="M91" s="148"/>
      <c r="N91" s="148"/>
      <c r="O91" s="148"/>
      <c r="P91" s="148"/>
      <c r="Q91" s="148"/>
      <c r="R91" s="148"/>
      <c r="S91" s="148"/>
      <c r="T91" s="148"/>
      <c r="U91" s="148"/>
      <c r="V91" s="148"/>
      <c r="W91" s="148"/>
      <c r="X91" s="148"/>
      <c r="Y91" s="148"/>
      <c r="Z91" s="148"/>
      <c r="AA91" s="148"/>
      <c r="AB91" s="148"/>
      <c r="AC91" s="148"/>
      <c r="AD91" s="148"/>
      <c r="AE91" s="148"/>
      <c r="AF91" s="504"/>
    </row>
    <row r="92" spans="3:32" ht="23.4" x14ac:dyDescent="0.45">
      <c r="C92" s="504"/>
      <c r="D92" s="154"/>
      <c r="E92" s="151"/>
      <c r="F92" s="151"/>
      <c r="G92" s="151"/>
      <c r="H92" s="151"/>
      <c r="I92" s="151"/>
      <c r="J92" s="151"/>
      <c r="K92" s="151"/>
      <c r="L92" s="151"/>
      <c r="M92" s="151"/>
      <c r="N92" s="151"/>
      <c r="O92" s="151"/>
      <c r="P92" s="151"/>
      <c r="Q92" s="151"/>
      <c r="R92" s="151"/>
      <c r="S92" s="151"/>
      <c r="T92" s="151"/>
      <c r="U92" s="151"/>
      <c r="V92" s="151"/>
      <c r="W92" s="151"/>
      <c r="X92" s="151"/>
      <c r="Y92" s="151"/>
      <c r="Z92" s="151"/>
      <c r="AA92" s="151"/>
      <c r="AB92" s="151"/>
      <c r="AC92" s="151"/>
      <c r="AD92" s="151"/>
      <c r="AE92" s="151"/>
      <c r="AF92" s="504"/>
    </row>
    <row r="93" spans="3:32" ht="24" thickBot="1" x14ac:dyDescent="0.5">
      <c r="C93" s="504"/>
      <c r="D93" s="152"/>
      <c r="E93" s="316" t="e">
        <f>CONCATENATE(TIMETABLE!#REF!," ","[",TIMETABLE!#REF!," ","Students","]"," ",TIMETABLE!#REF!,":"," ",TIMETABLE!#REF!," ",TIMETABLE!#REF!)</f>
        <v>#REF!</v>
      </c>
      <c r="F93" s="316" t="e">
        <f>CONCATENATE(TIMETABLE!#REF!," ","[",TIMETABLE!#REF!," ","Students","]"," ",TIMETABLE!#REF!,":"," ",TIMETABLE!#REF!," ",TIMETABLE!#REF!)</f>
        <v>#REF!</v>
      </c>
      <c r="G93" s="316" t="e">
        <f>CONCATENATE(TIMETABLE!#REF!," ","[",TIMETABLE!#REF!," ","Students","]"," ",TIMETABLE!#REF!,":"," ",TIMETABLE!#REF!," ",TIMETABLE!#REF!)</f>
        <v>#REF!</v>
      </c>
      <c r="H93" s="316" t="e">
        <f>CONCATENATE(TIMETABLE!#REF!," ","[",TIMETABLE!#REF!," ","Students","]"," ",TIMETABLE!#REF!,":"," ",TIMETABLE!#REF!," ",TIMETABLE!#REF!)</f>
        <v>#REF!</v>
      </c>
      <c r="I93" s="316" t="e">
        <f>CONCATENATE(TIMETABLE!#REF!," ","[",TIMETABLE!#REF!," ","Students","]"," ",TIMETABLE!#REF!,":"," ",TIMETABLE!#REF!," ",TIMETABLE!#REF!)</f>
        <v>#REF!</v>
      </c>
      <c r="J93" s="316" t="e">
        <f>CONCATENATE(TIMETABLE!#REF!," ","[",TIMETABLE!#REF!," ","Students","]"," ",TIMETABLE!#REF!,":"," ",TIMETABLE!#REF!," ",TIMETABLE!#REF!)</f>
        <v>#REF!</v>
      </c>
      <c r="K93" s="316" t="e">
        <f>CONCATENATE(TIMETABLE!#REF!," ","[",TIMETABLE!#REF!," ","Students","]"," ",TIMETABLE!#REF!,":"," ",TIMETABLE!#REF!," ",TIMETABLE!#REF!)</f>
        <v>#REF!</v>
      </c>
      <c r="L93" s="316" t="e">
        <f>CONCATENATE(TIMETABLE!D$6," ","[",TIMETABLE!D$7," ","Students","]"," ",TIMETABLE!#REF!,":"," ",TIMETABLE!#REF!," ",TIMETABLE!#REF!)</f>
        <v>#REF!</v>
      </c>
      <c r="M93" s="316" t="e">
        <f>CONCATENATE(TIMETABLE!E$6," ","[",TIMETABLE!E$7," ","Students","]"," ",TIMETABLE!#REF!,":"," ",TIMETABLE!#REF!," ",TIMETABLE!#REF!)</f>
        <v>#REF!</v>
      </c>
      <c r="N93" s="316" t="e">
        <f>CONCATENATE(TIMETABLE!#REF!," ","[",TIMETABLE!#REF!," ","Students","]"," ",TIMETABLE!#REF!,":"," ",TIMETABLE!#REF!," ",TIMETABLE!#REF!)</f>
        <v>#REF!</v>
      </c>
      <c r="O93" s="316" t="e">
        <f>CONCATENATE(TIMETABLE!#REF!," ","[",TIMETABLE!#REF!," ","Students","]"," ",TIMETABLE!#REF!,":"," ",TIMETABLE!#REF!," ",TIMETABLE!#REF!)</f>
        <v>#REF!</v>
      </c>
      <c r="P93" s="316" t="e">
        <f>CONCATENATE(TIMETABLE!F$6," ","[",TIMETABLE!F$7," ","Students","]"," ",TIMETABLE!#REF!,":"," ",TIMETABLE!#REF!," ",TIMETABLE!#REF!)</f>
        <v>#REF!</v>
      </c>
      <c r="Q93" s="316" t="e">
        <f>CONCATENATE(TIMETABLE!G$6," ","[",TIMETABLE!G$7," ","Students","]"," ",TIMETABLE!#REF!,":"," ",TIMETABLE!#REF!," ",TIMETABLE!#REF!)</f>
        <v>#REF!</v>
      </c>
      <c r="R93" s="316" t="e">
        <f>CONCATENATE(TIMETABLE!#REF!," ","[",TIMETABLE!#REF!," ","Students","]"," ",TIMETABLE!#REF!,":"," ",TIMETABLE!#REF!," ",TIMETABLE!#REF!)</f>
        <v>#REF!</v>
      </c>
      <c r="S93" s="316" t="e">
        <f>CONCATENATE(TIMETABLE!#REF!," ","[",TIMETABLE!#REF!," ","Students","]"," ",TIMETABLE!#REF!,":"," ",TIMETABLE!#REF!," ",TIMETABLE!#REF!)</f>
        <v>#REF!</v>
      </c>
      <c r="T93" s="316" t="e">
        <f>CONCATENATE(TIMETABLE!J$6," ","[",TIMETABLE!J$7," ","Students","]"," ",TIMETABLE!#REF!,":"," ",TIMETABLE!#REF!," ",TIMETABLE!#REF!)</f>
        <v>#REF!</v>
      </c>
      <c r="U93" s="316" t="e">
        <f>CONCATENATE(TIMETABLE!#REF!," ","[",TIMETABLE!#REF!," ","Students","]"," ",TIMETABLE!#REF!,":"," ",TIMETABLE!#REF!," ",TIMETABLE!#REF!)</f>
        <v>#REF!</v>
      </c>
      <c r="V93" s="316" t="e">
        <f>CONCATENATE(TIMETABLE!#REF!," ","[",TIMETABLE!#REF!," ","Students","]"," ",TIMETABLE!#REF!,":"," ",TIMETABLE!#REF!," ",TIMETABLE!#REF!)</f>
        <v>#REF!</v>
      </c>
      <c r="W93" s="316" t="e">
        <f>CONCATENATE(TIMETABLE!#REF!," ","[",TIMETABLE!#REF!," ","Students","]"," ",TIMETABLE!#REF!,":"," ",TIMETABLE!#REF!," ",TIMETABLE!#REF!)</f>
        <v>#REF!</v>
      </c>
      <c r="X93" s="316" t="e">
        <f>CONCATENATE(TIMETABLE!#REF!," ","[",TIMETABLE!#REF!," ","Students","]"," ",TIMETABLE!#REF!,":"," ",TIMETABLE!#REF!," ",TIMETABLE!#REF!)</f>
        <v>#REF!</v>
      </c>
      <c r="Y93" s="316" t="e">
        <f>CONCATENATE(TIMETABLE!#REF!," ","[",TIMETABLE!#REF!," ","Students","]"," ",TIMETABLE!#REF!,":"," ",TIMETABLE!#REF!," ",TIMETABLE!#REF!)</f>
        <v>#REF!</v>
      </c>
      <c r="Z93" s="316" t="e">
        <f>CONCATENATE(TIMETABLE!#REF!," ","[",TIMETABLE!#REF!," ","Students","]"," ",TIMETABLE!#REF!,":"," ",TIMETABLE!#REF!," ",TIMETABLE!#REF!)</f>
        <v>#REF!</v>
      </c>
      <c r="AA93" s="316" t="e">
        <f>CONCATENATE(TIMETABLE!#REF!," ","[",TIMETABLE!#REF!," ","Students","]"," ",TIMETABLE!#REF!,":"," ",TIMETABLE!#REF!," ",TIMETABLE!#REF!)</f>
        <v>#REF!</v>
      </c>
      <c r="AB93" s="316" t="e">
        <f>CONCATENATE(TIMETABLE!#REF!," ","[",TIMETABLE!#REF!," ","Students","]"," ",TIMETABLE!#REF!,":"," ",TIMETABLE!#REF!," ",TIMETABLE!#REF!)</f>
        <v>#REF!</v>
      </c>
      <c r="AC93" s="316" t="e">
        <f>CONCATENATE(TIMETABLE!W$6," ","[",TIMETABLE!W$7," ","Students","]"," ",TIMETABLE!#REF!,":"," ",TIMETABLE!#REF!," ",TIMETABLE!#REF!)</f>
        <v>#REF!</v>
      </c>
      <c r="AD93" s="316" t="e">
        <f>CONCATENATE(TIMETABLE!#REF!," ","[",TIMETABLE!#REF!," ","Students","]"," ",TIMETABLE!#REF!,":"," ",TIMETABLE!#REF!," ",TIMETABLE!#REF!)</f>
        <v>#REF!</v>
      </c>
      <c r="AE93" s="316" t="e">
        <f>CONCATENATE(TIMETABLE!#REF!," ","[",TIMETABLE!#REF!," ","Students","]"," ",TIMETABLE!#REF!,":"," ",TIMETABLE!#REF!," ",TIMETABLE!#REF!)</f>
        <v>#REF!</v>
      </c>
      <c r="AF93" s="504"/>
    </row>
    <row r="94" spans="3:32" ht="23.4" x14ac:dyDescent="0.45">
      <c r="C94" s="504"/>
      <c r="D94" s="154"/>
      <c r="E94" s="148"/>
      <c r="F94" s="148"/>
      <c r="G94" s="148"/>
      <c r="H94" s="148"/>
      <c r="I94" s="148"/>
      <c r="J94" s="148"/>
      <c r="K94" s="148"/>
      <c r="L94" s="148"/>
      <c r="M94" s="148"/>
      <c r="N94" s="148"/>
      <c r="O94" s="148"/>
      <c r="P94" s="148"/>
      <c r="Q94" s="148"/>
      <c r="R94" s="148"/>
      <c r="S94" s="148"/>
      <c r="T94" s="148"/>
      <c r="U94" s="148"/>
      <c r="V94" s="148"/>
      <c r="W94" s="148"/>
      <c r="X94" s="148"/>
      <c r="Y94" s="148"/>
      <c r="Z94" s="148"/>
      <c r="AA94" s="148"/>
      <c r="AB94" s="148"/>
      <c r="AC94" s="148"/>
      <c r="AD94" s="148"/>
      <c r="AE94" s="148"/>
      <c r="AF94" s="504"/>
    </row>
    <row r="95" spans="3:32" ht="23.4" x14ac:dyDescent="0.45">
      <c r="C95" s="504"/>
      <c r="D95" s="155"/>
      <c r="E95" s="151"/>
      <c r="F95" s="151"/>
      <c r="G95" s="151"/>
      <c r="H95" s="151"/>
      <c r="I95" s="151"/>
      <c r="J95" s="151"/>
      <c r="K95" s="151"/>
      <c r="L95" s="151"/>
      <c r="M95" s="151"/>
      <c r="N95" s="151"/>
      <c r="O95" s="151"/>
      <c r="P95" s="151"/>
      <c r="Q95" s="151"/>
      <c r="R95" s="151"/>
      <c r="S95" s="151"/>
      <c r="T95" s="151"/>
      <c r="U95" s="151"/>
      <c r="V95" s="151"/>
      <c r="W95" s="151"/>
      <c r="X95" s="151"/>
      <c r="Y95" s="151"/>
      <c r="Z95" s="151"/>
      <c r="AA95" s="151"/>
      <c r="AB95" s="151"/>
      <c r="AC95" s="151"/>
      <c r="AD95" s="151"/>
      <c r="AE95" s="151"/>
      <c r="AF95" s="504"/>
    </row>
    <row r="96" spans="3:32" ht="24" thickBot="1" x14ac:dyDescent="0.5">
      <c r="C96" s="504"/>
      <c r="D96" s="152"/>
      <c r="E96" s="316" t="e">
        <f>CONCATENATE(TIMETABLE!#REF!," ","[",TIMETABLE!#REF!," ","Students","]"," ",TIMETABLE!#REF!,":"," ",TIMETABLE!#REF!," ",TIMETABLE!#REF!)</f>
        <v>#REF!</v>
      </c>
      <c r="F96" s="316" t="e">
        <f>CONCATENATE(TIMETABLE!#REF!," ","[",TIMETABLE!#REF!," ","Students","]"," ",TIMETABLE!#REF!,":"," ",TIMETABLE!#REF!," ",TIMETABLE!#REF!)</f>
        <v>#REF!</v>
      </c>
      <c r="G96" s="316" t="e">
        <f>CONCATENATE(TIMETABLE!#REF!," ","[",TIMETABLE!#REF!," ","Students","]"," ",TIMETABLE!#REF!,":"," ",TIMETABLE!#REF!," ",TIMETABLE!#REF!)</f>
        <v>#REF!</v>
      </c>
      <c r="H96" s="316" t="e">
        <f>CONCATENATE(TIMETABLE!#REF!," ","[",TIMETABLE!#REF!," ","Students","]"," ",TIMETABLE!#REF!,":"," ",TIMETABLE!#REF!," ",TIMETABLE!#REF!)</f>
        <v>#REF!</v>
      </c>
      <c r="I96" s="316" t="e">
        <f>CONCATENATE(TIMETABLE!#REF!," ","[",TIMETABLE!#REF!," ","Students","]"," ",TIMETABLE!#REF!,":"," ",TIMETABLE!#REF!," ",TIMETABLE!#REF!)</f>
        <v>#REF!</v>
      </c>
      <c r="J96" s="316" t="e">
        <f>CONCATENATE(TIMETABLE!#REF!," ","[",TIMETABLE!#REF!," ","Students","]"," ",TIMETABLE!#REF!,":"," ",TIMETABLE!#REF!," ",TIMETABLE!#REF!)</f>
        <v>#REF!</v>
      </c>
      <c r="K96" s="316" t="e">
        <f>CONCATENATE(TIMETABLE!#REF!," ","[",TIMETABLE!#REF!," ","Students","]"," ",TIMETABLE!#REF!,":"," ",TIMETABLE!#REF!," ",TIMETABLE!#REF!)</f>
        <v>#REF!</v>
      </c>
      <c r="L96" s="316" t="e">
        <f>CONCATENATE(TIMETABLE!D$6," ","[",TIMETABLE!D$7," ","Students","]"," ",TIMETABLE!#REF!,":"," ",TIMETABLE!#REF!," ",TIMETABLE!#REF!)</f>
        <v>#REF!</v>
      </c>
      <c r="M96" s="316" t="e">
        <f>CONCATENATE(TIMETABLE!E$6," ","[",TIMETABLE!E$7," ","Students","]"," ",TIMETABLE!#REF!,":"," ",TIMETABLE!#REF!," ",TIMETABLE!#REF!)</f>
        <v>#REF!</v>
      </c>
      <c r="N96" s="316" t="e">
        <f>CONCATENATE(TIMETABLE!#REF!," ","[",TIMETABLE!#REF!," ","Students","]"," ",TIMETABLE!#REF!,":"," ",TIMETABLE!#REF!," ",TIMETABLE!#REF!)</f>
        <v>#REF!</v>
      </c>
      <c r="O96" s="316" t="e">
        <f>CONCATENATE(TIMETABLE!#REF!," ","[",TIMETABLE!#REF!," ","Students","]"," ",TIMETABLE!#REF!,":"," ",TIMETABLE!#REF!," ",TIMETABLE!#REF!)</f>
        <v>#REF!</v>
      </c>
      <c r="P96" s="316" t="e">
        <f>CONCATENATE(TIMETABLE!F$6," ","[",TIMETABLE!F$7," ","Students","]"," ",TIMETABLE!#REF!,":"," ",TIMETABLE!#REF!," ",TIMETABLE!#REF!)</f>
        <v>#REF!</v>
      </c>
      <c r="Q96" s="316" t="e">
        <f>CONCATENATE(TIMETABLE!G$6," ","[",TIMETABLE!G$7," ","Students","]"," ",TIMETABLE!#REF!,":"," ",TIMETABLE!#REF!," ",TIMETABLE!#REF!)</f>
        <v>#REF!</v>
      </c>
      <c r="R96" s="316" t="e">
        <f>CONCATENATE(TIMETABLE!#REF!," ","[",TIMETABLE!#REF!," ","Students","]"," ",TIMETABLE!#REF!,":"," ",TIMETABLE!#REF!," ",TIMETABLE!#REF!)</f>
        <v>#REF!</v>
      </c>
      <c r="S96" s="316" t="e">
        <f>CONCATENATE(TIMETABLE!#REF!," ","[",TIMETABLE!#REF!," ","Students","]"," ",TIMETABLE!#REF!,":"," ",TIMETABLE!#REF!," ",TIMETABLE!#REF!)</f>
        <v>#REF!</v>
      </c>
      <c r="T96" s="316" t="e">
        <f>CONCATENATE(TIMETABLE!J$6," ","[",TIMETABLE!J$7," ","Students","]"," ",TIMETABLE!#REF!,":"," ",TIMETABLE!#REF!," ",TIMETABLE!#REF!)</f>
        <v>#REF!</v>
      </c>
      <c r="U96" s="316" t="e">
        <f>CONCATENATE(TIMETABLE!#REF!," ","[",TIMETABLE!#REF!," ","Students","]"," ",TIMETABLE!#REF!,":"," ",TIMETABLE!#REF!," ",TIMETABLE!#REF!)</f>
        <v>#REF!</v>
      </c>
      <c r="V96" s="316" t="e">
        <f>CONCATENATE(TIMETABLE!#REF!," ","[",TIMETABLE!#REF!," ","Students","]"," ",TIMETABLE!#REF!,":"," ",TIMETABLE!#REF!," ",TIMETABLE!#REF!)</f>
        <v>#REF!</v>
      </c>
      <c r="W96" s="316" t="e">
        <f>CONCATENATE(TIMETABLE!#REF!," ","[",TIMETABLE!#REF!," ","Students","]"," ",TIMETABLE!#REF!,":"," ",TIMETABLE!#REF!," ",TIMETABLE!#REF!)</f>
        <v>#REF!</v>
      </c>
      <c r="X96" s="316" t="e">
        <f>CONCATENATE(TIMETABLE!#REF!," ","[",TIMETABLE!#REF!," ","Students","]"," ",TIMETABLE!#REF!,":"," ",TIMETABLE!#REF!," ",TIMETABLE!#REF!)</f>
        <v>#REF!</v>
      </c>
      <c r="Y96" s="316" t="e">
        <f>CONCATENATE(TIMETABLE!#REF!," ","[",TIMETABLE!#REF!," ","Students","]"," ",TIMETABLE!#REF!,":"," ",TIMETABLE!#REF!," ",TIMETABLE!#REF!)</f>
        <v>#REF!</v>
      </c>
      <c r="Z96" s="316" t="e">
        <f>CONCATENATE(TIMETABLE!#REF!," ","[",TIMETABLE!#REF!," ","Students","]"," ",TIMETABLE!#REF!,":"," ",TIMETABLE!#REF!," ",TIMETABLE!#REF!)</f>
        <v>#REF!</v>
      </c>
      <c r="AA96" s="316" t="e">
        <f>CONCATENATE(TIMETABLE!#REF!," ","[",TIMETABLE!#REF!," ","Students","]"," ",TIMETABLE!#REF!,":"," ",TIMETABLE!#REF!," ",TIMETABLE!#REF!)</f>
        <v>#REF!</v>
      </c>
      <c r="AB96" s="316" t="e">
        <f>CONCATENATE(TIMETABLE!#REF!," ","[",TIMETABLE!#REF!," ","Students","]"," ",TIMETABLE!#REF!,":"," ",TIMETABLE!#REF!," ",TIMETABLE!#REF!)</f>
        <v>#REF!</v>
      </c>
      <c r="AC96" s="316" t="e">
        <f>CONCATENATE(TIMETABLE!W$6," ","[",TIMETABLE!W$7," ","Students","]"," ",TIMETABLE!#REF!,":"," ",TIMETABLE!#REF!," ",TIMETABLE!#REF!)</f>
        <v>#REF!</v>
      </c>
      <c r="AD96" s="316" t="e">
        <f>CONCATENATE(TIMETABLE!#REF!," ","[",TIMETABLE!#REF!," ","Students","]"," ",TIMETABLE!#REF!,":"," ",TIMETABLE!#REF!," ",TIMETABLE!#REF!)</f>
        <v>#REF!</v>
      </c>
      <c r="AE96" s="316" t="e">
        <f>CONCATENATE(TIMETABLE!#REF!," ","[",TIMETABLE!#REF!," ","Students","]"," ",TIMETABLE!#REF!,":"," ",TIMETABLE!#REF!," ",TIMETABLE!#REF!)</f>
        <v>#REF!</v>
      </c>
      <c r="AF96" s="504"/>
    </row>
    <row r="97" spans="3:32" ht="23.4" x14ac:dyDescent="0.45">
      <c r="C97" s="504"/>
      <c r="D97" s="154"/>
      <c r="E97" s="148"/>
      <c r="F97" s="148"/>
      <c r="G97" s="148"/>
      <c r="H97" s="148"/>
      <c r="I97" s="148"/>
      <c r="J97" s="148"/>
      <c r="K97" s="148"/>
      <c r="L97" s="148"/>
      <c r="M97" s="148"/>
      <c r="N97" s="148"/>
      <c r="O97" s="148"/>
      <c r="P97" s="148"/>
      <c r="Q97" s="148"/>
      <c r="R97" s="148"/>
      <c r="S97" s="148"/>
      <c r="T97" s="148"/>
      <c r="U97" s="148"/>
      <c r="V97" s="148"/>
      <c r="W97" s="148"/>
      <c r="X97" s="148"/>
      <c r="Y97" s="148"/>
      <c r="Z97" s="148"/>
      <c r="AA97" s="148"/>
      <c r="AB97" s="148"/>
      <c r="AC97" s="148"/>
      <c r="AD97" s="148"/>
      <c r="AE97" s="148"/>
      <c r="AF97" s="504"/>
    </row>
    <row r="98" spans="3:32" ht="23.4" x14ac:dyDescent="0.45">
      <c r="C98" s="504"/>
      <c r="D98" s="157"/>
      <c r="E98" s="151"/>
      <c r="F98" s="151"/>
      <c r="G98" s="151"/>
      <c r="H98" s="151"/>
      <c r="I98" s="151"/>
      <c r="J98" s="151"/>
      <c r="K98" s="151"/>
      <c r="L98" s="151"/>
      <c r="M98" s="151"/>
      <c r="N98" s="151"/>
      <c r="O98" s="151"/>
      <c r="P98" s="151"/>
      <c r="Q98" s="151"/>
      <c r="R98" s="151"/>
      <c r="S98" s="151"/>
      <c r="T98" s="151"/>
      <c r="U98" s="151"/>
      <c r="V98" s="151"/>
      <c r="W98" s="151"/>
      <c r="X98" s="151"/>
      <c r="Y98" s="151"/>
      <c r="Z98" s="151"/>
      <c r="AA98" s="151"/>
      <c r="AB98" s="151"/>
      <c r="AC98" s="151"/>
      <c r="AD98" s="151"/>
      <c r="AE98" s="151"/>
      <c r="AF98" s="504"/>
    </row>
    <row r="99" spans="3:32" ht="24" thickBot="1" x14ac:dyDescent="0.5">
      <c r="C99" s="504"/>
      <c r="D99" s="152"/>
      <c r="E99" s="316" t="e">
        <f>CONCATENATE(TIMETABLE!#REF!," ","[",TIMETABLE!#REF!," ","Students","]"," ",TIMETABLE!#REF!,":"," ",TIMETABLE!#REF!," ",TIMETABLE!#REF!)</f>
        <v>#REF!</v>
      </c>
      <c r="F99" s="316" t="e">
        <f>CONCATENATE(TIMETABLE!#REF!," ","[",TIMETABLE!#REF!," ","Students","]"," ",TIMETABLE!#REF!,":"," ",TIMETABLE!#REF!," ",TIMETABLE!#REF!)</f>
        <v>#REF!</v>
      </c>
      <c r="G99" s="316" t="e">
        <f>CONCATENATE(TIMETABLE!#REF!," ","[",TIMETABLE!#REF!," ","Students","]"," ",TIMETABLE!#REF!,":"," ",TIMETABLE!#REF!," ",TIMETABLE!#REF!)</f>
        <v>#REF!</v>
      </c>
      <c r="H99" s="316" t="e">
        <f>CONCATENATE(TIMETABLE!#REF!," ","[",TIMETABLE!#REF!," ","Students","]"," ",TIMETABLE!#REF!,":"," ",TIMETABLE!#REF!," ",TIMETABLE!#REF!)</f>
        <v>#REF!</v>
      </c>
      <c r="I99" s="316" t="e">
        <f>CONCATENATE(TIMETABLE!#REF!," ","[",TIMETABLE!#REF!," ","Students","]"," ",TIMETABLE!#REF!,":"," ",TIMETABLE!#REF!," ",TIMETABLE!#REF!)</f>
        <v>#REF!</v>
      </c>
      <c r="J99" s="316" t="e">
        <f>CONCATENATE(TIMETABLE!#REF!," ","[",TIMETABLE!#REF!," ","Students","]"," ",TIMETABLE!#REF!,":"," ",TIMETABLE!#REF!," ",TIMETABLE!#REF!)</f>
        <v>#REF!</v>
      </c>
      <c r="K99" s="316" t="e">
        <f>CONCATENATE(TIMETABLE!#REF!," ","[",TIMETABLE!#REF!," ","Students","]"," ",TIMETABLE!#REF!,":"," ",TIMETABLE!#REF!," ",TIMETABLE!#REF!)</f>
        <v>#REF!</v>
      </c>
      <c r="L99" s="316" t="str">
        <f>CONCATENATE(TIMETABLE!D$6," ","[",TIMETABLE!D$7," ","Students","]"," ",TIMETABLE!D50,":"," ",TIMETABLE!D53," ",TIMETABLE!D52)</f>
        <v xml:space="preserve">BSME/SEP2020/J-FT [Y2S1  (50) Students] :  </v>
      </c>
      <c r="M99" s="316" t="str">
        <f>CONCATENATE(TIMETABLE!E$6," ","[",TIMETABLE!E$7," ","Students","]"," ",TIMETABLE!E50,":"," ",TIMETABLE!E53," ",TIMETABLE!E52)</f>
        <v>BSME/AUG2021/J-FT [Y1S2  (55) Students] EIT 4101: COD COMPUTING MB 13</v>
      </c>
      <c r="N99" s="316" t="e">
        <f>CONCATENATE(TIMETABLE!#REF!," ","[",TIMETABLE!#REF!," ","Students","]"," ",TIMETABLE!#REF!,":"," ",TIMETABLE!#REF!," ",TIMETABLE!#REF!)</f>
        <v>#REF!</v>
      </c>
      <c r="O99" s="316" t="e">
        <f>CONCATENATE(TIMETABLE!#REF!," ","[",TIMETABLE!#REF!," ","Students","]"," ",TIMETABLE!#REF!,":"," ",TIMETABLE!#REF!," ",TIMETABLE!#REF!)</f>
        <v>#REF!</v>
      </c>
      <c r="P99" s="316" t="str">
        <f>CONCATENATE(TIMETABLE!F$6," ","[",TIMETABLE!F$7," ","Students","]"," ",TIMETABLE!F50,":"," ",TIMETABLE!F53," ",TIMETABLE!F52)</f>
        <v>BTME/SEP2019/S-PT [Y3S1   (10) Students] TMC 4315: AHMED FET 109</v>
      </c>
      <c r="Q99" s="316" t="str">
        <f>CONCATENATE(TIMETABLE!G$6," ","[",TIMETABLE!G$7," ","Students","]"," ",TIMETABLE!G50,":"," ",TIMETABLE!G53," ",TIMETABLE!G52)</f>
        <v xml:space="preserve">BTME/AUG2021/S-PT [Y2S2   (10) Students] :  </v>
      </c>
      <c r="R99" s="316" t="e">
        <f>CONCATENATE(TIMETABLE!#REF!," ","[",TIMETABLE!#REF!," ","Students","]"," ",TIMETABLE!#REF!,":"," ",TIMETABLE!#REF!," ",TIMETABLE!#REF!)</f>
        <v>#REF!</v>
      </c>
      <c r="S99" s="316" t="e">
        <f>CONCATENATE(TIMETABLE!#REF!," ","[",TIMETABLE!#REF!," ","Students","]"," ",TIMETABLE!#REF!,":"," ",TIMETABLE!#REF!," ",TIMETABLE!#REF!)</f>
        <v>#REF!</v>
      </c>
      <c r="T99" s="316" t="str">
        <f>CONCATENATE(TIMETABLE!J$6," ","[",TIMETABLE!J$7," ","Students","]"," ",TIMETABLE!J50,":"," ",TIMETABLE!J53," ",TIMETABLE!J52)</f>
        <v>BTME/AUG2021/J&amp;S-FT [Y1S1  (52) Students] TMC 4104: WANGOMBE CH</v>
      </c>
      <c r="U99" s="316" t="e">
        <f>CONCATENATE(TIMETABLE!#REF!," ","[",TIMETABLE!#REF!," ","Students","]"," ",TIMETABLE!#REF!,":"," ",TIMETABLE!#REF!," ",TIMETABLE!#REF!)</f>
        <v>#REF!</v>
      </c>
      <c r="V99" s="316" t="e">
        <f>CONCATENATE(TIMETABLE!#REF!," ","[",TIMETABLE!#REF!," ","Students","]"," ",TIMETABLE!#REF!,":"," ",TIMETABLE!#REF!," ",TIMETABLE!#REF!)</f>
        <v>#REF!</v>
      </c>
      <c r="W99" s="316" t="e">
        <f>CONCATENATE(TIMETABLE!#REF!," ","[",TIMETABLE!#REF!," ","Students","]"," ",TIMETABLE!#REF!,":"," ",TIMETABLE!#REF!," ",TIMETABLE!#REF!)</f>
        <v>#REF!</v>
      </c>
      <c r="X99" s="316" t="e">
        <f>CONCATENATE(TIMETABLE!#REF!," ","[",TIMETABLE!#REF!," ","Students","]"," ",TIMETABLE!#REF!,":"," ",TIMETABLE!#REF!," ",TIMETABLE!#REF!)</f>
        <v>#REF!</v>
      </c>
      <c r="Y99" s="316" t="e">
        <f>CONCATENATE(TIMETABLE!#REF!," ","[",TIMETABLE!#REF!," ","Students","]"," ",TIMETABLE!#REF!,":"," ",TIMETABLE!#REF!," ",TIMETABLE!#REF!)</f>
        <v>#REF!</v>
      </c>
      <c r="Z99" s="316" t="e">
        <f>CONCATENATE(TIMETABLE!#REF!," ","[",TIMETABLE!#REF!," ","Students","]"," ",TIMETABLE!#REF!,":"," ",TIMETABLE!#REF!," ",TIMETABLE!#REF!)</f>
        <v>#REF!</v>
      </c>
      <c r="AA99" s="316" t="e">
        <f>CONCATENATE(TIMETABLE!#REF!," ","[",TIMETABLE!#REF!," ","Students","]"," ",TIMETABLE!#REF!,":"," ",TIMETABLE!#REF!," ",TIMETABLE!#REF!)</f>
        <v>#REF!</v>
      </c>
      <c r="AB99" s="316" t="e">
        <f>CONCATENATE(TIMETABLE!#REF!," ","[",TIMETABLE!#REF!," ","Students","]"," ",TIMETABLE!#REF!,":"," ",TIMETABLE!#REF!," ",TIMETABLE!#REF!)</f>
        <v>#REF!</v>
      </c>
      <c r="AC99" s="316" t="str">
        <f>CONCATENATE(TIMETABLE!W$6," ","[",TIMETABLE!W$7," ","Students","]"," ",TIMETABLE!W50,":"," ",TIMETABLE!W53," ",TIMETABLE!W52)</f>
        <v>DMAE/SEP20201J&amp;S-FT [Y1S2   (60) Students] EMR 2122: GIKARO MB 03.</v>
      </c>
      <c r="AD99" s="316" t="e">
        <f>CONCATENATE(TIMETABLE!#REF!," ","[",TIMETABLE!#REF!," ","Students","]"," ",TIMETABLE!#REF!,":"," ",TIMETABLE!#REF!," ",TIMETABLE!#REF!)</f>
        <v>#REF!</v>
      </c>
      <c r="AE99" s="316" t="e">
        <f>CONCATENATE(TIMETABLE!#REF!," ","[",TIMETABLE!#REF!," ","Students","]"," ",TIMETABLE!#REF!,":"," ",TIMETABLE!#REF!," ",TIMETABLE!#REF!)</f>
        <v>#REF!</v>
      </c>
      <c r="AF99" s="504"/>
    </row>
    <row r="100" spans="3:32" ht="23.4" x14ac:dyDescent="0.45">
      <c r="C100" s="504"/>
      <c r="D100" s="154"/>
      <c r="E100" s="148"/>
      <c r="F100" s="148"/>
      <c r="G100" s="148"/>
      <c r="H100" s="148"/>
      <c r="I100" s="148"/>
      <c r="J100" s="148"/>
      <c r="K100" s="148"/>
      <c r="L100" s="148"/>
      <c r="M100" s="148"/>
      <c r="N100" s="148"/>
      <c r="O100" s="148"/>
      <c r="P100" s="148"/>
      <c r="Q100" s="148"/>
      <c r="R100" s="148"/>
      <c r="S100" s="148"/>
      <c r="T100" s="148"/>
      <c r="U100" s="148"/>
      <c r="V100" s="148"/>
      <c r="W100" s="148"/>
      <c r="X100" s="148"/>
      <c r="Y100" s="148"/>
      <c r="Z100" s="148"/>
      <c r="AA100" s="148"/>
      <c r="AB100" s="148"/>
      <c r="AC100" s="148"/>
      <c r="AD100" s="148"/>
      <c r="AE100" s="148"/>
      <c r="AF100" s="504"/>
    </row>
    <row r="101" spans="3:32" ht="23.4" x14ac:dyDescent="0.45">
      <c r="C101" s="504"/>
      <c r="D101" s="150"/>
      <c r="E101" s="151"/>
      <c r="F101" s="151"/>
      <c r="G101" s="151"/>
      <c r="H101" s="151"/>
      <c r="I101" s="151"/>
      <c r="J101" s="151"/>
      <c r="K101" s="151"/>
      <c r="L101" s="151"/>
      <c r="M101" s="151"/>
      <c r="N101" s="151"/>
      <c r="O101" s="151"/>
      <c r="P101" s="151"/>
      <c r="Q101" s="151"/>
      <c r="R101" s="151"/>
      <c r="S101" s="151"/>
      <c r="T101" s="151"/>
      <c r="U101" s="151"/>
      <c r="V101" s="151"/>
      <c r="W101" s="151"/>
      <c r="X101" s="151"/>
      <c r="Y101" s="151"/>
      <c r="Z101" s="151"/>
      <c r="AA101" s="151"/>
      <c r="AB101" s="151"/>
      <c r="AC101" s="151"/>
      <c r="AD101" s="151"/>
      <c r="AE101" s="151"/>
      <c r="AF101" s="504"/>
    </row>
    <row r="102" spans="3:32" ht="24" thickBot="1" x14ac:dyDescent="0.5">
      <c r="C102" s="504"/>
      <c r="D102" s="152"/>
      <c r="E102" s="316" t="e">
        <f>CONCATENATE(TIMETABLE!#REF!," ","[",TIMETABLE!#REF!," ","Students","]"," ",TIMETABLE!#REF!,":"," ",TIMETABLE!#REF!," ",TIMETABLE!#REF!)</f>
        <v>#REF!</v>
      </c>
      <c r="F102" s="316" t="e">
        <f>CONCATENATE(TIMETABLE!#REF!," ","[",TIMETABLE!#REF!," ","Students","]"," ",TIMETABLE!#REF!,":"," ",TIMETABLE!#REF!," ",TIMETABLE!#REF!)</f>
        <v>#REF!</v>
      </c>
      <c r="G102" s="316" t="e">
        <f>CONCATENATE(TIMETABLE!#REF!," ","[",TIMETABLE!#REF!," ","Students","]"," ",TIMETABLE!#REF!,":"," ",TIMETABLE!#REF!," ",TIMETABLE!#REF!)</f>
        <v>#REF!</v>
      </c>
      <c r="H102" s="316" t="e">
        <f>CONCATENATE(TIMETABLE!#REF!," ","[",TIMETABLE!#REF!," ","Students","]"," ",TIMETABLE!#REF!,":"," ",TIMETABLE!#REF!," ",TIMETABLE!#REF!)</f>
        <v>#REF!</v>
      </c>
      <c r="I102" s="316" t="e">
        <f>CONCATENATE(TIMETABLE!#REF!," ","[",TIMETABLE!#REF!," ","Students","]"," ",TIMETABLE!#REF!,":"," ",TIMETABLE!#REF!," ",TIMETABLE!#REF!)</f>
        <v>#REF!</v>
      </c>
      <c r="J102" s="316" t="e">
        <f>CONCATENATE(TIMETABLE!#REF!," ","[",TIMETABLE!#REF!," ","Students","]"," ",TIMETABLE!#REF!,":"," ",TIMETABLE!#REF!," ",TIMETABLE!#REF!)</f>
        <v>#REF!</v>
      </c>
      <c r="K102" s="316" t="e">
        <f>CONCATENATE(TIMETABLE!#REF!," ","[",TIMETABLE!#REF!," ","Students","]"," ",TIMETABLE!#REF!,":"," ",TIMETABLE!#REF!," ",TIMETABLE!#REF!)</f>
        <v>#REF!</v>
      </c>
      <c r="L102" s="316" t="e">
        <f>CONCATENATE(TIMETABLE!D$6," ","[",TIMETABLE!D$7," ","Students","]"," ",TIMETABLE!#REF!,":"," ",TIMETABLE!#REF!," ",TIMETABLE!#REF!)</f>
        <v>#REF!</v>
      </c>
      <c r="M102" s="316" t="e">
        <f>CONCATENATE(TIMETABLE!E$6," ","[",TIMETABLE!E$7," ","Students","]"," ",TIMETABLE!#REF!,":"," ",TIMETABLE!#REF!," ",TIMETABLE!#REF!)</f>
        <v>#REF!</v>
      </c>
      <c r="N102" s="316" t="e">
        <f>CONCATENATE(TIMETABLE!#REF!," ","[",TIMETABLE!#REF!," ","Students","]"," ",TIMETABLE!#REF!,":"," ",TIMETABLE!#REF!," ",TIMETABLE!#REF!)</f>
        <v>#REF!</v>
      </c>
      <c r="O102" s="316" t="e">
        <f>CONCATENATE(TIMETABLE!#REF!," ","[",TIMETABLE!#REF!," ","Students","]"," ",TIMETABLE!#REF!,":"," ",TIMETABLE!#REF!," ",TIMETABLE!#REF!)</f>
        <v>#REF!</v>
      </c>
      <c r="P102" s="316" t="e">
        <f>CONCATENATE(TIMETABLE!F$6," ","[",TIMETABLE!F$7," ","Students","]"," ",TIMETABLE!#REF!,":"," ",TIMETABLE!#REF!," ",TIMETABLE!#REF!)</f>
        <v>#REF!</v>
      </c>
      <c r="Q102" s="316" t="e">
        <f>CONCATENATE(TIMETABLE!G$6," ","[",TIMETABLE!G$7," ","Students","]"," ",TIMETABLE!#REF!,":"," ",TIMETABLE!#REF!," ",TIMETABLE!#REF!)</f>
        <v>#REF!</v>
      </c>
      <c r="R102" s="316" t="e">
        <f>CONCATENATE(TIMETABLE!#REF!," ","[",TIMETABLE!#REF!," ","Students","]"," ",TIMETABLE!#REF!,":"," ",TIMETABLE!#REF!," ",TIMETABLE!#REF!)</f>
        <v>#REF!</v>
      </c>
      <c r="S102" s="316" t="e">
        <f>CONCATENATE(TIMETABLE!#REF!," ","[",TIMETABLE!#REF!," ","Students","]"," ",TIMETABLE!#REF!,":"," ",TIMETABLE!#REF!," ",TIMETABLE!#REF!)</f>
        <v>#REF!</v>
      </c>
      <c r="T102" s="316" t="e">
        <f>CONCATENATE(TIMETABLE!J$6," ","[",TIMETABLE!J$7," ","Students","]"," ",TIMETABLE!#REF!,":"," ",TIMETABLE!#REF!," ",TIMETABLE!#REF!)</f>
        <v>#REF!</v>
      </c>
      <c r="U102" s="316" t="e">
        <f>CONCATENATE(TIMETABLE!#REF!," ","[",TIMETABLE!#REF!," ","Students","]"," ",TIMETABLE!#REF!,":"," ",TIMETABLE!#REF!," ",TIMETABLE!#REF!)</f>
        <v>#REF!</v>
      </c>
      <c r="V102" s="316" t="e">
        <f>CONCATENATE(TIMETABLE!#REF!," ","[",TIMETABLE!#REF!," ","Students","]"," ",TIMETABLE!#REF!,":"," ",TIMETABLE!#REF!," ",TIMETABLE!#REF!)</f>
        <v>#REF!</v>
      </c>
      <c r="W102" s="316" t="e">
        <f>CONCATENATE(TIMETABLE!#REF!," ","[",TIMETABLE!#REF!," ","Students","]"," ",TIMETABLE!#REF!,":"," ",TIMETABLE!#REF!," ",TIMETABLE!#REF!)</f>
        <v>#REF!</v>
      </c>
      <c r="X102" s="316" t="e">
        <f>CONCATENATE(TIMETABLE!#REF!," ","[",TIMETABLE!#REF!," ","Students","]"," ",TIMETABLE!#REF!,":"," ",TIMETABLE!#REF!," ",TIMETABLE!#REF!)</f>
        <v>#REF!</v>
      </c>
      <c r="Y102" s="316" t="e">
        <f>CONCATENATE(TIMETABLE!#REF!," ","[",TIMETABLE!#REF!," ","Students","]"," ",TIMETABLE!#REF!,":"," ",TIMETABLE!#REF!," ",TIMETABLE!#REF!)</f>
        <v>#REF!</v>
      </c>
      <c r="Z102" s="316" t="e">
        <f>CONCATENATE(TIMETABLE!#REF!," ","[",TIMETABLE!#REF!," ","Students","]"," ",TIMETABLE!#REF!,":"," ",TIMETABLE!#REF!," ",TIMETABLE!#REF!)</f>
        <v>#REF!</v>
      </c>
      <c r="AA102" s="316" t="e">
        <f>CONCATENATE(TIMETABLE!#REF!," ","[",TIMETABLE!#REF!," ","Students","]"," ",TIMETABLE!#REF!,":"," ",TIMETABLE!#REF!," ",TIMETABLE!#REF!)</f>
        <v>#REF!</v>
      </c>
      <c r="AB102" s="316" t="e">
        <f>CONCATENATE(TIMETABLE!#REF!," ","[",TIMETABLE!#REF!," ","Students","]"," ",TIMETABLE!#REF!,":"," ",TIMETABLE!#REF!," ",TIMETABLE!#REF!)</f>
        <v>#REF!</v>
      </c>
      <c r="AC102" s="316" t="e">
        <f>CONCATENATE(TIMETABLE!W$6," ","[",TIMETABLE!W$7," ","Students","]"," ",TIMETABLE!#REF!,":"," ",TIMETABLE!#REF!," ",TIMETABLE!#REF!)</f>
        <v>#REF!</v>
      </c>
      <c r="AD102" s="316" t="e">
        <f>CONCATENATE(TIMETABLE!#REF!," ","[",TIMETABLE!#REF!," ","Students","]"," ",TIMETABLE!#REF!,":"," ",TIMETABLE!#REF!," ",TIMETABLE!#REF!)</f>
        <v>#REF!</v>
      </c>
      <c r="AE102" s="316" t="e">
        <f>CONCATENATE(TIMETABLE!#REF!," ","[",TIMETABLE!#REF!," ","Students","]"," ",TIMETABLE!#REF!,":"," ",TIMETABLE!#REF!," ",TIMETABLE!#REF!)</f>
        <v>#REF!</v>
      </c>
      <c r="AF102" s="504"/>
    </row>
    <row r="103" spans="3:32" ht="23.4" x14ac:dyDescent="0.45">
      <c r="C103" s="504"/>
      <c r="D103" s="154"/>
      <c r="E103" s="148"/>
      <c r="F103" s="148"/>
      <c r="G103" s="148"/>
      <c r="H103" s="148"/>
      <c r="I103" s="148"/>
      <c r="J103" s="148"/>
      <c r="K103" s="148"/>
      <c r="L103" s="148"/>
      <c r="M103" s="148"/>
      <c r="N103" s="148"/>
      <c r="O103" s="148"/>
      <c r="P103" s="148"/>
      <c r="Q103" s="148"/>
      <c r="R103" s="148"/>
      <c r="S103" s="148"/>
      <c r="T103" s="148"/>
      <c r="U103" s="148"/>
      <c r="V103" s="148"/>
      <c r="W103" s="148"/>
      <c r="X103" s="148"/>
      <c r="Y103" s="148"/>
      <c r="Z103" s="148"/>
      <c r="AA103" s="148"/>
      <c r="AB103" s="148"/>
      <c r="AC103" s="148"/>
      <c r="AD103" s="148"/>
      <c r="AE103" s="148"/>
      <c r="AF103" s="504"/>
    </row>
    <row r="104" spans="3:32" ht="23.4" x14ac:dyDescent="0.45">
      <c r="C104" s="504"/>
      <c r="D104" s="150"/>
      <c r="E104" s="151"/>
      <c r="F104" s="151"/>
      <c r="G104" s="151"/>
      <c r="H104" s="151"/>
      <c r="I104" s="151"/>
      <c r="J104" s="151"/>
      <c r="K104" s="151"/>
      <c r="L104" s="151"/>
      <c r="M104" s="151"/>
      <c r="N104" s="151"/>
      <c r="O104" s="151"/>
      <c r="P104" s="151"/>
      <c r="Q104" s="151"/>
      <c r="R104" s="151"/>
      <c r="S104" s="151"/>
      <c r="T104" s="151"/>
      <c r="U104" s="151"/>
      <c r="V104" s="151"/>
      <c r="W104" s="151"/>
      <c r="X104" s="151"/>
      <c r="Y104" s="151"/>
      <c r="Z104" s="151"/>
      <c r="AA104" s="151"/>
      <c r="AB104" s="151"/>
      <c r="AC104" s="151"/>
      <c r="AD104" s="151"/>
      <c r="AE104" s="151"/>
      <c r="AF104" s="504"/>
    </row>
    <row r="105" spans="3:32" ht="24" thickBot="1" x14ac:dyDescent="0.5">
      <c r="C105" s="504"/>
      <c r="D105" s="152"/>
      <c r="E105" s="316" t="e">
        <f>CONCATENATE(TIMETABLE!#REF!," ","[",TIMETABLE!#REF!," ","Students","]"," ",TIMETABLE!#REF!,":"," ",TIMETABLE!#REF!," ",TIMETABLE!#REF!)</f>
        <v>#REF!</v>
      </c>
      <c r="F105" s="316" t="e">
        <f>CONCATENATE(TIMETABLE!#REF!," ","[",TIMETABLE!#REF!," ","Students","]"," ",TIMETABLE!#REF!,":"," ",TIMETABLE!#REF!," ",TIMETABLE!#REF!)</f>
        <v>#REF!</v>
      </c>
      <c r="G105" s="316" t="e">
        <f>CONCATENATE(TIMETABLE!#REF!," ","[",TIMETABLE!#REF!," ","Students","]"," ",TIMETABLE!#REF!,":"," ",TIMETABLE!#REF!," ",TIMETABLE!#REF!)</f>
        <v>#REF!</v>
      </c>
      <c r="H105" s="316" t="e">
        <f>CONCATENATE(TIMETABLE!#REF!," ","[",TIMETABLE!#REF!," ","Students","]"," ",TIMETABLE!#REF!,":"," ",TIMETABLE!#REF!," ",TIMETABLE!#REF!)</f>
        <v>#REF!</v>
      </c>
      <c r="I105" s="316" t="e">
        <f>CONCATENATE(TIMETABLE!#REF!," ","[",TIMETABLE!#REF!," ","Students","]"," ",TIMETABLE!#REF!,":"," ",TIMETABLE!#REF!," ",TIMETABLE!#REF!)</f>
        <v>#REF!</v>
      </c>
      <c r="J105" s="316" t="e">
        <f>CONCATENATE(TIMETABLE!#REF!," ","[",TIMETABLE!#REF!," ","Students","]"," ",TIMETABLE!#REF!,":"," ",TIMETABLE!#REF!," ",TIMETABLE!#REF!)</f>
        <v>#REF!</v>
      </c>
      <c r="K105" s="316" t="e">
        <f>CONCATENATE(TIMETABLE!#REF!," ","[",TIMETABLE!#REF!," ","Students","]"," ",TIMETABLE!#REF!,":"," ",TIMETABLE!#REF!," ",TIMETABLE!#REF!)</f>
        <v>#REF!</v>
      </c>
      <c r="L105" s="316" t="e">
        <f>CONCATENATE(TIMETABLE!D$6," ","[",TIMETABLE!D$7," ","Students","]"," ",TIMETABLE!#REF!,":"," ",TIMETABLE!#REF!," ",TIMETABLE!#REF!)</f>
        <v>#REF!</v>
      </c>
      <c r="M105" s="316" t="e">
        <f>CONCATENATE(TIMETABLE!E$6," ","[",TIMETABLE!E$7," ","Students","]"," ",TIMETABLE!#REF!,":"," ",TIMETABLE!#REF!," ",TIMETABLE!#REF!)</f>
        <v>#REF!</v>
      </c>
      <c r="N105" s="316" t="e">
        <f>CONCATENATE(TIMETABLE!#REF!," ","[",TIMETABLE!#REF!," ","Students","]"," ",TIMETABLE!#REF!,":"," ",TIMETABLE!#REF!," ",TIMETABLE!#REF!)</f>
        <v>#REF!</v>
      </c>
      <c r="O105" s="316" t="e">
        <f>CONCATENATE(TIMETABLE!#REF!," ","[",TIMETABLE!#REF!," ","Students","]"," ",TIMETABLE!#REF!,":"," ",TIMETABLE!#REF!," ",TIMETABLE!#REF!)</f>
        <v>#REF!</v>
      </c>
      <c r="P105" s="316" t="e">
        <f>CONCATENATE(TIMETABLE!F$6," ","[",TIMETABLE!F$7," ","Students","]"," ",TIMETABLE!#REF!,":"," ",TIMETABLE!#REF!," ",TIMETABLE!#REF!)</f>
        <v>#REF!</v>
      </c>
      <c r="Q105" s="316" t="e">
        <f>CONCATENATE(TIMETABLE!G$6," ","[",TIMETABLE!G$7," ","Students","]"," ",TIMETABLE!#REF!,":"," ",TIMETABLE!#REF!," ",TIMETABLE!#REF!)</f>
        <v>#REF!</v>
      </c>
      <c r="R105" s="316" t="e">
        <f>CONCATENATE(TIMETABLE!#REF!," ","[",TIMETABLE!#REF!," ","Students","]"," ",TIMETABLE!#REF!,":"," ",TIMETABLE!#REF!," ",TIMETABLE!#REF!)</f>
        <v>#REF!</v>
      </c>
      <c r="S105" s="316" t="e">
        <f>CONCATENATE(TIMETABLE!#REF!," ","[",TIMETABLE!#REF!," ","Students","]"," ",TIMETABLE!#REF!,":"," ",TIMETABLE!#REF!," ",TIMETABLE!#REF!)</f>
        <v>#REF!</v>
      </c>
      <c r="T105" s="316" t="e">
        <f>CONCATENATE(TIMETABLE!J$6," ","[",TIMETABLE!J$7," ","Students","]"," ",TIMETABLE!#REF!,":"," ",TIMETABLE!#REF!," ",TIMETABLE!#REF!)</f>
        <v>#REF!</v>
      </c>
      <c r="U105" s="316" t="e">
        <f>CONCATENATE(TIMETABLE!#REF!," ","[",TIMETABLE!#REF!," ","Students","]"," ",TIMETABLE!#REF!,":"," ",TIMETABLE!#REF!," ",TIMETABLE!#REF!)</f>
        <v>#REF!</v>
      </c>
      <c r="V105" s="316" t="e">
        <f>CONCATENATE(TIMETABLE!#REF!," ","[",TIMETABLE!#REF!," ","Students","]"," ",TIMETABLE!#REF!,":"," ",TIMETABLE!#REF!," ",TIMETABLE!#REF!)</f>
        <v>#REF!</v>
      </c>
      <c r="W105" s="316" t="e">
        <f>CONCATENATE(TIMETABLE!#REF!," ","[",TIMETABLE!#REF!," ","Students","]"," ",TIMETABLE!#REF!,":"," ",TIMETABLE!#REF!," ",TIMETABLE!#REF!)</f>
        <v>#REF!</v>
      </c>
      <c r="X105" s="316" t="e">
        <f>CONCATENATE(TIMETABLE!#REF!," ","[",TIMETABLE!#REF!," ","Students","]"," ",TIMETABLE!#REF!,":"," ",TIMETABLE!#REF!," ",TIMETABLE!#REF!)</f>
        <v>#REF!</v>
      </c>
      <c r="Y105" s="316" t="e">
        <f>CONCATENATE(TIMETABLE!#REF!," ","[",TIMETABLE!#REF!," ","Students","]"," ",TIMETABLE!#REF!,":"," ",TIMETABLE!#REF!," ",TIMETABLE!#REF!)</f>
        <v>#REF!</v>
      </c>
      <c r="Z105" s="316" t="e">
        <f>CONCATENATE(TIMETABLE!#REF!," ","[",TIMETABLE!#REF!," ","Students","]"," ",TIMETABLE!#REF!,":"," ",TIMETABLE!#REF!," ",TIMETABLE!#REF!)</f>
        <v>#REF!</v>
      </c>
      <c r="AA105" s="316" t="e">
        <f>CONCATENATE(TIMETABLE!#REF!," ","[",TIMETABLE!#REF!," ","Students","]"," ",TIMETABLE!#REF!,":"," ",TIMETABLE!#REF!," ",TIMETABLE!#REF!)</f>
        <v>#REF!</v>
      </c>
      <c r="AB105" s="316" t="e">
        <f>CONCATENATE(TIMETABLE!#REF!," ","[",TIMETABLE!#REF!," ","Students","]"," ",TIMETABLE!#REF!,":"," ",TIMETABLE!#REF!," ",TIMETABLE!#REF!)</f>
        <v>#REF!</v>
      </c>
      <c r="AC105" s="316" t="e">
        <f>CONCATENATE(TIMETABLE!W$6," ","[",TIMETABLE!W$7," ","Students","]"," ",TIMETABLE!#REF!,":"," ",TIMETABLE!#REF!," ",TIMETABLE!#REF!)</f>
        <v>#REF!</v>
      </c>
      <c r="AD105" s="316" t="e">
        <f>CONCATENATE(TIMETABLE!#REF!," ","[",TIMETABLE!#REF!," ","Students","]"," ",TIMETABLE!#REF!,":"," ",TIMETABLE!#REF!," ",TIMETABLE!#REF!)</f>
        <v>#REF!</v>
      </c>
      <c r="AE105" s="316" t="e">
        <f>CONCATENATE(TIMETABLE!#REF!," ","[",TIMETABLE!#REF!," ","Students","]"," ",TIMETABLE!#REF!,":"," ",TIMETABLE!#REF!," ",TIMETABLE!#REF!)</f>
        <v>#REF!</v>
      </c>
      <c r="AF105" s="504"/>
    </row>
    <row r="106" spans="3:32" ht="23.4" x14ac:dyDescent="0.45">
      <c r="C106" s="504"/>
      <c r="D106" s="220"/>
      <c r="E106" s="221"/>
      <c r="F106" s="221"/>
      <c r="G106" s="221"/>
      <c r="H106" s="221"/>
      <c r="I106" s="221"/>
      <c r="J106" s="221"/>
      <c r="K106" s="221"/>
      <c r="L106" s="221"/>
      <c r="M106" s="221"/>
      <c r="N106" s="221"/>
      <c r="O106" s="221"/>
      <c r="P106" s="221"/>
      <c r="Q106" s="221"/>
      <c r="R106" s="221"/>
      <c r="S106" s="221"/>
      <c r="T106" s="221"/>
      <c r="U106" s="221"/>
      <c r="V106" s="221"/>
      <c r="W106" s="221"/>
      <c r="X106" s="221"/>
      <c r="Y106" s="221"/>
      <c r="Z106" s="221"/>
      <c r="AA106" s="221"/>
      <c r="AB106" s="221"/>
      <c r="AC106" s="221"/>
      <c r="AD106" s="221"/>
      <c r="AE106" s="221"/>
      <c r="AF106" s="504"/>
    </row>
    <row r="107" spans="3:32" ht="23.4" x14ac:dyDescent="0.45">
      <c r="C107" s="504"/>
      <c r="D107" s="222"/>
      <c r="E107" s="223"/>
      <c r="F107" s="223"/>
      <c r="G107" s="223"/>
      <c r="H107" s="223"/>
      <c r="I107" s="223"/>
      <c r="J107" s="223"/>
      <c r="K107" s="223"/>
      <c r="L107" s="223"/>
      <c r="M107" s="223"/>
      <c r="N107" s="223"/>
      <c r="O107" s="223"/>
      <c r="P107" s="223"/>
      <c r="Q107" s="223"/>
      <c r="R107" s="223"/>
      <c r="S107" s="223"/>
      <c r="T107" s="223"/>
      <c r="U107" s="223"/>
      <c r="V107" s="223"/>
      <c r="W107" s="223"/>
      <c r="X107" s="223"/>
      <c r="Y107" s="223"/>
      <c r="Z107" s="223"/>
      <c r="AA107" s="223"/>
      <c r="AB107" s="223"/>
      <c r="AC107" s="223"/>
      <c r="AD107" s="223"/>
      <c r="AE107" s="223"/>
      <c r="AF107" s="504"/>
    </row>
    <row r="108" spans="3:32" ht="24" thickBot="1" x14ac:dyDescent="0.5">
      <c r="C108" s="504"/>
      <c r="D108" s="224"/>
      <c r="E108" s="394" t="e">
        <f>CONCATENATE(TIMETABLE!#REF!," ","[",TIMETABLE!#REF!," ","Students","]"," ",TIMETABLE!#REF!,":"," ",TIMETABLE!#REF!," ",TIMETABLE!#REF!)</f>
        <v>#REF!</v>
      </c>
      <c r="F108" s="394" t="e">
        <f>CONCATENATE(TIMETABLE!#REF!," ","[",TIMETABLE!#REF!," ","Students","]"," ",TIMETABLE!#REF!,":"," ",TIMETABLE!#REF!," ",TIMETABLE!#REF!)</f>
        <v>#REF!</v>
      </c>
      <c r="G108" s="394" t="e">
        <f>CONCATENATE(TIMETABLE!#REF!," ","[",TIMETABLE!#REF!," ","Students","]"," ",TIMETABLE!#REF!,":"," ",TIMETABLE!#REF!," ",TIMETABLE!#REF!)</f>
        <v>#REF!</v>
      </c>
      <c r="H108" s="394" t="e">
        <f>CONCATENATE(TIMETABLE!#REF!," ","[",TIMETABLE!#REF!," ","Students","]"," ",TIMETABLE!#REF!,":"," ",TIMETABLE!#REF!," ",TIMETABLE!#REF!)</f>
        <v>#REF!</v>
      </c>
      <c r="I108" s="394" t="e">
        <f>CONCATENATE(TIMETABLE!#REF!," ","[",TIMETABLE!#REF!," ","Students","]"," ",TIMETABLE!#REF!,":"," ",TIMETABLE!#REF!," ",TIMETABLE!#REF!)</f>
        <v>#REF!</v>
      </c>
      <c r="J108" s="394" t="e">
        <f>CONCATENATE(TIMETABLE!#REF!," ","[",TIMETABLE!#REF!," ","Students","]"," ",TIMETABLE!#REF!,":"," ",TIMETABLE!#REF!," ",TIMETABLE!#REF!)</f>
        <v>#REF!</v>
      </c>
      <c r="K108" s="394" t="e">
        <f>CONCATENATE(TIMETABLE!#REF!," ","[",TIMETABLE!#REF!," ","Students","]"," ",TIMETABLE!#REF!,":"," ",TIMETABLE!#REF!," ",TIMETABLE!#REF!)</f>
        <v>#REF!</v>
      </c>
      <c r="L108" s="394" t="str">
        <f>CONCATENATE(TIMETABLE!D$6," ","[",TIMETABLE!D$7," ","Students","]"," ",TIMETABLE!D54,":"," ",TIMETABLE!D56," ",TIMETABLE!D55)</f>
        <v xml:space="preserve">BSME/SEP2020/J-FT [Y2S1  (50) Students] :  </v>
      </c>
      <c r="M108" s="394" t="str">
        <f>CONCATENATE(TIMETABLE!E$6," ","[",TIMETABLE!E$7," ","Students","]"," ",TIMETABLE!E54,":"," ",TIMETABLE!E56," ",TIMETABLE!E55)</f>
        <v xml:space="preserve">BSME/AUG2021/J-FT [Y1S2  (55) Students] :  </v>
      </c>
      <c r="N108" s="394" t="e">
        <f>CONCATENATE(TIMETABLE!#REF!," ","[",TIMETABLE!#REF!," ","Students","]"," ",TIMETABLE!#REF!,":"," ",TIMETABLE!#REF!," ",TIMETABLE!#REF!)</f>
        <v>#REF!</v>
      </c>
      <c r="O108" s="394" t="e">
        <f>CONCATENATE(TIMETABLE!#REF!," ","[",TIMETABLE!#REF!," ","Students","]"," ",TIMETABLE!#REF!,":"," ",TIMETABLE!#REF!," ",TIMETABLE!#REF!)</f>
        <v>#REF!</v>
      </c>
      <c r="P108" s="394" t="str">
        <f>CONCATENATE(TIMETABLE!F$6," ","[",TIMETABLE!F$7," ","Students","]"," ",TIMETABLE!F54,":"," ",TIMETABLE!F56," ",TIMETABLE!F55)</f>
        <v xml:space="preserve">BTME/SEP2019/S-PT [Y3S1   (10) Students] :  </v>
      </c>
      <c r="Q108" s="394" t="str">
        <f>CONCATENATE(TIMETABLE!G$6," ","[",TIMETABLE!G$7," ","Students","]"," ",TIMETABLE!G54,":"," ",TIMETABLE!G56," ",TIMETABLE!G55)</f>
        <v xml:space="preserve">BTME/AUG2021/S-PT [Y2S2   (10) Students] :  </v>
      </c>
      <c r="R108" s="394" t="e">
        <f>CONCATENATE(TIMETABLE!#REF!," ","[",TIMETABLE!#REF!," ","Students","]"," ",TIMETABLE!#REF!,":"," ",TIMETABLE!#REF!," ",TIMETABLE!#REF!)</f>
        <v>#REF!</v>
      </c>
      <c r="S108" s="394" t="e">
        <f>CONCATENATE(TIMETABLE!#REF!," ","[",TIMETABLE!#REF!," ","Students","]"," ",TIMETABLE!#REF!,":"," ",TIMETABLE!#REF!," ",TIMETABLE!#REF!)</f>
        <v>#REF!</v>
      </c>
      <c r="T108" s="394" t="str">
        <f>CONCATENATE(TIMETABLE!J$6," ","[",TIMETABLE!J$7," ","Students","]"," ",TIMETABLE!J54,":"," ",TIMETABLE!J56," ",TIMETABLE!J55)</f>
        <v xml:space="preserve">BTME/AUG2021/J&amp;S-FT [Y1S1  (52) Students] :  </v>
      </c>
      <c r="U108" s="394" t="e">
        <f>CONCATENATE(TIMETABLE!#REF!," ","[",TIMETABLE!#REF!," ","Students","]"," ",TIMETABLE!#REF!,":"," ",TIMETABLE!#REF!," ",TIMETABLE!#REF!)</f>
        <v>#REF!</v>
      </c>
      <c r="V108" s="394" t="e">
        <f>CONCATENATE(TIMETABLE!#REF!," ","[",TIMETABLE!#REF!," ","Students","]"," ",TIMETABLE!#REF!,":"," ",TIMETABLE!#REF!," ",TIMETABLE!#REF!)</f>
        <v>#REF!</v>
      </c>
      <c r="W108" s="394" t="e">
        <f>CONCATENATE(TIMETABLE!#REF!," ","[",TIMETABLE!#REF!," ","Students","]"," ",TIMETABLE!#REF!,":"," ",TIMETABLE!#REF!," ",TIMETABLE!#REF!)</f>
        <v>#REF!</v>
      </c>
      <c r="X108" s="394" t="e">
        <f>CONCATENATE(TIMETABLE!#REF!," ","[",TIMETABLE!#REF!," ","Students","]"," ",TIMETABLE!#REF!,":"," ",TIMETABLE!#REF!," ",TIMETABLE!#REF!)</f>
        <v>#REF!</v>
      </c>
      <c r="Y108" s="394" t="e">
        <f>CONCATENATE(TIMETABLE!#REF!," ","[",TIMETABLE!#REF!," ","Students","]"," ",TIMETABLE!#REF!,":"," ",TIMETABLE!#REF!," ",TIMETABLE!#REF!)</f>
        <v>#REF!</v>
      </c>
      <c r="Z108" s="394" t="e">
        <f>CONCATENATE(TIMETABLE!#REF!," ","[",TIMETABLE!#REF!," ","Students","]"," ",TIMETABLE!#REF!,":"," ",TIMETABLE!#REF!," ",TIMETABLE!#REF!)</f>
        <v>#REF!</v>
      </c>
      <c r="AA108" s="394" t="e">
        <f>CONCATENATE(TIMETABLE!#REF!," ","[",TIMETABLE!#REF!," ","Students","]"," ",TIMETABLE!#REF!,":"," ",TIMETABLE!#REF!," ",TIMETABLE!#REF!)</f>
        <v>#REF!</v>
      </c>
      <c r="AB108" s="394" t="e">
        <f>CONCATENATE(TIMETABLE!#REF!," ","[",TIMETABLE!#REF!," ","Students","]"," ",TIMETABLE!#REF!,":"," ",TIMETABLE!#REF!," ",TIMETABLE!#REF!)</f>
        <v>#REF!</v>
      </c>
      <c r="AC108" s="394" t="str">
        <f>CONCATENATE(TIMETABLE!W$6," ","[",TIMETABLE!W$7," ","Students","]"," ",TIMETABLE!W54,":"," ",TIMETABLE!W56," ",TIMETABLE!W55)</f>
        <v xml:space="preserve">DMAE/SEP20201J&amp;S-FT [Y1S2   (60) Students] :  </v>
      </c>
      <c r="AD108" s="394" t="e">
        <f>CONCATENATE(TIMETABLE!#REF!," ","[",TIMETABLE!#REF!," ","Students","]"," ",TIMETABLE!#REF!,":"," ",TIMETABLE!#REF!," ",TIMETABLE!#REF!)</f>
        <v>#REF!</v>
      </c>
      <c r="AE108" s="394" t="e">
        <f>CONCATENATE(TIMETABLE!#REF!," ","[",TIMETABLE!#REF!," ","Students","]"," ",TIMETABLE!#REF!,":"," ",TIMETABLE!#REF!," ",TIMETABLE!#REF!)</f>
        <v>#REF!</v>
      </c>
      <c r="AF108" s="504"/>
    </row>
    <row r="109" spans="3:32" ht="23.4" x14ac:dyDescent="0.45">
      <c r="C109" s="504"/>
      <c r="D109" s="158"/>
      <c r="E109" s="148"/>
      <c r="F109" s="148"/>
      <c r="G109" s="148"/>
      <c r="H109" s="148"/>
      <c r="I109" s="148"/>
      <c r="J109" s="148"/>
      <c r="K109" s="148"/>
      <c r="L109" s="148"/>
      <c r="M109" s="148"/>
      <c r="N109" s="148"/>
      <c r="O109" s="148"/>
      <c r="P109" s="148"/>
      <c r="Q109" s="148"/>
      <c r="R109" s="148"/>
      <c r="S109" s="148"/>
      <c r="T109" s="148"/>
      <c r="U109" s="148"/>
      <c r="V109" s="148"/>
      <c r="W109" s="148"/>
      <c r="X109" s="148"/>
      <c r="Y109" s="148"/>
      <c r="Z109" s="148"/>
      <c r="AA109" s="148"/>
      <c r="AB109" s="148"/>
      <c r="AC109" s="148"/>
      <c r="AD109" s="148"/>
      <c r="AE109" s="148"/>
      <c r="AF109" s="504"/>
    </row>
    <row r="110" spans="3:32" ht="23.4" x14ac:dyDescent="0.45">
      <c r="C110" s="504"/>
      <c r="D110" s="159"/>
      <c r="E110" s="151"/>
      <c r="F110" s="151"/>
      <c r="G110" s="151"/>
      <c r="H110" s="151"/>
      <c r="I110" s="151"/>
      <c r="J110" s="151"/>
      <c r="K110" s="151"/>
      <c r="L110" s="151"/>
      <c r="M110" s="151"/>
      <c r="N110" s="151"/>
      <c r="O110" s="151"/>
      <c r="P110" s="151"/>
      <c r="Q110" s="151"/>
      <c r="R110" s="151"/>
      <c r="S110" s="151"/>
      <c r="T110" s="151"/>
      <c r="U110" s="151"/>
      <c r="V110" s="151"/>
      <c r="W110" s="151"/>
      <c r="X110" s="151"/>
      <c r="Y110" s="151"/>
      <c r="Z110" s="151"/>
      <c r="AA110" s="151"/>
      <c r="AB110" s="151"/>
      <c r="AC110" s="151"/>
      <c r="AD110" s="151"/>
      <c r="AE110" s="151"/>
      <c r="AF110" s="504"/>
    </row>
    <row r="111" spans="3:32" ht="24" thickBot="1" x14ac:dyDescent="0.5">
      <c r="C111" s="504"/>
      <c r="D111" s="160"/>
      <c r="E111" s="316" t="e">
        <f>CONCATENATE(TIMETABLE!#REF!," ","[",TIMETABLE!#REF!," ","Students","]"," ",TIMETABLE!#REF!,":"," ",TIMETABLE!#REF!," ",TIMETABLE!#REF!)</f>
        <v>#REF!</v>
      </c>
      <c r="F111" s="316" t="e">
        <f>CONCATENATE(TIMETABLE!#REF!," ","[",TIMETABLE!#REF!," ","Students","]"," ",TIMETABLE!#REF!,":"," ",TIMETABLE!#REF!," ",TIMETABLE!#REF!)</f>
        <v>#REF!</v>
      </c>
      <c r="G111" s="316" t="e">
        <f>CONCATENATE(TIMETABLE!#REF!," ","[",TIMETABLE!#REF!," ","Students","]"," ",TIMETABLE!#REF!,":"," ",TIMETABLE!#REF!," ",TIMETABLE!#REF!)</f>
        <v>#REF!</v>
      </c>
      <c r="H111" s="316" t="e">
        <f>CONCATENATE(TIMETABLE!#REF!," ","[",TIMETABLE!#REF!," ","Students","]"," ",TIMETABLE!#REF!,":"," ",TIMETABLE!#REF!," ",TIMETABLE!#REF!)</f>
        <v>#REF!</v>
      </c>
      <c r="I111" s="316" t="e">
        <f>CONCATENATE(TIMETABLE!#REF!," ","[",TIMETABLE!#REF!," ","Students","]"," ",TIMETABLE!#REF!,":"," ",TIMETABLE!#REF!," ",TIMETABLE!#REF!)</f>
        <v>#REF!</v>
      </c>
      <c r="J111" s="316" t="e">
        <f>CONCATENATE(TIMETABLE!#REF!," ","[",TIMETABLE!#REF!," ","Students","]"," ",TIMETABLE!#REF!,":"," ",TIMETABLE!#REF!," ",TIMETABLE!#REF!)</f>
        <v>#REF!</v>
      </c>
      <c r="K111" s="316" t="e">
        <f>CONCATENATE(TIMETABLE!#REF!," ","[",TIMETABLE!#REF!," ","Students","]"," ",TIMETABLE!#REF!,":"," ",TIMETABLE!#REF!," ",TIMETABLE!#REF!)</f>
        <v>#REF!</v>
      </c>
      <c r="L111" s="316" t="str">
        <f>CONCATENATE(TIMETABLE!D$6," ","[",TIMETABLE!D$7," ","Students","]"," ",TIMETABLE!D57,":"," ",TIMETABLE!D60," ",TIMETABLE!D59)</f>
        <v>BSME/SEP2020/J-FT [Y2S1  (50) Students] EMC 4212: MBOTHU FET 107</v>
      </c>
      <c r="M111" s="316" t="str">
        <f>CONCATENATE(TIMETABLE!E$6," ","[",TIMETABLE!E$7," ","Students","]"," ",TIMETABLE!E57,":"," ",TIMETABLE!E60," ",TIMETABLE!E59)</f>
        <v xml:space="preserve">BSME/AUG2021/J-FT [Y1S2  (55) Students] :  </v>
      </c>
      <c r="N111" s="316" t="e">
        <f>CONCATENATE(TIMETABLE!#REF!," ","[",TIMETABLE!#REF!," ","Students","]"," ",TIMETABLE!#REF!,":"," ",TIMETABLE!#REF!," ",TIMETABLE!#REF!)</f>
        <v>#REF!</v>
      </c>
      <c r="O111" s="316" t="e">
        <f>CONCATENATE(TIMETABLE!#REF!," ","[",TIMETABLE!#REF!," ","Students","]"," ",TIMETABLE!#REF!,":"," ",TIMETABLE!#REF!," ",TIMETABLE!#REF!)</f>
        <v>#REF!</v>
      </c>
      <c r="P111" s="316" t="str">
        <f>CONCATENATE(TIMETABLE!F$6," ","[",TIMETABLE!F$7," ","Students","]"," ",TIMETABLE!F57,":"," ",TIMETABLE!F60," ",TIMETABLE!F59)</f>
        <v xml:space="preserve">BTME/SEP2019/S-PT [Y3S1   (10) Students] :  </v>
      </c>
      <c r="Q111" s="316" t="str">
        <f>CONCATENATE(TIMETABLE!G$6," ","[",TIMETABLE!G$7," ","Students","]"," ",TIMETABLE!G57,":"," ",TIMETABLE!G60," ",TIMETABLE!G59)</f>
        <v xml:space="preserve">BTME/AUG2021/S-PT [Y2S2   (10) Students] :  </v>
      </c>
      <c r="R111" s="316" t="e">
        <f>CONCATENATE(TIMETABLE!#REF!," ","[",TIMETABLE!#REF!," ","Students","]"," ",TIMETABLE!#REF!,":"," ",TIMETABLE!#REF!," ",TIMETABLE!#REF!)</f>
        <v>#REF!</v>
      </c>
      <c r="S111" s="316" t="e">
        <f>CONCATENATE(TIMETABLE!#REF!," ","[",TIMETABLE!#REF!," ","Students","]"," ",TIMETABLE!#REF!,":"," ",TIMETABLE!#REF!," ",TIMETABLE!#REF!)</f>
        <v>#REF!</v>
      </c>
      <c r="T111" s="316" t="str">
        <f>CONCATENATE(TIMETABLE!J$6," ","[",TIMETABLE!J$7," ","Students","]"," ",TIMETABLE!J57,":"," ",TIMETABLE!J60," ",TIMETABLE!J59)</f>
        <v xml:space="preserve">BTME/AUG2021/J&amp;S-FT [Y1S1  (52) Students] :  </v>
      </c>
      <c r="U111" s="316" t="e">
        <f>CONCATENATE(TIMETABLE!#REF!," ","[",TIMETABLE!#REF!," ","Students","]"," ",TIMETABLE!#REF!,":"," ",TIMETABLE!#REF!," ",TIMETABLE!#REF!)</f>
        <v>#REF!</v>
      </c>
      <c r="V111" s="316" t="e">
        <f>CONCATENATE(TIMETABLE!#REF!," ","[",TIMETABLE!#REF!," ","Students","]"," ",TIMETABLE!#REF!,":"," ",TIMETABLE!#REF!," ",TIMETABLE!#REF!)</f>
        <v>#REF!</v>
      </c>
      <c r="W111" s="316" t="e">
        <f>CONCATENATE(TIMETABLE!#REF!," ","[",TIMETABLE!#REF!," ","Students","]"," ",TIMETABLE!#REF!,":"," ",TIMETABLE!#REF!," ",TIMETABLE!#REF!)</f>
        <v>#REF!</v>
      </c>
      <c r="X111" s="316" t="e">
        <f>CONCATENATE(TIMETABLE!#REF!," ","[",TIMETABLE!#REF!," ","Students","]"," ",TIMETABLE!#REF!,":"," ",TIMETABLE!#REF!," ",TIMETABLE!#REF!)</f>
        <v>#REF!</v>
      </c>
      <c r="Y111" s="316" t="e">
        <f>CONCATENATE(TIMETABLE!#REF!," ","[",TIMETABLE!#REF!," ","Students","]"," ",TIMETABLE!#REF!,":"," ",TIMETABLE!#REF!," ",TIMETABLE!#REF!)</f>
        <v>#REF!</v>
      </c>
      <c r="Z111" s="316" t="e">
        <f>CONCATENATE(TIMETABLE!#REF!," ","[",TIMETABLE!#REF!," ","Students","]"," ",TIMETABLE!#REF!,":"," ",TIMETABLE!#REF!," ",TIMETABLE!#REF!)</f>
        <v>#REF!</v>
      </c>
      <c r="AA111" s="316" t="e">
        <f>CONCATENATE(TIMETABLE!#REF!," ","[",TIMETABLE!#REF!," ","Students","]"," ",TIMETABLE!#REF!,":"," ",TIMETABLE!#REF!," ",TIMETABLE!#REF!)</f>
        <v>#REF!</v>
      </c>
      <c r="AB111" s="316" t="e">
        <f>CONCATENATE(TIMETABLE!#REF!," ","[",TIMETABLE!#REF!," ","Students","]"," ",TIMETABLE!#REF!,":"," ",TIMETABLE!#REF!," ",TIMETABLE!#REF!)</f>
        <v>#REF!</v>
      </c>
      <c r="AC111" s="316" t="str">
        <f>CONCATENATE(TIMETABLE!W$6," ","[",TIMETABLE!W$7," ","Students","]"," ",TIMETABLE!W57,":"," ",TIMETABLE!W60," ",TIMETABLE!W59)</f>
        <v>DMAE/SEP20201J&amp;S-FT [Y1S2   (60) Students] EMR 2116: MAKONDE DO3</v>
      </c>
      <c r="AD111" s="316" t="e">
        <f>CONCATENATE(TIMETABLE!#REF!," ","[",TIMETABLE!#REF!," ","Students","]"," ",TIMETABLE!#REF!,":"," ",TIMETABLE!#REF!," ",TIMETABLE!#REF!)</f>
        <v>#REF!</v>
      </c>
      <c r="AE111" s="316" t="e">
        <f>CONCATENATE(TIMETABLE!#REF!," ","[",TIMETABLE!#REF!," ","Students","]"," ",TIMETABLE!#REF!,":"," ",TIMETABLE!#REF!," ",TIMETABLE!#REF!)</f>
        <v>#REF!</v>
      </c>
      <c r="AF111" s="504"/>
    </row>
    <row r="112" spans="3:32" ht="23.4" x14ac:dyDescent="0.45">
      <c r="C112" s="504"/>
      <c r="D112" s="158"/>
      <c r="E112" s="148"/>
      <c r="F112" s="148"/>
      <c r="G112" s="148"/>
      <c r="H112" s="148"/>
      <c r="I112" s="148"/>
      <c r="J112" s="148"/>
      <c r="K112" s="148"/>
      <c r="L112" s="148"/>
      <c r="M112" s="148"/>
      <c r="N112" s="148"/>
      <c r="O112" s="148"/>
      <c r="P112" s="148"/>
      <c r="Q112" s="148"/>
      <c r="R112" s="148"/>
      <c r="S112" s="148"/>
      <c r="T112" s="148"/>
      <c r="U112" s="148"/>
      <c r="V112" s="148"/>
      <c r="W112" s="148"/>
      <c r="X112" s="148"/>
      <c r="Y112" s="148"/>
      <c r="Z112" s="148"/>
      <c r="AA112" s="148"/>
      <c r="AB112" s="148"/>
      <c r="AC112" s="148"/>
      <c r="AD112" s="148"/>
      <c r="AE112" s="148"/>
      <c r="AF112" s="504"/>
    </row>
    <row r="113" spans="3:32" ht="23.4" x14ac:dyDescent="0.45">
      <c r="C113" s="504"/>
      <c r="D113" s="159"/>
      <c r="E113" s="151"/>
      <c r="F113" s="151"/>
      <c r="G113" s="151"/>
      <c r="H113" s="151"/>
      <c r="I113" s="151"/>
      <c r="J113" s="151"/>
      <c r="K113" s="151"/>
      <c r="L113" s="151"/>
      <c r="M113" s="151"/>
      <c r="N113" s="151"/>
      <c r="O113" s="151"/>
      <c r="P113" s="151"/>
      <c r="Q113" s="151"/>
      <c r="R113" s="151"/>
      <c r="S113" s="151"/>
      <c r="T113" s="151"/>
      <c r="U113" s="151"/>
      <c r="V113" s="151"/>
      <c r="W113" s="151"/>
      <c r="X113" s="151"/>
      <c r="Y113" s="151"/>
      <c r="Z113" s="151"/>
      <c r="AA113" s="151"/>
      <c r="AB113" s="151"/>
      <c r="AC113" s="151"/>
      <c r="AD113" s="151"/>
      <c r="AE113" s="151"/>
      <c r="AF113" s="504"/>
    </row>
    <row r="114" spans="3:32" ht="24" thickBot="1" x14ac:dyDescent="0.5">
      <c r="C114" s="504"/>
      <c r="D114" s="160"/>
      <c r="E114" s="316" t="e">
        <f>CONCATENATE(TIMETABLE!#REF!," ","[",TIMETABLE!#REF!," ","Students","]"," ",TIMETABLE!#REF!,":"," ",TIMETABLE!#REF!," ",TIMETABLE!#REF!)</f>
        <v>#REF!</v>
      </c>
      <c r="F114" s="316" t="e">
        <f>CONCATENATE(TIMETABLE!#REF!," ","[",TIMETABLE!#REF!," ","Students","]"," ",TIMETABLE!#REF!,":"," ",TIMETABLE!#REF!," ",TIMETABLE!#REF!)</f>
        <v>#REF!</v>
      </c>
      <c r="G114" s="316" t="e">
        <f>CONCATENATE(TIMETABLE!#REF!," ","[",TIMETABLE!#REF!," ","Students","]"," ",TIMETABLE!#REF!,":"," ",TIMETABLE!#REF!," ",TIMETABLE!#REF!)</f>
        <v>#REF!</v>
      </c>
      <c r="H114" s="316" t="e">
        <f>CONCATENATE(TIMETABLE!#REF!," ","[",TIMETABLE!#REF!," ","Students","]"," ",TIMETABLE!#REF!,":"," ",TIMETABLE!#REF!," ",TIMETABLE!#REF!)</f>
        <v>#REF!</v>
      </c>
      <c r="I114" s="316" t="e">
        <f>CONCATENATE(TIMETABLE!#REF!," ","[",TIMETABLE!#REF!," ","Students","]"," ",TIMETABLE!#REF!,":"," ",TIMETABLE!#REF!," ",TIMETABLE!#REF!)</f>
        <v>#REF!</v>
      </c>
      <c r="J114" s="316" t="e">
        <f>CONCATENATE(TIMETABLE!#REF!," ","[",TIMETABLE!#REF!," ","Students","]"," ",TIMETABLE!#REF!,":"," ",TIMETABLE!#REF!," ",TIMETABLE!#REF!)</f>
        <v>#REF!</v>
      </c>
      <c r="K114" s="316" t="e">
        <f>CONCATENATE(TIMETABLE!#REF!," ","[",TIMETABLE!#REF!," ","Students","]"," ",TIMETABLE!#REF!,":"," ",TIMETABLE!#REF!," ",TIMETABLE!#REF!)</f>
        <v>#REF!</v>
      </c>
      <c r="L114" s="316" t="e">
        <f>CONCATENATE(TIMETABLE!D$6," ","[",TIMETABLE!D$7," ","Students","]"," ",TIMETABLE!#REF!,":"," ",TIMETABLE!#REF!," ",TIMETABLE!#REF!)</f>
        <v>#REF!</v>
      </c>
      <c r="M114" s="316" t="e">
        <f>CONCATENATE(TIMETABLE!E$6," ","[",TIMETABLE!E$7," ","Students","]"," ",TIMETABLE!#REF!,":"," ",TIMETABLE!#REF!," ",TIMETABLE!#REF!)</f>
        <v>#REF!</v>
      </c>
      <c r="N114" s="316" t="e">
        <f>CONCATENATE(TIMETABLE!#REF!," ","[",TIMETABLE!#REF!," ","Students","]"," ",TIMETABLE!#REF!,":"," ",TIMETABLE!#REF!," ",TIMETABLE!#REF!)</f>
        <v>#REF!</v>
      </c>
      <c r="O114" s="316" t="e">
        <f>CONCATENATE(TIMETABLE!#REF!," ","[",TIMETABLE!#REF!," ","Students","]"," ",TIMETABLE!#REF!,":"," ",TIMETABLE!#REF!," ",TIMETABLE!#REF!)</f>
        <v>#REF!</v>
      </c>
      <c r="P114" s="316" t="e">
        <f>CONCATENATE(TIMETABLE!F$6," ","[",TIMETABLE!F$7," ","Students","]"," ",TIMETABLE!#REF!,":"," ",TIMETABLE!#REF!," ",TIMETABLE!#REF!)</f>
        <v>#REF!</v>
      </c>
      <c r="Q114" s="316" t="e">
        <f>CONCATENATE(TIMETABLE!G$6," ","[",TIMETABLE!G$7," ","Students","]"," ",TIMETABLE!#REF!,":"," ",TIMETABLE!#REF!," ",TIMETABLE!#REF!)</f>
        <v>#REF!</v>
      </c>
      <c r="R114" s="316" t="e">
        <f>CONCATENATE(TIMETABLE!#REF!," ","[",TIMETABLE!#REF!," ","Students","]"," ",TIMETABLE!#REF!,":"," ",TIMETABLE!#REF!," ",TIMETABLE!#REF!)</f>
        <v>#REF!</v>
      </c>
      <c r="S114" s="316" t="e">
        <f>CONCATENATE(TIMETABLE!#REF!," ","[",TIMETABLE!#REF!," ","Students","]"," ",TIMETABLE!#REF!,":"," ",TIMETABLE!#REF!," ",TIMETABLE!#REF!)</f>
        <v>#REF!</v>
      </c>
      <c r="T114" s="316" t="e">
        <f>CONCATENATE(TIMETABLE!J$6," ","[",TIMETABLE!J$7," ","Students","]"," ",TIMETABLE!#REF!,":"," ",TIMETABLE!#REF!," ",TIMETABLE!#REF!)</f>
        <v>#REF!</v>
      </c>
      <c r="U114" s="316" t="e">
        <f>CONCATENATE(TIMETABLE!#REF!," ","[",TIMETABLE!#REF!," ","Students","]"," ",TIMETABLE!#REF!,":"," ",TIMETABLE!#REF!," ",TIMETABLE!#REF!)</f>
        <v>#REF!</v>
      </c>
      <c r="V114" s="316" t="e">
        <f>CONCATENATE(TIMETABLE!#REF!," ","[",TIMETABLE!#REF!," ","Students","]"," ",TIMETABLE!#REF!,":"," ",TIMETABLE!#REF!," ",TIMETABLE!#REF!)</f>
        <v>#REF!</v>
      </c>
      <c r="W114" s="316" t="e">
        <f>CONCATENATE(TIMETABLE!#REF!," ","[",TIMETABLE!#REF!," ","Students","]"," ",TIMETABLE!#REF!,":"," ",TIMETABLE!#REF!," ",TIMETABLE!#REF!)</f>
        <v>#REF!</v>
      </c>
      <c r="X114" s="316" t="e">
        <f>CONCATENATE(TIMETABLE!#REF!," ","[",TIMETABLE!#REF!," ","Students","]"," ",TIMETABLE!#REF!,":"," ",TIMETABLE!#REF!," ",TIMETABLE!#REF!)</f>
        <v>#REF!</v>
      </c>
      <c r="Y114" s="316" t="e">
        <f>CONCATENATE(TIMETABLE!#REF!," ","[",TIMETABLE!#REF!," ","Students","]"," ",TIMETABLE!#REF!,":"," ",TIMETABLE!#REF!," ",TIMETABLE!#REF!)</f>
        <v>#REF!</v>
      </c>
      <c r="Z114" s="316" t="e">
        <f>CONCATENATE(TIMETABLE!#REF!," ","[",TIMETABLE!#REF!," ","Students","]"," ",TIMETABLE!#REF!,":"," ",TIMETABLE!#REF!," ",TIMETABLE!#REF!)</f>
        <v>#REF!</v>
      </c>
      <c r="AA114" s="316" t="e">
        <f>CONCATENATE(TIMETABLE!#REF!," ","[",TIMETABLE!#REF!," ","Students","]"," ",TIMETABLE!#REF!,":"," ",TIMETABLE!#REF!," ",TIMETABLE!#REF!)</f>
        <v>#REF!</v>
      </c>
      <c r="AB114" s="316" t="e">
        <f>CONCATENATE(TIMETABLE!#REF!," ","[",TIMETABLE!#REF!," ","Students","]"," ",TIMETABLE!#REF!,":"," ",TIMETABLE!#REF!," ",TIMETABLE!#REF!)</f>
        <v>#REF!</v>
      </c>
      <c r="AC114" s="316" t="e">
        <f>CONCATENATE(TIMETABLE!W$6," ","[",TIMETABLE!W$7," ","Students","]"," ",TIMETABLE!#REF!,":"," ",TIMETABLE!#REF!," ",TIMETABLE!#REF!)</f>
        <v>#REF!</v>
      </c>
      <c r="AD114" s="316" t="e">
        <f>CONCATENATE(TIMETABLE!#REF!," ","[",TIMETABLE!#REF!," ","Students","]"," ",TIMETABLE!#REF!,":"," ",TIMETABLE!#REF!," ",TIMETABLE!#REF!)</f>
        <v>#REF!</v>
      </c>
      <c r="AE114" s="316" t="e">
        <f>CONCATENATE(TIMETABLE!#REF!," ","[",TIMETABLE!#REF!," ","Students","]"," ",TIMETABLE!#REF!,":"," ",TIMETABLE!#REF!," ",TIMETABLE!#REF!)</f>
        <v>#REF!</v>
      </c>
      <c r="AF114" s="504"/>
    </row>
    <row r="115" spans="3:32" ht="23.4" x14ac:dyDescent="0.45">
      <c r="C115" s="504"/>
      <c r="D115" s="158"/>
      <c r="E115" s="148"/>
      <c r="F115" s="148"/>
      <c r="G115" s="148"/>
      <c r="H115" s="148"/>
      <c r="I115" s="148"/>
      <c r="J115" s="148"/>
      <c r="K115" s="148"/>
      <c r="L115" s="148"/>
      <c r="M115" s="148"/>
      <c r="N115" s="148"/>
      <c r="O115" s="148"/>
      <c r="P115" s="148"/>
      <c r="Q115" s="148"/>
      <c r="R115" s="148"/>
      <c r="S115" s="148"/>
      <c r="T115" s="148"/>
      <c r="U115" s="148"/>
      <c r="V115" s="148"/>
      <c r="W115" s="148"/>
      <c r="X115" s="148"/>
      <c r="Y115" s="148"/>
      <c r="Z115" s="148"/>
      <c r="AA115" s="148"/>
      <c r="AB115" s="148"/>
      <c r="AC115" s="148"/>
      <c r="AD115" s="148"/>
      <c r="AE115" s="148"/>
      <c r="AF115" s="504"/>
    </row>
    <row r="116" spans="3:32" ht="23.4" x14ac:dyDescent="0.45">
      <c r="C116" s="504"/>
      <c r="D116" s="159"/>
      <c r="E116" s="151"/>
      <c r="F116" s="151"/>
      <c r="G116" s="151"/>
      <c r="H116" s="151"/>
      <c r="I116" s="151"/>
      <c r="J116" s="151"/>
      <c r="K116" s="151"/>
      <c r="L116" s="151"/>
      <c r="M116" s="151"/>
      <c r="N116" s="151"/>
      <c r="O116" s="151"/>
      <c r="P116" s="151"/>
      <c r="Q116" s="151"/>
      <c r="R116" s="151"/>
      <c r="S116" s="151"/>
      <c r="T116" s="151"/>
      <c r="U116" s="151"/>
      <c r="V116" s="151"/>
      <c r="W116" s="151"/>
      <c r="X116" s="151"/>
      <c r="Y116" s="151"/>
      <c r="Z116" s="151"/>
      <c r="AA116" s="151"/>
      <c r="AB116" s="151"/>
      <c r="AC116" s="151"/>
      <c r="AD116" s="151"/>
      <c r="AE116" s="151"/>
      <c r="AF116" s="504"/>
    </row>
    <row r="117" spans="3:32" ht="24" thickBot="1" x14ac:dyDescent="0.5">
      <c r="C117" s="504"/>
      <c r="D117" s="160"/>
      <c r="E117" s="316" t="e">
        <f>CONCATENATE(TIMETABLE!#REF!," ","[",TIMETABLE!#REF!," ","Students","]"," ",TIMETABLE!#REF!,":"," ",TIMETABLE!#REF!," ",TIMETABLE!#REF!)</f>
        <v>#REF!</v>
      </c>
      <c r="F117" s="316" t="e">
        <f>CONCATENATE(TIMETABLE!#REF!," ","[",TIMETABLE!#REF!," ","Students","]"," ",TIMETABLE!#REF!,":"," ",TIMETABLE!#REF!," ",TIMETABLE!#REF!)</f>
        <v>#REF!</v>
      </c>
      <c r="G117" s="316" t="e">
        <f>CONCATENATE(TIMETABLE!#REF!," ","[",TIMETABLE!#REF!," ","Students","]"," ",TIMETABLE!#REF!,":"," ",TIMETABLE!#REF!," ",TIMETABLE!#REF!)</f>
        <v>#REF!</v>
      </c>
      <c r="H117" s="316" t="e">
        <f>CONCATENATE(TIMETABLE!#REF!," ","[",TIMETABLE!#REF!," ","Students","]"," ",TIMETABLE!#REF!,":"," ",TIMETABLE!#REF!," ",TIMETABLE!#REF!)</f>
        <v>#REF!</v>
      </c>
      <c r="I117" s="316" t="e">
        <f>CONCATENATE(TIMETABLE!#REF!," ","[",TIMETABLE!#REF!," ","Students","]"," ",TIMETABLE!#REF!,":"," ",TIMETABLE!#REF!," ",TIMETABLE!#REF!)</f>
        <v>#REF!</v>
      </c>
      <c r="J117" s="316" t="e">
        <f>CONCATENATE(TIMETABLE!#REF!," ","[",TIMETABLE!#REF!," ","Students","]"," ",TIMETABLE!#REF!,":"," ",TIMETABLE!#REF!," ",TIMETABLE!#REF!)</f>
        <v>#REF!</v>
      </c>
      <c r="K117" s="316" t="e">
        <f>CONCATENATE(TIMETABLE!#REF!," ","[",TIMETABLE!#REF!," ","Students","]"," ",TIMETABLE!#REF!,":"," ",TIMETABLE!#REF!," ",TIMETABLE!#REF!)</f>
        <v>#REF!</v>
      </c>
      <c r="L117" s="316" t="e">
        <f>CONCATENATE(TIMETABLE!D$6," ","[",TIMETABLE!D$7," ","Students","]"," ",TIMETABLE!#REF!,":"," ",TIMETABLE!#REF!," ",TIMETABLE!#REF!)</f>
        <v>#REF!</v>
      </c>
      <c r="M117" s="316" t="e">
        <f>CONCATENATE(TIMETABLE!E$6," ","[",TIMETABLE!E$7," ","Students","]"," ",TIMETABLE!#REF!,":"," ",TIMETABLE!#REF!," ",TIMETABLE!#REF!)</f>
        <v>#REF!</v>
      </c>
      <c r="N117" s="316" t="e">
        <f>CONCATENATE(TIMETABLE!#REF!," ","[",TIMETABLE!#REF!," ","Students","]"," ",TIMETABLE!#REF!,":"," ",TIMETABLE!#REF!," ",TIMETABLE!#REF!)</f>
        <v>#REF!</v>
      </c>
      <c r="O117" s="316" t="e">
        <f>CONCATENATE(TIMETABLE!#REF!," ","[",TIMETABLE!#REF!," ","Students","]"," ",TIMETABLE!#REF!,":"," ",TIMETABLE!#REF!," ",TIMETABLE!#REF!)</f>
        <v>#REF!</v>
      </c>
      <c r="P117" s="316" t="e">
        <f>CONCATENATE(TIMETABLE!F$6," ","[",TIMETABLE!F$7," ","Students","]"," ",TIMETABLE!#REF!,":"," ",TIMETABLE!#REF!," ",TIMETABLE!#REF!)</f>
        <v>#REF!</v>
      </c>
      <c r="Q117" s="316" t="e">
        <f>CONCATENATE(TIMETABLE!G$6," ","[",TIMETABLE!G$7," ","Students","]"," ",TIMETABLE!#REF!,":"," ",TIMETABLE!#REF!," ",TIMETABLE!#REF!)</f>
        <v>#REF!</v>
      </c>
      <c r="R117" s="316" t="e">
        <f>CONCATENATE(TIMETABLE!#REF!," ","[",TIMETABLE!#REF!," ","Students","]"," ",TIMETABLE!#REF!,":"," ",TIMETABLE!#REF!," ",TIMETABLE!#REF!)</f>
        <v>#REF!</v>
      </c>
      <c r="S117" s="316" t="e">
        <f>CONCATENATE(TIMETABLE!#REF!," ","[",TIMETABLE!#REF!," ","Students","]"," ",TIMETABLE!#REF!,":"," ",TIMETABLE!#REF!," ",TIMETABLE!#REF!)</f>
        <v>#REF!</v>
      </c>
      <c r="T117" s="316" t="e">
        <f>CONCATENATE(TIMETABLE!J$6," ","[",TIMETABLE!J$7," ","Students","]"," ",TIMETABLE!#REF!,":"," ",TIMETABLE!#REF!," ",TIMETABLE!#REF!)</f>
        <v>#REF!</v>
      </c>
      <c r="U117" s="316" t="e">
        <f>CONCATENATE(TIMETABLE!#REF!," ","[",TIMETABLE!#REF!," ","Students","]"," ",TIMETABLE!#REF!,":"," ",TIMETABLE!#REF!," ",TIMETABLE!#REF!)</f>
        <v>#REF!</v>
      </c>
      <c r="V117" s="316" t="e">
        <f>CONCATENATE(TIMETABLE!#REF!," ","[",TIMETABLE!#REF!," ","Students","]"," ",TIMETABLE!#REF!,":"," ",TIMETABLE!#REF!," ",TIMETABLE!#REF!)</f>
        <v>#REF!</v>
      </c>
      <c r="W117" s="316" t="e">
        <f>CONCATENATE(TIMETABLE!#REF!," ","[",TIMETABLE!#REF!," ","Students","]"," ",TIMETABLE!#REF!,":"," ",TIMETABLE!#REF!," ",TIMETABLE!#REF!)</f>
        <v>#REF!</v>
      </c>
      <c r="X117" s="316" t="e">
        <f>CONCATENATE(TIMETABLE!#REF!," ","[",TIMETABLE!#REF!," ","Students","]"," ",TIMETABLE!#REF!,":"," ",TIMETABLE!#REF!," ",TIMETABLE!#REF!)</f>
        <v>#REF!</v>
      </c>
      <c r="Y117" s="316" t="e">
        <f>CONCATENATE(TIMETABLE!#REF!," ","[",TIMETABLE!#REF!," ","Students","]"," ",TIMETABLE!#REF!,":"," ",TIMETABLE!#REF!," ",TIMETABLE!#REF!)</f>
        <v>#REF!</v>
      </c>
      <c r="Z117" s="316" t="e">
        <f>CONCATENATE(TIMETABLE!#REF!," ","[",TIMETABLE!#REF!," ","Students","]"," ",TIMETABLE!#REF!,":"," ",TIMETABLE!#REF!," ",TIMETABLE!#REF!)</f>
        <v>#REF!</v>
      </c>
      <c r="AA117" s="316" t="e">
        <f>CONCATENATE(TIMETABLE!#REF!," ","[",TIMETABLE!#REF!," ","Students","]"," ",TIMETABLE!#REF!,":"," ",TIMETABLE!#REF!," ",TIMETABLE!#REF!)</f>
        <v>#REF!</v>
      </c>
      <c r="AB117" s="316" t="e">
        <f>CONCATENATE(TIMETABLE!#REF!," ","[",TIMETABLE!#REF!," ","Students","]"," ",TIMETABLE!#REF!,":"," ",TIMETABLE!#REF!," ",TIMETABLE!#REF!)</f>
        <v>#REF!</v>
      </c>
      <c r="AC117" s="316" t="e">
        <f>CONCATENATE(TIMETABLE!W$6," ","[",TIMETABLE!W$7," ","Students","]"," ",TIMETABLE!#REF!,":"," ",TIMETABLE!#REF!," ",TIMETABLE!#REF!)</f>
        <v>#REF!</v>
      </c>
      <c r="AD117" s="316" t="e">
        <f>CONCATENATE(TIMETABLE!#REF!," ","[",TIMETABLE!#REF!," ","Students","]"," ",TIMETABLE!#REF!,":"," ",TIMETABLE!#REF!," ",TIMETABLE!#REF!)</f>
        <v>#REF!</v>
      </c>
      <c r="AE117" s="316" t="e">
        <f>CONCATENATE(TIMETABLE!#REF!," ","[",TIMETABLE!#REF!," ","Students","]"," ",TIMETABLE!#REF!,":"," ",TIMETABLE!#REF!," ",TIMETABLE!#REF!)</f>
        <v>#REF!</v>
      </c>
      <c r="AF117" s="504"/>
    </row>
    <row r="118" spans="3:32" ht="23.4" x14ac:dyDescent="0.45">
      <c r="C118" s="504"/>
      <c r="D118" s="158"/>
      <c r="E118" s="148"/>
      <c r="F118" s="148"/>
      <c r="G118" s="148"/>
      <c r="H118" s="148"/>
      <c r="I118" s="148"/>
      <c r="J118" s="148"/>
      <c r="K118" s="148"/>
      <c r="L118" s="148"/>
      <c r="M118" s="148"/>
      <c r="N118" s="148"/>
      <c r="O118" s="148"/>
      <c r="P118" s="148"/>
      <c r="Q118" s="148"/>
      <c r="R118" s="148"/>
      <c r="S118" s="148"/>
      <c r="T118" s="148"/>
      <c r="U118" s="148"/>
      <c r="V118" s="148"/>
      <c r="W118" s="148"/>
      <c r="X118" s="148"/>
      <c r="Y118" s="148"/>
      <c r="Z118" s="148"/>
      <c r="AA118" s="148"/>
      <c r="AB118" s="148"/>
      <c r="AC118" s="148"/>
      <c r="AD118" s="148"/>
      <c r="AE118" s="148"/>
      <c r="AF118" s="504"/>
    </row>
    <row r="119" spans="3:32" ht="23.4" x14ac:dyDescent="0.45">
      <c r="C119" s="504"/>
      <c r="D119" s="159"/>
      <c r="E119" s="151"/>
      <c r="F119" s="151"/>
      <c r="G119" s="151"/>
      <c r="H119" s="151"/>
      <c r="I119" s="151"/>
      <c r="J119" s="151"/>
      <c r="K119" s="151"/>
      <c r="L119" s="151"/>
      <c r="M119" s="151"/>
      <c r="N119" s="151"/>
      <c r="O119" s="151"/>
      <c r="P119" s="151"/>
      <c r="Q119" s="151"/>
      <c r="R119" s="151"/>
      <c r="S119" s="151"/>
      <c r="T119" s="151"/>
      <c r="U119" s="151"/>
      <c r="V119" s="151"/>
      <c r="W119" s="151"/>
      <c r="X119" s="151"/>
      <c r="Y119" s="151"/>
      <c r="Z119" s="151"/>
      <c r="AA119" s="151"/>
      <c r="AB119" s="151"/>
      <c r="AC119" s="151"/>
      <c r="AD119" s="151"/>
      <c r="AE119" s="151"/>
      <c r="AF119" s="504"/>
    </row>
    <row r="120" spans="3:32" ht="24" thickBot="1" x14ac:dyDescent="0.5">
      <c r="C120" s="504"/>
      <c r="D120" s="160"/>
      <c r="E120" s="316" t="e">
        <f>CONCATENATE(TIMETABLE!#REF!," ","[",TIMETABLE!#REF!," ","Students","]"," ",TIMETABLE!#REF!,":"," ",TIMETABLE!#REF!," ",TIMETABLE!#REF!)</f>
        <v>#REF!</v>
      </c>
      <c r="F120" s="316" t="e">
        <f>CONCATENATE(TIMETABLE!#REF!," ","[",TIMETABLE!#REF!," ","Students","]"," ",TIMETABLE!#REF!,":"," ",TIMETABLE!#REF!," ",TIMETABLE!#REF!)</f>
        <v>#REF!</v>
      </c>
      <c r="G120" s="316" t="e">
        <f>CONCATENATE(TIMETABLE!#REF!," ","[",TIMETABLE!#REF!," ","Students","]"," ",TIMETABLE!#REF!,":"," ",TIMETABLE!#REF!," ",TIMETABLE!#REF!)</f>
        <v>#REF!</v>
      </c>
      <c r="H120" s="316" t="e">
        <f>CONCATENATE(TIMETABLE!#REF!," ","[",TIMETABLE!#REF!," ","Students","]"," ",TIMETABLE!#REF!,":"," ",TIMETABLE!#REF!," ",TIMETABLE!#REF!)</f>
        <v>#REF!</v>
      </c>
      <c r="I120" s="316" t="e">
        <f>CONCATENATE(TIMETABLE!#REF!," ","[",TIMETABLE!#REF!," ","Students","]"," ",TIMETABLE!#REF!,":"," ",TIMETABLE!#REF!," ",TIMETABLE!#REF!)</f>
        <v>#REF!</v>
      </c>
      <c r="J120" s="316" t="e">
        <f>CONCATENATE(TIMETABLE!#REF!," ","[",TIMETABLE!#REF!," ","Students","]"," ",TIMETABLE!#REF!,":"," ",TIMETABLE!#REF!," ",TIMETABLE!#REF!)</f>
        <v>#REF!</v>
      </c>
      <c r="K120" s="316" t="e">
        <f>CONCATENATE(TIMETABLE!#REF!," ","[",TIMETABLE!#REF!," ","Students","]"," ",TIMETABLE!#REF!,":"," ",TIMETABLE!#REF!," ",TIMETABLE!#REF!)</f>
        <v>#REF!</v>
      </c>
      <c r="L120" s="316" t="str">
        <f>CONCATENATE(TIMETABLE!D$6," ","[",TIMETABLE!D$7," ","Students","]"," ",TIMETABLE!D61,":"," ",TIMETABLE!D64," ",TIMETABLE!D63)</f>
        <v xml:space="preserve">BSME/SEP2020/J-FT [Y2S1  (50) Students] :  </v>
      </c>
      <c r="M120" s="316" t="str">
        <f>CONCATENATE(TIMETABLE!E$6," ","[",TIMETABLE!E$7," ","Students","]"," ",TIMETABLE!E61,":"," ",TIMETABLE!E64," ",TIMETABLE!E63)</f>
        <v xml:space="preserve">BSME/AUG2021/J-FT [Y1S2  (55) Students] :  </v>
      </c>
      <c r="N120" s="316" t="e">
        <f>CONCATENATE(TIMETABLE!#REF!," ","[",TIMETABLE!#REF!," ","Students","]"," ",TIMETABLE!#REF!,":"," ",TIMETABLE!#REF!," ",TIMETABLE!#REF!)</f>
        <v>#REF!</v>
      </c>
      <c r="O120" s="316" t="e">
        <f>CONCATENATE(TIMETABLE!#REF!," ","[",TIMETABLE!#REF!," ","Students","]"," ",TIMETABLE!#REF!,":"," ",TIMETABLE!#REF!," ",TIMETABLE!#REF!)</f>
        <v>#REF!</v>
      </c>
      <c r="P120" s="316" t="str">
        <f>CONCATENATE(TIMETABLE!F$6," ","[",TIMETABLE!F$7," ","Students","]"," ",TIMETABLE!F61,":"," ",TIMETABLE!F64," ",TIMETABLE!F63)</f>
        <v xml:space="preserve">BTME/SEP2019/S-PT [Y3S1   (10) Students] :  </v>
      </c>
      <c r="Q120" s="316" t="str">
        <f>CONCATENATE(TIMETABLE!G$6," ","[",TIMETABLE!G$7," ","Students","]"," ",TIMETABLE!G61,":"," ",TIMETABLE!G64," ",TIMETABLE!G63)</f>
        <v>BTME/AUG2021/S-PT [Y2S2   (10) Students] BFI 4204: COD BUSINESS FET 109</v>
      </c>
      <c r="R120" s="316" t="e">
        <f>CONCATENATE(TIMETABLE!#REF!," ","[",TIMETABLE!#REF!," ","Students","]"," ",TIMETABLE!#REF!,":"," ",TIMETABLE!#REF!," ",TIMETABLE!#REF!)</f>
        <v>#REF!</v>
      </c>
      <c r="S120" s="316" t="e">
        <f>CONCATENATE(TIMETABLE!#REF!," ","[",TIMETABLE!#REF!," ","Students","]"," ",TIMETABLE!#REF!,":"," ",TIMETABLE!#REF!," ",TIMETABLE!#REF!)</f>
        <v>#REF!</v>
      </c>
      <c r="T120" s="316" t="str">
        <f>CONCATENATE(TIMETABLE!J$6," ","[",TIMETABLE!J$7," ","Students","]"," ",TIMETABLE!J61,":"," ",TIMETABLE!J64," ",TIMETABLE!J63)</f>
        <v xml:space="preserve">BTME/AUG2021/J&amp;S-FT [Y1S1  (52) Students] :  </v>
      </c>
      <c r="U120" s="316" t="e">
        <f>CONCATENATE(TIMETABLE!#REF!," ","[",TIMETABLE!#REF!," ","Students","]"," ",TIMETABLE!#REF!,":"," ",TIMETABLE!#REF!," ",TIMETABLE!#REF!)</f>
        <v>#REF!</v>
      </c>
      <c r="V120" s="316" t="e">
        <f>CONCATENATE(TIMETABLE!#REF!," ","[",TIMETABLE!#REF!," ","Students","]"," ",TIMETABLE!#REF!,":"," ",TIMETABLE!#REF!," ",TIMETABLE!#REF!)</f>
        <v>#REF!</v>
      </c>
      <c r="W120" s="316" t="e">
        <f>CONCATENATE(TIMETABLE!#REF!," ","[",TIMETABLE!#REF!," ","Students","]"," ",TIMETABLE!#REF!,":"," ",TIMETABLE!#REF!," ",TIMETABLE!#REF!)</f>
        <v>#REF!</v>
      </c>
      <c r="X120" s="316" t="e">
        <f>CONCATENATE(TIMETABLE!#REF!," ","[",TIMETABLE!#REF!," ","Students","]"," ",TIMETABLE!#REF!,":"," ",TIMETABLE!#REF!," ",TIMETABLE!#REF!)</f>
        <v>#REF!</v>
      </c>
      <c r="Y120" s="316" t="e">
        <f>CONCATENATE(TIMETABLE!#REF!," ","[",TIMETABLE!#REF!," ","Students","]"," ",TIMETABLE!#REF!,":"," ",TIMETABLE!#REF!," ",TIMETABLE!#REF!)</f>
        <v>#REF!</v>
      </c>
      <c r="Z120" s="316" t="e">
        <f>CONCATENATE(TIMETABLE!#REF!," ","[",TIMETABLE!#REF!," ","Students","]"," ",TIMETABLE!#REF!,":"," ",TIMETABLE!#REF!," ",TIMETABLE!#REF!)</f>
        <v>#REF!</v>
      </c>
      <c r="AA120" s="316" t="e">
        <f>CONCATENATE(TIMETABLE!#REF!," ","[",TIMETABLE!#REF!," ","Students","]"," ",TIMETABLE!#REF!,":"," ",TIMETABLE!#REF!," ",TIMETABLE!#REF!)</f>
        <v>#REF!</v>
      </c>
      <c r="AB120" s="316" t="e">
        <f>CONCATENATE(TIMETABLE!#REF!," ","[",TIMETABLE!#REF!," ","Students","]"," ",TIMETABLE!#REF!,":"," ",TIMETABLE!#REF!," ",TIMETABLE!#REF!)</f>
        <v>#REF!</v>
      </c>
      <c r="AC120" s="316" t="str">
        <f>CONCATENATE(TIMETABLE!W$6," ","[",TIMETABLE!W$7," ","Students","]"," ",TIMETABLE!W61,":"," ",TIMETABLE!W64," ",TIMETABLE!W63)</f>
        <v xml:space="preserve">DMAE/SEP20201J&amp;S-FT [Y1S2   (60) Students] :  </v>
      </c>
      <c r="AD120" s="316" t="e">
        <f>CONCATENATE(TIMETABLE!#REF!," ","[",TIMETABLE!#REF!," ","Students","]"," ",TIMETABLE!#REF!,":"," ",TIMETABLE!#REF!," ",TIMETABLE!#REF!)</f>
        <v>#REF!</v>
      </c>
      <c r="AE120" s="316" t="e">
        <f>CONCATENATE(TIMETABLE!#REF!," ","[",TIMETABLE!#REF!," ","Students","]"," ",TIMETABLE!#REF!,":"," ",TIMETABLE!#REF!," ",TIMETABLE!#REF!)</f>
        <v>#REF!</v>
      </c>
      <c r="AF120" s="504"/>
    </row>
    <row r="121" spans="3:32" ht="23.4" x14ac:dyDescent="0.45">
      <c r="C121" s="504"/>
      <c r="D121" s="161"/>
      <c r="E121" s="148"/>
      <c r="F121" s="148"/>
      <c r="G121" s="148"/>
      <c r="H121" s="148"/>
      <c r="I121" s="148"/>
      <c r="J121" s="148"/>
      <c r="K121" s="148"/>
      <c r="L121" s="148"/>
      <c r="M121" s="148"/>
      <c r="N121" s="148"/>
      <c r="O121" s="148"/>
      <c r="P121" s="148"/>
      <c r="Q121" s="148"/>
      <c r="R121" s="148"/>
      <c r="S121" s="148"/>
      <c r="T121" s="148"/>
      <c r="U121" s="148"/>
      <c r="V121" s="148"/>
      <c r="W121" s="148"/>
      <c r="X121" s="148"/>
      <c r="Y121" s="148"/>
      <c r="Z121" s="148"/>
      <c r="AA121" s="148"/>
      <c r="AB121" s="148"/>
      <c r="AC121" s="148"/>
      <c r="AD121" s="148"/>
      <c r="AE121" s="148"/>
      <c r="AF121" s="504"/>
    </row>
    <row r="122" spans="3:32" ht="23.4" x14ac:dyDescent="0.45">
      <c r="C122" s="504"/>
      <c r="D122" s="159"/>
      <c r="E122" s="151"/>
      <c r="F122" s="151"/>
      <c r="G122" s="151"/>
      <c r="H122" s="151"/>
      <c r="I122" s="151"/>
      <c r="J122" s="151"/>
      <c r="K122" s="151"/>
      <c r="L122" s="151"/>
      <c r="M122" s="151"/>
      <c r="N122" s="151"/>
      <c r="O122" s="151"/>
      <c r="P122" s="151"/>
      <c r="Q122" s="151"/>
      <c r="R122" s="151"/>
      <c r="S122" s="151"/>
      <c r="T122" s="151"/>
      <c r="U122" s="151"/>
      <c r="V122" s="151"/>
      <c r="W122" s="151"/>
      <c r="X122" s="151"/>
      <c r="Y122" s="151"/>
      <c r="Z122" s="151"/>
      <c r="AA122" s="151"/>
      <c r="AB122" s="151"/>
      <c r="AC122" s="151"/>
      <c r="AD122" s="151"/>
      <c r="AE122" s="151"/>
      <c r="AF122" s="504"/>
    </row>
    <row r="123" spans="3:32" ht="24" thickBot="1" x14ac:dyDescent="0.5">
      <c r="C123" s="504"/>
      <c r="D123" s="160"/>
      <c r="E123" s="316" t="e">
        <f>CONCATENATE(TIMETABLE!#REF!," ","[",TIMETABLE!#REF!," ","Students","]"," ",TIMETABLE!#REF!,":"," ",TIMETABLE!#REF!," ",TIMETABLE!#REF!)</f>
        <v>#REF!</v>
      </c>
      <c r="F123" s="316" t="e">
        <f>CONCATENATE(TIMETABLE!#REF!," ","[",TIMETABLE!#REF!," ","Students","]"," ",TIMETABLE!#REF!,":"," ",TIMETABLE!#REF!," ",TIMETABLE!#REF!)</f>
        <v>#REF!</v>
      </c>
      <c r="G123" s="316" t="e">
        <f>CONCATENATE(TIMETABLE!#REF!," ","[",TIMETABLE!#REF!," ","Students","]"," ",TIMETABLE!#REF!,":"," ",TIMETABLE!#REF!," ",TIMETABLE!#REF!)</f>
        <v>#REF!</v>
      </c>
      <c r="H123" s="316" t="e">
        <f>CONCATENATE(TIMETABLE!#REF!," ","[",TIMETABLE!#REF!," ","Students","]"," ",TIMETABLE!#REF!,":"," ",TIMETABLE!#REF!," ",TIMETABLE!#REF!)</f>
        <v>#REF!</v>
      </c>
      <c r="I123" s="316" t="e">
        <f>CONCATENATE(TIMETABLE!#REF!," ","[",TIMETABLE!#REF!," ","Students","]"," ",TIMETABLE!#REF!,":"," ",TIMETABLE!#REF!," ",TIMETABLE!#REF!)</f>
        <v>#REF!</v>
      </c>
      <c r="J123" s="316" t="e">
        <f>CONCATENATE(TIMETABLE!#REF!," ","[",TIMETABLE!#REF!," ","Students","]"," ",TIMETABLE!#REF!,":"," ",TIMETABLE!#REF!," ",TIMETABLE!#REF!)</f>
        <v>#REF!</v>
      </c>
      <c r="K123" s="316" t="e">
        <f>CONCATENATE(TIMETABLE!#REF!," ","[",TIMETABLE!#REF!," ","Students","]"," ",TIMETABLE!#REF!,":"," ",TIMETABLE!#REF!," ",TIMETABLE!#REF!)</f>
        <v>#REF!</v>
      </c>
      <c r="L123" s="316" t="e">
        <f>CONCATENATE(TIMETABLE!D$6," ","[",TIMETABLE!D$7," ","Students","]"," ",TIMETABLE!#REF!,":"," ",TIMETABLE!#REF!," ",TIMETABLE!#REF!)</f>
        <v>#REF!</v>
      </c>
      <c r="M123" s="316" t="e">
        <f>CONCATENATE(TIMETABLE!E$6," ","[",TIMETABLE!E$7," ","Students","]"," ",TIMETABLE!#REF!,":"," ",TIMETABLE!#REF!," ",TIMETABLE!#REF!)</f>
        <v>#REF!</v>
      </c>
      <c r="N123" s="316" t="e">
        <f>CONCATENATE(TIMETABLE!#REF!," ","[",TIMETABLE!#REF!," ","Students","]"," ",TIMETABLE!#REF!,":"," ",TIMETABLE!#REF!," ",TIMETABLE!#REF!)</f>
        <v>#REF!</v>
      </c>
      <c r="O123" s="316" t="e">
        <f>CONCATENATE(TIMETABLE!#REF!," ","[",TIMETABLE!#REF!," ","Students","]"," ",TIMETABLE!#REF!,":"," ",TIMETABLE!#REF!," ",TIMETABLE!#REF!)</f>
        <v>#REF!</v>
      </c>
      <c r="P123" s="316" t="e">
        <f>CONCATENATE(TIMETABLE!F$6," ","[",TIMETABLE!F$7," ","Students","]"," ",TIMETABLE!#REF!,":"," ",TIMETABLE!#REF!," ",TIMETABLE!#REF!)</f>
        <v>#REF!</v>
      </c>
      <c r="Q123" s="316" t="e">
        <f>CONCATENATE(TIMETABLE!G$6," ","[",TIMETABLE!G$7," ","Students","]"," ",TIMETABLE!#REF!,":"," ",TIMETABLE!#REF!," ",TIMETABLE!#REF!)</f>
        <v>#REF!</v>
      </c>
      <c r="R123" s="316" t="e">
        <f>CONCATENATE(TIMETABLE!#REF!," ","[",TIMETABLE!#REF!," ","Students","]"," ",TIMETABLE!#REF!,":"," ",TIMETABLE!#REF!," ",TIMETABLE!#REF!)</f>
        <v>#REF!</v>
      </c>
      <c r="S123" s="316" t="e">
        <f>CONCATENATE(TIMETABLE!#REF!," ","[",TIMETABLE!#REF!," ","Students","]"," ",TIMETABLE!#REF!,":"," ",TIMETABLE!#REF!," ",TIMETABLE!#REF!)</f>
        <v>#REF!</v>
      </c>
      <c r="T123" s="316" t="e">
        <f>CONCATENATE(TIMETABLE!J$6," ","[",TIMETABLE!J$7," ","Students","]"," ",TIMETABLE!#REF!,":"," ",TIMETABLE!#REF!," ",TIMETABLE!#REF!)</f>
        <v>#REF!</v>
      </c>
      <c r="U123" s="316" t="e">
        <f>CONCATENATE(TIMETABLE!#REF!," ","[",TIMETABLE!#REF!," ","Students","]"," ",TIMETABLE!#REF!,":"," ",TIMETABLE!#REF!," ",TIMETABLE!#REF!)</f>
        <v>#REF!</v>
      </c>
      <c r="V123" s="316" t="e">
        <f>CONCATENATE(TIMETABLE!#REF!," ","[",TIMETABLE!#REF!," ","Students","]"," ",TIMETABLE!#REF!,":"," ",TIMETABLE!#REF!," ",TIMETABLE!#REF!)</f>
        <v>#REF!</v>
      </c>
      <c r="W123" s="316" t="e">
        <f>CONCATENATE(TIMETABLE!#REF!," ","[",TIMETABLE!#REF!," ","Students","]"," ",TIMETABLE!#REF!,":"," ",TIMETABLE!#REF!," ",TIMETABLE!#REF!)</f>
        <v>#REF!</v>
      </c>
      <c r="X123" s="316" t="e">
        <f>CONCATENATE(TIMETABLE!#REF!," ","[",TIMETABLE!#REF!," ","Students","]"," ",TIMETABLE!#REF!,":"," ",TIMETABLE!#REF!," ",TIMETABLE!#REF!)</f>
        <v>#REF!</v>
      </c>
      <c r="Y123" s="316" t="e">
        <f>CONCATENATE(TIMETABLE!#REF!," ","[",TIMETABLE!#REF!," ","Students","]"," ",TIMETABLE!#REF!,":"," ",TIMETABLE!#REF!," ",TIMETABLE!#REF!)</f>
        <v>#REF!</v>
      </c>
      <c r="Z123" s="316" t="e">
        <f>CONCATENATE(TIMETABLE!#REF!," ","[",TIMETABLE!#REF!," ","Students","]"," ",TIMETABLE!#REF!,":"," ",TIMETABLE!#REF!," ",TIMETABLE!#REF!)</f>
        <v>#REF!</v>
      </c>
      <c r="AA123" s="316" t="e">
        <f>CONCATENATE(TIMETABLE!#REF!," ","[",TIMETABLE!#REF!," ","Students","]"," ",TIMETABLE!#REF!,":"," ",TIMETABLE!#REF!," ",TIMETABLE!#REF!)</f>
        <v>#REF!</v>
      </c>
      <c r="AB123" s="316" t="e">
        <f>CONCATENATE(TIMETABLE!#REF!," ","[",TIMETABLE!#REF!," ","Students","]"," ",TIMETABLE!#REF!,":"," ",TIMETABLE!#REF!," ",TIMETABLE!#REF!)</f>
        <v>#REF!</v>
      </c>
      <c r="AC123" s="316" t="e">
        <f>CONCATENATE(TIMETABLE!W$6," ","[",TIMETABLE!W$7," ","Students","]"," ",TIMETABLE!#REF!,":"," ",TIMETABLE!#REF!," ",TIMETABLE!#REF!)</f>
        <v>#REF!</v>
      </c>
      <c r="AD123" s="316" t="e">
        <f>CONCATENATE(TIMETABLE!#REF!," ","[",TIMETABLE!#REF!," ","Students","]"," ",TIMETABLE!#REF!,":"," ",TIMETABLE!#REF!," ",TIMETABLE!#REF!)</f>
        <v>#REF!</v>
      </c>
      <c r="AE123" s="316" t="e">
        <f>CONCATENATE(TIMETABLE!#REF!," ","[",TIMETABLE!#REF!," ","Students","]"," ",TIMETABLE!#REF!,":"," ",TIMETABLE!#REF!," ",TIMETABLE!#REF!)</f>
        <v>#REF!</v>
      </c>
      <c r="AF123" s="504"/>
    </row>
    <row r="124" spans="3:32" ht="23.4" x14ac:dyDescent="0.45">
      <c r="C124" s="504"/>
      <c r="D124" s="159"/>
      <c r="E124" s="148"/>
      <c r="F124" s="148"/>
      <c r="G124" s="148"/>
      <c r="H124" s="148"/>
      <c r="I124" s="148"/>
      <c r="J124" s="148"/>
      <c r="K124" s="148"/>
      <c r="L124" s="148"/>
      <c r="M124" s="148"/>
      <c r="N124" s="148"/>
      <c r="O124" s="148"/>
      <c r="P124" s="148"/>
      <c r="Q124" s="148"/>
      <c r="R124" s="148"/>
      <c r="S124" s="148"/>
      <c r="T124" s="148"/>
      <c r="U124" s="148"/>
      <c r="V124" s="148"/>
      <c r="W124" s="148"/>
      <c r="X124" s="148"/>
      <c r="Y124" s="148"/>
      <c r="Z124" s="148"/>
      <c r="AA124" s="148"/>
      <c r="AB124" s="148"/>
      <c r="AC124" s="148"/>
      <c r="AD124" s="148"/>
      <c r="AE124" s="148"/>
      <c r="AF124" s="504"/>
    </row>
    <row r="125" spans="3:32" ht="23.4" x14ac:dyDescent="0.45">
      <c r="C125" s="504"/>
      <c r="D125" s="159"/>
      <c r="E125" s="151"/>
      <c r="F125" s="151"/>
      <c r="G125" s="151"/>
      <c r="H125" s="151"/>
      <c r="I125" s="151"/>
      <c r="J125" s="151"/>
      <c r="K125" s="151"/>
      <c r="L125" s="151"/>
      <c r="M125" s="151"/>
      <c r="N125" s="151"/>
      <c r="O125" s="151"/>
      <c r="P125" s="151"/>
      <c r="Q125" s="151"/>
      <c r="R125" s="151"/>
      <c r="S125" s="151"/>
      <c r="T125" s="151"/>
      <c r="U125" s="151"/>
      <c r="V125" s="151"/>
      <c r="W125" s="151"/>
      <c r="X125" s="151"/>
      <c r="Y125" s="151"/>
      <c r="Z125" s="151"/>
      <c r="AA125" s="151"/>
      <c r="AB125" s="151"/>
      <c r="AC125" s="151"/>
      <c r="AD125" s="151"/>
      <c r="AE125" s="151"/>
      <c r="AF125" s="504"/>
    </row>
    <row r="126" spans="3:32" ht="24" thickBot="1" x14ac:dyDescent="0.5">
      <c r="C126" s="504"/>
      <c r="D126" s="163"/>
      <c r="E126" s="316" t="e">
        <f>CONCATENATE(TIMETABLE!#REF!," ","[",TIMETABLE!#REF!," ","Students","]"," ",TIMETABLE!#REF!,":"," ",TIMETABLE!#REF!," ",TIMETABLE!#REF!)</f>
        <v>#REF!</v>
      </c>
      <c r="F126" s="316" t="e">
        <f>CONCATENATE(TIMETABLE!#REF!," ","[",TIMETABLE!#REF!," ","Students","]"," ",TIMETABLE!#REF!,":"," ",TIMETABLE!#REF!," ",TIMETABLE!#REF!)</f>
        <v>#REF!</v>
      </c>
      <c r="G126" s="316" t="e">
        <f>CONCATENATE(TIMETABLE!#REF!," ","[",TIMETABLE!#REF!," ","Students","]"," ",TIMETABLE!#REF!,":"," ",TIMETABLE!#REF!," ",TIMETABLE!#REF!)</f>
        <v>#REF!</v>
      </c>
      <c r="H126" s="316" t="e">
        <f>CONCATENATE(TIMETABLE!#REF!," ","[",TIMETABLE!#REF!," ","Students","]"," ",TIMETABLE!#REF!,":"," ",TIMETABLE!#REF!," ",TIMETABLE!#REF!)</f>
        <v>#REF!</v>
      </c>
      <c r="I126" s="316" t="e">
        <f>CONCATENATE(TIMETABLE!#REF!," ","[",TIMETABLE!#REF!," ","Students","]"," ",TIMETABLE!#REF!,":"," ",TIMETABLE!#REF!," ",TIMETABLE!#REF!)</f>
        <v>#REF!</v>
      </c>
      <c r="J126" s="316" t="e">
        <f>CONCATENATE(TIMETABLE!#REF!," ","[",TIMETABLE!#REF!," ","Students","]"," ",TIMETABLE!#REF!,":"," ",TIMETABLE!#REF!," ",TIMETABLE!#REF!)</f>
        <v>#REF!</v>
      </c>
      <c r="K126" s="316" t="e">
        <f>CONCATENATE(TIMETABLE!#REF!," ","[",TIMETABLE!#REF!," ","Students","]"," ",TIMETABLE!#REF!,":"," ",TIMETABLE!#REF!," ",TIMETABLE!#REF!)</f>
        <v>#REF!</v>
      </c>
      <c r="L126" s="316" t="e">
        <f>CONCATENATE(TIMETABLE!D$6," ","[",TIMETABLE!D$7," ","Students","]"," ",TIMETABLE!#REF!,":"," ",TIMETABLE!#REF!," ",TIMETABLE!#REF!)</f>
        <v>#REF!</v>
      </c>
      <c r="M126" s="316" t="e">
        <f>CONCATENATE(TIMETABLE!E$6," ","[",TIMETABLE!E$7," ","Students","]"," ",TIMETABLE!#REF!,":"," ",TIMETABLE!#REF!," ",TIMETABLE!#REF!)</f>
        <v>#REF!</v>
      </c>
      <c r="N126" s="316" t="e">
        <f>CONCATENATE(TIMETABLE!#REF!," ","[",TIMETABLE!#REF!," ","Students","]"," ",TIMETABLE!#REF!,":"," ",TIMETABLE!#REF!," ",TIMETABLE!#REF!)</f>
        <v>#REF!</v>
      </c>
      <c r="O126" s="316" t="e">
        <f>CONCATENATE(TIMETABLE!#REF!," ","[",TIMETABLE!#REF!," ","Students","]"," ",TIMETABLE!#REF!,":"," ",TIMETABLE!#REF!," ",TIMETABLE!#REF!)</f>
        <v>#REF!</v>
      </c>
      <c r="P126" s="316" t="e">
        <f>CONCATENATE(TIMETABLE!F$6," ","[",TIMETABLE!F$7," ","Students","]"," ",TIMETABLE!#REF!,":"," ",TIMETABLE!#REF!," ",TIMETABLE!#REF!)</f>
        <v>#REF!</v>
      </c>
      <c r="Q126" s="316" t="e">
        <f>CONCATENATE(TIMETABLE!G$6," ","[",TIMETABLE!G$7," ","Students","]"," ",TIMETABLE!#REF!,":"," ",TIMETABLE!#REF!," ",TIMETABLE!#REF!)</f>
        <v>#REF!</v>
      </c>
      <c r="R126" s="316" t="e">
        <f>CONCATENATE(TIMETABLE!#REF!," ","[",TIMETABLE!#REF!," ","Students","]"," ",TIMETABLE!#REF!,":"," ",TIMETABLE!#REF!," ",TIMETABLE!#REF!)</f>
        <v>#REF!</v>
      </c>
      <c r="S126" s="316" t="e">
        <f>CONCATENATE(TIMETABLE!#REF!," ","[",TIMETABLE!#REF!," ","Students","]"," ",TIMETABLE!#REF!,":"," ",TIMETABLE!#REF!," ",TIMETABLE!#REF!)</f>
        <v>#REF!</v>
      </c>
      <c r="T126" s="316" t="e">
        <f>CONCATENATE(TIMETABLE!J$6," ","[",TIMETABLE!J$7," ","Students","]"," ",TIMETABLE!#REF!,":"," ",TIMETABLE!#REF!," ",TIMETABLE!#REF!)</f>
        <v>#REF!</v>
      </c>
      <c r="U126" s="316" t="e">
        <f>CONCATENATE(TIMETABLE!#REF!," ","[",TIMETABLE!#REF!," ","Students","]"," ",TIMETABLE!#REF!,":"," ",TIMETABLE!#REF!," ",TIMETABLE!#REF!)</f>
        <v>#REF!</v>
      </c>
      <c r="V126" s="316" t="e">
        <f>CONCATENATE(TIMETABLE!#REF!," ","[",TIMETABLE!#REF!," ","Students","]"," ",TIMETABLE!#REF!,":"," ",TIMETABLE!#REF!," ",TIMETABLE!#REF!)</f>
        <v>#REF!</v>
      </c>
      <c r="W126" s="316" t="e">
        <f>CONCATENATE(TIMETABLE!#REF!," ","[",TIMETABLE!#REF!," ","Students","]"," ",TIMETABLE!#REF!,":"," ",TIMETABLE!#REF!," ",TIMETABLE!#REF!)</f>
        <v>#REF!</v>
      </c>
      <c r="X126" s="316" t="e">
        <f>CONCATENATE(TIMETABLE!#REF!," ","[",TIMETABLE!#REF!," ","Students","]"," ",TIMETABLE!#REF!,":"," ",TIMETABLE!#REF!," ",TIMETABLE!#REF!)</f>
        <v>#REF!</v>
      </c>
      <c r="Y126" s="316" t="e">
        <f>CONCATENATE(TIMETABLE!#REF!," ","[",TIMETABLE!#REF!," ","Students","]"," ",TIMETABLE!#REF!,":"," ",TIMETABLE!#REF!," ",TIMETABLE!#REF!)</f>
        <v>#REF!</v>
      </c>
      <c r="Z126" s="316" t="e">
        <f>CONCATENATE(TIMETABLE!#REF!," ","[",TIMETABLE!#REF!," ","Students","]"," ",TIMETABLE!#REF!,":"," ",TIMETABLE!#REF!," ",TIMETABLE!#REF!)</f>
        <v>#REF!</v>
      </c>
      <c r="AA126" s="316" t="e">
        <f>CONCATENATE(TIMETABLE!#REF!," ","[",TIMETABLE!#REF!," ","Students","]"," ",TIMETABLE!#REF!,":"," ",TIMETABLE!#REF!," ",TIMETABLE!#REF!)</f>
        <v>#REF!</v>
      </c>
      <c r="AB126" s="316" t="e">
        <f>CONCATENATE(TIMETABLE!#REF!," ","[",TIMETABLE!#REF!," ","Students","]"," ",TIMETABLE!#REF!,":"," ",TIMETABLE!#REF!," ",TIMETABLE!#REF!)</f>
        <v>#REF!</v>
      </c>
      <c r="AC126" s="316" t="e">
        <f>CONCATENATE(TIMETABLE!W$6," ","[",TIMETABLE!W$7," ","Students","]"," ",TIMETABLE!#REF!,":"," ",TIMETABLE!#REF!," ",TIMETABLE!#REF!)</f>
        <v>#REF!</v>
      </c>
      <c r="AD126" s="316" t="e">
        <f>CONCATENATE(TIMETABLE!#REF!," ","[",TIMETABLE!#REF!," ","Students","]"," ",TIMETABLE!#REF!,":"," ",TIMETABLE!#REF!," ",TIMETABLE!#REF!)</f>
        <v>#REF!</v>
      </c>
      <c r="AE126" s="316" t="e">
        <f>CONCATENATE(TIMETABLE!#REF!," ","[",TIMETABLE!#REF!," ","Students","]"," ",TIMETABLE!#REF!,":"," ",TIMETABLE!#REF!," ",TIMETABLE!#REF!)</f>
        <v>#REF!</v>
      </c>
      <c r="AF126" s="504"/>
    </row>
    <row r="127" spans="3:32" ht="24" thickTop="1" x14ac:dyDescent="0.45">
      <c r="C127" s="494"/>
      <c r="D127" s="137"/>
      <c r="E127" s="131"/>
      <c r="F127" s="131"/>
      <c r="G127" s="131"/>
      <c r="H127" s="131"/>
      <c r="I127" s="131"/>
      <c r="J127" s="131"/>
      <c r="K127" s="131"/>
      <c r="L127" s="131"/>
      <c r="M127" s="131"/>
      <c r="N127" s="131"/>
      <c r="O127" s="131"/>
      <c r="P127" s="131"/>
      <c r="Q127" s="131"/>
      <c r="R127" s="131"/>
      <c r="S127" s="131"/>
      <c r="T127" s="131"/>
      <c r="U127" s="131"/>
      <c r="V127" s="131"/>
      <c r="W127" s="131"/>
      <c r="X127" s="131"/>
      <c r="Y127" s="131"/>
      <c r="Z127" s="131"/>
      <c r="AA127" s="131"/>
      <c r="AB127" s="131"/>
      <c r="AC127" s="131"/>
      <c r="AD127" s="131"/>
      <c r="AE127" s="131"/>
      <c r="AF127" s="494"/>
    </row>
    <row r="128" spans="3:32" ht="23.4" x14ac:dyDescent="0.45">
      <c r="C128" s="495"/>
      <c r="D128" s="137"/>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c r="AA128" s="134"/>
      <c r="AB128" s="134"/>
      <c r="AC128" s="134"/>
      <c r="AD128" s="134"/>
      <c r="AE128" s="134"/>
      <c r="AF128" s="495"/>
    </row>
    <row r="129" spans="3:32" ht="24" thickBot="1" x14ac:dyDescent="0.5">
      <c r="C129" s="495"/>
      <c r="D129" s="135"/>
      <c r="E129" s="315" t="e">
        <f>CONCATENATE(TIMETABLE!#REF!," ","[",TIMETABLE!#REF!," ","Students","]"," ",TIMETABLE!#REF!,":"," ",TIMETABLE!#REF!," ",TIMETABLE!#REF!)</f>
        <v>#REF!</v>
      </c>
      <c r="F129" s="315" t="e">
        <f>CONCATENATE(TIMETABLE!#REF!," ","[",TIMETABLE!#REF!," ","Students","]"," ",TIMETABLE!#REF!,":"," ",TIMETABLE!#REF!," ",TIMETABLE!#REF!)</f>
        <v>#REF!</v>
      </c>
      <c r="G129" s="315" t="e">
        <f>CONCATENATE(TIMETABLE!#REF!," ","[",TIMETABLE!#REF!," ","Students","]"," ",TIMETABLE!#REF!,":"," ",TIMETABLE!#REF!," ",TIMETABLE!#REF!)</f>
        <v>#REF!</v>
      </c>
      <c r="H129" s="315" t="e">
        <f>CONCATENATE(TIMETABLE!#REF!," ","[",TIMETABLE!#REF!," ","Students","]"," ",TIMETABLE!#REF!,":"," ",TIMETABLE!#REF!," ",TIMETABLE!#REF!)</f>
        <v>#REF!</v>
      </c>
      <c r="I129" s="315" t="e">
        <f>CONCATENATE(TIMETABLE!#REF!," ","[",TIMETABLE!#REF!," ","Students","]"," ",TIMETABLE!#REF!,":"," ",TIMETABLE!#REF!," ",TIMETABLE!#REF!)</f>
        <v>#REF!</v>
      </c>
      <c r="J129" s="315" t="e">
        <f>CONCATENATE(TIMETABLE!#REF!," ","[",TIMETABLE!#REF!," ","Students","]"," ",TIMETABLE!#REF!,":"," ",TIMETABLE!#REF!," ",TIMETABLE!#REF!)</f>
        <v>#REF!</v>
      </c>
      <c r="K129" s="315" t="e">
        <f>CONCATENATE(TIMETABLE!#REF!," ","[",TIMETABLE!#REF!," ","Students","]"," ",TIMETABLE!#REF!,":"," ",TIMETABLE!#REF!," ",TIMETABLE!#REF!)</f>
        <v>#REF!</v>
      </c>
      <c r="L129" s="315" t="str">
        <f>CONCATENATE(TIMETABLE!D$6," ","[",TIMETABLE!D$7," ","Students","]"," ",TIMETABLE!D65,":"," ",TIMETABLE!D68," ",TIMETABLE!D67)</f>
        <v>BSME/SEP2020/J-FT [Y2S1  (50) Students] EIT 4102: COD ICI LAB A</v>
      </c>
      <c r="M129" s="315" t="str">
        <f>CONCATENATE(TIMETABLE!E$6," ","[",TIMETABLE!E$7," ","Students","]"," ",TIMETABLE!E65,":"," ",TIMETABLE!E68," ",TIMETABLE!E67)</f>
        <v>BSME/AUG2021/J-FT [Y1S2  (55) Students] BMG 4102: DR. MWADZOGO, FET 316</v>
      </c>
      <c r="N129" s="315" t="e">
        <f>CONCATENATE(TIMETABLE!#REF!," ","[",TIMETABLE!#REF!," ","Students","]"," ",TIMETABLE!#REF!,":"," ",TIMETABLE!#REF!," ",TIMETABLE!#REF!)</f>
        <v>#REF!</v>
      </c>
      <c r="O129" s="315" t="e">
        <f>CONCATENATE(TIMETABLE!#REF!," ","[",TIMETABLE!#REF!," ","Students","]"," ",TIMETABLE!#REF!,":"," ",TIMETABLE!#REF!," ",TIMETABLE!#REF!)</f>
        <v>#REF!</v>
      </c>
      <c r="P129" s="315" t="str">
        <f>CONCATENATE(TIMETABLE!F$6," ","[",TIMETABLE!F$7," ","Students","]"," ",TIMETABLE!F65,":"," ",TIMETABLE!F68," ",TIMETABLE!F67)</f>
        <v xml:space="preserve">BTME/SEP2019/S-PT [Y3S1   (10) Students] :  </v>
      </c>
      <c r="Q129" s="315" t="str">
        <f>CONCATENATE(TIMETABLE!G$6," ","[",TIMETABLE!G$7," ","Students","]"," ",TIMETABLE!G65,":"," ",TIMETABLE!G68," ",TIMETABLE!G67)</f>
        <v xml:space="preserve">BTME/AUG2021/S-PT [Y2S2   (10) Students] :  </v>
      </c>
      <c r="R129" s="315" t="e">
        <f>CONCATENATE(TIMETABLE!#REF!," ","[",TIMETABLE!#REF!," ","Students","]"," ",TIMETABLE!#REF!,":"," ",TIMETABLE!#REF!," ",TIMETABLE!#REF!)</f>
        <v>#REF!</v>
      </c>
      <c r="S129" s="315" t="e">
        <f>CONCATENATE(TIMETABLE!#REF!," ","[",TIMETABLE!#REF!," ","Students","]"," ",TIMETABLE!#REF!,":"," ",TIMETABLE!#REF!," ",TIMETABLE!#REF!)</f>
        <v>#REF!</v>
      </c>
      <c r="T129" s="315" t="str">
        <f>CONCATENATE(TIMETABLE!J$6," ","[",TIMETABLE!J$7," ","Students","]"," ",TIMETABLE!J65,":"," ",TIMETABLE!J68," ",TIMETABLE!J67)</f>
        <v>BTME/AUG2021/J&amp;S-FT [Y1S1  (52) Students] TMC 4211: MBOTHU MB 13</v>
      </c>
      <c r="U129" s="315" t="e">
        <f>CONCATENATE(TIMETABLE!#REF!," ","[",TIMETABLE!#REF!," ","Students","]"," ",TIMETABLE!#REF!,":"," ",TIMETABLE!#REF!," ",TIMETABLE!#REF!)</f>
        <v>#REF!</v>
      </c>
      <c r="V129" s="315" t="e">
        <f>CONCATENATE(TIMETABLE!#REF!," ","[",TIMETABLE!#REF!," ","Students","]"," ",TIMETABLE!#REF!,":"," ",TIMETABLE!#REF!," ",TIMETABLE!#REF!)</f>
        <v>#REF!</v>
      </c>
      <c r="W129" s="315" t="e">
        <f>CONCATENATE(TIMETABLE!#REF!," ","[",TIMETABLE!#REF!," ","Students","]"," ",TIMETABLE!#REF!,":"," ",TIMETABLE!#REF!," ",TIMETABLE!#REF!)</f>
        <v>#REF!</v>
      </c>
      <c r="X129" s="315" t="e">
        <f>CONCATENATE(TIMETABLE!#REF!," ","[",TIMETABLE!#REF!," ","Students","]"," ",TIMETABLE!#REF!,":"," ",TIMETABLE!#REF!," ",TIMETABLE!#REF!)</f>
        <v>#REF!</v>
      </c>
      <c r="Y129" s="315" t="e">
        <f>CONCATENATE(TIMETABLE!#REF!," ","[",TIMETABLE!#REF!," ","Students","]"," ",TIMETABLE!#REF!,":"," ",TIMETABLE!#REF!," ",TIMETABLE!#REF!)</f>
        <v>#REF!</v>
      </c>
      <c r="Z129" s="315" t="e">
        <f>CONCATENATE(TIMETABLE!#REF!," ","[",TIMETABLE!#REF!," ","Students","]"," ",TIMETABLE!#REF!,":"," ",TIMETABLE!#REF!," ",TIMETABLE!#REF!)</f>
        <v>#REF!</v>
      </c>
      <c r="AA129" s="315" t="e">
        <f>CONCATENATE(TIMETABLE!#REF!," ","[",TIMETABLE!#REF!," ","Students","]"," ",TIMETABLE!#REF!,":"," ",TIMETABLE!#REF!," ",TIMETABLE!#REF!)</f>
        <v>#REF!</v>
      </c>
      <c r="AB129" s="315" t="e">
        <f>CONCATENATE(TIMETABLE!#REF!," ","[",TIMETABLE!#REF!," ","Students","]"," ",TIMETABLE!#REF!,":"," ",TIMETABLE!#REF!," ",TIMETABLE!#REF!)</f>
        <v>#REF!</v>
      </c>
      <c r="AC129" s="315" t="str">
        <f>CONCATENATE(TIMETABLE!W$6," ","[",TIMETABLE!W$7," ","Students","]"," ",TIMETABLE!W65,":"," ",TIMETABLE!W68," ",TIMETABLE!W67)</f>
        <v xml:space="preserve">DMAE/SEP20201J&amp;S-FT [Y1S2   (60) Students] :  </v>
      </c>
      <c r="AD129" s="315" t="e">
        <f>CONCATENATE(TIMETABLE!#REF!," ","[",TIMETABLE!#REF!," ","Students","]"," ",TIMETABLE!#REF!,":"," ",TIMETABLE!#REF!," ",TIMETABLE!#REF!)</f>
        <v>#REF!</v>
      </c>
      <c r="AE129" s="315" t="e">
        <f>CONCATENATE(TIMETABLE!#REF!," ","[",TIMETABLE!#REF!," ","Students","]"," ",TIMETABLE!#REF!,":"," ",TIMETABLE!#REF!," ",TIMETABLE!#REF!)</f>
        <v>#REF!</v>
      </c>
      <c r="AF129" s="495"/>
    </row>
    <row r="130" spans="3:32" ht="23.4" x14ac:dyDescent="0.45">
      <c r="C130" s="495"/>
      <c r="D130" s="137"/>
      <c r="E130" s="131"/>
      <c r="F130" s="131"/>
      <c r="G130" s="131"/>
      <c r="H130" s="131"/>
      <c r="I130" s="131"/>
      <c r="J130" s="131"/>
      <c r="K130" s="131"/>
      <c r="L130" s="131"/>
      <c r="M130" s="131"/>
      <c r="N130" s="131"/>
      <c r="O130" s="131"/>
      <c r="P130" s="131"/>
      <c r="Q130" s="131"/>
      <c r="R130" s="131"/>
      <c r="S130" s="131"/>
      <c r="T130" s="131"/>
      <c r="U130" s="131"/>
      <c r="V130" s="131"/>
      <c r="W130" s="131"/>
      <c r="X130" s="131"/>
      <c r="Y130" s="131"/>
      <c r="Z130" s="131"/>
      <c r="AA130" s="131"/>
      <c r="AB130" s="131"/>
      <c r="AC130" s="131"/>
      <c r="AD130" s="131"/>
      <c r="AE130" s="131"/>
      <c r="AF130" s="495"/>
    </row>
    <row r="131" spans="3:32" ht="23.4" x14ac:dyDescent="0.45">
      <c r="C131" s="495"/>
      <c r="D131" s="137"/>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c r="AA131" s="134"/>
      <c r="AB131" s="134"/>
      <c r="AC131" s="134"/>
      <c r="AD131" s="134"/>
      <c r="AE131" s="134"/>
      <c r="AF131" s="495"/>
    </row>
    <row r="132" spans="3:32" ht="24" thickBot="1" x14ac:dyDescent="0.5">
      <c r="C132" s="495"/>
      <c r="D132" s="135"/>
      <c r="E132" s="315" t="e">
        <f>CONCATENATE(TIMETABLE!#REF!," ","[",TIMETABLE!#REF!," ","Students","]"," ",TIMETABLE!#REF!,":"," ",TIMETABLE!#REF!," ",TIMETABLE!#REF!)</f>
        <v>#REF!</v>
      </c>
      <c r="F132" s="315" t="e">
        <f>CONCATENATE(TIMETABLE!#REF!," ","[",TIMETABLE!#REF!," ","Students","]"," ",TIMETABLE!#REF!,":"," ",TIMETABLE!#REF!," ",TIMETABLE!#REF!)</f>
        <v>#REF!</v>
      </c>
      <c r="G132" s="315" t="e">
        <f>CONCATENATE(TIMETABLE!#REF!," ","[",TIMETABLE!#REF!," ","Students","]"," ",TIMETABLE!#REF!,":"," ",TIMETABLE!#REF!," ",TIMETABLE!#REF!)</f>
        <v>#REF!</v>
      </c>
      <c r="H132" s="315" t="e">
        <f>CONCATENATE(TIMETABLE!#REF!," ","[",TIMETABLE!#REF!," ","Students","]"," ",TIMETABLE!#REF!,":"," ",TIMETABLE!#REF!," ",TIMETABLE!#REF!)</f>
        <v>#REF!</v>
      </c>
      <c r="I132" s="315" t="e">
        <f>CONCATENATE(TIMETABLE!#REF!," ","[",TIMETABLE!#REF!," ","Students","]"," ",TIMETABLE!#REF!,":"," ",TIMETABLE!#REF!," ",TIMETABLE!#REF!)</f>
        <v>#REF!</v>
      </c>
      <c r="J132" s="315" t="e">
        <f>CONCATENATE(TIMETABLE!#REF!," ","[",TIMETABLE!#REF!," ","Students","]"," ",TIMETABLE!#REF!,":"," ",TIMETABLE!#REF!," ",TIMETABLE!#REF!)</f>
        <v>#REF!</v>
      </c>
      <c r="K132" s="315" t="e">
        <f>CONCATENATE(TIMETABLE!#REF!," ","[",TIMETABLE!#REF!," ","Students","]"," ",TIMETABLE!#REF!,":"," ",TIMETABLE!#REF!," ",TIMETABLE!#REF!)</f>
        <v>#REF!</v>
      </c>
      <c r="L132" s="315" t="e">
        <f>CONCATENATE(TIMETABLE!D$6," ","[",TIMETABLE!D$7," ","Students","]"," ",TIMETABLE!#REF!,":"," ",TIMETABLE!#REF!," ",TIMETABLE!#REF!)</f>
        <v>#REF!</v>
      </c>
      <c r="M132" s="315" t="e">
        <f>CONCATENATE(TIMETABLE!E$6," ","[",TIMETABLE!E$7," ","Students","]"," ",TIMETABLE!#REF!,":"," ",TIMETABLE!#REF!," ",TIMETABLE!#REF!)</f>
        <v>#REF!</v>
      </c>
      <c r="N132" s="315" t="e">
        <f>CONCATENATE(TIMETABLE!#REF!," ","[",TIMETABLE!#REF!," ","Students","]"," ",TIMETABLE!#REF!,":"," ",TIMETABLE!#REF!," ",TIMETABLE!#REF!)</f>
        <v>#REF!</v>
      </c>
      <c r="O132" s="315" t="e">
        <f>CONCATENATE(TIMETABLE!#REF!," ","[",TIMETABLE!#REF!," ","Students","]"," ",TIMETABLE!#REF!,":"," ",TIMETABLE!#REF!," ",TIMETABLE!#REF!)</f>
        <v>#REF!</v>
      </c>
      <c r="P132" s="315" t="e">
        <f>CONCATENATE(TIMETABLE!F$6," ","[",TIMETABLE!F$7," ","Students","]"," ",TIMETABLE!#REF!,":"," ",TIMETABLE!#REF!," ",TIMETABLE!#REF!)</f>
        <v>#REF!</v>
      </c>
      <c r="Q132" s="315" t="e">
        <f>CONCATENATE(TIMETABLE!G$6," ","[",TIMETABLE!G$7," ","Students","]"," ",TIMETABLE!#REF!,":"," ",TIMETABLE!#REF!," ",TIMETABLE!#REF!)</f>
        <v>#REF!</v>
      </c>
      <c r="R132" s="315" t="e">
        <f>CONCATENATE(TIMETABLE!#REF!," ","[",TIMETABLE!#REF!," ","Students","]"," ",TIMETABLE!#REF!,":"," ",TIMETABLE!#REF!," ",TIMETABLE!#REF!)</f>
        <v>#REF!</v>
      </c>
      <c r="S132" s="315" t="e">
        <f>CONCATENATE(TIMETABLE!#REF!," ","[",TIMETABLE!#REF!," ","Students","]"," ",TIMETABLE!#REF!,":"," ",TIMETABLE!#REF!," ",TIMETABLE!#REF!)</f>
        <v>#REF!</v>
      </c>
      <c r="T132" s="315" t="e">
        <f>CONCATENATE(TIMETABLE!J$6," ","[",TIMETABLE!J$7," ","Students","]"," ",TIMETABLE!#REF!,":"," ",TIMETABLE!#REF!," ",TIMETABLE!#REF!)</f>
        <v>#REF!</v>
      </c>
      <c r="U132" s="315" t="e">
        <f>CONCATENATE(TIMETABLE!#REF!," ","[",TIMETABLE!#REF!," ","Students","]"," ",TIMETABLE!#REF!,":"," ",TIMETABLE!#REF!," ",TIMETABLE!#REF!)</f>
        <v>#REF!</v>
      </c>
      <c r="V132" s="315" t="e">
        <f>CONCATENATE(TIMETABLE!#REF!," ","[",TIMETABLE!#REF!," ","Students","]"," ",TIMETABLE!#REF!,":"," ",TIMETABLE!#REF!," ",TIMETABLE!#REF!)</f>
        <v>#REF!</v>
      </c>
      <c r="W132" s="315" t="e">
        <f>CONCATENATE(TIMETABLE!#REF!," ","[",TIMETABLE!#REF!," ","Students","]"," ",TIMETABLE!#REF!,":"," ",TIMETABLE!#REF!," ",TIMETABLE!#REF!)</f>
        <v>#REF!</v>
      </c>
      <c r="X132" s="315" t="e">
        <f>CONCATENATE(TIMETABLE!#REF!," ","[",TIMETABLE!#REF!," ","Students","]"," ",TIMETABLE!#REF!,":"," ",TIMETABLE!#REF!," ",TIMETABLE!#REF!)</f>
        <v>#REF!</v>
      </c>
      <c r="Y132" s="315" t="e">
        <f>CONCATENATE(TIMETABLE!#REF!," ","[",TIMETABLE!#REF!," ","Students","]"," ",TIMETABLE!#REF!,":"," ",TIMETABLE!#REF!," ",TIMETABLE!#REF!)</f>
        <v>#REF!</v>
      </c>
      <c r="Z132" s="315" t="e">
        <f>CONCATENATE(TIMETABLE!#REF!," ","[",TIMETABLE!#REF!," ","Students","]"," ",TIMETABLE!#REF!,":"," ",TIMETABLE!#REF!," ",TIMETABLE!#REF!)</f>
        <v>#REF!</v>
      </c>
      <c r="AA132" s="315" t="e">
        <f>CONCATENATE(TIMETABLE!#REF!," ","[",TIMETABLE!#REF!," ","Students","]"," ",TIMETABLE!#REF!,":"," ",TIMETABLE!#REF!," ",TIMETABLE!#REF!)</f>
        <v>#REF!</v>
      </c>
      <c r="AB132" s="315" t="e">
        <f>CONCATENATE(TIMETABLE!#REF!," ","[",TIMETABLE!#REF!," ","Students","]"," ",TIMETABLE!#REF!,":"," ",TIMETABLE!#REF!," ",TIMETABLE!#REF!)</f>
        <v>#REF!</v>
      </c>
      <c r="AC132" s="315" t="e">
        <f>CONCATENATE(TIMETABLE!W$6," ","[",TIMETABLE!W$7," ","Students","]"," ",TIMETABLE!#REF!,":"," ",TIMETABLE!#REF!," ",TIMETABLE!#REF!)</f>
        <v>#REF!</v>
      </c>
      <c r="AD132" s="315" t="e">
        <f>CONCATENATE(TIMETABLE!#REF!," ","[",TIMETABLE!#REF!," ","Students","]"," ",TIMETABLE!#REF!,":"," ",TIMETABLE!#REF!," ",TIMETABLE!#REF!)</f>
        <v>#REF!</v>
      </c>
      <c r="AE132" s="315" t="e">
        <f>CONCATENATE(TIMETABLE!#REF!," ","[",TIMETABLE!#REF!," ","Students","]"," ",TIMETABLE!#REF!,":"," ",TIMETABLE!#REF!," ",TIMETABLE!#REF!)</f>
        <v>#REF!</v>
      </c>
      <c r="AF132" s="495"/>
    </row>
    <row r="133" spans="3:32" ht="23.4" x14ac:dyDescent="0.45">
      <c r="C133" s="495"/>
      <c r="D133" s="137"/>
      <c r="E133" s="131"/>
      <c r="F133" s="131"/>
      <c r="G133" s="131"/>
      <c r="H133" s="131"/>
      <c r="I133" s="131"/>
      <c r="J133" s="131"/>
      <c r="K133" s="131"/>
      <c r="L133" s="131"/>
      <c r="M133" s="131"/>
      <c r="N133" s="131"/>
      <c r="O133" s="131"/>
      <c r="P133" s="131"/>
      <c r="Q133" s="131"/>
      <c r="R133" s="131"/>
      <c r="S133" s="131"/>
      <c r="T133" s="131"/>
      <c r="U133" s="131"/>
      <c r="V133" s="131"/>
      <c r="W133" s="131"/>
      <c r="X133" s="131"/>
      <c r="Y133" s="131"/>
      <c r="Z133" s="131"/>
      <c r="AA133" s="131"/>
      <c r="AB133" s="131"/>
      <c r="AC133" s="131"/>
      <c r="AD133" s="131"/>
      <c r="AE133" s="131"/>
      <c r="AF133" s="495"/>
    </row>
    <row r="134" spans="3:32" ht="23.4" x14ac:dyDescent="0.45">
      <c r="C134" s="495"/>
      <c r="D134" s="139"/>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c r="AA134" s="134"/>
      <c r="AB134" s="134"/>
      <c r="AC134" s="134"/>
      <c r="AD134" s="134"/>
      <c r="AE134" s="134"/>
      <c r="AF134" s="495"/>
    </row>
    <row r="135" spans="3:32" ht="24" thickBot="1" x14ac:dyDescent="0.5">
      <c r="C135" s="495"/>
      <c r="D135" s="135"/>
      <c r="E135" s="315" t="e">
        <f>CONCATENATE(TIMETABLE!#REF!," ","[",TIMETABLE!#REF!," ","Students","]"," ",TIMETABLE!#REF!,":"," ",TIMETABLE!#REF!," ",TIMETABLE!#REF!)</f>
        <v>#REF!</v>
      </c>
      <c r="F135" s="315" t="e">
        <f>CONCATENATE(TIMETABLE!#REF!," ","[",TIMETABLE!#REF!," ","Students","]"," ",TIMETABLE!#REF!,":"," ",TIMETABLE!#REF!," ",TIMETABLE!#REF!)</f>
        <v>#REF!</v>
      </c>
      <c r="G135" s="315" t="e">
        <f>CONCATENATE(TIMETABLE!#REF!," ","[",TIMETABLE!#REF!," ","Students","]"," ",TIMETABLE!#REF!,":"," ",TIMETABLE!#REF!," ",TIMETABLE!#REF!)</f>
        <v>#REF!</v>
      </c>
      <c r="H135" s="315" t="e">
        <f>CONCATENATE(TIMETABLE!#REF!," ","[",TIMETABLE!#REF!," ","Students","]"," ",TIMETABLE!#REF!,":"," ",TIMETABLE!#REF!," ",TIMETABLE!#REF!)</f>
        <v>#REF!</v>
      </c>
      <c r="I135" s="315" t="e">
        <f>CONCATENATE(TIMETABLE!#REF!," ","[",TIMETABLE!#REF!," ","Students","]"," ",TIMETABLE!#REF!,":"," ",TIMETABLE!#REF!," ",TIMETABLE!#REF!)</f>
        <v>#REF!</v>
      </c>
      <c r="J135" s="315" t="e">
        <f>CONCATENATE(TIMETABLE!#REF!," ","[",TIMETABLE!#REF!," ","Students","]"," ",TIMETABLE!#REF!,":"," ",TIMETABLE!#REF!," ",TIMETABLE!#REF!)</f>
        <v>#REF!</v>
      </c>
      <c r="K135" s="315" t="e">
        <f>CONCATENATE(TIMETABLE!#REF!," ","[",TIMETABLE!#REF!," ","Students","]"," ",TIMETABLE!#REF!,":"," ",TIMETABLE!#REF!," ",TIMETABLE!#REF!)</f>
        <v>#REF!</v>
      </c>
      <c r="L135" s="315" t="e">
        <f>CONCATENATE(TIMETABLE!D$6," ","[",TIMETABLE!D$7," ","Students","]"," ",TIMETABLE!#REF!,":"," ",TIMETABLE!#REF!," ",TIMETABLE!#REF!)</f>
        <v>#REF!</v>
      </c>
      <c r="M135" s="315" t="e">
        <f>CONCATENATE(TIMETABLE!E$6," ","[",TIMETABLE!E$7," ","Students","]"," ",TIMETABLE!#REF!,":"," ",TIMETABLE!#REF!," ",TIMETABLE!#REF!)</f>
        <v>#REF!</v>
      </c>
      <c r="N135" s="315" t="e">
        <f>CONCATENATE(TIMETABLE!#REF!," ","[",TIMETABLE!#REF!," ","Students","]"," ",TIMETABLE!#REF!,":"," ",TIMETABLE!#REF!," ",TIMETABLE!#REF!)</f>
        <v>#REF!</v>
      </c>
      <c r="O135" s="315" t="e">
        <f>CONCATENATE(TIMETABLE!#REF!," ","[",TIMETABLE!#REF!," ","Students","]"," ",TIMETABLE!#REF!,":"," ",TIMETABLE!#REF!," ",TIMETABLE!#REF!)</f>
        <v>#REF!</v>
      </c>
      <c r="P135" s="315" t="e">
        <f>CONCATENATE(TIMETABLE!F$6," ","[",TIMETABLE!F$7," ","Students","]"," ",TIMETABLE!#REF!,":"," ",TIMETABLE!#REF!," ",TIMETABLE!#REF!)</f>
        <v>#REF!</v>
      </c>
      <c r="Q135" s="315" t="e">
        <f>CONCATENATE(TIMETABLE!G$6," ","[",TIMETABLE!G$7," ","Students","]"," ",TIMETABLE!#REF!,":"," ",TIMETABLE!#REF!," ",TIMETABLE!#REF!)</f>
        <v>#REF!</v>
      </c>
      <c r="R135" s="315" t="e">
        <f>CONCATENATE(TIMETABLE!#REF!," ","[",TIMETABLE!#REF!," ","Students","]"," ",TIMETABLE!#REF!,":"," ",TIMETABLE!#REF!," ",TIMETABLE!#REF!)</f>
        <v>#REF!</v>
      </c>
      <c r="S135" s="315" t="e">
        <f>CONCATENATE(TIMETABLE!#REF!," ","[",TIMETABLE!#REF!," ","Students","]"," ",TIMETABLE!#REF!,":"," ",TIMETABLE!#REF!," ",TIMETABLE!#REF!)</f>
        <v>#REF!</v>
      </c>
      <c r="T135" s="315" t="e">
        <f>CONCATENATE(TIMETABLE!J$6," ","[",TIMETABLE!J$7," ","Students","]"," ",TIMETABLE!#REF!,":"," ",TIMETABLE!#REF!," ",TIMETABLE!#REF!)</f>
        <v>#REF!</v>
      </c>
      <c r="U135" s="315" t="e">
        <f>CONCATENATE(TIMETABLE!#REF!," ","[",TIMETABLE!#REF!," ","Students","]"," ",TIMETABLE!#REF!,":"," ",TIMETABLE!#REF!," ",TIMETABLE!#REF!)</f>
        <v>#REF!</v>
      </c>
      <c r="V135" s="315" t="e">
        <f>CONCATENATE(TIMETABLE!#REF!," ","[",TIMETABLE!#REF!," ","Students","]"," ",TIMETABLE!#REF!,":"," ",TIMETABLE!#REF!," ",TIMETABLE!#REF!)</f>
        <v>#REF!</v>
      </c>
      <c r="W135" s="315" t="e">
        <f>CONCATENATE(TIMETABLE!#REF!," ","[",TIMETABLE!#REF!," ","Students","]"," ",TIMETABLE!#REF!,":"," ",TIMETABLE!#REF!," ",TIMETABLE!#REF!)</f>
        <v>#REF!</v>
      </c>
      <c r="X135" s="315" t="e">
        <f>CONCATENATE(TIMETABLE!#REF!," ","[",TIMETABLE!#REF!," ","Students","]"," ",TIMETABLE!#REF!,":"," ",TIMETABLE!#REF!," ",TIMETABLE!#REF!)</f>
        <v>#REF!</v>
      </c>
      <c r="Y135" s="315" t="e">
        <f>CONCATENATE(TIMETABLE!#REF!," ","[",TIMETABLE!#REF!," ","Students","]"," ",TIMETABLE!#REF!,":"," ",TIMETABLE!#REF!," ",TIMETABLE!#REF!)</f>
        <v>#REF!</v>
      </c>
      <c r="Z135" s="315" t="e">
        <f>CONCATENATE(TIMETABLE!#REF!," ","[",TIMETABLE!#REF!," ","Students","]"," ",TIMETABLE!#REF!,":"," ",TIMETABLE!#REF!," ",TIMETABLE!#REF!)</f>
        <v>#REF!</v>
      </c>
      <c r="AA135" s="315" t="e">
        <f>CONCATENATE(TIMETABLE!#REF!," ","[",TIMETABLE!#REF!," ","Students","]"," ",TIMETABLE!#REF!,":"," ",TIMETABLE!#REF!," ",TIMETABLE!#REF!)</f>
        <v>#REF!</v>
      </c>
      <c r="AB135" s="315" t="e">
        <f>CONCATENATE(TIMETABLE!#REF!," ","[",TIMETABLE!#REF!," ","Students","]"," ",TIMETABLE!#REF!,":"," ",TIMETABLE!#REF!," ",TIMETABLE!#REF!)</f>
        <v>#REF!</v>
      </c>
      <c r="AC135" s="315" t="e">
        <f>CONCATENATE(TIMETABLE!W$6," ","[",TIMETABLE!W$7," ","Students","]"," ",TIMETABLE!#REF!,":"," ",TIMETABLE!#REF!," ",TIMETABLE!#REF!)</f>
        <v>#REF!</v>
      </c>
      <c r="AD135" s="315" t="e">
        <f>CONCATENATE(TIMETABLE!#REF!," ","[",TIMETABLE!#REF!," ","Students","]"," ",TIMETABLE!#REF!,":"," ",TIMETABLE!#REF!," ",TIMETABLE!#REF!)</f>
        <v>#REF!</v>
      </c>
      <c r="AE135" s="315" t="e">
        <f>CONCATENATE(TIMETABLE!#REF!," ","[",TIMETABLE!#REF!," ","Students","]"," ",TIMETABLE!#REF!,":"," ",TIMETABLE!#REF!," ",TIMETABLE!#REF!)</f>
        <v>#REF!</v>
      </c>
      <c r="AF135" s="495"/>
    </row>
    <row r="136" spans="3:32" ht="23.4" x14ac:dyDescent="0.45">
      <c r="C136" s="495"/>
      <c r="D136" s="137"/>
      <c r="E136" s="131"/>
      <c r="F136" s="131"/>
      <c r="G136" s="131"/>
      <c r="H136" s="131"/>
      <c r="I136" s="131"/>
      <c r="J136" s="131"/>
      <c r="K136" s="131"/>
      <c r="L136" s="131"/>
      <c r="M136" s="131"/>
      <c r="N136" s="131"/>
      <c r="O136" s="131"/>
      <c r="P136" s="131"/>
      <c r="Q136" s="131"/>
      <c r="R136" s="131"/>
      <c r="S136" s="131"/>
      <c r="T136" s="131"/>
      <c r="U136" s="131"/>
      <c r="V136" s="131"/>
      <c r="W136" s="131"/>
      <c r="X136" s="131"/>
      <c r="Y136" s="131"/>
      <c r="Z136" s="131"/>
      <c r="AA136" s="131"/>
      <c r="AB136" s="131"/>
      <c r="AC136" s="131"/>
      <c r="AD136" s="131"/>
      <c r="AE136" s="131"/>
      <c r="AF136" s="495"/>
    </row>
    <row r="137" spans="3:32" ht="23.4" x14ac:dyDescent="0.45">
      <c r="C137" s="495"/>
      <c r="D137" s="141"/>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c r="AA137" s="134"/>
      <c r="AB137" s="134"/>
      <c r="AC137" s="134"/>
      <c r="AD137" s="134"/>
      <c r="AE137" s="134"/>
      <c r="AF137" s="495"/>
    </row>
    <row r="138" spans="3:32" ht="24" thickBot="1" x14ac:dyDescent="0.5">
      <c r="C138" s="495"/>
      <c r="D138" s="135"/>
      <c r="E138" s="315" t="e">
        <f>CONCATENATE(TIMETABLE!#REF!," ","[",TIMETABLE!#REF!," ","Students","]"," ",TIMETABLE!#REF!,":"," ",TIMETABLE!#REF!," ",TIMETABLE!#REF!)</f>
        <v>#REF!</v>
      </c>
      <c r="F138" s="315" t="e">
        <f>CONCATENATE(TIMETABLE!#REF!," ","[",TIMETABLE!#REF!," ","Students","]"," ",TIMETABLE!#REF!,":"," ",TIMETABLE!#REF!," ",TIMETABLE!#REF!)</f>
        <v>#REF!</v>
      </c>
      <c r="G138" s="315" t="e">
        <f>CONCATENATE(TIMETABLE!#REF!," ","[",TIMETABLE!#REF!," ","Students","]"," ",TIMETABLE!#REF!,":"," ",TIMETABLE!#REF!," ",TIMETABLE!#REF!)</f>
        <v>#REF!</v>
      </c>
      <c r="H138" s="315" t="e">
        <f>CONCATENATE(TIMETABLE!#REF!," ","[",TIMETABLE!#REF!," ","Students","]"," ",TIMETABLE!#REF!,":"," ",TIMETABLE!#REF!," ",TIMETABLE!#REF!)</f>
        <v>#REF!</v>
      </c>
      <c r="I138" s="315" t="e">
        <f>CONCATENATE(TIMETABLE!#REF!," ","[",TIMETABLE!#REF!," ","Students","]"," ",TIMETABLE!#REF!,":"," ",TIMETABLE!#REF!," ",TIMETABLE!#REF!)</f>
        <v>#REF!</v>
      </c>
      <c r="J138" s="315" t="e">
        <f>CONCATENATE(TIMETABLE!#REF!," ","[",TIMETABLE!#REF!," ","Students","]"," ",TIMETABLE!#REF!,":"," ",TIMETABLE!#REF!," ",TIMETABLE!#REF!)</f>
        <v>#REF!</v>
      </c>
      <c r="K138" s="315" t="e">
        <f>CONCATENATE(TIMETABLE!#REF!," ","[",TIMETABLE!#REF!," ","Students","]"," ",TIMETABLE!#REF!,":"," ",TIMETABLE!#REF!," ",TIMETABLE!#REF!)</f>
        <v>#REF!</v>
      </c>
      <c r="L138" s="315" t="str">
        <f>CONCATENATE(TIMETABLE!D$6," ","[",TIMETABLE!D$7," ","Students","]"," ",TIMETABLE!D69,":"," ",TIMETABLE!D72," ",TIMETABLE!D71)</f>
        <v>BSME/SEP2020/J-FT [Y2S1  (50) Students] EMC 4213: WANGOMBE/OMONDI W/SHOP I</v>
      </c>
      <c r="M138" s="315" t="str">
        <f>CONCATENATE(TIMETABLE!E$6," ","[",TIMETABLE!E$7," ","Students","]"," ",TIMETABLE!E69,":"," ",TIMETABLE!E72," ",TIMETABLE!E71)</f>
        <v>BSME/AUG2021/J-FT [Y1S2  (55) Students] ACH 4151: COD APPLIED MB 08</v>
      </c>
      <c r="N138" s="315" t="e">
        <f>CONCATENATE(TIMETABLE!#REF!," ","[",TIMETABLE!#REF!," ","Students","]"," ",TIMETABLE!#REF!,":"," ",TIMETABLE!#REF!," ",TIMETABLE!#REF!)</f>
        <v>#REF!</v>
      </c>
      <c r="O138" s="315" t="e">
        <f>CONCATENATE(TIMETABLE!#REF!," ","[",TIMETABLE!#REF!," ","Students","]"," ",TIMETABLE!#REF!,":"," ",TIMETABLE!#REF!," ",TIMETABLE!#REF!)</f>
        <v>#REF!</v>
      </c>
      <c r="P138" s="315" t="str">
        <f>CONCATENATE(TIMETABLE!F$6," ","[",TIMETABLE!F$7," ","Students","]"," ",TIMETABLE!F69,":"," ",TIMETABLE!F72," ",TIMETABLE!F71)</f>
        <v xml:space="preserve">BTME/SEP2019/S-PT [Y3S1   (10) Students] :  </v>
      </c>
      <c r="Q138" s="315" t="str">
        <f>CONCATENATE(TIMETABLE!G$6," ","[",TIMETABLE!G$7," ","Students","]"," ",TIMETABLE!G69,":"," ",TIMETABLE!G72," ",TIMETABLE!G71)</f>
        <v xml:space="preserve">BTME/AUG2021/S-PT [Y2S2   (10) Students] :  </v>
      </c>
      <c r="R138" s="315" t="e">
        <f>CONCATENATE(TIMETABLE!#REF!," ","[",TIMETABLE!#REF!," ","Students","]"," ",TIMETABLE!#REF!,":"," ",TIMETABLE!#REF!," ",TIMETABLE!#REF!)</f>
        <v>#REF!</v>
      </c>
      <c r="S138" s="315" t="e">
        <f>CONCATENATE(TIMETABLE!#REF!," ","[",TIMETABLE!#REF!," ","Students","]"," ",TIMETABLE!#REF!,":"," ",TIMETABLE!#REF!," ",TIMETABLE!#REF!)</f>
        <v>#REF!</v>
      </c>
      <c r="T138" s="315" t="str">
        <f>CONCATENATE(TIMETABLE!J$6," ","[",TIMETABLE!J$7," ","Students","]"," ",TIMETABLE!J69,":"," ",TIMETABLE!J72," ",TIMETABLE!J71)</f>
        <v>BTME/AUG2021/J&amp;S-FT [Y1S1  (52) Students] TMC 4103: MWASHIGADI SC/LAB</v>
      </c>
      <c r="U138" s="315" t="e">
        <f>CONCATENATE(TIMETABLE!#REF!," ","[",TIMETABLE!#REF!," ","Students","]"," ",TIMETABLE!#REF!,":"," ",TIMETABLE!#REF!," ",TIMETABLE!#REF!)</f>
        <v>#REF!</v>
      </c>
      <c r="V138" s="315" t="e">
        <f>CONCATENATE(TIMETABLE!#REF!," ","[",TIMETABLE!#REF!," ","Students","]"," ",TIMETABLE!#REF!,":"," ",TIMETABLE!#REF!," ",TIMETABLE!#REF!)</f>
        <v>#REF!</v>
      </c>
      <c r="W138" s="315" t="e">
        <f>CONCATENATE(TIMETABLE!#REF!," ","[",TIMETABLE!#REF!," ","Students","]"," ",TIMETABLE!#REF!,":"," ",TIMETABLE!#REF!," ",TIMETABLE!#REF!)</f>
        <v>#REF!</v>
      </c>
      <c r="X138" s="315" t="e">
        <f>CONCATENATE(TIMETABLE!#REF!," ","[",TIMETABLE!#REF!," ","Students","]"," ",TIMETABLE!#REF!,":"," ",TIMETABLE!#REF!," ",TIMETABLE!#REF!)</f>
        <v>#REF!</v>
      </c>
      <c r="Y138" s="315" t="e">
        <f>CONCATENATE(TIMETABLE!#REF!," ","[",TIMETABLE!#REF!," ","Students","]"," ",TIMETABLE!#REF!,":"," ",TIMETABLE!#REF!," ",TIMETABLE!#REF!)</f>
        <v>#REF!</v>
      </c>
      <c r="Z138" s="315" t="e">
        <f>CONCATENATE(TIMETABLE!#REF!," ","[",TIMETABLE!#REF!," ","Students","]"," ",TIMETABLE!#REF!,":"," ",TIMETABLE!#REF!," ",TIMETABLE!#REF!)</f>
        <v>#REF!</v>
      </c>
      <c r="AA138" s="315" t="e">
        <f>CONCATENATE(TIMETABLE!#REF!," ","[",TIMETABLE!#REF!," ","Students","]"," ",TIMETABLE!#REF!,":"," ",TIMETABLE!#REF!," ",TIMETABLE!#REF!)</f>
        <v>#REF!</v>
      </c>
      <c r="AB138" s="315" t="e">
        <f>CONCATENATE(TIMETABLE!#REF!," ","[",TIMETABLE!#REF!," ","Students","]"," ",TIMETABLE!#REF!,":"," ",TIMETABLE!#REF!," ",TIMETABLE!#REF!)</f>
        <v>#REF!</v>
      </c>
      <c r="AC138" s="315" t="str">
        <f>CONCATENATE(TIMETABLE!W$6," ","[",TIMETABLE!W$7," ","Students","]"," ",TIMETABLE!W69,":"," ",TIMETABLE!W72," ",TIMETABLE!W71)</f>
        <v>DMAE/SEP20201J&amp;S-FT [Y1S2   (60) Students] EMR 2113: JUSMINE MB 02</v>
      </c>
      <c r="AD138" s="315" t="e">
        <f>CONCATENATE(TIMETABLE!#REF!," ","[",TIMETABLE!#REF!," ","Students","]"," ",TIMETABLE!#REF!,":"," ",TIMETABLE!#REF!," ",TIMETABLE!#REF!)</f>
        <v>#REF!</v>
      </c>
      <c r="AE138" s="315" t="e">
        <f>CONCATENATE(TIMETABLE!#REF!," ","[",TIMETABLE!#REF!," ","Students","]"," ",TIMETABLE!#REF!,":"," ",TIMETABLE!#REF!," ",TIMETABLE!#REF!)</f>
        <v>#REF!</v>
      </c>
      <c r="AF138" s="495"/>
    </row>
    <row r="139" spans="3:32" ht="23.4" x14ac:dyDescent="0.45">
      <c r="C139" s="495"/>
      <c r="D139" s="137"/>
      <c r="E139" s="131"/>
      <c r="F139" s="131"/>
      <c r="G139" s="131"/>
      <c r="H139" s="131"/>
      <c r="I139" s="131"/>
      <c r="J139" s="131"/>
      <c r="K139" s="131"/>
      <c r="L139" s="131"/>
      <c r="M139" s="131"/>
      <c r="N139" s="131"/>
      <c r="O139" s="131"/>
      <c r="P139" s="131"/>
      <c r="Q139" s="131"/>
      <c r="R139" s="131"/>
      <c r="S139" s="131"/>
      <c r="T139" s="131"/>
      <c r="U139" s="131"/>
      <c r="V139" s="131"/>
      <c r="W139" s="131"/>
      <c r="X139" s="131"/>
      <c r="Y139" s="131"/>
      <c r="Z139" s="131"/>
      <c r="AA139" s="131"/>
      <c r="AB139" s="131"/>
      <c r="AC139" s="131"/>
      <c r="AD139" s="131"/>
      <c r="AE139" s="131"/>
      <c r="AF139" s="495"/>
    </row>
    <row r="140" spans="3:32" ht="23.4" x14ac:dyDescent="0.45">
      <c r="C140" s="495"/>
      <c r="D140" s="133"/>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c r="AA140" s="134"/>
      <c r="AB140" s="134"/>
      <c r="AC140" s="134"/>
      <c r="AD140" s="134"/>
      <c r="AE140" s="134"/>
      <c r="AF140" s="495"/>
    </row>
    <row r="141" spans="3:32" ht="24" thickBot="1" x14ac:dyDescent="0.5">
      <c r="C141" s="495"/>
      <c r="D141" s="135"/>
      <c r="E141" s="315" t="e">
        <f>CONCATENATE(TIMETABLE!#REF!," ","[",TIMETABLE!#REF!," ","Students","]"," ",TIMETABLE!#REF!,":"," ",TIMETABLE!#REF!," ",TIMETABLE!#REF!)</f>
        <v>#REF!</v>
      </c>
      <c r="F141" s="315" t="e">
        <f>CONCATENATE(TIMETABLE!#REF!," ","[",TIMETABLE!#REF!," ","Students","]"," ",TIMETABLE!#REF!,":"," ",TIMETABLE!#REF!," ",TIMETABLE!#REF!)</f>
        <v>#REF!</v>
      </c>
      <c r="G141" s="315" t="e">
        <f>CONCATENATE(TIMETABLE!#REF!," ","[",TIMETABLE!#REF!," ","Students","]"," ",TIMETABLE!#REF!,":"," ",TIMETABLE!#REF!," ",TIMETABLE!#REF!)</f>
        <v>#REF!</v>
      </c>
      <c r="H141" s="315" t="e">
        <f>CONCATENATE(TIMETABLE!#REF!," ","[",TIMETABLE!#REF!," ","Students","]"," ",TIMETABLE!#REF!,":"," ",TIMETABLE!#REF!," ",TIMETABLE!#REF!)</f>
        <v>#REF!</v>
      </c>
      <c r="I141" s="315" t="e">
        <f>CONCATENATE(TIMETABLE!#REF!," ","[",TIMETABLE!#REF!," ","Students","]"," ",TIMETABLE!#REF!,":"," ",TIMETABLE!#REF!," ",TIMETABLE!#REF!)</f>
        <v>#REF!</v>
      </c>
      <c r="J141" s="315" t="e">
        <f>CONCATENATE(TIMETABLE!#REF!," ","[",TIMETABLE!#REF!," ","Students","]"," ",TIMETABLE!#REF!,":"," ",TIMETABLE!#REF!," ",TIMETABLE!#REF!)</f>
        <v>#REF!</v>
      </c>
      <c r="K141" s="315" t="e">
        <f>CONCATENATE(TIMETABLE!#REF!," ","[",TIMETABLE!#REF!," ","Students","]"," ",TIMETABLE!#REF!,":"," ",TIMETABLE!#REF!," ",TIMETABLE!#REF!)</f>
        <v>#REF!</v>
      </c>
      <c r="L141" s="315" t="e">
        <f>CONCATENATE(TIMETABLE!D$6," ","[",TIMETABLE!D$7," ","Students","]"," ",TIMETABLE!#REF!,":"," ",TIMETABLE!#REF!," ",TIMETABLE!#REF!)</f>
        <v>#REF!</v>
      </c>
      <c r="M141" s="315" t="e">
        <f>CONCATENATE(TIMETABLE!E$6," ","[",TIMETABLE!E$7," ","Students","]"," ",TIMETABLE!#REF!,":"," ",TIMETABLE!#REF!," ",TIMETABLE!#REF!)</f>
        <v>#REF!</v>
      </c>
      <c r="N141" s="315" t="e">
        <f>CONCATENATE(TIMETABLE!#REF!," ","[",TIMETABLE!#REF!," ","Students","]"," ",TIMETABLE!#REF!,":"," ",TIMETABLE!#REF!," ",TIMETABLE!#REF!)</f>
        <v>#REF!</v>
      </c>
      <c r="O141" s="315" t="e">
        <f>CONCATENATE(TIMETABLE!#REF!," ","[",TIMETABLE!#REF!," ","Students","]"," ",TIMETABLE!#REF!,":"," ",TIMETABLE!#REF!," ",TIMETABLE!#REF!)</f>
        <v>#REF!</v>
      </c>
      <c r="P141" s="315" t="e">
        <f>CONCATENATE(TIMETABLE!F$6," ","[",TIMETABLE!F$7," ","Students","]"," ",TIMETABLE!#REF!,":"," ",TIMETABLE!#REF!," ",TIMETABLE!#REF!)</f>
        <v>#REF!</v>
      </c>
      <c r="Q141" s="315" t="e">
        <f>CONCATENATE(TIMETABLE!G$6," ","[",TIMETABLE!G$7," ","Students","]"," ",TIMETABLE!#REF!,":"," ",TIMETABLE!#REF!," ",TIMETABLE!#REF!)</f>
        <v>#REF!</v>
      </c>
      <c r="R141" s="315" t="e">
        <f>CONCATENATE(TIMETABLE!#REF!," ","[",TIMETABLE!#REF!," ","Students","]"," ",TIMETABLE!#REF!,":"," ",TIMETABLE!#REF!," ",TIMETABLE!#REF!)</f>
        <v>#REF!</v>
      </c>
      <c r="S141" s="315" t="e">
        <f>CONCATENATE(TIMETABLE!#REF!," ","[",TIMETABLE!#REF!," ","Students","]"," ",TIMETABLE!#REF!,":"," ",TIMETABLE!#REF!," ",TIMETABLE!#REF!)</f>
        <v>#REF!</v>
      </c>
      <c r="T141" s="315" t="e">
        <f>CONCATENATE(TIMETABLE!J$6," ","[",TIMETABLE!J$7," ","Students","]"," ",TIMETABLE!#REF!,":"," ",TIMETABLE!#REF!," ",TIMETABLE!#REF!)</f>
        <v>#REF!</v>
      </c>
      <c r="U141" s="315" t="e">
        <f>CONCATENATE(TIMETABLE!#REF!," ","[",TIMETABLE!#REF!," ","Students","]"," ",TIMETABLE!#REF!,":"," ",TIMETABLE!#REF!," ",TIMETABLE!#REF!)</f>
        <v>#REF!</v>
      </c>
      <c r="V141" s="315" t="e">
        <f>CONCATENATE(TIMETABLE!#REF!," ","[",TIMETABLE!#REF!," ","Students","]"," ",TIMETABLE!#REF!,":"," ",TIMETABLE!#REF!," ",TIMETABLE!#REF!)</f>
        <v>#REF!</v>
      </c>
      <c r="W141" s="315" t="e">
        <f>CONCATENATE(TIMETABLE!#REF!," ","[",TIMETABLE!#REF!," ","Students","]"," ",TIMETABLE!#REF!,":"," ",TIMETABLE!#REF!," ",TIMETABLE!#REF!)</f>
        <v>#REF!</v>
      </c>
      <c r="X141" s="315" t="e">
        <f>CONCATENATE(TIMETABLE!#REF!," ","[",TIMETABLE!#REF!," ","Students","]"," ",TIMETABLE!#REF!,":"," ",TIMETABLE!#REF!," ",TIMETABLE!#REF!)</f>
        <v>#REF!</v>
      </c>
      <c r="Y141" s="315" t="e">
        <f>CONCATENATE(TIMETABLE!#REF!," ","[",TIMETABLE!#REF!," ","Students","]"," ",TIMETABLE!#REF!,":"," ",TIMETABLE!#REF!," ",TIMETABLE!#REF!)</f>
        <v>#REF!</v>
      </c>
      <c r="Z141" s="315" t="e">
        <f>CONCATENATE(TIMETABLE!#REF!," ","[",TIMETABLE!#REF!," ","Students","]"," ",TIMETABLE!#REF!,":"," ",TIMETABLE!#REF!," ",TIMETABLE!#REF!)</f>
        <v>#REF!</v>
      </c>
      <c r="AA141" s="315" t="e">
        <f>CONCATENATE(TIMETABLE!#REF!," ","[",TIMETABLE!#REF!," ","Students","]"," ",TIMETABLE!#REF!,":"," ",TIMETABLE!#REF!," ",TIMETABLE!#REF!)</f>
        <v>#REF!</v>
      </c>
      <c r="AB141" s="315" t="e">
        <f>CONCATENATE(TIMETABLE!#REF!," ","[",TIMETABLE!#REF!," ","Students","]"," ",TIMETABLE!#REF!,":"," ",TIMETABLE!#REF!," ",TIMETABLE!#REF!)</f>
        <v>#REF!</v>
      </c>
      <c r="AC141" s="315" t="e">
        <f>CONCATENATE(TIMETABLE!W$6," ","[",TIMETABLE!W$7," ","Students","]"," ",TIMETABLE!#REF!,":"," ",TIMETABLE!#REF!," ",TIMETABLE!#REF!)</f>
        <v>#REF!</v>
      </c>
      <c r="AD141" s="315" t="e">
        <f>CONCATENATE(TIMETABLE!#REF!," ","[",TIMETABLE!#REF!," ","Students","]"," ",TIMETABLE!#REF!,":"," ",TIMETABLE!#REF!," ",TIMETABLE!#REF!)</f>
        <v>#REF!</v>
      </c>
      <c r="AE141" s="315" t="e">
        <f>CONCATENATE(TIMETABLE!#REF!," ","[",TIMETABLE!#REF!," ","Students","]"," ",TIMETABLE!#REF!,":"," ",TIMETABLE!#REF!," ",TIMETABLE!#REF!)</f>
        <v>#REF!</v>
      </c>
      <c r="AF141" s="495"/>
    </row>
    <row r="142" spans="3:32" ht="23.4" x14ac:dyDescent="0.45">
      <c r="C142" s="495"/>
      <c r="D142" s="137"/>
      <c r="E142" s="131"/>
      <c r="F142" s="131"/>
      <c r="G142" s="131"/>
      <c r="H142" s="131"/>
      <c r="I142" s="131"/>
      <c r="J142" s="131"/>
      <c r="K142" s="131"/>
      <c r="L142" s="131"/>
      <c r="M142" s="131"/>
      <c r="N142" s="131"/>
      <c r="O142" s="131"/>
      <c r="P142" s="131"/>
      <c r="Q142" s="131"/>
      <c r="R142" s="131"/>
      <c r="S142" s="131"/>
      <c r="T142" s="131"/>
      <c r="U142" s="131"/>
      <c r="V142" s="131"/>
      <c r="W142" s="131"/>
      <c r="X142" s="131"/>
      <c r="Y142" s="131"/>
      <c r="Z142" s="131"/>
      <c r="AA142" s="131"/>
      <c r="AB142" s="131"/>
      <c r="AC142" s="131"/>
      <c r="AD142" s="131"/>
      <c r="AE142" s="131"/>
      <c r="AF142" s="495"/>
    </row>
    <row r="143" spans="3:32" ht="23.4" x14ac:dyDescent="0.45">
      <c r="C143" s="495"/>
      <c r="D143" s="133"/>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c r="AA143" s="134"/>
      <c r="AB143" s="134"/>
      <c r="AC143" s="134"/>
      <c r="AD143" s="134"/>
      <c r="AE143" s="134"/>
      <c r="AF143" s="495"/>
    </row>
    <row r="144" spans="3:32" ht="24" thickBot="1" x14ac:dyDescent="0.5">
      <c r="C144" s="495"/>
      <c r="D144" s="135"/>
      <c r="E144" s="315" t="e">
        <f>CONCATENATE(TIMETABLE!#REF!," ","[",TIMETABLE!#REF!," ","Students","]"," ",TIMETABLE!#REF!,":"," ",TIMETABLE!#REF!," ",TIMETABLE!#REF!)</f>
        <v>#REF!</v>
      </c>
      <c r="F144" s="315" t="e">
        <f>CONCATENATE(TIMETABLE!#REF!," ","[",TIMETABLE!#REF!," ","Students","]"," ",TIMETABLE!#REF!,":"," ",TIMETABLE!#REF!," ",TIMETABLE!#REF!)</f>
        <v>#REF!</v>
      </c>
      <c r="G144" s="315" t="e">
        <f>CONCATENATE(TIMETABLE!#REF!," ","[",TIMETABLE!#REF!," ","Students","]"," ",TIMETABLE!#REF!,":"," ",TIMETABLE!#REF!," ",TIMETABLE!#REF!)</f>
        <v>#REF!</v>
      </c>
      <c r="H144" s="315" t="e">
        <f>CONCATENATE(TIMETABLE!#REF!," ","[",TIMETABLE!#REF!," ","Students","]"," ",TIMETABLE!#REF!,":"," ",TIMETABLE!#REF!," ",TIMETABLE!#REF!)</f>
        <v>#REF!</v>
      </c>
      <c r="I144" s="315" t="e">
        <f>CONCATENATE(TIMETABLE!#REF!," ","[",TIMETABLE!#REF!," ","Students","]"," ",TIMETABLE!#REF!,":"," ",TIMETABLE!#REF!," ",TIMETABLE!#REF!)</f>
        <v>#REF!</v>
      </c>
      <c r="J144" s="315" t="e">
        <f>CONCATENATE(TIMETABLE!#REF!," ","[",TIMETABLE!#REF!," ","Students","]"," ",TIMETABLE!#REF!,":"," ",TIMETABLE!#REF!," ",TIMETABLE!#REF!)</f>
        <v>#REF!</v>
      </c>
      <c r="K144" s="315" t="e">
        <f>CONCATENATE(TIMETABLE!#REF!," ","[",TIMETABLE!#REF!," ","Students","]"," ",TIMETABLE!#REF!,":"," ",TIMETABLE!#REF!," ",TIMETABLE!#REF!)</f>
        <v>#REF!</v>
      </c>
      <c r="L144" s="315" t="e">
        <f>CONCATENATE(TIMETABLE!D$6," ","[",TIMETABLE!D$7," ","Students","]"," ",TIMETABLE!#REF!,":"," ",TIMETABLE!#REF!," ",TIMETABLE!#REF!)</f>
        <v>#REF!</v>
      </c>
      <c r="M144" s="315" t="e">
        <f>CONCATENATE(TIMETABLE!E$6," ","[",TIMETABLE!E$7," ","Students","]"," ",TIMETABLE!#REF!,":"," ",TIMETABLE!#REF!," ",TIMETABLE!#REF!)</f>
        <v>#REF!</v>
      </c>
      <c r="N144" s="315" t="e">
        <f>CONCATENATE(TIMETABLE!#REF!," ","[",TIMETABLE!#REF!," ","Students","]"," ",TIMETABLE!#REF!,":"," ",TIMETABLE!#REF!," ",TIMETABLE!#REF!)</f>
        <v>#REF!</v>
      </c>
      <c r="O144" s="315" t="e">
        <f>CONCATENATE(TIMETABLE!#REF!," ","[",TIMETABLE!#REF!," ","Students","]"," ",TIMETABLE!#REF!,":"," ",TIMETABLE!#REF!," ",TIMETABLE!#REF!)</f>
        <v>#REF!</v>
      </c>
      <c r="P144" s="315" t="e">
        <f>CONCATENATE(TIMETABLE!F$6," ","[",TIMETABLE!F$7," ","Students","]"," ",TIMETABLE!#REF!,":"," ",TIMETABLE!#REF!," ",TIMETABLE!#REF!)</f>
        <v>#REF!</v>
      </c>
      <c r="Q144" s="315" t="e">
        <f>CONCATENATE(TIMETABLE!G$6," ","[",TIMETABLE!G$7," ","Students","]"," ",TIMETABLE!#REF!,":"," ",TIMETABLE!#REF!," ",TIMETABLE!#REF!)</f>
        <v>#REF!</v>
      </c>
      <c r="R144" s="315" t="e">
        <f>CONCATENATE(TIMETABLE!#REF!," ","[",TIMETABLE!#REF!," ","Students","]"," ",TIMETABLE!#REF!,":"," ",TIMETABLE!#REF!," ",TIMETABLE!#REF!)</f>
        <v>#REF!</v>
      </c>
      <c r="S144" s="315" t="e">
        <f>CONCATENATE(TIMETABLE!#REF!," ","[",TIMETABLE!#REF!," ","Students","]"," ",TIMETABLE!#REF!,":"," ",TIMETABLE!#REF!," ",TIMETABLE!#REF!)</f>
        <v>#REF!</v>
      </c>
      <c r="T144" s="315" t="e">
        <f>CONCATENATE(TIMETABLE!J$6," ","[",TIMETABLE!J$7," ","Students","]"," ",TIMETABLE!#REF!,":"," ",TIMETABLE!#REF!," ",TIMETABLE!#REF!)</f>
        <v>#REF!</v>
      </c>
      <c r="U144" s="315" t="e">
        <f>CONCATENATE(TIMETABLE!#REF!," ","[",TIMETABLE!#REF!," ","Students","]"," ",TIMETABLE!#REF!,":"," ",TIMETABLE!#REF!," ",TIMETABLE!#REF!)</f>
        <v>#REF!</v>
      </c>
      <c r="V144" s="315" t="e">
        <f>CONCATENATE(TIMETABLE!#REF!," ","[",TIMETABLE!#REF!," ","Students","]"," ",TIMETABLE!#REF!,":"," ",TIMETABLE!#REF!," ",TIMETABLE!#REF!)</f>
        <v>#REF!</v>
      </c>
      <c r="W144" s="315" t="e">
        <f>CONCATENATE(TIMETABLE!#REF!," ","[",TIMETABLE!#REF!," ","Students","]"," ",TIMETABLE!#REF!,":"," ",TIMETABLE!#REF!," ",TIMETABLE!#REF!)</f>
        <v>#REF!</v>
      </c>
      <c r="X144" s="315" t="e">
        <f>CONCATENATE(TIMETABLE!#REF!," ","[",TIMETABLE!#REF!," ","Students","]"," ",TIMETABLE!#REF!,":"," ",TIMETABLE!#REF!," ",TIMETABLE!#REF!)</f>
        <v>#REF!</v>
      </c>
      <c r="Y144" s="315" t="e">
        <f>CONCATENATE(TIMETABLE!#REF!," ","[",TIMETABLE!#REF!," ","Students","]"," ",TIMETABLE!#REF!,":"," ",TIMETABLE!#REF!," ",TIMETABLE!#REF!)</f>
        <v>#REF!</v>
      </c>
      <c r="Z144" s="315" t="e">
        <f>CONCATENATE(TIMETABLE!#REF!," ","[",TIMETABLE!#REF!," ","Students","]"," ",TIMETABLE!#REF!,":"," ",TIMETABLE!#REF!," ",TIMETABLE!#REF!)</f>
        <v>#REF!</v>
      </c>
      <c r="AA144" s="315" t="e">
        <f>CONCATENATE(TIMETABLE!#REF!," ","[",TIMETABLE!#REF!," ","Students","]"," ",TIMETABLE!#REF!,":"," ",TIMETABLE!#REF!," ",TIMETABLE!#REF!)</f>
        <v>#REF!</v>
      </c>
      <c r="AB144" s="315" t="e">
        <f>CONCATENATE(TIMETABLE!#REF!," ","[",TIMETABLE!#REF!," ","Students","]"," ",TIMETABLE!#REF!,":"," ",TIMETABLE!#REF!," ",TIMETABLE!#REF!)</f>
        <v>#REF!</v>
      </c>
      <c r="AC144" s="315" t="e">
        <f>CONCATENATE(TIMETABLE!W$6," ","[",TIMETABLE!W$7," ","Students","]"," ",TIMETABLE!#REF!,":"," ",TIMETABLE!#REF!," ",TIMETABLE!#REF!)</f>
        <v>#REF!</v>
      </c>
      <c r="AD144" s="315" t="e">
        <f>CONCATENATE(TIMETABLE!#REF!," ","[",TIMETABLE!#REF!," ","Students","]"," ",TIMETABLE!#REF!,":"," ",TIMETABLE!#REF!," ",TIMETABLE!#REF!)</f>
        <v>#REF!</v>
      </c>
      <c r="AE144" s="315" t="e">
        <f>CONCATENATE(TIMETABLE!#REF!," ","[",TIMETABLE!#REF!," ","Students","]"," ",TIMETABLE!#REF!,":"," ",TIMETABLE!#REF!," ",TIMETABLE!#REF!)</f>
        <v>#REF!</v>
      </c>
      <c r="AF144" s="495"/>
    </row>
    <row r="145" spans="3:32" ht="23.4" x14ac:dyDescent="0.45">
      <c r="C145" s="495"/>
      <c r="D145" s="231"/>
      <c r="E145" s="234"/>
      <c r="F145" s="234"/>
      <c r="G145" s="234"/>
      <c r="H145" s="234"/>
      <c r="I145" s="234"/>
      <c r="J145" s="234"/>
      <c r="K145" s="234"/>
      <c r="L145" s="234"/>
      <c r="M145" s="234"/>
      <c r="N145" s="234"/>
      <c r="O145" s="234"/>
      <c r="P145" s="234"/>
      <c r="Q145" s="234"/>
      <c r="R145" s="234"/>
      <c r="S145" s="234"/>
      <c r="T145" s="234"/>
      <c r="U145" s="234"/>
      <c r="V145" s="234"/>
      <c r="W145" s="234"/>
      <c r="X145" s="234"/>
      <c r="Y145" s="234"/>
      <c r="Z145" s="234"/>
      <c r="AA145" s="234"/>
      <c r="AB145" s="234"/>
      <c r="AC145" s="234"/>
      <c r="AD145" s="234"/>
      <c r="AE145" s="234"/>
      <c r="AF145" s="495"/>
    </row>
    <row r="146" spans="3:32" ht="23.4" x14ac:dyDescent="0.45">
      <c r="C146" s="495"/>
      <c r="D146" s="232"/>
      <c r="E146" s="235"/>
      <c r="F146" s="235"/>
      <c r="G146" s="235"/>
      <c r="H146" s="235"/>
      <c r="I146" s="235"/>
      <c r="J146" s="235"/>
      <c r="K146" s="235"/>
      <c r="L146" s="235"/>
      <c r="M146" s="235"/>
      <c r="N146" s="235"/>
      <c r="O146" s="235"/>
      <c r="P146" s="235"/>
      <c r="Q146" s="235"/>
      <c r="R146" s="235"/>
      <c r="S146" s="235"/>
      <c r="T146" s="235"/>
      <c r="U146" s="235"/>
      <c r="V146" s="235"/>
      <c r="W146" s="235"/>
      <c r="X146" s="235"/>
      <c r="Y146" s="235"/>
      <c r="Z146" s="235"/>
      <c r="AA146" s="235"/>
      <c r="AB146" s="235"/>
      <c r="AC146" s="235"/>
      <c r="AD146" s="235"/>
      <c r="AE146" s="235"/>
      <c r="AF146" s="495"/>
    </row>
    <row r="147" spans="3:32" ht="24" thickBot="1" x14ac:dyDescent="0.5">
      <c r="C147" s="495"/>
      <c r="D147" s="233"/>
      <c r="E147" s="396" t="e">
        <f>CONCATENATE(TIMETABLE!#REF!," ","[",TIMETABLE!#REF!," ","Students","]"," ",TIMETABLE!#REF!,":"," ",TIMETABLE!#REF!," ",TIMETABLE!#REF!)</f>
        <v>#REF!</v>
      </c>
      <c r="F147" s="395" t="e">
        <f>CONCATENATE(TIMETABLE!#REF!," ","[",TIMETABLE!#REF!," ","Students","]"," ",TIMETABLE!#REF!,":"," ",TIMETABLE!#REF!," ",TIMETABLE!#REF!)</f>
        <v>#REF!</v>
      </c>
      <c r="G147" s="395" t="e">
        <f>CONCATENATE(TIMETABLE!#REF!," ","[",TIMETABLE!#REF!," ","Students","]"," ",TIMETABLE!#REF!,":"," ",TIMETABLE!#REF!," ",TIMETABLE!#REF!)</f>
        <v>#REF!</v>
      </c>
      <c r="H147" s="395" t="e">
        <f>CONCATENATE(TIMETABLE!#REF!," ","[",TIMETABLE!#REF!," ","Students","]"," ",TIMETABLE!#REF!,":"," ",TIMETABLE!#REF!," ",TIMETABLE!#REF!)</f>
        <v>#REF!</v>
      </c>
      <c r="I147" s="395" t="e">
        <f>CONCATENATE(TIMETABLE!#REF!," ","[",TIMETABLE!#REF!," ","Students","]"," ",TIMETABLE!#REF!,":"," ",TIMETABLE!#REF!," ",TIMETABLE!#REF!)</f>
        <v>#REF!</v>
      </c>
      <c r="J147" s="395" t="e">
        <f>CONCATENATE(TIMETABLE!#REF!," ","[",TIMETABLE!#REF!," ","Students","]"," ",TIMETABLE!#REF!,":"," ",TIMETABLE!#REF!," ",TIMETABLE!#REF!)</f>
        <v>#REF!</v>
      </c>
      <c r="K147" s="395" t="e">
        <f>CONCATENATE(TIMETABLE!#REF!," ","[",TIMETABLE!#REF!," ","Students","]"," ",TIMETABLE!#REF!,":"," ",TIMETABLE!#REF!," ",TIMETABLE!#REF!)</f>
        <v>#REF!</v>
      </c>
      <c r="L147" s="395" t="str">
        <f>CONCATENATE(TIMETABLE!D$6," ","[",TIMETABLE!D$7," ","Students","]"," ",TIMETABLE!D73,":"," ",TIMETABLE!D75," ",TIMETABLE!D74)</f>
        <v xml:space="preserve">BSME/SEP2020/J-FT [Y2S1  (50) Students] :  </v>
      </c>
      <c r="M147" s="395" t="str">
        <f>CONCATENATE(TIMETABLE!E$6," ","[",TIMETABLE!E$7," ","Students","]"," ",TIMETABLE!E73,":"," ",TIMETABLE!E75," ",TIMETABLE!E74)</f>
        <v xml:space="preserve">BSME/AUG2021/J-FT [Y1S2  (55) Students] :  </v>
      </c>
      <c r="N147" s="395" t="e">
        <f>CONCATENATE(TIMETABLE!#REF!," ","[",TIMETABLE!#REF!," ","Students","]"," ",TIMETABLE!#REF!,":"," ",TIMETABLE!#REF!," ",TIMETABLE!#REF!)</f>
        <v>#REF!</v>
      </c>
      <c r="O147" s="395" t="e">
        <f>CONCATENATE(TIMETABLE!#REF!," ","[",TIMETABLE!#REF!," ","Students","]"," ",TIMETABLE!#REF!,":"," ",TIMETABLE!#REF!," ",TIMETABLE!#REF!)</f>
        <v>#REF!</v>
      </c>
      <c r="P147" s="395" t="str">
        <f>CONCATENATE(TIMETABLE!F$6," ","[",TIMETABLE!F$7," ","Students","]"," ",TIMETABLE!F73,":"," ",TIMETABLE!F75," ",TIMETABLE!F74)</f>
        <v xml:space="preserve">BTME/SEP2019/S-PT [Y3S1   (10) Students] :  </v>
      </c>
      <c r="Q147" s="395" t="str">
        <f>CONCATENATE(TIMETABLE!G$6," ","[",TIMETABLE!G$7," ","Students","]"," ",TIMETABLE!G73,":"," ",TIMETABLE!G75," ",TIMETABLE!G74)</f>
        <v xml:space="preserve">BTME/AUG2021/S-PT [Y2S2   (10) Students] :  </v>
      </c>
      <c r="R147" s="395" t="e">
        <f>CONCATENATE(TIMETABLE!#REF!," ","[",TIMETABLE!#REF!," ","Students","]"," ",TIMETABLE!#REF!,":"," ",TIMETABLE!#REF!," ",TIMETABLE!#REF!)</f>
        <v>#REF!</v>
      </c>
      <c r="S147" s="395" t="e">
        <f>CONCATENATE(TIMETABLE!#REF!," ","[",TIMETABLE!#REF!," ","Students","]"," ",TIMETABLE!#REF!,":"," ",TIMETABLE!#REF!," ",TIMETABLE!#REF!)</f>
        <v>#REF!</v>
      </c>
      <c r="T147" s="395" t="str">
        <f>CONCATENATE(TIMETABLE!J$6," ","[",TIMETABLE!J$7," ","Students","]"," ",TIMETABLE!J73,":"," ",TIMETABLE!J75," ",TIMETABLE!J74)</f>
        <v xml:space="preserve">BTME/AUG2021/J&amp;S-FT [Y1S1  (52) Students] :  </v>
      </c>
      <c r="U147" s="395" t="e">
        <f>CONCATENATE(TIMETABLE!#REF!," ","[",TIMETABLE!#REF!," ","Students","]"," ",TIMETABLE!#REF!,":"," ",TIMETABLE!#REF!," ",TIMETABLE!#REF!)</f>
        <v>#REF!</v>
      </c>
      <c r="V147" s="395" t="e">
        <f>CONCATENATE(TIMETABLE!#REF!," ","[",TIMETABLE!#REF!," ","Students","]"," ",TIMETABLE!#REF!,":"," ",TIMETABLE!#REF!," ",TIMETABLE!#REF!)</f>
        <v>#REF!</v>
      </c>
      <c r="W147" s="395" t="e">
        <f>CONCATENATE(TIMETABLE!#REF!," ","[",TIMETABLE!#REF!," ","Students","]"," ",TIMETABLE!#REF!,":"," ",TIMETABLE!#REF!," ",TIMETABLE!#REF!)</f>
        <v>#REF!</v>
      </c>
      <c r="X147" s="395" t="e">
        <f>CONCATENATE(TIMETABLE!#REF!," ","[",TIMETABLE!#REF!," ","Students","]"," ",TIMETABLE!#REF!,":"," ",TIMETABLE!#REF!," ",TIMETABLE!#REF!)</f>
        <v>#REF!</v>
      </c>
      <c r="Y147" s="395" t="e">
        <f>CONCATENATE(TIMETABLE!#REF!," ","[",TIMETABLE!#REF!," ","Students","]"," ",TIMETABLE!#REF!,":"," ",TIMETABLE!#REF!," ",TIMETABLE!#REF!)</f>
        <v>#REF!</v>
      </c>
      <c r="Z147" s="395" t="e">
        <f>CONCATENATE(TIMETABLE!#REF!," ","[",TIMETABLE!#REF!," ","Students","]"," ",TIMETABLE!#REF!,":"," ",TIMETABLE!#REF!," ",TIMETABLE!#REF!)</f>
        <v>#REF!</v>
      </c>
      <c r="AA147" s="395" t="e">
        <f>CONCATENATE(TIMETABLE!#REF!," ","[",TIMETABLE!#REF!," ","Students","]"," ",TIMETABLE!#REF!,":"," ",TIMETABLE!#REF!," ",TIMETABLE!#REF!)</f>
        <v>#REF!</v>
      </c>
      <c r="AB147" s="395" t="e">
        <f>CONCATENATE(TIMETABLE!#REF!," ","[",TIMETABLE!#REF!," ","Students","]"," ",TIMETABLE!#REF!,":"," ",TIMETABLE!#REF!," ",TIMETABLE!#REF!)</f>
        <v>#REF!</v>
      </c>
      <c r="AC147" s="395" t="str">
        <f>CONCATENATE(TIMETABLE!W$6," ","[",TIMETABLE!W$7," ","Students","]"," ",TIMETABLE!W73,":"," ",TIMETABLE!W75," ",TIMETABLE!W74)</f>
        <v xml:space="preserve">DMAE/SEP20201J&amp;S-FT [Y1S2   (60) Students] :  </v>
      </c>
      <c r="AD147" s="395" t="e">
        <f>CONCATENATE(TIMETABLE!#REF!," ","[",TIMETABLE!#REF!," ","Students","]"," ",TIMETABLE!#REF!,":"," ",TIMETABLE!#REF!," ",TIMETABLE!#REF!)</f>
        <v>#REF!</v>
      </c>
      <c r="AE147" s="395" t="e">
        <f>CONCATENATE(TIMETABLE!#REF!," ","[",TIMETABLE!#REF!," ","Students","]"," ",TIMETABLE!#REF!,":"," ",TIMETABLE!#REF!," ",TIMETABLE!#REF!)</f>
        <v>#REF!</v>
      </c>
      <c r="AF147" s="495"/>
    </row>
    <row r="148" spans="3:32" ht="23.4" x14ac:dyDescent="0.45">
      <c r="C148" s="495"/>
      <c r="D148" s="142"/>
      <c r="E148" s="131"/>
      <c r="F148" s="131"/>
      <c r="G148" s="131"/>
      <c r="H148" s="131"/>
      <c r="I148" s="131"/>
      <c r="J148" s="131"/>
      <c r="K148" s="131"/>
      <c r="L148" s="131"/>
      <c r="M148" s="131"/>
      <c r="N148" s="131"/>
      <c r="O148" s="131"/>
      <c r="P148" s="131"/>
      <c r="Q148" s="131"/>
      <c r="R148" s="131"/>
      <c r="S148" s="131"/>
      <c r="T148" s="131"/>
      <c r="U148" s="131"/>
      <c r="V148" s="131"/>
      <c r="W148" s="131"/>
      <c r="X148" s="131"/>
      <c r="Y148" s="131"/>
      <c r="Z148" s="131"/>
      <c r="AA148" s="131"/>
      <c r="AB148" s="131"/>
      <c r="AC148" s="131"/>
      <c r="AD148" s="131"/>
      <c r="AE148" s="131"/>
      <c r="AF148" s="495"/>
    </row>
    <row r="149" spans="3:32" ht="23.4" x14ac:dyDescent="0.45">
      <c r="C149" s="495"/>
      <c r="D149" s="143"/>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c r="AA149" s="134"/>
      <c r="AB149" s="134"/>
      <c r="AC149" s="134"/>
      <c r="AD149" s="134"/>
      <c r="AE149" s="134"/>
      <c r="AF149" s="495"/>
    </row>
    <row r="150" spans="3:32" ht="24" thickBot="1" x14ac:dyDescent="0.5">
      <c r="C150" s="495"/>
      <c r="D150" s="144"/>
      <c r="E150" s="315" t="e">
        <f>CONCATENATE(TIMETABLE!#REF!," ","[",TIMETABLE!#REF!," ","Students","]"," ",TIMETABLE!#REF!,":"," ",TIMETABLE!#REF!," ",TIMETABLE!#REF!)</f>
        <v>#REF!</v>
      </c>
      <c r="F150" s="315" t="e">
        <f>CONCATENATE(TIMETABLE!#REF!," ","[",TIMETABLE!#REF!," ","Students","]"," ",TIMETABLE!#REF!,":"," ",TIMETABLE!#REF!," ",TIMETABLE!#REF!)</f>
        <v>#REF!</v>
      </c>
      <c r="G150" s="315" t="e">
        <f>CONCATENATE(TIMETABLE!#REF!," ","[",TIMETABLE!#REF!," ","Students","]"," ",TIMETABLE!#REF!,":"," ",TIMETABLE!#REF!," ",TIMETABLE!#REF!)</f>
        <v>#REF!</v>
      </c>
      <c r="H150" s="315" t="e">
        <f>CONCATENATE(TIMETABLE!#REF!," ","[",TIMETABLE!#REF!," ","Students","]"," ",TIMETABLE!#REF!,":"," ",TIMETABLE!#REF!," ",TIMETABLE!#REF!)</f>
        <v>#REF!</v>
      </c>
      <c r="I150" s="315" t="e">
        <f>CONCATENATE(TIMETABLE!#REF!," ","[",TIMETABLE!#REF!," ","Students","]"," ",TIMETABLE!#REF!,":"," ",TIMETABLE!#REF!," ",TIMETABLE!#REF!)</f>
        <v>#REF!</v>
      </c>
      <c r="J150" s="315" t="e">
        <f>CONCATENATE(TIMETABLE!#REF!," ","[",TIMETABLE!#REF!," ","Students","]"," ",TIMETABLE!#REF!,":"," ",TIMETABLE!#REF!," ",TIMETABLE!#REF!)</f>
        <v>#REF!</v>
      </c>
      <c r="K150" s="315" t="e">
        <f>CONCATENATE(TIMETABLE!#REF!," ","[",TIMETABLE!#REF!," ","Students","]"," ",TIMETABLE!#REF!,":"," ",TIMETABLE!#REF!," ",TIMETABLE!#REF!)</f>
        <v>#REF!</v>
      </c>
      <c r="L150" s="315" t="str">
        <f>CONCATENATE(TIMETABLE!D$6," ","[",TIMETABLE!D$7," ","Students","]"," ",TIMETABLE!D76,":"," ",TIMETABLE!D79," ",TIMETABLE!D78)</f>
        <v xml:space="preserve">BSME/SEP2020/J-FT [Y2S1  (50) Students] :  </v>
      </c>
      <c r="M150" s="315" t="str">
        <f>CONCATENATE(TIMETABLE!E$6," ","[",TIMETABLE!E$7," ","Students","]"," ",TIMETABLE!E76,":"," ",TIMETABLE!E79," ",TIMETABLE!E78)</f>
        <v>BSME/AUG2021/J-FT [Y1S2  (55) Students] EMC 4121: MUTAVA DO3</v>
      </c>
      <c r="N150" s="315" t="e">
        <f>CONCATENATE(TIMETABLE!#REF!," ","[",TIMETABLE!#REF!," ","Students","]"," ",TIMETABLE!#REF!,":"," ",TIMETABLE!#REF!," ",TIMETABLE!#REF!)</f>
        <v>#REF!</v>
      </c>
      <c r="O150" s="315" t="e">
        <f>CONCATENATE(TIMETABLE!#REF!," ","[",TIMETABLE!#REF!," ","Students","]"," ",TIMETABLE!#REF!,":"," ",TIMETABLE!#REF!," ",TIMETABLE!#REF!)</f>
        <v>#REF!</v>
      </c>
      <c r="P150" s="315" t="str">
        <f>CONCATENATE(TIMETABLE!F$6," ","[",TIMETABLE!F$7," ","Students","]"," ",TIMETABLE!F76,":"," ",TIMETABLE!F79," ",TIMETABLE!F78)</f>
        <v>BTME/SEP2019/S-PT [Y3S1   (10) Students] TEE 4315: BAKARI FET 203</v>
      </c>
      <c r="Q150" s="315" t="str">
        <f>CONCATENATE(TIMETABLE!G$6," ","[",TIMETABLE!G$7," ","Students","]"," ",TIMETABLE!G76,":"," ",TIMETABLE!G79," ",TIMETABLE!G78)</f>
        <v>BTME/AUG2021/S-PT [Y2S2   (10) Students] TMC 4224: MANGENI FET 108</v>
      </c>
      <c r="R150" s="315" t="e">
        <f>CONCATENATE(TIMETABLE!#REF!," ","[",TIMETABLE!#REF!," ","Students","]"," ",TIMETABLE!#REF!,":"," ",TIMETABLE!#REF!," ",TIMETABLE!#REF!)</f>
        <v>#REF!</v>
      </c>
      <c r="S150" s="315" t="e">
        <f>CONCATENATE(TIMETABLE!#REF!," ","[",TIMETABLE!#REF!," ","Students","]"," ",TIMETABLE!#REF!,":"," ",TIMETABLE!#REF!," ",TIMETABLE!#REF!)</f>
        <v>#REF!</v>
      </c>
      <c r="T150" s="315" t="str">
        <f>CONCATENATE(TIMETABLE!J$6," ","[",TIMETABLE!J$7," ","Students","]"," ",TIMETABLE!J76,":"," ",TIMETABLE!J79," ",TIMETABLE!J78)</f>
        <v>BTME/AUG2021/J&amp;S-FT [Y1S1  (52) Students] BLS 4115: ODHIAMBO ONLINE.</v>
      </c>
      <c r="U150" s="315" t="e">
        <f>CONCATENATE(TIMETABLE!#REF!," ","[",TIMETABLE!#REF!," ","Students","]"," ",TIMETABLE!#REF!,":"," ",TIMETABLE!#REF!," ",TIMETABLE!#REF!)</f>
        <v>#REF!</v>
      </c>
      <c r="V150" s="315" t="e">
        <f>CONCATENATE(TIMETABLE!#REF!," ","[",TIMETABLE!#REF!," ","Students","]"," ",TIMETABLE!#REF!,":"," ",TIMETABLE!#REF!," ",TIMETABLE!#REF!)</f>
        <v>#REF!</v>
      </c>
      <c r="W150" s="315" t="e">
        <f>CONCATENATE(TIMETABLE!#REF!," ","[",TIMETABLE!#REF!," ","Students","]"," ",TIMETABLE!#REF!,":"," ",TIMETABLE!#REF!," ",TIMETABLE!#REF!)</f>
        <v>#REF!</v>
      </c>
      <c r="X150" s="315" t="e">
        <f>CONCATENATE(TIMETABLE!#REF!," ","[",TIMETABLE!#REF!," ","Students","]"," ",TIMETABLE!#REF!,":"," ",TIMETABLE!#REF!," ",TIMETABLE!#REF!)</f>
        <v>#REF!</v>
      </c>
      <c r="Y150" s="315" t="e">
        <f>CONCATENATE(TIMETABLE!#REF!," ","[",TIMETABLE!#REF!," ","Students","]"," ",TIMETABLE!#REF!,":"," ",TIMETABLE!#REF!," ",TIMETABLE!#REF!)</f>
        <v>#REF!</v>
      </c>
      <c r="Z150" s="315" t="e">
        <f>CONCATENATE(TIMETABLE!#REF!," ","[",TIMETABLE!#REF!," ","Students","]"," ",TIMETABLE!#REF!,":"," ",TIMETABLE!#REF!," ",TIMETABLE!#REF!)</f>
        <v>#REF!</v>
      </c>
      <c r="AA150" s="315" t="e">
        <f>CONCATENATE(TIMETABLE!#REF!," ","[",TIMETABLE!#REF!," ","Students","]"," ",TIMETABLE!#REF!,":"," ",TIMETABLE!#REF!," ",TIMETABLE!#REF!)</f>
        <v>#REF!</v>
      </c>
      <c r="AB150" s="315" t="e">
        <f>CONCATENATE(TIMETABLE!#REF!," ","[",TIMETABLE!#REF!," ","Students","]"," ",TIMETABLE!#REF!,":"," ",TIMETABLE!#REF!," ",TIMETABLE!#REF!)</f>
        <v>#REF!</v>
      </c>
      <c r="AC150" s="315" t="str">
        <f>CONCATENATE(TIMETABLE!W$6," ","[",TIMETABLE!W$7," ","Students","]"," ",TIMETABLE!W76,":"," ",TIMETABLE!W79," ",TIMETABLE!W78)</f>
        <v>DMAE/SEP20201J&amp;S-FT [Y1S2   (60) Students] EMR 2128: WARAKAH. MB 03.</v>
      </c>
      <c r="AD150" s="315" t="e">
        <f>CONCATENATE(TIMETABLE!#REF!," ","[",TIMETABLE!#REF!," ","Students","]"," ",TIMETABLE!#REF!,":"," ",TIMETABLE!#REF!," ",TIMETABLE!#REF!)</f>
        <v>#REF!</v>
      </c>
      <c r="AE150" s="315" t="e">
        <f>CONCATENATE(TIMETABLE!#REF!," ","[",TIMETABLE!#REF!," ","Students","]"," ",TIMETABLE!#REF!,":"," ",TIMETABLE!#REF!," ",TIMETABLE!#REF!)</f>
        <v>#REF!</v>
      </c>
      <c r="AF150" s="495"/>
    </row>
    <row r="151" spans="3:32" ht="23.4" x14ac:dyDescent="0.45">
      <c r="C151" s="495"/>
      <c r="D151" s="142"/>
      <c r="E151" s="131"/>
      <c r="F151" s="131"/>
      <c r="G151" s="131"/>
      <c r="H151" s="131"/>
      <c r="I151" s="131"/>
      <c r="J151" s="131"/>
      <c r="K151" s="131"/>
      <c r="L151" s="131"/>
      <c r="M151" s="131"/>
      <c r="N151" s="131"/>
      <c r="O151" s="131"/>
      <c r="P151" s="131"/>
      <c r="Q151" s="131"/>
      <c r="R151" s="131"/>
      <c r="S151" s="131"/>
      <c r="T151" s="131"/>
      <c r="U151" s="131"/>
      <c r="V151" s="131"/>
      <c r="W151" s="131"/>
      <c r="X151" s="131"/>
      <c r="Y151" s="131"/>
      <c r="Z151" s="131"/>
      <c r="AA151" s="131"/>
      <c r="AB151" s="131"/>
      <c r="AC151" s="131"/>
      <c r="AD151" s="131"/>
      <c r="AE151" s="131"/>
      <c r="AF151" s="495"/>
    </row>
    <row r="152" spans="3:32" ht="23.4" x14ac:dyDescent="0.45">
      <c r="C152" s="495"/>
      <c r="D152" s="143"/>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c r="AA152" s="134"/>
      <c r="AB152" s="134"/>
      <c r="AC152" s="134"/>
      <c r="AD152" s="134"/>
      <c r="AE152" s="134"/>
      <c r="AF152" s="495"/>
    </row>
    <row r="153" spans="3:32" ht="24" thickBot="1" x14ac:dyDescent="0.5">
      <c r="C153" s="495"/>
      <c r="D153" s="144"/>
      <c r="E153" s="315" t="e">
        <f>CONCATENATE(TIMETABLE!#REF!," ","[",TIMETABLE!#REF!," ","Students","]"," ",TIMETABLE!#REF!,":"," ",TIMETABLE!#REF!," ",TIMETABLE!#REF!)</f>
        <v>#REF!</v>
      </c>
      <c r="F153" s="315" t="e">
        <f>CONCATENATE(TIMETABLE!#REF!," ","[",TIMETABLE!#REF!," ","Students","]"," ",TIMETABLE!#REF!,":"," ",TIMETABLE!#REF!," ",TIMETABLE!#REF!)</f>
        <v>#REF!</v>
      </c>
      <c r="G153" s="315" t="e">
        <f>CONCATENATE(TIMETABLE!#REF!," ","[",TIMETABLE!#REF!," ","Students","]"," ",TIMETABLE!#REF!,":"," ",TIMETABLE!#REF!," ",TIMETABLE!#REF!)</f>
        <v>#REF!</v>
      </c>
      <c r="H153" s="315" t="e">
        <f>CONCATENATE(TIMETABLE!#REF!," ","[",TIMETABLE!#REF!," ","Students","]"," ",TIMETABLE!#REF!,":"," ",TIMETABLE!#REF!," ",TIMETABLE!#REF!)</f>
        <v>#REF!</v>
      </c>
      <c r="I153" s="315" t="e">
        <f>CONCATENATE(TIMETABLE!#REF!," ","[",TIMETABLE!#REF!," ","Students","]"," ",TIMETABLE!#REF!,":"," ",TIMETABLE!#REF!," ",TIMETABLE!#REF!)</f>
        <v>#REF!</v>
      </c>
      <c r="J153" s="315" t="e">
        <f>CONCATENATE(TIMETABLE!#REF!," ","[",TIMETABLE!#REF!," ","Students","]"," ",TIMETABLE!#REF!,":"," ",TIMETABLE!#REF!," ",TIMETABLE!#REF!)</f>
        <v>#REF!</v>
      </c>
      <c r="K153" s="315" t="e">
        <f>CONCATENATE(TIMETABLE!#REF!," ","[",TIMETABLE!#REF!," ","Students","]"," ",TIMETABLE!#REF!,":"," ",TIMETABLE!#REF!," ",TIMETABLE!#REF!)</f>
        <v>#REF!</v>
      </c>
      <c r="L153" s="315" t="e">
        <f>CONCATENATE(TIMETABLE!D$6," ","[",TIMETABLE!D$7," ","Students","]"," ",TIMETABLE!#REF!,":"," ",TIMETABLE!#REF!," ",TIMETABLE!#REF!)</f>
        <v>#REF!</v>
      </c>
      <c r="M153" s="315" t="e">
        <f>CONCATENATE(TIMETABLE!E$6," ","[",TIMETABLE!E$7," ","Students","]"," ",TIMETABLE!#REF!,":"," ",TIMETABLE!#REF!," ",TIMETABLE!#REF!)</f>
        <v>#REF!</v>
      </c>
      <c r="N153" s="315" t="e">
        <f>CONCATENATE(TIMETABLE!#REF!," ","[",TIMETABLE!#REF!," ","Students","]"," ",TIMETABLE!#REF!,":"," ",TIMETABLE!#REF!," ",TIMETABLE!#REF!)</f>
        <v>#REF!</v>
      </c>
      <c r="O153" s="315" t="e">
        <f>CONCATENATE(TIMETABLE!#REF!," ","[",TIMETABLE!#REF!," ","Students","]"," ",TIMETABLE!#REF!,":"," ",TIMETABLE!#REF!," ",TIMETABLE!#REF!)</f>
        <v>#REF!</v>
      </c>
      <c r="P153" s="315" t="e">
        <f>CONCATENATE(TIMETABLE!F$6," ","[",TIMETABLE!F$7," ","Students","]"," ",TIMETABLE!#REF!,":"," ",TIMETABLE!#REF!," ",TIMETABLE!#REF!)</f>
        <v>#REF!</v>
      </c>
      <c r="Q153" s="315" t="e">
        <f>CONCATENATE(TIMETABLE!G$6," ","[",TIMETABLE!G$7," ","Students","]"," ",TIMETABLE!#REF!,":"," ",TIMETABLE!#REF!," ",TIMETABLE!#REF!)</f>
        <v>#REF!</v>
      </c>
      <c r="R153" s="315" t="e">
        <f>CONCATENATE(TIMETABLE!#REF!," ","[",TIMETABLE!#REF!," ","Students","]"," ",TIMETABLE!#REF!,":"," ",TIMETABLE!#REF!," ",TIMETABLE!#REF!)</f>
        <v>#REF!</v>
      </c>
      <c r="S153" s="315" t="e">
        <f>CONCATENATE(TIMETABLE!#REF!," ","[",TIMETABLE!#REF!," ","Students","]"," ",TIMETABLE!#REF!,":"," ",TIMETABLE!#REF!," ",TIMETABLE!#REF!)</f>
        <v>#REF!</v>
      </c>
      <c r="T153" s="315" t="e">
        <f>CONCATENATE(TIMETABLE!J$6," ","[",TIMETABLE!J$7," ","Students","]"," ",TIMETABLE!#REF!,":"," ",TIMETABLE!#REF!," ",TIMETABLE!#REF!)</f>
        <v>#REF!</v>
      </c>
      <c r="U153" s="315" t="e">
        <f>CONCATENATE(TIMETABLE!#REF!," ","[",TIMETABLE!#REF!," ","Students","]"," ",TIMETABLE!#REF!,":"," ",TIMETABLE!#REF!," ",TIMETABLE!#REF!)</f>
        <v>#REF!</v>
      </c>
      <c r="V153" s="315" t="e">
        <f>CONCATENATE(TIMETABLE!#REF!," ","[",TIMETABLE!#REF!," ","Students","]"," ",TIMETABLE!#REF!,":"," ",TIMETABLE!#REF!," ",TIMETABLE!#REF!)</f>
        <v>#REF!</v>
      </c>
      <c r="W153" s="315" t="e">
        <f>CONCATENATE(TIMETABLE!#REF!," ","[",TIMETABLE!#REF!," ","Students","]"," ",TIMETABLE!#REF!,":"," ",TIMETABLE!#REF!," ",TIMETABLE!#REF!)</f>
        <v>#REF!</v>
      </c>
      <c r="X153" s="315" t="e">
        <f>CONCATENATE(TIMETABLE!#REF!," ","[",TIMETABLE!#REF!," ","Students","]"," ",TIMETABLE!#REF!,":"," ",TIMETABLE!#REF!," ",TIMETABLE!#REF!)</f>
        <v>#REF!</v>
      </c>
      <c r="Y153" s="315" t="e">
        <f>CONCATENATE(TIMETABLE!#REF!," ","[",TIMETABLE!#REF!," ","Students","]"," ",TIMETABLE!#REF!,":"," ",TIMETABLE!#REF!," ",TIMETABLE!#REF!)</f>
        <v>#REF!</v>
      </c>
      <c r="Z153" s="315" t="e">
        <f>CONCATENATE(TIMETABLE!#REF!," ","[",TIMETABLE!#REF!," ","Students","]"," ",TIMETABLE!#REF!,":"," ",TIMETABLE!#REF!," ",TIMETABLE!#REF!)</f>
        <v>#REF!</v>
      </c>
      <c r="AA153" s="315" t="e">
        <f>CONCATENATE(TIMETABLE!#REF!," ","[",TIMETABLE!#REF!," ","Students","]"," ",TIMETABLE!#REF!,":"," ",TIMETABLE!#REF!," ",TIMETABLE!#REF!)</f>
        <v>#REF!</v>
      </c>
      <c r="AB153" s="315" t="e">
        <f>CONCATENATE(TIMETABLE!#REF!," ","[",TIMETABLE!#REF!," ","Students","]"," ",TIMETABLE!#REF!,":"," ",TIMETABLE!#REF!," ",TIMETABLE!#REF!)</f>
        <v>#REF!</v>
      </c>
      <c r="AC153" s="315" t="e">
        <f>CONCATENATE(TIMETABLE!W$6," ","[",TIMETABLE!W$7," ","Students","]"," ",TIMETABLE!#REF!,":"," ",TIMETABLE!#REF!," ",TIMETABLE!#REF!)</f>
        <v>#REF!</v>
      </c>
      <c r="AD153" s="315" t="e">
        <f>CONCATENATE(TIMETABLE!#REF!," ","[",TIMETABLE!#REF!," ","Students","]"," ",TIMETABLE!#REF!,":"," ",TIMETABLE!#REF!," ",TIMETABLE!#REF!)</f>
        <v>#REF!</v>
      </c>
      <c r="AE153" s="315" t="e">
        <f>CONCATENATE(TIMETABLE!#REF!," ","[",TIMETABLE!#REF!," ","Students","]"," ",TIMETABLE!#REF!,":"," ",TIMETABLE!#REF!," ",TIMETABLE!#REF!)</f>
        <v>#REF!</v>
      </c>
      <c r="AF153" s="495"/>
    </row>
    <row r="154" spans="3:32" ht="23.4" x14ac:dyDescent="0.45">
      <c r="C154" s="495"/>
      <c r="D154" s="142"/>
      <c r="E154" s="131"/>
      <c r="F154" s="131"/>
      <c r="G154" s="131"/>
      <c r="H154" s="131"/>
      <c r="I154" s="131"/>
      <c r="J154" s="131"/>
      <c r="K154" s="131"/>
      <c r="L154" s="131"/>
      <c r="M154" s="131"/>
      <c r="N154" s="131"/>
      <c r="O154" s="131"/>
      <c r="P154" s="131"/>
      <c r="Q154" s="131"/>
      <c r="R154" s="131"/>
      <c r="S154" s="131"/>
      <c r="T154" s="131"/>
      <c r="U154" s="131"/>
      <c r="V154" s="131"/>
      <c r="W154" s="131"/>
      <c r="X154" s="131"/>
      <c r="Y154" s="131"/>
      <c r="Z154" s="131"/>
      <c r="AA154" s="131"/>
      <c r="AB154" s="131"/>
      <c r="AC154" s="131"/>
      <c r="AD154" s="131"/>
      <c r="AE154" s="131"/>
      <c r="AF154" s="495"/>
    </row>
    <row r="155" spans="3:32" ht="23.4" x14ac:dyDescent="0.45">
      <c r="C155" s="495"/>
      <c r="D155" s="143"/>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c r="AA155" s="134"/>
      <c r="AB155" s="134"/>
      <c r="AC155" s="134"/>
      <c r="AD155" s="134"/>
      <c r="AE155" s="134"/>
      <c r="AF155" s="495"/>
    </row>
    <row r="156" spans="3:32" ht="24" thickBot="1" x14ac:dyDescent="0.5">
      <c r="C156" s="495"/>
      <c r="D156" s="144"/>
      <c r="E156" s="315" t="e">
        <f>CONCATENATE(TIMETABLE!#REF!," ","[",TIMETABLE!#REF!," ","Students","]"," ",TIMETABLE!#REF!,":"," ",TIMETABLE!#REF!," ",TIMETABLE!#REF!)</f>
        <v>#REF!</v>
      </c>
      <c r="F156" s="315" t="e">
        <f>CONCATENATE(TIMETABLE!#REF!," ","[",TIMETABLE!#REF!," ","Students","]"," ",TIMETABLE!#REF!,":"," ",TIMETABLE!#REF!," ",TIMETABLE!#REF!)</f>
        <v>#REF!</v>
      </c>
      <c r="G156" s="315" t="e">
        <f>CONCATENATE(TIMETABLE!#REF!," ","[",TIMETABLE!#REF!," ","Students","]"," ",TIMETABLE!#REF!,":"," ",TIMETABLE!#REF!," ",TIMETABLE!#REF!)</f>
        <v>#REF!</v>
      </c>
      <c r="H156" s="315" t="e">
        <f>CONCATENATE(TIMETABLE!#REF!," ","[",TIMETABLE!#REF!," ","Students","]"," ",TIMETABLE!#REF!,":"," ",TIMETABLE!#REF!," ",TIMETABLE!#REF!)</f>
        <v>#REF!</v>
      </c>
      <c r="I156" s="315" t="e">
        <f>CONCATENATE(TIMETABLE!#REF!," ","[",TIMETABLE!#REF!," ","Students","]"," ",TIMETABLE!#REF!,":"," ",TIMETABLE!#REF!," ",TIMETABLE!#REF!)</f>
        <v>#REF!</v>
      </c>
      <c r="J156" s="315" t="e">
        <f>CONCATENATE(TIMETABLE!#REF!," ","[",TIMETABLE!#REF!," ","Students","]"," ",TIMETABLE!#REF!,":"," ",TIMETABLE!#REF!," ",TIMETABLE!#REF!)</f>
        <v>#REF!</v>
      </c>
      <c r="K156" s="315" t="e">
        <f>CONCATENATE(TIMETABLE!#REF!," ","[",TIMETABLE!#REF!," ","Students","]"," ",TIMETABLE!#REF!,":"," ",TIMETABLE!#REF!," ",TIMETABLE!#REF!)</f>
        <v>#REF!</v>
      </c>
      <c r="L156" s="315" t="e">
        <f>CONCATENATE(TIMETABLE!D$6," ","[",TIMETABLE!D$7," ","Students","]"," ",TIMETABLE!#REF!,":"," ",TIMETABLE!#REF!," ",TIMETABLE!#REF!)</f>
        <v>#REF!</v>
      </c>
      <c r="M156" s="315" t="e">
        <f>CONCATENATE(TIMETABLE!E$6," ","[",TIMETABLE!E$7," ","Students","]"," ",TIMETABLE!#REF!,":"," ",TIMETABLE!#REF!," ",TIMETABLE!#REF!)</f>
        <v>#REF!</v>
      </c>
      <c r="N156" s="315" t="e">
        <f>CONCATENATE(TIMETABLE!#REF!," ","[",TIMETABLE!#REF!," ","Students","]"," ",TIMETABLE!#REF!,":"," ",TIMETABLE!#REF!," ",TIMETABLE!#REF!)</f>
        <v>#REF!</v>
      </c>
      <c r="O156" s="315" t="e">
        <f>CONCATENATE(TIMETABLE!#REF!," ","[",TIMETABLE!#REF!," ","Students","]"," ",TIMETABLE!#REF!,":"," ",TIMETABLE!#REF!," ",TIMETABLE!#REF!)</f>
        <v>#REF!</v>
      </c>
      <c r="P156" s="315" t="e">
        <f>CONCATENATE(TIMETABLE!F$6," ","[",TIMETABLE!F$7," ","Students","]"," ",TIMETABLE!#REF!,":"," ",TIMETABLE!#REF!," ",TIMETABLE!#REF!)</f>
        <v>#REF!</v>
      </c>
      <c r="Q156" s="315" t="e">
        <f>CONCATENATE(TIMETABLE!G$6," ","[",TIMETABLE!G$7," ","Students","]"," ",TIMETABLE!#REF!,":"," ",TIMETABLE!#REF!," ",TIMETABLE!#REF!)</f>
        <v>#REF!</v>
      </c>
      <c r="R156" s="315" t="e">
        <f>CONCATENATE(TIMETABLE!#REF!," ","[",TIMETABLE!#REF!," ","Students","]"," ",TIMETABLE!#REF!,":"," ",TIMETABLE!#REF!," ",TIMETABLE!#REF!)</f>
        <v>#REF!</v>
      </c>
      <c r="S156" s="315" t="e">
        <f>CONCATENATE(TIMETABLE!#REF!," ","[",TIMETABLE!#REF!," ","Students","]"," ",TIMETABLE!#REF!,":"," ",TIMETABLE!#REF!," ",TIMETABLE!#REF!)</f>
        <v>#REF!</v>
      </c>
      <c r="T156" s="315" t="e">
        <f>CONCATENATE(TIMETABLE!J$6," ","[",TIMETABLE!J$7," ","Students","]"," ",TIMETABLE!#REF!,":"," ",TIMETABLE!#REF!," ",TIMETABLE!#REF!)</f>
        <v>#REF!</v>
      </c>
      <c r="U156" s="315" t="e">
        <f>CONCATENATE(TIMETABLE!#REF!," ","[",TIMETABLE!#REF!," ","Students","]"," ",TIMETABLE!#REF!,":"," ",TIMETABLE!#REF!," ",TIMETABLE!#REF!)</f>
        <v>#REF!</v>
      </c>
      <c r="V156" s="315" t="e">
        <f>CONCATENATE(TIMETABLE!#REF!," ","[",TIMETABLE!#REF!," ","Students","]"," ",TIMETABLE!#REF!,":"," ",TIMETABLE!#REF!," ",TIMETABLE!#REF!)</f>
        <v>#REF!</v>
      </c>
      <c r="W156" s="315" t="e">
        <f>CONCATENATE(TIMETABLE!#REF!," ","[",TIMETABLE!#REF!," ","Students","]"," ",TIMETABLE!#REF!,":"," ",TIMETABLE!#REF!," ",TIMETABLE!#REF!)</f>
        <v>#REF!</v>
      </c>
      <c r="X156" s="315" t="e">
        <f>CONCATENATE(TIMETABLE!#REF!," ","[",TIMETABLE!#REF!," ","Students","]"," ",TIMETABLE!#REF!,":"," ",TIMETABLE!#REF!," ",TIMETABLE!#REF!)</f>
        <v>#REF!</v>
      </c>
      <c r="Y156" s="315" t="e">
        <f>CONCATENATE(TIMETABLE!#REF!," ","[",TIMETABLE!#REF!," ","Students","]"," ",TIMETABLE!#REF!,":"," ",TIMETABLE!#REF!," ",TIMETABLE!#REF!)</f>
        <v>#REF!</v>
      </c>
      <c r="Z156" s="315" t="e">
        <f>CONCATENATE(TIMETABLE!#REF!," ","[",TIMETABLE!#REF!," ","Students","]"," ",TIMETABLE!#REF!,":"," ",TIMETABLE!#REF!," ",TIMETABLE!#REF!)</f>
        <v>#REF!</v>
      </c>
      <c r="AA156" s="315" t="e">
        <f>CONCATENATE(TIMETABLE!#REF!," ","[",TIMETABLE!#REF!," ","Students","]"," ",TIMETABLE!#REF!,":"," ",TIMETABLE!#REF!," ",TIMETABLE!#REF!)</f>
        <v>#REF!</v>
      </c>
      <c r="AB156" s="315" t="e">
        <f>CONCATENATE(TIMETABLE!#REF!," ","[",TIMETABLE!#REF!," ","Students","]"," ",TIMETABLE!#REF!,":"," ",TIMETABLE!#REF!," ",TIMETABLE!#REF!)</f>
        <v>#REF!</v>
      </c>
      <c r="AC156" s="315" t="e">
        <f>CONCATENATE(TIMETABLE!W$6," ","[",TIMETABLE!W$7," ","Students","]"," ",TIMETABLE!#REF!,":"," ",TIMETABLE!#REF!," ",TIMETABLE!#REF!)</f>
        <v>#REF!</v>
      </c>
      <c r="AD156" s="315" t="e">
        <f>CONCATENATE(TIMETABLE!#REF!," ","[",TIMETABLE!#REF!," ","Students","]"," ",TIMETABLE!#REF!,":"," ",TIMETABLE!#REF!," ",TIMETABLE!#REF!)</f>
        <v>#REF!</v>
      </c>
      <c r="AE156" s="315" t="e">
        <f>CONCATENATE(TIMETABLE!#REF!," ","[",TIMETABLE!#REF!," ","Students","]"," ",TIMETABLE!#REF!,":"," ",TIMETABLE!#REF!," ",TIMETABLE!#REF!)</f>
        <v>#REF!</v>
      </c>
      <c r="AF156" s="495"/>
    </row>
    <row r="157" spans="3:32" ht="23.4" x14ac:dyDescent="0.45">
      <c r="C157" s="495"/>
      <c r="D157" s="142"/>
      <c r="E157" s="131"/>
      <c r="F157" s="131"/>
      <c r="G157" s="131"/>
      <c r="H157" s="131"/>
      <c r="I157" s="131"/>
      <c r="J157" s="131"/>
      <c r="K157" s="131"/>
      <c r="L157" s="131"/>
      <c r="M157" s="131"/>
      <c r="N157" s="131"/>
      <c r="O157" s="131"/>
      <c r="P157" s="131"/>
      <c r="Q157" s="131"/>
      <c r="R157" s="131"/>
      <c r="S157" s="131"/>
      <c r="T157" s="131"/>
      <c r="U157" s="131"/>
      <c r="V157" s="131"/>
      <c r="W157" s="131"/>
      <c r="X157" s="131"/>
      <c r="Y157" s="131"/>
      <c r="Z157" s="131"/>
      <c r="AA157" s="131"/>
      <c r="AB157" s="131"/>
      <c r="AC157" s="131"/>
      <c r="AD157" s="131"/>
      <c r="AE157" s="131"/>
      <c r="AF157" s="495"/>
    </row>
    <row r="158" spans="3:32" ht="23.4" x14ac:dyDescent="0.45">
      <c r="C158" s="495"/>
      <c r="D158" s="143"/>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c r="AA158" s="134"/>
      <c r="AB158" s="134"/>
      <c r="AC158" s="134"/>
      <c r="AD158" s="134"/>
      <c r="AE158" s="134"/>
      <c r="AF158" s="495"/>
    </row>
    <row r="159" spans="3:32" ht="24" thickBot="1" x14ac:dyDescent="0.5">
      <c r="C159" s="495"/>
      <c r="D159" s="144"/>
      <c r="E159" s="315" t="e">
        <f>CONCATENATE(TIMETABLE!#REF!," ","[",TIMETABLE!#REF!," ","Students","]"," ",TIMETABLE!#REF!,":"," ",TIMETABLE!#REF!," ",TIMETABLE!#REF!)</f>
        <v>#REF!</v>
      </c>
      <c r="F159" s="315" t="e">
        <f>CONCATENATE(TIMETABLE!#REF!," ","[",TIMETABLE!#REF!," ","Students","]"," ",TIMETABLE!#REF!,":"," ",TIMETABLE!#REF!," ",TIMETABLE!#REF!)</f>
        <v>#REF!</v>
      </c>
      <c r="G159" s="315" t="e">
        <f>CONCATENATE(TIMETABLE!#REF!," ","[",TIMETABLE!#REF!," ","Students","]"," ",TIMETABLE!#REF!,":"," ",TIMETABLE!#REF!," ",TIMETABLE!#REF!)</f>
        <v>#REF!</v>
      </c>
      <c r="H159" s="315" t="e">
        <f>CONCATENATE(TIMETABLE!#REF!," ","[",TIMETABLE!#REF!," ","Students","]"," ",TIMETABLE!#REF!,":"," ",TIMETABLE!#REF!," ",TIMETABLE!#REF!)</f>
        <v>#REF!</v>
      </c>
      <c r="I159" s="315" t="e">
        <f>CONCATENATE(TIMETABLE!#REF!," ","[",TIMETABLE!#REF!," ","Students","]"," ",TIMETABLE!#REF!,":"," ",TIMETABLE!#REF!," ",TIMETABLE!#REF!)</f>
        <v>#REF!</v>
      </c>
      <c r="J159" s="315" t="e">
        <f>CONCATENATE(TIMETABLE!#REF!," ","[",TIMETABLE!#REF!," ","Students","]"," ",TIMETABLE!#REF!,":"," ",TIMETABLE!#REF!," ",TIMETABLE!#REF!)</f>
        <v>#REF!</v>
      </c>
      <c r="K159" s="315" t="e">
        <f>CONCATENATE(TIMETABLE!#REF!," ","[",TIMETABLE!#REF!," ","Students","]"," ",TIMETABLE!#REF!,":"," ",TIMETABLE!#REF!," ",TIMETABLE!#REF!)</f>
        <v>#REF!</v>
      </c>
      <c r="L159" s="315" t="str">
        <f>CONCATENATE(TIMETABLE!D$6," ","[",TIMETABLE!D$7," ","Students","]"," ",TIMETABLE!D80,":"," ",TIMETABLE!D83," ",TIMETABLE!D82)</f>
        <v xml:space="preserve">BSME/SEP2020/J-FT [Y2S1  (50) Students] :  </v>
      </c>
      <c r="M159" s="315" t="str">
        <f>CONCATENATE(TIMETABLE!E$6," ","[",TIMETABLE!E$7," ","Students","]"," ",TIMETABLE!E80,":"," ",TIMETABLE!E83," ",TIMETABLE!E82)</f>
        <v xml:space="preserve">BSME/AUG2021/J-FT [Y1S2  (55) Students] :  </v>
      </c>
      <c r="N159" s="315" t="e">
        <f>CONCATENATE(TIMETABLE!#REF!," ","[",TIMETABLE!#REF!," ","Students","]"," ",TIMETABLE!#REF!,":"," ",TIMETABLE!#REF!," ",TIMETABLE!#REF!)</f>
        <v>#REF!</v>
      </c>
      <c r="O159" s="315" t="e">
        <f>CONCATENATE(TIMETABLE!#REF!," ","[",TIMETABLE!#REF!," ","Students","]"," ",TIMETABLE!#REF!,":"," ",TIMETABLE!#REF!," ",TIMETABLE!#REF!)</f>
        <v>#REF!</v>
      </c>
      <c r="P159" s="315" t="str">
        <f>CONCATENATE(TIMETABLE!F$6," ","[",TIMETABLE!F$7," ","Students","]"," ",TIMETABLE!F80,":"," ",TIMETABLE!F83," ",TIMETABLE!F82)</f>
        <v>BTME/SEP2019/S-PT [Y3S1   (10) Students] TCV4319: MANGENI FET 109</v>
      </c>
      <c r="Q159" s="315" t="str">
        <f>CONCATENATE(TIMETABLE!G$6," ","[",TIMETABLE!G$7," ","Students","]"," ",TIMETABLE!G80,":"," ",TIMETABLE!G83," ",TIMETABLE!G82)</f>
        <v xml:space="preserve">BTME/AUG2021/S-PT [Y2S2   (10) Students] :  </v>
      </c>
      <c r="R159" s="315" t="e">
        <f>CONCATENATE(TIMETABLE!#REF!," ","[",TIMETABLE!#REF!," ","Students","]"," ",TIMETABLE!#REF!,":"," ",TIMETABLE!#REF!," ",TIMETABLE!#REF!)</f>
        <v>#REF!</v>
      </c>
      <c r="S159" s="315" t="e">
        <f>CONCATENATE(TIMETABLE!#REF!," ","[",TIMETABLE!#REF!," ","Students","]"," ",TIMETABLE!#REF!,":"," ",TIMETABLE!#REF!," ",TIMETABLE!#REF!)</f>
        <v>#REF!</v>
      </c>
      <c r="T159" s="315" t="str">
        <f>CONCATENATE(TIMETABLE!J$6," ","[",TIMETABLE!J$7," ","Students","]"," ",TIMETABLE!J80,":"," ",TIMETABLE!J83," ",TIMETABLE!J82)</f>
        <v xml:space="preserve">BTME/AUG2021/J&amp;S-FT [Y1S1  (52) Students] :  </v>
      </c>
      <c r="U159" s="315" t="e">
        <f>CONCATENATE(TIMETABLE!#REF!," ","[",TIMETABLE!#REF!," ","Students","]"," ",TIMETABLE!#REF!,":"," ",TIMETABLE!#REF!," ",TIMETABLE!#REF!)</f>
        <v>#REF!</v>
      </c>
      <c r="V159" s="315" t="e">
        <f>CONCATENATE(TIMETABLE!#REF!," ","[",TIMETABLE!#REF!," ","Students","]"," ",TIMETABLE!#REF!,":"," ",TIMETABLE!#REF!," ",TIMETABLE!#REF!)</f>
        <v>#REF!</v>
      </c>
      <c r="W159" s="315" t="e">
        <f>CONCATENATE(TIMETABLE!#REF!," ","[",TIMETABLE!#REF!," ","Students","]"," ",TIMETABLE!#REF!,":"," ",TIMETABLE!#REF!," ",TIMETABLE!#REF!)</f>
        <v>#REF!</v>
      </c>
      <c r="X159" s="315" t="e">
        <f>CONCATENATE(TIMETABLE!#REF!," ","[",TIMETABLE!#REF!," ","Students","]"," ",TIMETABLE!#REF!,":"," ",TIMETABLE!#REF!," ",TIMETABLE!#REF!)</f>
        <v>#REF!</v>
      </c>
      <c r="Y159" s="315" t="e">
        <f>CONCATENATE(TIMETABLE!#REF!," ","[",TIMETABLE!#REF!," ","Students","]"," ",TIMETABLE!#REF!,":"," ",TIMETABLE!#REF!," ",TIMETABLE!#REF!)</f>
        <v>#REF!</v>
      </c>
      <c r="Z159" s="315" t="e">
        <f>CONCATENATE(TIMETABLE!#REF!," ","[",TIMETABLE!#REF!," ","Students","]"," ",TIMETABLE!#REF!,":"," ",TIMETABLE!#REF!," ",TIMETABLE!#REF!)</f>
        <v>#REF!</v>
      </c>
      <c r="AA159" s="315" t="e">
        <f>CONCATENATE(TIMETABLE!#REF!," ","[",TIMETABLE!#REF!," ","Students","]"," ",TIMETABLE!#REF!,":"," ",TIMETABLE!#REF!," ",TIMETABLE!#REF!)</f>
        <v>#REF!</v>
      </c>
      <c r="AB159" s="315" t="e">
        <f>CONCATENATE(TIMETABLE!#REF!," ","[",TIMETABLE!#REF!," ","Students","]"," ",TIMETABLE!#REF!,":"," ",TIMETABLE!#REF!," ",TIMETABLE!#REF!)</f>
        <v>#REF!</v>
      </c>
      <c r="AC159" s="315" t="str">
        <f>CONCATENATE(TIMETABLE!W$6," ","[",TIMETABLE!W$7," ","Students","]"," ",TIMETABLE!W80,":"," ",TIMETABLE!W83," ",TIMETABLE!W82)</f>
        <v>DMAE/SEP20201J&amp;S-FT [Y1S2   (60) Students] EMR 2117: HARRIET FET 210</v>
      </c>
      <c r="AD159" s="315" t="e">
        <f>CONCATENATE(TIMETABLE!#REF!," ","[",TIMETABLE!#REF!," ","Students","]"," ",TIMETABLE!#REF!,":"," ",TIMETABLE!#REF!," ",TIMETABLE!#REF!)</f>
        <v>#REF!</v>
      </c>
      <c r="AE159" s="315" t="e">
        <f>CONCATENATE(TIMETABLE!#REF!," ","[",TIMETABLE!#REF!," ","Students","]"," ",TIMETABLE!#REF!,":"," ",TIMETABLE!#REF!," ",TIMETABLE!#REF!)</f>
        <v>#REF!</v>
      </c>
      <c r="AF159" s="495"/>
    </row>
    <row r="160" spans="3:32" ht="23.4" x14ac:dyDescent="0.45">
      <c r="C160" s="495"/>
      <c r="D160" s="145"/>
      <c r="E160" s="131"/>
      <c r="F160" s="131"/>
      <c r="G160" s="131"/>
      <c r="H160" s="131"/>
      <c r="I160" s="131"/>
      <c r="J160" s="131"/>
      <c r="K160" s="131"/>
      <c r="L160" s="131"/>
      <c r="M160" s="131"/>
      <c r="N160" s="131"/>
      <c r="O160" s="131"/>
      <c r="P160" s="131"/>
      <c r="Q160" s="131"/>
      <c r="R160" s="131"/>
      <c r="S160" s="131"/>
      <c r="T160" s="131"/>
      <c r="U160" s="131"/>
      <c r="V160" s="131"/>
      <c r="W160" s="131"/>
      <c r="X160" s="131"/>
      <c r="Y160" s="131"/>
      <c r="Z160" s="131"/>
      <c r="AA160" s="131"/>
      <c r="AB160" s="131"/>
      <c r="AC160" s="131"/>
      <c r="AD160" s="131"/>
      <c r="AE160" s="131"/>
      <c r="AF160" s="495"/>
    </row>
    <row r="161" spans="3:32" ht="23.4" x14ac:dyDescent="0.45">
      <c r="C161" s="495"/>
      <c r="D161" s="143"/>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c r="AA161" s="134"/>
      <c r="AB161" s="134"/>
      <c r="AC161" s="134"/>
      <c r="AD161" s="134"/>
      <c r="AE161" s="134"/>
      <c r="AF161" s="495"/>
    </row>
    <row r="162" spans="3:32" ht="24" thickBot="1" x14ac:dyDescent="0.5">
      <c r="C162" s="495"/>
      <c r="D162" s="144"/>
      <c r="E162" s="315" t="e">
        <f>CONCATENATE(TIMETABLE!#REF!," ","[",TIMETABLE!#REF!," ","Students","]"," ",TIMETABLE!#REF!,":"," ",TIMETABLE!#REF!," ",TIMETABLE!#REF!)</f>
        <v>#REF!</v>
      </c>
      <c r="F162" s="315" t="e">
        <f>CONCATENATE(TIMETABLE!#REF!," ","[",TIMETABLE!#REF!," ","Students","]"," ",TIMETABLE!#REF!,":"," ",TIMETABLE!#REF!," ",TIMETABLE!#REF!)</f>
        <v>#REF!</v>
      </c>
      <c r="G162" s="315" t="e">
        <f>CONCATENATE(TIMETABLE!#REF!," ","[",TIMETABLE!#REF!," ","Students","]"," ",TIMETABLE!#REF!,":"," ",TIMETABLE!#REF!," ",TIMETABLE!#REF!)</f>
        <v>#REF!</v>
      </c>
      <c r="H162" s="315" t="e">
        <f>CONCATENATE(TIMETABLE!#REF!," ","[",TIMETABLE!#REF!," ","Students","]"," ",TIMETABLE!#REF!,":"," ",TIMETABLE!#REF!," ",TIMETABLE!#REF!)</f>
        <v>#REF!</v>
      </c>
      <c r="I162" s="315" t="e">
        <f>CONCATENATE(TIMETABLE!#REF!," ","[",TIMETABLE!#REF!," ","Students","]"," ",TIMETABLE!#REF!,":"," ",TIMETABLE!#REF!," ",TIMETABLE!#REF!)</f>
        <v>#REF!</v>
      </c>
      <c r="J162" s="315" t="e">
        <f>CONCATENATE(TIMETABLE!#REF!," ","[",TIMETABLE!#REF!," ","Students","]"," ",TIMETABLE!#REF!,":"," ",TIMETABLE!#REF!," ",TIMETABLE!#REF!)</f>
        <v>#REF!</v>
      </c>
      <c r="K162" s="315" t="e">
        <f>CONCATENATE(TIMETABLE!#REF!," ","[",TIMETABLE!#REF!," ","Students","]"," ",TIMETABLE!#REF!,":"," ",TIMETABLE!#REF!," ",TIMETABLE!#REF!)</f>
        <v>#REF!</v>
      </c>
      <c r="L162" s="315" t="e">
        <f>CONCATENATE(TIMETABLE!D$6," ","[",TIMETABLE!D$7," ","Students","]"," ",TIMETABLE!#REF!,":"," ",TIMETABLE!#REF!," ",TIMETABLE!#REF!)</f>
        <v>#REF!</v>
      </c>
      <c r="M162" s="315" t="e">
        <f>CONCATENATE(TIMETABLE!E$6," ","[",TIMETABLE!E$7," ","Students","]"," ",TIMETABLE!#REF!,":"," ",TIMETABLE!#REF!," ",TIMETABLE!#REF!)</f>
        <v>#REF!</v>
      </c>
      <c r="N162" s="315" t="e">
        <f>CONCATENATE(TIMETABLE!#REF!," ","[",TIMETABLE!#REF!," ","Students","]"," ",TIMETABLE!#REF!,":"," ",TIMETABLE!#REF!," ",TIMETABLE!#REF!)</f>
        <v>#REF!</v>
      </c>
      <c r="O162" s="315" t="e">
        <f>CONCATENATE(TIMETABLE!#REF!," ","[",TIMETABLE!#REF!," ","Students","]"," ",TIMETABLE!#REF!,":"," ",TIMETABLE!#REF!," ",TIMETABLE!#REF!)</f>
        <v>#REF!</v>
      </c>
      <c r="P162" s="315" t="e">
        <f>CONCATENATE(TIMETABLE!F$6," ","[",TIMETABLE!F$7," ","Students","]"," ",TIMETABLE!#REF!,":"," ",TIMETABLE!#REF!," ",TIMETABLE!#REF!)</f>
        <v>#REF!</v>
      </c>
      <c r="Q162" s="315" t="e">
        <f>CONCATENATE(TIMETABLE!G$6," ","[",TIMETABLE!G$7," ","Students","]"," ",TIMETABLE!#REF!,":"," ",TIMETABLE!#REF!," ",TIMETABLE!#REF!)</f>
        <v>#REF!</v>
      </c>
      <c r="R162" s="315" t="e">
        <f>CONCATENATE(TIMETABLE!#REF!," ","[",TIMETABLE!#REF!," ","Students","]"," ",TIMETABLE!#REF!,":"," ",TIMETABLE!#REF!," ",TIMETABLE!#REF!)</f>
        <v>#REF!</v>
      </c>
      <c r="S162" s="315" t="e">
        <f>CONCATENATE(TIMETABLE!#REF!," ","[",TIMETABLE!#REF!," ","Students","]"," ",TIMETABLE!#REF!,":"," ",TIMETABLE!#REF!," ",TIMETABLE!#REF!)</f>
        <v>#REF!</v>
      </c>
      <c r="T162" s="315" t="e">
        <f>CONCATENATE(TIMETABLE!J$6," ","[",TIMETABLE!J$7," ","Students","]"," ",TIMETABLE!#REF!,":"," ",TIMETABLE!#REF!," ",TIMETABLE!#REF!)</f>
        <v>#REF!</v>
      </c>
      <c r="U162" s="315" t="e">
        <f>CONCATENATE(TIMETABLE!#REF!," ","[",TIMETABLE!#REF!," ","Students","]"," ",TIMETABLE!#REF!,":"," ",TIMETABLE!#REF!," ",TIMETABLE!#REF!)</f>
        <v>#REF!</v>
      </c>
      <c r="V162" s="315" t="e">
        <f>CONCATENATE(TIMETABLE!#REF!," ","[",TIMETABLE!#REF!," ","Students","]"," ",TIMETABLE!#REF!,":"," ",TIMETABLE!#REF!," ",TIMETABLE!#REF!)</f>
        <v>#REF!</v>
      </c>
      <c r="W162" s="315" t="e">
        <f>CONCATENATE(TIMETABLE!#REF!," ","[",TIMETABLE!#REF!," ","Students","]"," ",TIMETABLE!#REF!,":"," ",TIMETABLE!#REF!," ",TIMETABLE!#REF!)</f>
        <v>#REF!</v>
      </c>
      <c r="X162" s="315" t="e">
        <f>CONCATENATE(TIMETABLE!#REF!," ","[",TIMETABLE!#REF!," ","Students","]"," ",TIMETABLE!#REF!,":"," ",TIMETABLE!#REF!," ",TIMETABLE!#REF!)</f>
        <v>#REF!</v>
      </c>
      <c r="Y162" s="315" t="e">
        <f>CONCATENATE(TIMETABLE!#REF!," ","[",TIMETABLE!#REF!," ","Students","]"," ",TIMETABLE!#REF!,":"," ",TIMETABLE!#REF!," ",TIMETABLE!#REF!)</f>
        <v>#REF!</v>
      </c>
      <c r="Z162" s="315" t="e">
        <f>CONCATENATE(TIMETABLE!#REF!," ","[",TIMETABLE!#REF!," ","Students","]"," ",TIMETABLE!#REF!,":"," ",TIMETABLE!#REF!," ",TIMETABLE!#REF!)</f>
        <v>#REF!</v>
      </c>
      <c r="AA162" s="315" t="e">
        <f>CONCATENATE(TIMETABLE!#REF!," ","[",TIMETABLE!#REF!," ","Students","]"," ",TIMETABLE!#REF!,":"," ",TIMETABLE!#REF!," ",TIMETABLE!#REF!)</f>
        <v>#REF!</v>
      </c>
      <c r="AB162" s="315" t="e">
        <f>CONCATENATE(TIMETABLE!#REF!," ","[",TIMETABLE!#REF!," ","Students","]"," ",TIMETABLE!#REF!,":"," ",TIMETABLE!#REF!," ",TIMETABLE!#REF!)</f>
        <v>#REF!</v>
      </c>
      <c r="AC162" s="315" t="e">
        <f>CONCATENATE(TIMETABLE!W$6," ","[",TIMETABLE!W$7," ","Students","]"," ",TIMETABLE!#REF!,":"," ",TIMETABLE!#REF!," ",TIMETABLE!#REF!)</f>
        <v>#REF!</v>
      </c>
      <c r="AD162" s="315" t="e">
        <f>CONCATENATE(TIMETABLE!#REF!," ","[",TIMETABLE!#REF!," ","Students","]"," ",TIMETABLE!#REF!,":"," ",TIMETABLE!#REF!," ",TIMETABLE!#REF!)</f>
        <v>#REF!</v>
      </c>
      <c r="AE162" s="315" t="e">
        <f>CONCATENATE(TIMETABLE!#REF!," ","[",TIMETABLE!#REF!," ","Students","]"," ",TIMETABLE!#REF!,":"," ",TIMETABLE!#REF!," ",TIMETABLE!#REF!)</f>
        <v>#REF!</v>
      </c>
      <c r="AF162" s="495"/>
    </row>
    <row r="163" spans="3:32" ht="23.4" x14ac:dyDescent="0.45">
      <c r="C163" s="495"/>
      <c r="D163" s="143"/>
      <c r="E163" s="131"/>
      <c r="F163" s="131"/>
      <c r="G163" s="131"/>
      <c r="H163" s="131"/>
      <c r="I163" s="131"/>
      <c r="J163" s="131"/>
      <c r="K163" s="131"/>
      <c r="L163" s="131"/>
      <c r="M163" s="131"/>
      <c r="N163" s="131"/>
      <c r="O163" s="131"/>
      <c r="P163" s="131"/>
      <c r="Q163" s="131"/>
      <c r="R163" s="131"/>
      <c r="S163" s="131"/>
      <c r="T163" s="131"/>
      <c r="U163" s="131"/>
      <c r="V163" s="131"/>
      <c r="W163" s="131"/>
      <c r="X163" s="131"/>
      <c r="Y163" s="131"/>
      <c r="Z163" s="131"/>
      <c r="AA163" s="131"/>
      <c r="AB163" s="131"/>
      <c r="AC163" s="131"/>
      <c r="AD163" s="131"/>
      <c r="AE163" s="131"/>
      <c r="AF163" s="495"/>
    </row>
    <row r="164" spans="3:32" ht="23.4" x14ac:dyDescent="0.45">
      <c r="C164" s="495"/>
      <c r="D164" s="143"/>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c r="AA164" s="134"/>
      <c r="AB164" s="134"/>
      <c r="AC164" s="134"/>
      <c r="AD164" s="134"/>
      <c r="AE164" s="134"/>
      <c r="AF164" s="495"/>
    </row>
    <row r="165" spans="3:32" ht="24" thickBot="1" x14ac:dyDescent="0.5">
      <c r="C165" s="496"/>
      <c r="D165" s="146"/>
      <c r="E165" s="315" t="e">
        <f>CONCATENATE(TIMETABLE!#REF!," ","[",TIMETABLE!#REF!," ","Students","]"," ",TIMETABLE!#REF!,":"," ",TIMETABLE!#REF!," ",TIMETABLE!#REF!)</f>
        <v>#REF!</v>
      </c>
      <c r="F165" s="315" t="e">
        <f>CONCATENATE(TIMETABLE!#REF!," ","[",TIMETABLE!#REF!," ","Students","]"," ",TIMETABLE!#REF!,":"," ",TIMETABLE!#REF!," ",TIMETABLE!#REF!)</f>
        <v>#REF!</v>
      </c>
      <c r="G165" s="315" t="e">
        <f>CONCATENATE(TIMETABLE!#REF!," ","[",TIMETABLE!#REF!," ","Students","]"," ",TIMETABLE!#REF!,":"," ",TIMETABLE!#REF!," ",TIMETABLE!#REF!)</f>
        <v>#REF!</v>
      </c>
      <c r="H165" s="315" t="e">
        <f>CONCATENATE(TIMETABLE!#REF!," ","[",TIMETABLE!#REF!," ","Students","]"," ",TIMETABLE!#REF!,":"," ",TIMETABLE!#REF!," ",TIMETABLE!#REF!)</f>
        <v>#REF!</v>
      </c>
      <c r="I165" s="315" t="e">
        <f>CONCATENATE(TIMETABLE!#REF!," ","[",TIMETABLE!#REF!," ","Students","]"," ",TIMETABLE!#REF!,":"," ",TIMETABLE!#REF!," ",TIMETABLE!#REF!)</f>
        <v>#REF!</v>
      </c>
      <c r="J165" s="315" t="e">
        <f>CONCATENATE(TIMETABLE!#REF!," ","[",TIMETABLE!#REF!," ","Students","]"," ",TIMETABLE!#REF!,":"," ",TIMETABLE!#REF!," ",TIMETABLE!#REF!)</f>
        <v>#REF!</v>
      </c>
      <c r="K165" s="315" t="e">
        <f>CONCATENATE(TIMETABLE!#REF!," ","[",TIMETABLE!#REF!," ","Students","]"," ",TIMETABLE!#REF!,":"," ",TIMETABLE!#REF!," ",TIMETABLE!#REF!)</f>
        <v>#REF!</v>
      </c>
      <c r="L165" s="315" t="e">
        <f>CONCATENATE(TIMETABLE!D$6," ","[",TIMETABLE!D$7," ","Students","]"," ",TIMETABLE!#REF!,":"," ",TIMETABLE!#REF!," ",TIMETABLE!#REF!)</f>
        <v>#REF!</v>
      </c>
      <c r="M165" s="315" t="e">
        <f>CONCATENATE(TIMETABLE!E$6," ","[",TIMETABLE!E$7," ","Students","]"," ",TIMETABLE!#REF!,":"," ",TIMETABLE!#REF!," ",TIMETABLE!#REF!)</f>
        <v>#REF!</v>
      </c>
      <c r="N165" s="315" t="e">
        <f>CONCATENATE(TIMETABLE!#REF!," ","[",TIMETABLE!#REF!," ","Students","]"," ",TIMETABLE!#REF!,":"," ",TIMETABLE!#REF!," ",TIMETABLE!#REF!)</f>
        <v>#REF!</v>
      </c>
      <c r="O165" s="315" t="e">
        <f>CONCATENATE(TIMETABLE!#REF!," ","[",TIMETABLE!#REF!," ","Students","]"," ",TIMETABLE!#REF!,":"," ",TIMETABLE!#REF!," ",TIMETABLE!#REF!)</f>
        <v>#REF!</v>
      </c>
      <c r="P165" s="315" t="e">
        <f>CONCATENATE(TIMETABLE!F$6," ","[",TIMETABLE!F$7," ","Students","]"," ",TIMETABLE!#REF!,":"," ",TIMETABLE!#REF!," ",TIMETABLE!#REF!)</f>
        <v>#REF!</v>
      </c>
      <c r="Q165" s="315" t="e">
        <f>CONCATENATE(TIMETABLE!G$6," ","[",TIMETABLE!G$7," ","Students","]"," ",TIMETABLE!#REF!,":"," ",TIMETABLE!#REF!," ",TIMETABLE!#REF!)</f>
        <v>#REF!</v>
      </c>
      <c r="R165" s="315" t="e">
        <f>CONCATENATE(TIMETABLE!#REF!," ","[",TIMETABLE!#REF!," ","Students","]"," ",TIMETABLE!#REF!,":"," ",TIMETABLE!#REF!," ",TIMETABLE!#REF!)</f>
        <v>#REF!</v>
      </c>
      <c r="S165" s="315" t="e">
        <f>CONCATENATE(TIMETABLE!#REF!," ","[",TIMETABLE!#REF!," ","Students","]"," ",TIMETABLE!#REF!,":"," ",TIMETABLE!#REF!," ",TIMETABLE!#REF!)</f>
        <v>#REF!</v>
      </c>
      <c r="T165" s="315" t="e">
        <f>CONCATENATE(TIMETABLE!J$6," ","[",TIMETABLE!J$7," ","Students","]"," ",TIMETABLE!#REF!,":"," ",TIMETABLE!#REF!," ",TIMETABLE!#REF!)</f>
        <v>#REF!</v>
      </c>
      <c r="U165" s="315" t="e">
        <f>CONCATENATE(TIMETABLE!#REF!," ","[",TIMETABLE!#REF!," ","Students","]"," ",TIMETABLE!#REF!,":"," ",TIMETABLE!#REF!," ",TIMETABLE!#REF!)</f>
        <v>#REF!</v>
      </c>
      <c r="V165" s="315" t="e">
        <f>CONCATENATE(TIMETABLE!#REF!," ","[",TIMETABLE!#REF!," ","Students","]"," ",TIMETABLE!#REF!,":"," ",TIMETABLE!#REF!," ",TIMETABLE!#REF!)</f>
        <v>#REF!</v>
      </c>
      <c r="W165" s="315" t="e">
        <f>CONCATENATE(TIMETABLE!#REF!," ","[",TIMETABLE!#REF!," ","Students","]"," ",TIMETABLE!#REF!,":"," ",TIMETABLE!#REF!," ",TIMETABLE!#REF!)</f>
        <v>#REF!</v>
      </c>
      <c r="X165" s="315" t="e">
        <f>CONCATENATE(TIMETABLE!#REF!," ","[",TIMETABLE!#REF!," ","Students","]"," ",TIMETABLE!#REF!,":"," ",TIMETABLE!#REF!," ",TIMETABLE!#REF!)</f>
        <v>#REF!</v>
      </c>
      <c r="Y165" s="315" t="e">
        <f>CONCATENATE(TIMETABLE!#REF!," ","[",TIMETABLE!#REF!," ","Students","]"," ",TIMETABLE!#REF!,":"," ",TIMETABLE!#REF!," ",TIMETABLE!#REF!)</f>
        <v>#REF!</v>
      </c>
      <c r="Z165" s="315" t="e">
        <f>CONCATENATE(TIMETABLE!#REF!," ","[",TIMETABLE!#REF!," ","Students","]"," ",TIMETABLE!#REF!,":"," ",TIMETABLE!#REF!," ",TIMETABLE!#REF!)</f>
        <v>#REF!</v>
      </c>
      <c r="AA165" s="315" t="e">
        <f>CONCATENATE(TIMETABLE!#REF!," ","[",TIMETABLE!#REF!," ","Students","]"," ",TIMETABLE!#REF!,":"," ",TIMETABLE!#REF!," ",TIMETABLE!#REF!)</f>
        <v>#REF!</v>
      </c>
      <c r="AB165" s="315" t="e">
        <f>CONCATENATE(TIMETABLE!#REF!," ","[",TIMETABLE!#REF!," ","Students","]"," ",TIMETABLE!#REF!,":"," ",TIMETABLE!#REF!," ",TIMETABLE!#REF!)</f>
        <v>#REF!</v>
      </c>
      <c r="AC165" s="315" t="e">
        <f>CONCATENATE(TIMETABLE!W$6," ","[",TIMETABLE!W$7," ","Students","]"," ",TIMETABLE!#REF!,":"," ",TIMETABLE!#REF!," ",TIMETABLE!#REF!)</f>
        <v>#REF!</v>
      </c>
      <c r="AD165" s="315" t="e">
        <f>CONCATENATE(TIMETABLE!#REF!," ","[",TIMETABLE!#REF!," ","Students","]"," ",TIMETABLE!#REF!,":"," ",TIMETABLE!#REF!," ",TIMETABLE!#REF!)</f>
        <v>#REF!</v>
      </c>
      <c r="AE165" s="315" t="e">
        <f>CONCATENATE(TIMETABLE!#REF!," ","[",TIMETABLE!#REF!," ","Students","]"," ",TIMETABLE!#REF!,":"," ",TIMETABLE!#REF!," ",TIMETABLE!#REF!)</f>
        <v>#REF!</v>
      </c>
      <c r="AF165" s="496"/>
    </row>
    <row r="166" spans="3:32" ht="24" thickTop="1" x14ac:dyDescent="0.45">
      <c r="C166" s="497"/>
      <c r="D166" s="166"/>
      <c r="E166" s="167"/>
      <c r="F166" s="167"/>
      <c r="G166" s="167"/>
      <c r="H166" s="167"/>
      <c r="I166" s="167"/>
      <c r="J166" s="167"/>
      <c r="K166" s="167"/>
      <c r="L166" s="167"/>
      <c r="M166" s="167"/>
      <c r="N166" s="167"/>
      <c r="O166" s="167"/>
      <c r="P166" s="167"/>
      <c r="Q166" s="167"/>
      <c r="R166" s="167"/>
      <c r="S166" s="167"/>
      <c r="T166" s="167"/>
      <c r="U166" s="167"/>
      <c r="V166" s="167"/>
      <c r="W166" s="167"/>
      <c r="X166" s="167"/>
      <c r="Y166" s="167"/>
      <c r="Z166" s="167"/>
      <c r="AA166" s="167"/>
      <c r="AB166" s="167"/>
      <c r="AC166" s="167"/>
      <c r="AD166" s="167"/>
      <c r="AE166" s="167"/>
      <c r="AF166" s="497"/>
    </row>
    <row r="167" spans="3:32" ht="23.4" x14ac:dyDescent="0.45">
      <c r="C167" s="498"/>
      <c r="D167" s="168"/>
      <c r="E167" s="169"/>
      <c r="F167" s="169"/>
      <c r="G167" s="169"/>
      <c r="H167" s="169"/>
      <c r="I167" s="169"/>
      <c r="J167" s="169"/>
      <c r="K167" s="169"/>
      <c r="L167" s="169"/>
      <c r="M167" s="169"/>
      <c r="N167" s="169"/>
      <c r="O167" s="169"/>
      <c r="P167" s="169"/>
      <c r="Q167" s="169"/>
      <c r="R167" s="169"/>
      <c r="S167" s="169"/>
      <c r="T167" s="169"/>
      <c r="U167" s="169"/>
      <c r="V167" s="169"/>
      <c r="W167" s="169"/>
      <c r="X167" s="169"/>
      <c r="Y167" s="169"/>
      <c r="Z167" s="169"/>
      <c r="AA167" s="169"/>
      <c r="AB167" s="169"/>
      <c r="AC167" s="169"/>
      <c r="AD167" s="169"/>
      <c r="AE167" s="169"/>
      <c r="AF167" s="498"/>
    </row>
    <row r="168" spans="3:32" ht="24" thickBot="1" x14ac:dyDescent="0.5">
      <c r="C168" s="498"/>
      <c r="D168" s="170"/>
      <c r="E168" s="317" t="e">
        <f>CONCATENATE(TIMETABLE!#REF!," ","[",TIMETABLE!#REF!," ","Students","]"," ",TIMETABLE!#REF!,":"," ",TIMETABLE!#REF!," ",TIMETABLE!#REF!)</f>
        <v>#REF!</v>
      </c>
      <c r="F168" s="317" t="e">
        <f>CONCATENATE(TIMETABLE!#REF!," ","[",TIMETABLE!#REF!," ","Students","]"," ",TIMETABLE!#REF!,":"," ",TIMETABLE!#REF!," ",TIMETABLE!#REF!)</f>
        <v>#REF!</v>
      </c>
      <c r="G168" s="317" t="e">
        <f>CONCATENATE(TIMETABLE!#REF!," ","[",TIMETABLE!#REF!," ","Students","]"," ",TIMETABLE!#REF!,":"," ",TIMETABLE!#REF!," ",TIMETABLE!#REF!)</f>
        <v>#REF!</v>
      </c>
      <c r="H168" s="317" t="e">
        <f>CONCATENATE(TIMETABLE!#REF!," ","[",TIMETABLE!#REF!," ","Students","]"," ",TIMETABLE!#REF!,":"," ",TIMETABLE!#REF!," ",TIMETABLE!#REF!)</f>
        <v>#REF!</v>
      </c>
      <c r="I168" s="317" t="e">
        <f>CONCATENATE(TIMETABLE!#REF!," ","[",TIMETABLE!#REF!," ","Students","]"," ",TIMETABLE!#REF!,":"," ",TIMETABLE!#REF!," ",TIMETABLE!#REF!)</f>
        <v>#REF!</v>
      </c>
      <c r="J168" s="317" t="e">
        <f>CONCATENATE(TIMETABLE!#REF!," ","[",TIMETABLE!#REF!," ","Students","]"," ",TIMETABLE!#REF!,":"," ",TIMETABLE!#REF!," ",TIMETABLE!#REF!)</f>
        <v>#REF!</v>
      </c>
      <c r="K168" s="317" t="e">
        <f>CONCATENATE(TIMETABLE!#REF!," ","[",TIMETABLE!#REF!," ","Students","]"," ",TIMETABLE!#REF!,":"," ",TIMETABLE!#REF!," ",TIMETABLE!#REF!)</f>
        <v>#REF!</v>
      </c>
      <c r="L168" s="317" t="str">
        <f>CONCATENATE(TIMETABLE!D$6," ","[",TIMETABLE!D$7," ","Students","]"," ",TIMETABLE!D84,":"," ",TIMETABLE!D87," ",TIMETABLE!D86)</f>
        <v>BSME/SEP2020/J-FT [Y2S1  (50) Students] EMC 4211: BENSON/MWANGANGI W/SHOP</v>
      </c>
      <c r="M168" s="317" t="str">
        <f>CONCATENATE(TIMETABLE!E$6," ","[",TIMETABLE!E$7," ","Students","]"," ",TIMETABLE!E84,":"," ",TIMETABLE!E87," ",TIMETABLE!E86)</f>
        <v xml:space="preserve">BSME/AUG2021/J-FT [Y1S2  (55) Students] :  </v>
      </c>
      <c r="N168" s="317" t="e">
        <f>CONCATENATE(TIMETABLE!#REF!," ","[",TIMETABLE!#REF!," ","Students","]"," ",TIMETABLE!#REF!,":"," ",TIMETABLE!#REF!," ",TIMETABLE!#REF!)</f>
        <v>#REF!</v>
      </c>
      <c r="O168" s="317" t="e">
        <f>CONCATENATE(TIMETABLE!#REF!," ","[",TIMETABLE!#REF!," ","Students","]"," ",TIMETABLE!#REF!,":"," ",TIMETABLE!#REF!," ",TIMETABLE!#REF!)</f>
        <v>#REF!</v>
      </c>
      <c r="P168" s="317" t="str">
        <f>CONCATENATE(TIMETABLE!F$6," ","[",TIMETABLE!F$7," ","Students","]"," ",TIMETABLE!F84,":"," ",TIMETABLE!F87," ",TIMETABLE!F86)</f>
        <v xml:space="preserve">BTME/SEP2019/S-PT [Y3S1   (10) Students] :  </v>
      </c>
      <c r="Q168" s="317" t="str">
        <f>CONCATENATE(TIMETABLE!G$6," ","[",TIMETABLE!G$7," ","Students","]"," ",TIMETABLE!G84,":"," ",TIMETABLE!G87," ",TIMETABLE!G86)</f>
        <v xml:space="preserve">BTME/AUG2021/S-PT [Y2S2   (10) Students] :  </v>
      </c>
      <c r="R168" s="317" t="e">
        <f>CONCATENATE(TIMETABLE!#REF!," ","[",TIMETABLE!#REF!," ","Students","]"," ",TIMETABLE!#REF!,":"," ",TIMETABLE!#REF!," ",TIMETABLE!#REF!)</f>
        <v>#REF!</v>
      </c>
      <c r="S168" s="317" t="e">
        <f>CONCATENATE(TIMETABLE!#REF!," ","[",TIMETABLE!#REF!," ","Students","]"," ",TIMETABLE!#REF!,":"," ",TIMETABLE!#REF!," ",TIMETABLE!#REF!)</f>
        <v>#REF!</v>
      </c>
      <c r="T168" s="317" t="str">
        <f>CONCATENATE(TIMETABLE!J$6," ","[",TIMETABLE!J$7," ","Students","]"," ",TIMETABLE!J84,":"," ",TIMETABLE!J85," ",TIMETABLE!J86)</f>
        <v xml:space="preserve">BTME/AUG2021/J&amp;S-FT [Y1S1  (52) Students] :  </v>
      </c>
      <c r="U168" s="317" t="e">
        <f>CONCATENATE(TIMETABLE!#REF!," ","[",TIMETABLE!#REF!," ","Students","]"," ",TIMETABLE!#REF!,":"," ",TIMETABLE!#REF!," ",TIMETABLE!#REF!)</f>
        <v>#REF!</v>
      </c>
      <c r="V168" s="317" t="e">
        <f>CONCATENATE(TIMETABLE!#REF!," ","[",TIMETABLE!#REF!," ","Students","]"," ",TIMETABLE!#REF!,":"," ",TIMETABLE!#REF!," ",TIMETABLE!#REF!)</f>
        <v>#REF!</v>
      </c>
      <c r="W168" s="317" t="e">
        <f>CONCATENATE(TIMETABLE!#REF!," ","[",TIMETABLE!#REF!," ","Students","]"," ",TIMETABLE!#REF!,":"," ",TIMETABLE!#REF!," ",TIMETABLE!#REF!)</f>
        <v>#REF!</v>
      </c>
      <c r="X168" s="317" t="e">
        <f>CONCATENATE(TIMETABLE!#REF!," ","[",TIMETABLE!#REF!," ","Students","]"," ",TIMETABLE!#REF!,":"," ",TIMETABLE!#REF!," ",TIMETABLE!#REF!)</f>
        <v>#REF!</v>
      </c>
      <c r="Y168" s="317" t="e">
        <f>CONCATENATE(TIMETABLE!#REF!," ","[",TIMETABLE!#REF!," ","Students","]"," ",TIMETABLE!#REF!,":"," ",TIMETABLE!#REF!," ",TIMETABLE!#REF!)</f>
        <v>#REF!</v>
      </c>
      <c r="Z168" s="317" t="e">
        <f>CONCATENATE(TIMETABLE!#REF!," ","[",TIMETABLE!#REF!," ","Students","]"," ",TIMETABLE!#REF!,":"," ",TIMETABLE!#REF!," ",TIMETABLE!#REF!)</f>
        <v>#REF!</v>
      </c>
      <c r="AA168" s="317" t="e">
        <f>CONCATENATE(TIMETABLE!#REF!," ","[",TIMETABLE!#REF!," ","Students","]"," ",TIMETABLE!#REF!,":"," ",TIMETABLE!#REF!," ",TIMETABLE!#REF!)</f>
        <v>#REF!</v>
      </c>
      <c r="AB168" s="317" t="e">
        <f>CONCATENATE(TIMETABLE!#REF!," ","[",TIMETABLE!#REF!," ","Students","]"," ",TIMETABLE!#REF!,":"," ",TIMETABLE!#REF!," ",TIMETABLE!#REF!)</f>
        <v>#REF!</v>
      </c>
      <c r="AC168" s="317" t="str">
        <f>CONCATENATE(TIMETABLE!W$6," ","[",TIMETABLE!W$7," ","Students","]"," ",TIMETABLE!W84,":"," ",TIMETABLE!W87," ",TIMETABLE!W86)</f>
        <v>DMAE/SEP20201J&amp;S-FT [Y1S2   (60) Students] EMR 2115: MUCHIRU/KESSIO FL/LAB</v>
      </c>
      <c r="AD168" s="317" t="e">
        <f>CONCATENATE(TIMETABLE!#REF!," ","[",TIMETABLE!#REF!," ","Students","]"," ",TIMETABLE!#REF!,":"," ",TIMETABLE!#REF!," ",TIMETABLE!#REF!)</f>
        <v>#REF!</v>
      </c>
      <c r="AE168" s="317" t="e">
        <f>CONCATENATE(TIMETABLE!#REF!," ","[",TIMETABLE!#REF!," ","Students","]"," ",TIMETABLE!#REF!,":"," ",TIMETABLE!#REF!," ",TIMETABLE!#REF!)</f>
        <v>#REF!</v>
      </c>
      <c r="AF168" s="498"/>
    </row>
    <row r="169" spans="3:32" ht="23.4" x14ac:dyDescent="0.45">
      <c r="C169" s="498"/>
      <c r="D169" s="172"/>
      <c r="E169" s="167"/>
      <c r="F169" s="167"/>
      <c r="G169" s="167"/>
      <c r="H169" s="167"/>
      <c r="I169" s="167"/>
      <c r="J169" s="167"/>
      <c r="K169" s="167"/>
      <c r="L169" s="167"/>
      <c r="M169" s="167"/>
      <c r="N169" s="167"/>
      <c r="O169" s="167"/>
      <c r="P169" s="167"/>
      <c r="Q169" s="167"/>
      <c r="R169" s="167"/>
      <c r="S169" s="167"/>
      <c r="T169" s="167"/>
      <c r="U169" s="167"/>
      <c r="V169" s="167"/>
      <c r="W169" s="167"/>
      <c r="X169" s="167"/>
      <c r="Y169" s="167"/>
      <c r="Z169" s="167"/>
      <c r="AA169" s="167"/>
      <c r="AB169" s="167"/>
      <c r="AC169" s="167"/>
      <c r="AD169" s="167"/>
      <c r="AE169" s="167"/>
      <c r="AF169" s="498"/>
    </row>
    <row r="170" spans="3:32" ht="23.4" x14ac:dyDescent="0.45">
      <c r="C170" s="498"/>
      <c r="D170" s="172"/>
      <c r="E170" s="169"/>
      <c r="F170" s="169"/>
      <c r="G170" s="169"/>
      <c r="H170" s="169"/>
      <c r="I170" s="169"/>
      <c r="J170" s="169"/>
      <c r="K170" s="169"/>
      <c r="L170" s="169"/>
      <c r="M170" s="169"/>
      <c r="N170" s="169"/>
      <c r="O170" s="169"/>
      <c r="P170" s="169"/>
      <c r="Q170" s="169"/>
      <c r="R170" s="169"/>
      <c r="S170" s="169"/>
      <c r="T170" s="169"/>
      <c r="U170" s="169"/>
      <c r="V170" s="169"/>
      <c r="W170" s="169"/>
      <c r="X170" s="169"/>
      <c r="Y170" s="169"/>
      <c r="Z170" s="169"/>
      <c r="AA170" s="169"/>
      <c r="AB170" s="169"/>
      <c r="AC170" s="169"/>
      <c r="AD170" s="169"/>
      <c r="AE170" s="169"/>
      <c r="AF170" s="498"/>
    </row>
    <row r="171" spans="3:32" ht="24" thickBot="1" x14ac:dyDescent="0.5">
      <c r="C171" s="498"/>
      <c r="D171" s="170"/>
      <c r="E171" s="317" t="e">
        <f>CONCATENATE(TIMETABLE!#REF!," ","[",TIMETABLE!#REF!," ","Students","]"," ",TIMETABLE!#REF!,":"," ",TIMETABLE!#REF!," ",TIMETABLE!#REF!)</f>
        <v>#REF!</v>
      </c>
      <c r="F171" s="317" t="e">
        <f>CONCATENATE(TIMETABLE!#REF!," ","[",TIMETABLE!#REF!," ","Students","]"," ",TIMETABLE!#REF!,":"," ",TIMETABLE!#REF!," ",TIMETABLE!#REF!)</f>
        <v>#REF!</v>
      </c>
      <c r="G171" s="317" t="e">
        <f>CONCATENATE(TIMETABLE!#REF!," ","[",TIMETABLE!#REF!," ","Students","]"," ",TIMETABLE!#REF!,":"," ",TIMETABLE!#REF!," ",TIMETABLE!#REF!)</f>
        <v>#REF!</v>
      </c>
      <c r="H171" s="317" t="e">
        <f>CONCATENATE(TIMETABLE!#REF!," ","[",TIMETABLE!#REF!," ","Students","]"," ",TIMETABLE!#REF!,":"," ",TIMETABLE!#REF!," ",TIMETABLE!#REF!)</f>
        <v>#REF!</v>
      </c>
      <c r="I171" s="317" t="e">
        <f>CONCATENATE(TIMETABLE!#REF!," ","[",TIMETABLE!#REF!," ","Students","]"," ",TIMETABLE!#REF!,":"," ",TIMETABLE!#REF!," ",TIMETABLE!#REF!)</f>
        <v>#REF!</v>
      </c>
      <c r="J171" s="317" t="e">
        <f>CONCATENATE(TIMETABLE!#REF!," ","[",TIMETABLE!#REF!," ","Students","]"," ",TIMETABLE!#REF!,":"," ",TIMETABLE!#REF!," ",TIMETABLE!#REF!)</f>
        <v>#REF!</v>
      </c>
      <c r="K171" s="317" t="e">
        <f>CONCATENATE(TIMETABLE!#REF!," ","[",TIMETABLE!#REF!," ","Students","]"," ",TIMETABLE!#REF!,":"," ",TIMETABLE!#REF!," ",TIMETABLE!#REF!)</f>
        <v>#REF!</v>
      </c>
      <c r="L171" s="317" t="e">
        <f>CONCATENATE(TIMETABLE!D$6," ","[",TIMETABLE!D$7," ","Students","]"," ",TIMETABLE!#REF!,":"," ",TIMETABLE!#REF!," ",TIMETABLE!#REF!)</f>
        <v>#REF!</v>
      </c>
      <c r="M171" s="317" t="e">
        <f>CONCATENATE(TIMETABLE!E$6," ","[",TIMETABLE!E$7," ","Students","]"," ",TIMETABLE!#REF!,":"," ",TIMETABLE!#REF!," ",TIMETABLE!#REF!)</f>
        <v>#REF!</v>
      </c>
      <c r="N171" s="317" t="e">
        <f>CONCATENATE(TIMETABLE!#REF!," ","[",TIMETABLE!#REF!," ","Students","]"," ",TIMETABLE!#REF!,":"," ",TIMETABLE!#REF!," ",TIMETABLE!#REF!)</f>
        <v>#REF!</v>
      </c>
      <c r="O171" s="317" t="e">
        <f>CONCATENATE(TIMETABLE!#REF!," ","[",TIMETABLE!#REF!," ","Students","]"," ",TIMETABLE!#REF!,":"," ",TIMETABLE!#REF!," ",TIMETABLE!#REF!)</f>
        <v>#REF!</v>
      </c>
      <c r="P171" s="317" t="e">
        <f>CONCATENATE(TIMETABLE!F$6," ","[",TIMETABLE!F$7," ","Students","]"," ",TIMETABLE!#REF!,":"," ",TIMETABLE!#REF!," ",TIMETABLE!#REF!)</f>
        <v>#REF!</v>
      </c>
      <c r="Q171" s="317" t="e">
        <f>CONCATENATE(TIMETABLE!G$6," ","[",TIMETABLE!G$7," ","Students","]"," ",TIMETABLE!#REF!,":"," ",TIMETABLE!#REF!," ",TIMETABLE!#REF!)</f>
        <v>#REF!</v>
      </c>
      <c r="R171" s="317" t="e">
        <f>CONCATENATE(TIMETABLE!#REF!," ","[",TIMETABLE!#REF!," ","Students","]"," ",TIMETABLE!#REF!,":"," ",TIMETABLE!#REF!," ",TIMETABLE!#REF!)</f>
        <v>#REF!</v>
      </c>
      <c r="S171" s="317" t="e">
        <f>CONCATENATE(TIMETABLE!#REF!," ","[",TIMETABLE!#REF!," ","Students","]"," ",TIMETABLE!#REF!,":"," ",TIMETABLE!#REF!," ",TIMETABLE!#REF!)</f>
        <v>#REF!</v>
      </c>
      <c r="T171" s="317" t="e">
        <f>CONCATENATE(TIMETABLE!J$6," ","[",TIMETABLE!J$7," ","Students","]"," ",TIMETABLE!#REF!,":"," ",TIMETABLE!#REF!," ",TIMETABLE!#REF!)</f>
        <v>#REF!</v>
      </c>
      <c r="U171" s="317" t="e">
        <f>CONCATENATE(TIMETABLE!#REF!," ","[",TIMETABLE!#REF!," ","Students","]"," ",TIMETABLE!#REF!,":"," ",TIMETABLE!#REF!," ",TIMETABLE!#REF!)</f>
        <v>#REF!</v>
      </c>
      <c r="V171" s="317" t="e">
        <f>CONCATENATE(TIMETABLE!#REF!," ","[",TIMETABLE!#REF!," ","Students","]"," ",TIMETABLE!#REF!,":"," ",TIMETABLE!#REF!," ",TIMETABLE!#REF!)</f>
        <v>#REF!</v>
      </c>
      <c r="W171" s="317" t="e">
        <f>CONCATENATE(TIMETABLE!#REF!," ","[",TIMETABLE!#REF!," ","Students","]"," ",TIMETABLE!#REF!,":"," ",TIMETABLE!#REF!," ",TIMETABLE!#REF!)</f>
        <v>#REF!</v>
      </c>
      <c r="X171" s="317" t="e">
        <f>CONCATENATE(TIMETABLE!#REF!," ","[",TIMETABLE!#REF!," ","Students","]"," ",TIMETABLE!#REF!,":"," ",TIMETABLE!#REF!," ",TIMETABLE!#REF!)</f>
        <v>#REF!</v>
      </c>
      <c r="Y171" s="317" t="e">
        <f>CONCATENATE(TIMETABLE!#REF!," ","[",TIMETABLE!#REF!," ","Students","]"," ",TIMETABLE!#REF!,":"," ",TIMETABLE!#REF!," ",TIMETABLE!#REF!)</f>
        <v>#REF!</v>
      </c>
      <c r="Z171" s="317" t="e">
        <f>CONCATENATE(TIMETABLE!#REF!," ","[",TIMETABLE!#REF!," ","Students","]"," ",TIMETABLE!#REF!,":"," ",TIMETABLE!#REF!," ",TIMETABLE!#REF!)</f>
        <v>#REF!</v>
      </c>
      <c r="AA171" s="317" t="e">
        <f>CONCATENATE(TIMETABLE!#REF!," ","[",TIMETABLE!#REF!," ","Students","]"," ",TIMETABLE!#REF!,":"," ",TIMETABLE!#REF!," ",TIMETABLE!#REF!)</f>
        <v>#REF!</v>
      </c>
      <c r="AB171" s="317" t="e">
        <f>CONCATENATE(TIMETABLE!#REF!," ","[",TIMETABLE!#REF!," ","Students","]"," ",TIMETABLE!#REF!,":"," ",TIMETABLE!#REF!," ",TIMETABLE!#REF!)</f>
        <v>#REF!</v>
      </c>
      <c r="AC171" s="317" t="e">
        <f>CONCATENATE(TIMETABLE!W$6," ","[",TIMETABLE!W$7," ","Students","]"," ",TIMETABLE!#REF!,":"," ",TIMETABLE!#REF!," ",TIMETABLE!#REF!)</f>
        <v>#REF!</v>
      </c>
      <c r="AD171" s="317" t="e">
        <f>CONCATENATE(TIMETABLE!#REF!," ","[",TIMETABLE!#REF!," ","Students","]"," ",TIMETABLE!#REF!,":"," ",TIMETABLE!#REF!," ",TIMETABLE!#REF!)</f>
        <v>#REF!</v>
      </c>
      <c r="AE171" s="317" t="e">
        <f>CONCATENATE(TIMETABLE!#REF!," ","[",TIMETABLE!#REF!," ","Students","]"," ",TIMETABLE!#REF!,":"," ",TIMETABLE!#REF!," ",TIMETABLE!#REF!)</f>
        <v>#REF!</v>
      </c>
      <c r="AF171" s="498"/>
    </row>
    <row r="172" spans="3:32" ht="23.4" x14ac:dyDescent="0.45">
      <c r="C172" s="498"/>
      <c r="D172" s="172"/>
      <c r="E172" s="167"/>
      <c r="F172" s="167"/>
      <c r="G172" s="167"/>
      <c r="H172" s="167"/>
      <c r="I172" s="167"/>
      <c r="J172" s="167"/>
      <c r="K172" s="167"/>
      <c r="L172" s="167"/>
      <c r="M172" s="167"/>
      <c r="N172" s="167"/>
      <c r="O172" s="167"/>
      <c r="P172" s="167"/>
      <c r="Q172" s="167"/>
      <c r="R172" s="167"/>
      <c r="S172" s="167"/>
      <c r="T172" s="167"/>
      <c r="U172" s="167"/>
      <c r="V172" s="167"/>
      <c r="W172" s="167"/>
      <c r="X172" s="167"/>
      <c r="Y172" s="167"/>
      <c r="Z172" s="167"/>
      <c r="AA172" s="167"/>
      <c r="AB172" s="167"/>
      <c r="AC172" s="167"/>
      <c r="AD172" s="167"/>
      <c r="AE172" s="167"/>
      <c r="AF172" s="498"/>
    </row>
    <row r="173" spans="3:32" ht="23.4" x14ac:dyDescent="0.45">
      <c r="C173" s="498"/>
      <c r="D173" s="173"/>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c r="AA173" s="169"/>
      <c r="AB173" s="169"/>
      <c r="AC173" s="169"/>
      <c r="AD173" s="169"/>
      <c r="AE173" s="169"/>
      <c r="AF173" s="498"/>
    </row>
    <row r="174" spans="3:32" ht="24" thickBot="1" x14ac:dyDescent="0.5">
      <c r="C174" s="498"/>
      <c r="D174" s="170"/>
      <c r="E174" s="317" t="e">
        <f>CONCATENATE(TIMETABLE!#REF!," ","[",TIMETABLE!#REF!," ","Students","]"," ",TIMETABLE!#REF!,":"," ",TIMETABLE!#REF!," ",TIMETABLE!#REF!)</f>
        <v>#REF!</v>
      </c>
      <c r="F174" s="317" t="e">
        <f>CONCATENATE(TIMETABLE!#REF!," ","[",TIMETABLE!#REF!," ","Students","]"," ",TIMETABLE!#REF!,":"," ",TIMETABLE!#REF!," ",TIMETABLE!#REF!)</f>
        <v>#REF!</v>
      </c>
      <c r="G174" s="317" t="e">
        <f>CONCATENATE(TIMETABLE!#REF!," ","[",TIMETABLE!#REF!," ","Students","]"," ",TIMETABLE!#REF!,":"," ",TIMETABLE!#REF!," ",TIMETABLE!#REF!)</f>
        <v>#REF!</v>
      </c>
      <c r="H174" s="317" t="e">
        <f>CONCATENATE(TIMETABLE!#REF!," ","[",TIMETABLE!#REF!," ","Students","]"," ",TIMETABLE!#REF!,":"," ",TIMETABLE!#REF!," ",TIMETABLE!#REF!)</f>
        <v>#REF!</v>
      </c>
      <c r="I174" s="317" t="e">
        <f>CONCATENATE(TIMETABLE!#REF!," ","[",TIMETABLE!#REF!," ","Students","]"," ",TIMETABLE!#REF!,":"," ",TIMETABLE!#REF!," ",TIMETABLE!#REF!)</f>
        <v>#REF!</v>
      </c>
      <c r="J174" s="317" t="e">
        <f>CONCATENATE(TIMETABLE!#REF!," ","[",TIMETABLE!#REF!," ","Students","]"," ",TIMETABLE!#REF!,":"," ",TIMETABLE!#REF!," ",TIMETABLE!#REF!)</f>
        <v>#REF!</v>
      </c>
      <c r="K174" s="317" t="e">
        <f>CONCATENATE(TIMETABLE!#REF!," ","[",TIMETABLE!#REF!," ","Students","]"," ",TIMETABLE!#REF!,":"," ",TIMETABLE!#REF!," ",TIMETABLE!#REF!)</f>
        <v>#REF!</v>
      </c>
      <c r="L174" s="317" t="e">
        <f>CONCATENATE(TIMETABLE!D$6," ","[",TIMETABLE!D$7," ","Students","]"," ",TIMETABLE!#REF!,":"," ",TIMETABLE!#REF!," ",TIMETABLE!#REF!)</f>
        <v>#REF!</v>
      </c>
      <c r="M174" s="317" t="e">
        <f>CONCATENATE(TIMETABLE!E$6," ","[",TIMETABLE!E$7," ","Students","]"," ",TIMETABLE!#REF!,":"," ",TIMETABLE!#REF!," ",TIMETABLE!#REF!)</f>
        <v>#REF!</v>
      </c>
      <c r="N174" s="317" t="e">
        <f>CONCATENATE(TIMETABLE!#REF!," ","[",TIMETABLE!#REF!," ","Students","]"," ",TIMETABLE!#REF!,":"," ",TIMETABLE!#REF!," ",TIMETABLE!#REF!)</f>
        <v>#REF!</v>
      </c>
      <c r="O174" s="317" t="e">
        <f>CONCATENATE(TIMETABLE!#REF!," ","[",TIMETABLE!#REF!," ","Students","]"," ",TIMETABLE!#REF!,":"," ",TIMETABLE!#REF!," ",TIMETABLE!#REF!)</f>
        <v>#REF!</v>
      </c>
      <c r="P174" s="317" t="e">
        <f>CONCATENATE(TIMETABLE!F$6," ","[",TIMETABLE!F$7," ","Students","]"," ",TIMETABLE!#REF!,":"," ",TIMETABLE!#REF!," ",TIMETABLE!#REF!)</f>
        <v>#REF!</v>
      </c>
      <c r="Q174" s="317" t="e">
        <f>CONCATENATE(TIMETABLE!G$6," ","[",TIMETABLE!G$7," ","Students","]"," ",TIMETABLE!#REF!,":"," ",TIMETABLE!#REF!," ",TIMETABLE!#REF!)</f>
        <v>#REF!</v>
      </c>
      <c r="R174" s="317" t="e">
        <f>CONCATENATE(TIMETABLE!#REF!," ","[",TIMETABLE!#REF!," ","Students","]"," ",TIMETABLE!#REF!,":"," ",TIMETABLE!#REF!," ",TIMETABLE!#REF!)</f>
        <v>#REF!</v>
      </c>
      <c r="S174" s="317" t="e">
        <f>CONCATENATE(TIMETABLE!#REF!," ","[",TIMETABLE!#REF!," ","Students","]"," ",TIMETABLE!#REF!,":"," ",TIMETABLE!#REF!," ",TIMETABLE!#REF!)</f>
        <v>#REF!</v>
      </c>
      <c r="T174" s="317" t="e">
        <f>CONCATENATE(TIMETABLE!J$6," ","[",TIMETABLE!J$7," ","Students","]"," ",TIMETABLE!#REF!,":"," ",TIMETABLE!#REF!," ",TIMETABLE!#REF!)</f>
        <v>#REF!</v>
      </c>
      <c r="U174" s="317" t="e">
        <f>CONCATENATE(TIMETABLE!#REF!," ","[",TIMETABLE!#REF!," ","Students","]"," ",TIMETABLE!#REF!,":"," ",TIMETABLE!#REF!," ",TIMETABLE!#REF!)</f>
        <v>#REF!</v>
      </c>
      <c r="V174" s="317" t="e">
        <f>CONCATENATE(TIMETABLE!#REF!," ","[",TIMETABLE!#REF!," ","Students","]"," ",TIMETABLE!#REF!,":"," ",TIMETABLE!#REF!," ",TIMETABLE!#REF!)</f>
        <v>#REF!</v>
      </c>
      <c r="W174" s="317" t="e">
        <f>CONCATENATE(TIMETABLE!#REF!," ","[",TIMETABLE!#REF!," ","Students","]"," ",TIMETABLE!#REF!,":"," ",TIMETABLE!#REF!," ",TIMETABLE!#REF!)</f>
        <v>#REF!</v>
      </c>
      <c r="X174" s="317" t="e">
        <f>CONCATENATE(TIMETABLE!#REF!," ","[",TIMETABLE!#REF!," ","Students","]"," ",TIMETABLE!#REF!,":"," ",TIMETABLE!#REF!," ",TIMETABLE!#REF!)</f>
        <v>#REF!</v>
      </c>
      <c r="Y174" s="317" t="e">
        <f>CONCATENATE(TIMETABLE!#REF!," ","[",TIMETABLE!#REF!," ","Students","]"," ",TIMETABLE!#REF!,":"," ",TIMETABLE!#REF!," ",TIMETABLE!#REF!)</f>
        <v>#REF!</v>
      </c>
      <c r="Z174" s="317" t="e">
        <f>CONCATENATE(TIMETABLE!#REF!," ","[",TIMETABLE!#REF!," ","Students","]"," ",TIMETABLE!#REF!,":"," ",TIMETABLE!#REF!," ",TIMETABLE!#REF!)</f>
        <v>#REF!</v>
      </c>
      <c r="AA174" s="317" t="e">
        <f>CONCATENATE(TIMETABLE!#REF!," ","[",TIMETABLE!#REF!," ","Students","]"," ",TIMETABLE!#REF!,":"," ",TIMETABLE!#REF!," ",TIMETABLE!#REF!)</f>
        <v>#REF!</v>
      </c>
      <c r="AB174" s="317" t="e">
        <f>CONCATENATE(TIMETABLE!#REF!," ","[",TIMETABLE!#REF!," ","Students","]"," ",TIMETABLE!#REF!,":"," ",TIMETABLE!#REF!," ",TIMETABLE!#REF!)</f>
        <v>#REF!</v>
      </c>
      <c r="AC174" s="317" t="e">
        <f>CONCATENATE(TIMETABLE!W$6," ","[",TIMETABLE!W$7," ","Students","]"," ",TIMETABLE!#REF!,":"," ",TIMETABLE!#REF!," ",TIMETABLE!#REF!)</f>
        <v>#REF!</v>
      </c>
      <c r="AD174" s="317" t="e">
        <f>CONCATENATE(TIMETABLE!#REF!," ","[",TIMETABLE!#REF!," ","Students","]"," ",TIMETABLE!#REF!,":"," ",TIMETABLE!#REF!," ",TIMETABLE!#REF!)</f>
        <v>#REF!</v>
      </c>
      <c r="AE174" s="317" t="e">
        <f>CONCATENATE(TIMETABLE!#REF!," ","[",TIMETABLE!#REF!," ","Students","]"," ",TIMETABLE!#REF!,":"," ",TIMETABLE!#REF!," ",TIMETABLE!#REF!)</f>
        <v>#REF!</v>
      </c>
      <c r="AF174" s="498"/>
    </row>
    <row r="175" spans="3:32" ht="23.4" x14ac:dyDescent="0.45">
      <c r="C175" s="498"/>
      <c r="D175" s="172"/>
      <c r="E175" s="167"/>
      <c r="F175" s="167"/>
      <c r="G175" s="167"/>
      <c r="H175" s="167"/>
      <c r="I175" s="167"/>
      <c r="J175" s="167"/>
      <c r="K175" s="167"/>
      <c r="L175" s="167"/>
      <c r="M175" s="167"/>
      <c r="N175" s="167"/>
      <c r="O175" s="167"/>
      <c r="P175" s="167"/>
      <c r="Q175" s="167"/>
      <c r="R175" s="167"/>
      <c r="S175" s="167"/>
      <c r="T175" s="167"/>
      <c r="U175" s="167"/>
      <c r="V175" s="167"/>
      <c r="W175" s="167"/>
      <c r="X175" s="167"/>
      <c r="Y175" s="167"/>
      <c r="Z175" s="167"/>
      <c r="AA175" s="167"/>
      <c r="AB175" s="167"/>
      <c r="AC175" s="167"/>
      <c r="AD175" s="167"/>
      <c r="AE175" s="167"/>
      <c r="AF175" s="498"/>
    </row>
    <row r="176" spans="3:32" ht="23.4" x14ac:dyDescent="0.45">
      <c r="C176" s="498"/>
      <c r="D176" s="174"/>
      <c r="E176" s="169"/>
      <c r="F176" s="169"/>
      <c r="G176" s="169"/>
      <c r="H176" s="169"/>
      <c r="I176" s="169"/>
      <c r="J176" s="169"/>
      <c r="K176" s="169"/>
      <c r="L176" s="169"/>
      <c r="M176" s="169"/>
      <c r="N176" s="169"/>
      <c r="O176" s="169"/>
      <c r="P176" s="169"/>
      <c r="Q176" s="169"/>
      <c r="R176" s="169"/>
      <c r="S176" s="169"/>
      <c r="T176" s="169"/>
      <c r="U176" s="169"/>
      <c r="V176" s="169"/>
      <c r="W176" s="169"/>
      <c r="X176" s="169"/>
      <c r="Y176" s="169"/>
      <c r="Z176" s="169"/>
      <c r="AA176" s="169"/>
      <c r="AB176" s="169"/>
      <c r="AC176" s="169"/>
      <c r="AD176" s="169"/>
      <c r="AE176" s="169"/>
      <c r="AF176" s="498"/>
    </row>
    <row r="177" spans="3:32" ht="24" thickBot="1" x14ac:dyDescent="0.5">
      <c r="C177" s="498"/>
      <c r="D177" s="170"/>
      <c r="E177" s="317" t="e">
        <f>CONCATENATE(TIMETABLE!#REF!," ","[",TIMETABLE!#REF!," ","Students","]"," ",TIMETABLE!#REF!,":"," ",TIMETABLE!#REF!," ",TIMETABLE!#REF!)</f>
        <v>#REF!</v>
      </c>
      <c r="F177" s="317" t="e">
        <f>CONCATENATE(TIMETABLE!#REF!," ","[",TIMETABLE!#REF!," ","Students","]"," ",TIMETABLE!#REF!,":"," ",TIMETABLE!#REF!," ",TIMETABLE!#REF!)</f>
        <v>#REF!</v>
      </c>
      <c r="G177" s="317" t="e">
        <f>CONCATENATE(TIMETABLE!#REF!," ","[",TIMETABLE!#REF!," ","Students","]"," ",TIMETABLE!#REF!,":"," ",TIMETABLE!#REF!," ",TIMETABLE!#REF!)</f>
        <v>#REF!</v>
      </c>
      <c r="H177" s="317" t="e">
        <f>CONCATENATE(TIMETABLE!#REF!," ","[",TIMETABLE!#REF!," ","Students","]"," ",TIMETABLE!#REF!,":"," ",TIMETABLE!#REF!," ",TIMETABLE!#REF!)</f>
        <v>#REF!</v>
      </c>
      <c r="I177" s="317" t="e">
        <f>CONCATENATE(TIMETABLE!#REF!," ","[",TIMETABLE!#REF!," ","Students","]"," ",TIMETABLE!#REF!,":"," ",TIMETABLE!#REF!," ",TIMETABLE!#REF!)</f>
        <v>#REF!</v>
      </c>
      <c r="J177" s="317" t="e">
        <f>CONCATENATE(TIMETABLE!#REF!," ","[",TIMETABLE!#REF!," ","Students","]"," ",TIMETABLE!#REF!,":"," ",TIMETABLE!#REF!," ",TIMETABLE!#REF!)</f>
        <v>#REF!</v>
      </c>
      <c r="K177" s="317" t="e">
        <f>CONCATENATE(TIMETABLE!#REF!," ","[",TIMETABLE!#REF!," ","Students","]"," ",TIMETABLE!#REF!,":"," ",TIMETABLE!#REF!," ",TIMETABLE!#REF!)</f>
        <v>#REF!</v>
      </c>
      <c r="L177" s="317" t="str">
        <f>CONCATENATE(TIMETABLE!D$6," ","[",TIMETABLE!D$7," ","Students","]"," ",TIMETABLE!D88,":"," ",TIMETABLE!D91," ",TIMETABLE!D90)</f>
        <v>BSME/SEP2020/J-FT [Y2S1  (50) Students] EMC 4214: PROF KANYUA FET107</v>
      </c>
      <c r="M177" s="317" t="str">
        <f>CONCATENATE(TIMETABLE!E$6," ","[",TIMETABLE!E$7," ","Students","]"," ",TIMETABLE!E88,":"," ",TIMETABLE!E91," ",TIMETABLE!E90)</f>
        <v>BSME/AUG2021/J-FT [Y1S2  (55) Students] ACH 4151: COD APPLIED/TECH CHEM LAB</v>
      </c>
      <c r="N177" s="317" t="e">
        <f>CONCATENATE(TIMETABLE!#REF!," ","[",TIMETABLE!#REF!," ","Students","]"," ",TIMETABLE!#REF!,":"," ",TIMETABLE!#REF!," ",TIMETABLE!#REF!)</f>
        <v>#REF!</v>
      </c>
      <c r="O177" s="317" t="e">
        <f>CONCATENATE(TIMETABLE!#REF!," ","[",TIMETABLE!#REF!," ","Students","]"," ",TIMETABLE!#REF!,":"," ",TIMETABLE!#REF!," ",TIMETABLE!#REF!)</f>
        <v>#REF!</v>
      </c>
      <c r="P177" s="317" t="str">
        <f>CONCATENATE(TIMETABLE!F$6," ","[",TIMETABLE!F$7," ","Students","]"," ",TIMETABLE!F88,":"," ",TIMETABLE!F91," ",TIMETABLE!F90)</f>
        <v xml:space="preserve">BTME/SEP2019/S-PT [Y3S1   (10) Students] :  </v>
      </c>
      <c r="Q177" s="317" t="str">
        <f>CONCATENATE(TIMETABLE!G$6," ","[",TIMETABLE!G$7," ","Students","]"," ",TIMETABLE!G88,":"," ",TIMETABLE!G91," ",TIMETABLE!G90)</f>
        <v xml:space="preserve">BTME/AUG2021/S-PT [Y2S2   (10) Students] :  </v>
      </c>
      <c r="R177" s="317" t="e">
        <f>CONCATENATE(TIMETABLE!#REF!," ","[",TIMETABLE!#REF!," ","Students","]"," ",TIMETABLE!#REF!,":"," ",TIMETABLE!#REF!," ",TIMETABLE!#REF!)</f>
        <v>#REF!</v>
      </c>
      <c r="S177" s="317" t="e">
        <f>CONCATENATE(TIMETABLE!#REF!," ","[",TIMETABLE!#REF!," ","Students","]"," ",TIMETABLE!#REF!,":"," ",TIMETABLE!#REF!," ",TIMETABLE!#REF!)</f>
        <v>#REF!</v>
      </c>
      <c r="T177" s="317" t="str">
        <f>CONCATENATE(TIMETABLE!J$6," ","[",TIMETABLE!J$7," ","Students","]"," ",TIMETABLE!J88,":"," ",TIMETABLE!J91," ",TIMETABLE!J90)</f>
        <v xml:space="preserve">BTME/AUG2021/J&amp;S-FT [Y1S1  (52) Students] TMC 4104: WANGOMBE/KESSIO W/SHOP </v>
      </c>
      <c r="U177" s="317" t="e">
        <f>CONCATENATE(TIMETABLE!#REF!," ","[",TIMETABLE!#REF!," ","Students","]"," ",TIMETABLE!#REF!,":"," ",TIMETABLE!#REF!," ",TIMETABLE!#REF!)</f>
        <v>#REF!</v>
      </c>
      <c r="V177" s="317" t="e">
        <f>CONCATENATE(TIMETABLE!#REF!," ","[",TIMETABLE!#REF!," ","Students","]"," ",TIMETABLE!#REF!,":"," ",TIMETABLE!#REF!," ",TIMETABLE!#REF!)</f>
        <v>#REF!</v>
      </c>
      <c r="W177" s="317" t="e">
        <f>CONCATENATE(TIMETABLE!#REF!," ","[",TIMETABLE!#REF!," ","Students","]"," ",TIMETABLE!#REF!,":"," ",TIMETABLE!#REF!," ",TIMETABLE!#REF!)</f>
        <v>#REF!</v>
      </c>
      <c r="X177" s="317" t="e">
        <f>CONCATENATE(TIMETABLE!#REF!," ","[",TIMETABLE!#REF!," ","Students","]"," ",TIMETABLE!#REF!,":"," ",TIMETABLE!#REF!," ",TIMETABLE!#REF!)</f>
        <v>#REF!</v>
      </c>
      <c r="Y177" s="317" t="e">
        <f>CONCATENATE(TIMETABLE!#REF!," ","[",TIMETABLE!#REF!," ","Students","]"," ",TIMETABLE!#REF!,":"," ",TIMETABLE!#REF!," ",TIMETABLE!#REF!)</f>
        <v>#REF!</v>
      </c>
      <c r="Z177" s="317" t="e">
        <f>CONCATENATE(TIMETABLE!#REF!," ","[",TIMETABLE!#REF!," ","Students","]"," ",TIMETABLE!#REF!,":"," ",TIMETABLE!#REF!," ",TIMETABLE!#REF!)</f>
        <v>#REF!</v>
      </c>
      <c r="AA177" s="317" t="e">
        <f>CONCATENATE(TIMETABLE!#REF!," ","[",TIMETABLE!#REF!," ","Students","]"," ",TIMETABLE!#REF!,":"," ",TIMETABLE!#REF!," ",TIMETABLE!#REF!)</f>
        <v>#REF!</v>
      </c>
      <c r="AB177" s="317" t="e">
        <f>CONCATENATE(TIMETABLE!#REF!," ","[",TIMETABLE!#REF!," ","Students","]"," ",TIMETABLE!#REF!,":"," ",TIMETABLE!#REF!," ",TIMETABLE!#REF!)</f>
        <v>#REF!</v>
      </c>
      <c r="AC177" s="317" t="str">
        <f>CONCATENATE(TIMETABLE!W$6," ","[",TIMETABLE!W$7," ","Students","]"," ",TIMETABLE!W88,":"," ",TIMETABLE!W91," ",TIMETABLE!W90)</f>
        <v>DMAE/SEP20201J&amp;S-FT [Y1S2   (60) Students] EMR 2130: NYADERO MB 16</v>
      </c>
      <c r="AD177" s="317" t="e">
        <f>CONCATENATE(TIMETABLE!#REF!," ","[",TIMETABLE!#REF!," ","Students","]"," ",TIMETABLE!#REF!,":"," ",TIMETABLE!#REF!," ",TIMETABLE!#REF!)</f>
        <v>#REF!</v>
      </c>
      <c r="AE177" s="317" t="e">
        <f>CONCATENATE(TIMETABLE!#REF!," ","[",TIMETABLE!#REF!," ","Students","]"," ",TIMETABLE!#REF!,":"," ",TIMETABLE!#REF!," ",TIMETABLE!#REF!)</f>
        <v>#REF!</v>
      </c>
      <c r="AF177" s="498"/>
    </row>
    <row r="178" spans="3:32" ht="23.4" x14ac:dyDescent="0.45">
      <c r="C178" s="498"/>
      <c r="D178" s="172"/>
      <c r="E178" s="167"/>
      <c r="F178" s="167"/>
      <c r="G178" s="167"/>
      <c r="H178" s="167"/>
      <c r="I178" s="167"/>
      <c r="J178" s="167"/>
      <c r="K178" s="167"/>
      <c r="L178" s="167"/>
      <c r="M178" s="167"/>
      <c r="N178" s="167"/>
      <c r="O178" s="167"/>
      <c r="P178" s="167"/>
      <c r="Q178" s="167"/>
      <c r="R178" s="167"/>
      <c r="S178" s="167"/>
      <c r="T178" s="167"/>
      <c r="U178" s="167"/>
      <c r="V178" s="167"/>
      <c r="W178" s="167"/>
      <c r="X178" s="167"/>
      <c r="Y178" s="167"/>
      <c r="Z178" s="167"/>
      <c r="AA178" s="167"/>
      <c r="AB178" s="167"/>
      <c r="AC178" s="167"/>
      <c r="AD178" s="167"/>
      <c r="AE178" s="167"/>
      <c r="AF178" s="498"/>
    </row>
    <row r="179" spans="3:32" ht="23.4" x14ac:dyDescent="0.45">
      <c r="C179" s="498"/>
      <c r="D179" s="168"/>
      <c r="E179" s="169"/>
      <c r="F179" s="169"/>
      <c r="G179" s="169"/>
      <c r="H179" s="169"/>
      <c r="I179" s="169"/>
      <c r="J179" s="169"/>
      <c r="K179" s="169"/>
      <c r="L179" s="169"/>
      <c r="M179" s="169"/>
      <c r="N179" s="169"/>
      <c r="O179" s="169"/>
      <c r="P179" s="169"/>
      <c r="Q179" s="169"/>
      <c r="R179" s="169"/>
      <c r="S179" s="169"/>
      <c r="T179" s="169"/>
      <c r="U179" s="169"/>
      <c r="V179" s="169"/>
      <c r="W179" s="169"/>
      <c r="X179" s="169"/>
      <c r="Y179" s="169"/>
      <c r="Z179" s="169"/>
      <c r="AA179" s="169"/>
      <c r="AB179" s="169"/>
      <c r="AC179" s="169"/>
      <c r="AD179" s="169"/>
      <c r="AE179" s="169"/>
      <c r="AF179" s="498"/>
    </row>
    <row r="180" spans="3:32" ht="24" thickBot="1" x14ac:dyDescent="0.5">
      <c r="C180" s="498"/>
      <c r="D180" s="170"/>
      <c r="E180" s="317" t="e">
        <f>CONCATENATE(TIMETABLE!#REF!," ","[",TIMETABLE!#REF!," ","Students","]"," ",TIMETABLE!#REF!,":"," ",TIMETABLE!#REF!," ",TIMETABLE!#REF!)</f>
        <v>#REF!</v>
      </c>
      <c r="F180" s="317" t="e">
        <f>CONCATENATE(TIMETABLE!#REF!," ","[",TIMETABLE!#REF!," ","Students","]"," ",TIMETABLE!#REF!,":"," ",TIMETABLE!#REF!," ",TIMETABLE!#REF!)</f>
        <v>#REF!</v>
      </c>
      <c r="G180" s="317" t="e">
        <f>CONCATENATE(TIMETABLE!#REF!," ","[",TIMETABLE!#REF!," ","Students","]"," ",TIMETABLE!#REF!,":"," ",TIMETABLE!#REF!," ",TIMETABLE!#REF!)</f>
        <v>#REF!</v>
      </c>
      <c r="H180" s="317" t="e">
        <f>CONCATENATE(TIMETABLE!#REF!," ","[",TIMETABLE!#REF!," ","Students","]"," ",TIMETABLE!#REF!,":"," ",TIMETABLE!#REF!," ",TIMETABLE!#REF!)</f>
        <v>#REF!</v>
      </c>
      <c r="I180" s="317" t="e">
        <f>CONCATENATE(TIMETABLE!#REF!," ","[",TIMETABLE!#REF!," ","Students","]"," ",TIMETABLE!#REF!,":"," ",TIMETABLE!#REF!," ",TIMETABLE!#REF!)</f>
        <v>#REF!</v>
      </c>
      <c r="J180" s="317" t="e">
        <f>CONCATENATE(TIMETABLE!#REF!," ","[",TIMETABLE!#REF!," ","Students","]"," ",TIMETABLE!#REF!,":"," ",TIMETABLE!#REF!," ",TIMETABLE!#REF!)</f>
        <v>#REF!</v>
      </c>
      <c r="K180" s="317" t="e">
        <f>CONCATENATE(TIMETABLE!#REF!," ","[",TIMETABLE!#REF!," ","Students","]"," ",TIMETABLE!#REF!,":"," ",TIMETABLE!#REF!," ",TIMETABLE!#REF!)</f>
        <v>#REF!</v>
      </c>
      <c r="L180" s="317" t="e">
        <f>CONCATENATE(TIMETABLE!D$6," ","[",TIMETABLE!D$7," ","Students","]"," ",TIMETABLE!#REF!,":"," ",TIMETABLE!#REF!," ",TIMETABLE!#REF!)</f>
        <v>#REF!</v>
      </c>
      <c r="M180" s="317" t="e">
        <f>CONCATENATE(TIMETABLE!E$6," ","[",TIMETABLE!E$7," ","Students","]"," ",TIMETABLE!#REF!,":"," ",TIMETABLE!#REF!," ",TIMETABLE!#REF!)</f>
        <v>#REF!</v>
      </c>
      <c r="N180" s="317" t="e">
        <f>CONCATENATE(TIMETABLE!#REF!," ","[",TIMETABLE!#REF!," ","Students","]"," ",TIMETABLE!#REF!,":"," ",TIMETABLE!#REF!," ",TIMETABLE!#REF!)</f>
        <v>#REF!</v>
      </c>
      <c r="O180" s="317" t="e">
        <f>CONCATENATE(TIMETABLE!#REF!," ","[",TIMETABLE!#REF!," ","Students","]"," ",TIMETABLE!#REF!,":"," ",TIMETABLE!#REF!," ",TIMETABLE!#REF!)</f>
        <v>#REF!</v>
      </c>
      <c r="P180" s="317" t="e">
        <f>CONCATENATE(TIMETABLE!F$6," ","[",TIMETABLE!F$7," ","Students","]"," ",TIMETABLE!#REF!,":"," ",TIMETABLE!#REF!," ",TIMETABLE!#REF!)</f>
        <v>#REF!</v>
      </c>
      <c r="Q180" s="317" t="e">
        <f>CONCATENATE(TIMETABLE!G$6," ","[",TIMETABLE!G$7," ","Students","]"," ",TIMETABLE!#REF!,":"," ",TIMETABLE!#REF!," ",TIMETABLE!#REF!)</f>
        <v>#REF!</v>
      </c>
      <c r="R180" s="317" t="e">
        <f>CONCATENATE(TIMETABLE!#REF!," ","[",TIMETABLE!#REF!," ","Students","]"," ",TIMETABLE!#REF!,":"," ",TIMETABLE!#REF!," ",TIMETABLE!#REF!)</f>
        <v>#REF!</v>
      </c>
      <c r="S180" s="317" t="e">
        <f>CONCATENATE(TIMETABLE!#REF!," ","[",TIMETABLE!#REF!," ","Students","]"," ",TIMETABLE!#REF!,":"," ",TIMETABLE!#REF!," ",TIMETABLE!#REF!)</f>
        <v>#REF!</v>
      </c>
      <c r="T180" s="317" t="e">
        <f>CONCATENATE(TIMETABLE!J$6," ","[",TIMETABLE!J$7," ","Students","]"," ",TIMETABLE!#REF!,":"," ",TIMETABLE!#REF!," ",TIMETABLE!#REF!)</f>
        <v>#REF!</v>
      </c>
      <c r="U180" s="317" t="e">
        <f>CONCATENATE(TIMETABLE!#REF!," ","[",TIMETABLE!#REF!," ","Students","]"," ",TIMETABLE!#REF!,":"," ",TIMETABLE!#REF!," ",TIMETABLE!#REF!)</f>
        <v>#REF!</v>
      </c>
      <c r="V180" s="317" t="e">
        <f>CONCATENATE(TIMETABLE!#REF!," ","[",TIMETABLE!#REF!," ","Students","]"," ",TIMETABLE!#REF!,":"," ",TIMETABLE!#REF!," ",TIMETABLE!#REF!)</f>
        <v>#REF!</v>
      </c>
      <c r="W180" s="317" t="e">
        <f>CONCATENATE(TIMETABLE!#REF!," ","[",TIMETABLE!#REF!," ","Students","]"," ",TIMETABLE!#REF!,":"," ",TIMETABLE!#REF!," ",TIMETABLE!#REF!)</f>
        <v>#REF!</v>
      </c>
      <c r="X180" s="317" t="e">
        <f>CONCATENATE(TIMETABLE!#REF!," ","[",TIMETABLE!#REF!," ","Students","]"," ",TIMETABLE!#REF!,":"," ",TIMETABLE!#REF!," ",TIMETABLE!#REF!)</f>
        <v>#REF!</v>
      </c>
      <c r="Y180" s="317" t="e">
        <f>CONCATENATE(TIMETABLE!#REF!," ","[",TIMETABLE!#REF!," ","Students","]"," ",TIMETABLE!#REF!,":"," ",TIMETABLE!#REF!," ",TIMETABLE!#REF!)</f>
        <v>#REF!</v>
      </c>
      <c r="Z180" s="317" t="e">
        <f>CONCATENATE(TIMETABLE!#REF!," ","[",TIMETABLE!#REF!," ","Students","]"," ",TIMETABLE!#REF!,":"," ",TIMETABLE!#REF!," ",TIMETABLE!#REF!)</f>
        <v>#REF!</v>
      </c>
      <c r="AA180" s="317" t="e">
        <f>CONCATENATE(TIMETABLE!#REF!," ","[",TIMETABLE!#REF!," ","Students","]"," ",TIMETABLE!#REF!,":"," ",TIMETABLE!#REF!," ",TIMETABLE!#REF!)</f>
        <v>#REF!</v>
      </c>
      <c r="AB180" s="317" t="e">
        <f>CONCATENATE(TIMETABLE!#REF!," ","[",TIMETABLE!#REF!," ","Students","]"," ",TIMETABLE!#REF!,":"," ",TIMETABLE!#REF!," ",TIMETABLE!#REF!)</f>
        <v>#REF!</v>
      </c>
      <c r="AC180" s="317" t="e">
        <f>CONCATENATE(TIMETABLE!W$6," ","[",TIMETABLE!W$7," ","Students","]"," ",TIMETABLE!#REF!,":"," ",TIMETABLE!#REF!," ",TIMETABLE!#REF!)</f>
        <v>#REF!</v>
      </c>
      <c r="AD180" s="317" t="e">
        <f>CONCATENATE(TIMETABLE!#REF!," ","[",TIMETABLE!#REF!," ","Students","]"," ",TIMETABLE!#REF!,":"," ",TIMETABLE!#REF!," ",TIMETABLE!#REF!)</f>
        <v>#REF!</v>
      </c>
      <c r="AE180" s="317" t="e">
        <f>CONCATENATE(TIMETABLE!#REF!," ","[",TIMETABLE!#REF!," ","Students","]"," ",TIMETABLE!#REF!,":"," ",TIMETABLE!#REF!," ",TIMETABLE!#REF!)</f>
        <v>#REF!</v>
      </c>
      <c r="AF180" s="498"/>
    </row>
    <row r="181" spans="3:32" ht="23.4" x14ac:dyDescent="0.45">
      <c r="C181" s="498"/>
      <c r="D181" s="172"/>
      <c r="E181" s="167"/>
      <c r="F181" s="167"/>
      <c r="G181" s="167"/>
      <c r="H181" s="167"/>
      <c r="I181" s="167"/>
      <c r="J181" s="167"/>
      <c r="K181" s="167"/>
      <c r="L181" s="167"/>
      <c r="M181" s="167"/>
      <c r="N181" s="167"/>
      <c r="O181" s="167"/>
      <c r="P181" s="167"/>
      <c r="Q181" s="167"/>
      <c r="R181" s="167"/>
      <c r="S181" s="167"/>
      <c r="T181" s="167"/>
      <c r="U181" s="167"/>
      <c r="V181" s="167"/>
      <c r="W181" s="167"/>
      <c r="X181" s="167"/>
      <c r="Y181" s="167"/>
      <c r="Z181" s="167"/>
      <c r="AA181" s="167"/>
      <c r="AB181" s="167"/>
      <c r="AC181" s="167"/>
      <c r="AD181" s="167"/>
      <c r="AE181" s="167"/>
      <c r="AF181" s="498"/>
    </row>
    <row r="182" spans="3:32" ht="23.4" x14ac:dyDescent="0.45">
      <c r="C182" s="498"/>
      <c r="D182" s="168"/>
      <c r="E182" s="169"/>
      <c r="F182" s="169"/>
      <c r="G182" s="169"/>
      <c r="H182" s="169"/>
      <c r="I182" s="169"/>
      <c r="J182" s="169"/>
      <c r="K182" s="169"/>
      <c r="L182" s="169"/>
      <c r="M182" s="169"/>
      <c r="N182" s="169"/>
      <c r="O182" s="169"/>
      <c r="P182" s="169"/>
      <c r="Q182" s="169"/>
      <c r="R182" s="169"/>
      <c r="S182" s="169"/>
      <c r="T182" s="169"/>
      <c r="U182" s="169"/>
      <c r="V182" s="169"/>
      <c r="W182" s="169"/>
      <c r="X182" s="169"/>
      <c r="Y182" s="169"/>
      <c r="Z182" s="169"/>
      <c r="AA182" s="169"/>
      <c r="AB182" s="169"/>
      <c r="AC182" s="169"/>
      <c r="AD182" s="169"/>
      <c r="AE182" s="169"/>
      <c r="AF182" s="498"/>
    </row>
    <row r="183" spans="3:32" ht="24" thickBot="1" x14ac:dyDescent="0.5">
      <c r="C183" s="498"/>
      <c r="D183" s="170"/>
      <c r="E183" s="317" t="e">
        <f>CONCATENATE(TIMETABLE!#REF!," ","[",TIMETABLE!#REF!," ","Students","]"," ",TIMETABLE!#REF!,":"," ",TIMETABLE!#REF!," ",TIMETABLE!#REF!)</f>
        <v>#REF!</v>
      </c>
      <c r="F183" s="317" t="e">
        <f>CONCATENATE(TIMETABLE!#REF!," ","[",TIMETABLE!#REF!," ","Students","]"," ",TIMETABLE!#REF!,":"," ",TIMETABLE!#REF!," ",TIMETABLE!#REF!)</f>
        <v>#REF!</v>
      </c>
      <c r="G183" s="317" t="e">
        <f>CONCATENATE(TIMETABLE!#REF!," ","[",TIMETABLE!#REF!," ","Students","]"," ",TIMETABLE!#REF!,":"," ",TIMETABLE!#REF!," ",TIMETABLE!#REF!)</f>
        <v>#REF!</v>
      </c>
      <c r="H183" s="317" t="e">
        <f>CONCATENATE(TIMETABLE!#REF!," ","[",TIMETABLE!#REF!," ","Students","]"," ",TIMETABLE!#REF!,":"," ",TIMETABLE!#REF!," ",TIMETABLE!#REF!)</f>
        <v>#REF!</v>
      </c>
      <c r="I183" s="317" t="e">
        <f>CONCATENATE(TIMETABLE!#REF!," ","[",TIMETABLE!#REF!," ","Students","]"," ",TIMETABLE!#REF!,":"," ",TIMETABLE!#REF!," ",TIMETABLE!#REF!)</f>
        <v>#REF!</v>
      </c>
      <c r="J183" s="317" t="e">
        <f>CONCATENATE(TIMETABLE!#REF!," ","[",TIMETABLE!#REF!," ","Students","]"," ",TIMETABLE!#REF!,":"," ",TIMETABLE!#REF!," ",TIMETABLE!#REF!)</f>
        <v>#REF!</v>
      </c>
      <c r="K183" s="317" t="e">
        <f>CONCATENATE(TIMETABLE!#REF!," ","[",TIMETABLE!#REF!," ","Students","]"," ",TIMETABLE!#REF!,":"," ",TIMETABLE!#REF!," ",TIMETABLE!#REF!)</f>
        <v>#REF!</v>
      </c>
      <c r="L183" s="317" t="e">
        <f>CONCATENATE(TIMETABLE!D$6," ","[",TIMETABLE!D$7," ","Students","]"," ",TIMETABLE!#REF!,":"," ",TIMETABLE!#REF!," ",TIMETABLE!#REF!)</f>
        <v>#REF!</v>
      </c>
      <c r="M183" s="317" t="e">
        <f>CONCATENATE(TIMETABLE!E$6," ","[",TIMETABLE!E$7," ","Students","]"," ",TIMETABLE!#REF!,":"," ",TIMETABLE!#REF!," ",TIMETABLE!#REF!)</f>
        <v>#REF!</v>
      </c>
      <c r="N183" s="317" t="e">
        <f>CONCATENATE(TIMETABLE!#REF!," ","[",TIMETABLE!#REF!," ","Students","]"," ",TIMETABLE!#REF!,":"," ",TIMETABLE!#REF!," ",TIMETABLE!#REF!)</f>
        <v>#REF!</v>
      </c>
      <c r="O183" s="317" t="e">
        <f>CONCATENATE(TIMETABLE!#REF!," ","[",TIMETABLE!#REF!," ","Students","]"," ",TIMETABLE!#REF!,":"," ",TIMETABLE!#REF!," ",TIMETABLE!#REF!)</f>
        <v>#REF!</v>
      </c>
      <c r="P183" s="317" t="e">
        <f>CONCATENATE(TIMETABLE!F$6," ","[",TIMETABLE!F$7," ","Students","]"," ",TIMETABLE!#REF!,":"," ",TIMETABLE!#REF!," ",TIMETABLE!#REF!)</f>
        <v>#REF!</v>
      </c>
      <c r="Q183" s="317" t="e">
        <f>CONCATENATE(TIMETABLE!G$6," ","[",TIMETABLE!G$7," ","Students","]"," ",TIMETABLE!#REF!,":"," ",TIMETABLE!#REF!," ",TIMETABLE!#REF!)</f>
        <v>#REF!</v>
      </c>
      <c r="R183" s="317" t="e">
        <f>CONCATENATE(TIMETABLE!#REF!," ","[",TIMETABLE!#REF!," ","Students","]"," ",TIMETABLE!#REF!,":"," ",TIMETABLE!#REF!," ",TIMETABLE!#REF!)</f>
        <v>#REF!</v>
      </c>
      <c r="S183" s="317" t="e">
        <f>CONCATENATE(TIMETABLE!#REF!," ","[",TIMETABLE!#REF!," ","Students","]"," ",TIMETABLE!#REF!,":"," ",TIMETABLE!#REF!," ",TIMETABLE!#REF!)</f>
        <v>#REF!</v>
      </c>
      <c r="T183" s="317" t="e">
        <f>CONCATENATE(TIMETABLE!J$6," ","[",TIMETABLE!J$7," ","Students","]"," ",TIMETABLE!#REF!,":"," ",TIMETABLE!#REF!," ",TIMETABLE!#REF!)</f>
        <v>#REF!</v>
      </c>
      <c r="U183" s="317" t="e">
        <f>CONCATENATE(TIMETABLE!#REF!," ","[",TIMETABLE!#REF!," ","Students","]"," ",TIMETABLE!#REF!,":"," ",TIMETABLE!#REF!," ",TIMETABLE!#REF!)</f>
        <v>#REF!</v>
      </c>
      <c r="V183" s="317" t="e">
        <f>CONCATENATE(TIMETABLE!#REF!," ","[",TIMETABLE!#REF!," ","Students","]"," ",TIMETABLE!#REF!,":"," ",TIMETABLE!#REF!," ",TIMETABLE!#REF!)</f>
        <v>#REF!</v>
      </c>
      <c r="W183" s="317" t="e">
        <f>CONCATENATE(TIMETABLE!#REF!," ","[",TIMETABLE!#REF!," ","Students","]"," ",TIMETABLE!#REF!,":"," ",TIMETABLE!#REF!," ",TIMETABLE!#REF!)</f>
        <v>#REF!</v>
      </c>
      <c r="X183" s="317" t="e">
        <f>CONCATENATE(TIMETABLE!#REF!," ","[",TIMETABLE!#REF!," ","Students","]"," ",TIMETABLE!#REF!,":"," ",TIMETABLE!#REF!," ",TIMETABLE!#REF!)</f>
        <v>#REF!</v>
      </c>
      <c r="Y183" s="317" t="e">
        <f>CONCATENATE(TIMETABLE!#REF!," ","[",TIMETABLE!#REF!," ","Students","]"," ",TIMETABLE!#REF!,":"," ",TIMETABLE!#REF!," ",TIMETABLE!#REF!)</f>
        <v>#REF!</v>
      </c>
      <c r="Z183" s="317" t="e">
        <f>CONCATENATE(TIMETABLE!#REF!," ","[",TIMETABLE!#REF!," ","Students","]"," ",TIMETABLE!#REF!,":"," ",TIMETABLE!#REF!," ",TIMETABLE!#REF!)</f>
        <v>#REF!</v>
      </c>
      <c r="AA183" s="317" t="e">
        <f>CONCATENATE(TIMETABLE!#REF!," ","[",TIMETABLE!#REF!," ","Students","]"," ",TIMETABLE!#REF!,":"," ",TIMETABLE!#REF!," ",TIMETABLE!#REF!)</f>
        <v>#REF!</v>
      </c>
      <c r="AB183" s="317" t="e">
        <f>CONCATENATE(TIMETABLE!#REF!," ","[",TIMETABLE!#REF!," ","Students","]"," ",TIMETABLE!#REF!,":"," ",TIMETABLE!#REF!," ",TIMETABLE!#REF!)</f>
        <v>#REF!</v>
      </c>
      <c r="AC183" s="317" t="e">
        <f>CONCATENATE(TIMETABLE!W$6," ","[",TIMETABLE!W$7," ","Students","]"," ",TIMETABLE!#REF!,":"," ",TIMETABLE!#REF!," ",TIMETABLE!#REF!)</f>
        <v>#REF!</v>
      </c>
      <c r="AD183" s="317" t="e">
        <f>CONCATENATE(TIMETABLE!#REF!," ","[",TIMETABLE!#REF!," ","Students","]"," ",TIMETABLE!#REF!,":"," ",TIMETABLE!#REF!," ",TIMETABLE!#REF!)</f>
        <v>#REF!</v>
      </c>
      <c r="AE183" s="317" t="e">
        <f>CONCATENATE(TIMETABLE!#REF!," ","[",TIMETABLE!#REF!," ","Students","]"," ",TIMETABLE!#REF!,":"," ",TIMETABLE!#REF!," ",TIMETABLE!#REF!)</f>
        <v>#REF!</v>
      </c>
      <c r="AF183" s="498"/>
    </row>
    <row r="184" spans="3:32" ht="23.4" x14ac:dyDescent="0.45">
      <c r="C184" s="498"/>
      <c r="D184" s="237"/>
      <c r="E184" s="240"/>
      <c r="F184" s="240"/>
      <c r="G184" s="240"/>
      <c r="H184" s="240"/>
      <c r="I184" s="240"/>
      <c r="J184" s="240"/>
      <c r="K184" s="240"/>
      <c r="L184" s="240"/>
      <c r="M184" s="240"/>
      <c r="N184" s="240"/>
      <c r="O184" s="240"/>
      <c r="P184" s="240"/>
      <c r="Q184" s="240"/>
      <c r="R184" s="240"/>
      <c r="S184" s="240"/>
      <c r="T184" s="240"/>
      <c r="U184" s="240"/>
      <c r="V184" s="240"/>
      <c r="W184" s="240"/>
      <c r="X184" s="240"/>
      <c r="Y184" s="240"/>
      <c r="Z184" s="240"/>
      <c r="AA184" s="240"/>
      <c r="AB184" s="240"/>
      <c r="AC184" s="240"/>
      <c r="AD184" s="240"/>
      <c r="AE184" s="240"/>
      <c r="AF184" s="498"/>
    </row>
    <row r="185" spans="3:32" ht="23.4" x14ac:dyDescent="0.45">
      <c r="C185" s="498"/>
      <c r="D185" s="238"/>
      <c r="E185" s="241"/>
      <c r="F185" s="241"/>
      <c r="G185" s="241"/>
      <c r="H185" s="241"/>
      <c r="I185" s="241"/>
      <c r="J185" s="241"/>
      <c r="K185" s="241"/>
      <c r="L185" s="241"/>
      <c r="M185" s="241"/>
      <c r="N185" s="241"/>
      <c r="O185" s="241"/>
      <c r="P185" s="241"/>
      <c r="Q185" s="241"/>
      <c r="R185" s="241"/>
      <c r="S185" s="241"/>
      <c r="T185" s="241"/>
      <c r="U185" s="241"/>
      <c r="V185" s="241"/>
      <c r="W185" s="241"/>
      <c r="X185" s="241"/>
      <c r="Y185" s="241"/>
      <c r="Z185" s="241"/>
      <c r="AA185" s="241"/>
      <c r="AB185" s="241"/>
      <c r="AC185" s="241"/>
      <c r="AD185" s="241"/>
      <c r="AE185" s="241"/>
      <c r="AF185" s="498"/>
    </row>
    <row r="186" spans="3:32" ht="24" thickBot="1" x14ac:dyDescent="0.5">
      <c r="C186" s="498"/>
      <c r="D186" s="239"/>
      <c r="E186" s="397" t="e">
        <f>CONCATENATE(TIMETABLE!#REF!," ","[",TIMETABLE!#REF!," ","Students","]"," ",TIMETABLE!#REF!,":"," ",TIMETABLE!#REF!," ",TIMETABLE!#REF!)</f>
        <v>#REF!</v>
      </c>
      <c r="F186" s="397" t="e">
        <f>CONCATENATE(TIMETABLE!#REF!," ","[",TIMETABLE!#REF!," ","Students","]"," ",TIMETABLE!#REF!,":"," ",TIMETABLE!#REF!," ",TIMETABLE!#REF!)</f>
        <v>#REF!</v>
      </c>
      <c r="G186" s="397" t="e">
        <f>CONCATENATE(TIMETABLE!#REF!," ","[",TIMETABLE!#REF!," ","Students","]"," ",TIMETABLE!#REF!,":"," ",TIMETABLE!#REF!," ",TIMETABLE!#REF!)</f>
        <v>#REF!</v>
      </c>
      <c r="H186" s="397" t="e">
        <f>CONCATENATE(TIMETABLE!#REF!," ","[",TIMETABLE!#REF!," ","Students","]"," ",TIMETABLE!#REF!,":"," ",TIMETABLE!#REF!," ",TIMETABLE!#REF!)</f>
        <v>#REF!</v>
      </c>
      <c r="I186" s="397" t="e">
        <f>CONCATENATE(TIMETABLE!#REF!," ","[",TIMETABLE!#REF!," ","Students","]"," ",TIMETABLE!#REF!,":"," ",TIMETABLE!#REF!," ",TIMETABLE!#REF!)</f>
        <v>#REF!</v>
      </c>
      <c r="J186" s="397" t="e">
        <f>CONCATENATE(TIMETABLE!#REF!," ","[",TIMETABLE!#REF!," ","Students","]"," ",TIMETABLE!#REF!,":"," ",TIMETABLE!#REF!," ",TIMETABLE!#REF!)</f>
        <v>#REF!</v>
      </c>
      <c r="K186" s="397" t="e">
        <f>CONCATENATE(TIMETABLE!#REF!," ","[",TIMETABLE!#REF!," ","Students","]"," ",TIMETABLE!#REF!,":"," ",TIMETABLE!#REF!," ",TIMETABLE!#REF!)</f>
        <v>#REF!</v>
      </c>
      <c r="L186" s="397" t="str">
        <f>CONCATENATE(TIMETABLE!D$6," ","[",TIMETABLE!D$7," ","Students","]"," ",TIMETABLE!D92,":"," ",TIMETABLE!D94," ",TIMETABLE!D93)</f>
        <v xml:space="preserve">BSME/SEP2020/J-FT [Y2S1  (50) Students] :  </v>
      </c>
      <c r="M186" s="397" t="str">
        <f>CONCATENATE(TIMETABLE!E$6," ","[",TIMETABLE!E$7," ","Students","]"," ",TIMETABLE!E92,":"," ",TIMETABLE!E94," ",TIMETABLE!E93)</f>
        <v xml:space="preserve">BSME/AUG2021/J-FT [Y1S2  (55) Students] :  </v>
      </c>
      <c r="N186" s="397" t="e">
        <f>CONCATENATE(TIMETABLE!#REF!," ","[",TIMETABLE!#REF!," ","Students","]"," ",TIMETABLE!#REF!,":"," ",TIMETABLE!#REF!," ",TIMETABLE!#REF!)</f>
        <v>#REF!</v>
      </c>
      <c r="O186" s="397" t="e">
        <f>CONCATENATE(TIMETABLE!#REF!," ","[",TIMETABLE!#REF!," ","Students","]"," ",TIMETABLE!#REF!,":"," ",TIMETABLE!#REF!," ",TIMETABLE!#REF!)</f>
        <v>#REF!</v>
      </c>
      <c r="P186" s="397" t="str">
        <f>CONCATENATE(TIMETABLE!F$6," ","[",TIMETABLE!F$7," ","Students","]"," ",TIMETABLE!F92,":"," ",TIMETABLE!F94," ",TIMETABLE!F93)</f>
        <v xml:space="preserve">BTME/SEP2019/S-PT [Y3S1   (10) Students] :  </v>
      </c>
      <c r="Q186" s="397" t="str">
        <f>CONCATENATE(TIMETABLE!G$6," ","[",TIMETABLE!G$7," ","Students","]"," ",TIMETABLE!G92,":"," ",TIMETABLE!G94," ",TIMETABLE!G93)</f>
        <v xml:space="preserve">BTME/AUG2021/S-PT [Y2S2   (10) Students] :  </v>
      </c>
      <c r="R186" s="397" t="e">
        <f>CONCATENATE(TIMETABLE!#REF!," ","[",TIMETABLE!#REF!," ","Students","]"," ",TIMETABLE!#REF!,":"," ",TIMETABLE!#REF!," ",TIMETABLE!#REF!)</f>
        <v>#REF!</v>
      </c>
      <c r="S186" s="397" t="e">
        <f>CONCATENATE(TIMETABLE!#REF!," ","[",TIMETABLE!#REF!," ","Students","]"," ",TIMETABLE!#REF!,":"," ",TIMETABLE!#REF!," ",TIMETABLE!#REF!)</f>
        <v>#REF!</v>
      </c>
      <c r="T186" s="397" t="str">
        <f>CONCATENATE(TIMETABLE!J$6," ","[",TIMETABLE!J$7," ","Students","]"," ",TIMETABLE!J92,":"," ",TIMETABLE!J94," ",TIMETABLE!J93)</f>
        <v xml:space="preserve">BTME/AUG2021/J&amp;S-FT [Y1S1  (52) Students] :  </v>
      </c>
      <c r="U186" s="397" t="e">
        <f>CONCATENATE(TIMETABLE!#REF!," ","[",TIMETABLE!#REF!," ","Students","]"," ",TIMETABLE!#REF!,":"," ",TIMETABLE!#REF!," ",TIMETABLE!#REF!)</f>
        <v>#REF!</v>
      </c>
      <c r="V186" s="397" t="e">
        <f>CONCATENATE(TIMETABLE!#REF!," ","[",TIMETABLE!#REF!," ","Students","]"," ",TIMETABLE!#REF!,":"," ",TIMETABLE!#REF!," ",TIMETABLE!#REF!)</f>
        <v>#REF!</v>
      </c>
      <c r="W186" s="397" t="e">
        <f>CONCATENATE(TIMETABLE!#REF!," ","[",TIMETABLE!#REF!," ","Students","]"," ",TIMETABLE!#REF!,":"," ",TIMETABLE!#REF!," ",TIMETABLE!#REF!)</f>
        <v>#REF!</v>
      </c>
      <c r="X186" s="397" t="e">
        <f>CONCATENATE(TIMETABLE!#REF!," ","[",TIMETABLE!#REF!," ","Students","]"," ",TIMETABLE!#REF!,":"," ",TIMETABLE!#REF!," ",TIMETABLE!#REF!)</f>
        <v>#REF!</v>
      </c>
      <c r="Y186" s="397" t="e">
        <f>CONCATENATE(TIMETABLE!#REF!," ","[",TIMETABLE!#REF!," ","Students","]"," ",TIMETABLE!#REF!,":"," ",TIMETABLE!#REF!," ",TIMETABLE!#REF!)</f>
        <v>#REF!</v>
      </c>
      <c r="Z186" s="397" t="e">
        <f>CONCATENATE(TIMETABLE!#REF!," ","[",TIMETABLE!#REF!," ","Students","]"," ",TIMETABLE!#REF!,":"," ",TIMETABLE!#REF!," ",TIMETABLE!#REF!)</f>
        <v>#REF!</v>
      </c>
      <c r="AA186" s="397" t="e">
        <f>CONCATENATE(TIMETABLE!#REF!," ","[",TIMETABLE!#REF!," ","Students","]"," ",TIMETABLE!#REF!,":"," ",TIMETABLE!#REF!," ",TIMETABLE!#REF!)</f>
        <v>#REF!</v>
      </c>
      <c r="AB186" s="397" t="e">
        <f>CONCATENATE(TIMETABLE!#REF!," ","[",TIMETABLE!#REF!," ","Students","]"," ",TIMETABLE!#REF!,":"," ",TIMETABLE!#REF!," ",TIMETABLE!#REF!)</f>
        <v>#REF!</v>
      </c>
      <c r="AC186" s="397" t="str">
        <f>CONCATENATE(TIMETABLE!W$6," ","[",TIMETABLE!W$7," ","Students","]"," ",TIMETABLE!W92,":"," ",TIMETABLE!W94," ",TIMETABLE!W93)</f>
        <v xml:space="preserve">DMAE/SEP20201J&amp;S-FT [Y1S2   (60) Students] :  </v>
      </c>
      <c r="AD186" s="397" t="e">
        <f>CONCATENATE(TIMETABLE!#REF!," ","[",TIMETABLE!#REF!," ","Students","]"," ",TIMETABLE!#REF!,":"," ",TIMETABLE!#REF!," ",TIMETABLE!#REF!)</f>
        <v>#REF!</v>
      </c>
      <c r="AE186" s="397" t="e">
        <f>CONCATENATE(TIMETABLE!#REF!," ","[",TIMETABLE!#REF!," ","Students","]"," ",TIMETABLE!#REF!,":"," ",TIMETABLE!#REF!," ",TIMETABLE!#REF!)</f>
        <v>#REF!</v>
      </c>
      <c r="AF186" s="498"/>
    </row>
    <row r="187" spans="3:32" ht="23.4" x14ac:dyDescent="0.45">
      <c r="C187" s="498"/>
      <c r="D187" s="176"/>
      <c r="E187" s="167"/>
      <c r="F187" s="167"/>
      <c r="G187" s="167"/>
      <c r="H187" s="167"/>
      <c r="I187" s="167"/>
      <c r="J187" s="167"/>
      <c r="K187" s="167"/>
      <c r="L187" s="167"/>
      <c r="M187" s="167"/>
      <c r="N187" s="167"/>
      <c r="O187" s="167"/>
      <c r="P187" s="167"/>
      <c r="Q187" s="167"/>
      <c r="R187" s="167"/>
      <c r="S187" s="167"/>
      <c r="T187" s="167"/>
      <c r="U187" s="167"/>
      <c r="V187" s="167"/>
      <c r="W187" s="167"/>
      <c r="X187" s="167"/>
      <c r="Y187" s="167"/>
      <c r="Z187" s="167"/>
      <c r="AA187" s="167"/>
      <c r="AB187" s="167"/>
      <c r="AC187" s="167"/>
      <c r="AD187" s="167"/>
      <c r="AE187" s="167"/>
      <c r="AF187" s="498"/>
    </row>
    <row r="188" spans="3:32" ht="23.4" x14ac:dyDescent="0.45">
      <c r="C188" s="498"/>
      <c r="D188" s="177"/>
      <c r="E188" s="169"/>
      <c r="F188" s="169"/>
      <c r="G188" s="169"/>
      <c r="H188" s="169"/>
      <c r="I188" s="169"/>
      <c r="J188" s="169"/>
      <c r="K188" s="169"/>
      <c r="L188" s="169"/>
      <c r="M188" s="169"/>
      <c r="N188" s="169"/>
      <c r="O188" s="169"/>
      <c r="P188" s="169"/>
      <c r="Q188" s="169"/>
      <c r="R188" s="169"/>
      <c r="S188" s="169"/>
      <c r="T188" s="169"/>
      <c r="U188" s="169"/>
      <c r="V188" s="169"/>
      <c r="W188" s="169"/>
      <c r="X188" s="169"/>
      <c r="Y188" s="169"/>
      <c r="Z188" s="169"/>
      <c r="AA188" s="169"/>
      <c r="AB188" s="169"/>
      <c r="AC188" s="169"/>
      <c r="AD188" s="169"/>
      <c r="AE188" s="169"/>
      <c r="AF188" s="498"/>
    </row>
    <row r="189" spans="3:32" ht="24" thickBot="1" x14ac:dyDescent="0.5">
      <c r="C189" s="498"/>
      <c r="D189" s="178"/>
      <c r="E189" s="317" t="e">
        <f>CONCATENATE(TIMETABLE!#REF!," ","[",TIMETABLE!#REF!," ","Students","]"," ",TIMETABLE!#REF!,":"," ",TIMETABLE!#REF!," ",TIMETABLE!#REF!)</f>
        <v>#REF!</v>
      </c>
      <c r="F189" s="317" t="e">
        <f>CONCATENATE(TIMETABLE!#REF!," ","[",TIMETABLE!#REF!," ","Students","]"," ",TIMETABLE!#REF!,":"," ",TIMETABLE!#REF!," ",TIMETABLE!#REF!)</f>
        <v>#REF!</v>
      </c>
      <c r="G189" s="317" t="e">
        <f>CONCATENATE(TIMETABLE!#REF!," ","[",TIMETABLE!#REF!," ","Students","]"," ",TIMETABLE!#REF!,":"," ",TIMETABLE!#REF!," ",TIMETABLE!#REF!)</f>
        <v>#REF!</v>
      </c>
      <c r="H189" s="317" t="e">
        <f>CONCATENATE(TIMETABLE!#REF!," ","[",TIMETABLE!#REF!," ","Students","]"," ",TIMETABLE!#REF!,":"," ",TIMETABLE!#REF!," ",TIMETABLE!#REF!)</f>
        <v>#REF!</v>
      </c>
      <c r="I189" s="317" t="e">
        <f>CONCATENATE(TIMETABLE!#REF!," ","[",TIMETABLE!#REF!," ","Students","]"," ",TIMETABLE!#REF!,":"," ",TIMETABLE!#REF!," ",TIMETABLE!#REF!)</f>
        <v>#REF!</v>
      </c>
      <c r="J189" s="317" t="e">
        <f>CONCATENATE(TIMETABLE!#REF!," ","[",TIMETABLE!#REF!," ","Students","]"," ",TIMETABLE!#REF!,":"," ",TIMETABLE!#REF!," ",TIMETABLE!#REF!)</f>
        <v>#REF!</v>
      </c>
      <c r="K189" s="317" t="e">
        <f>CONCATENATE(TIMETABLE!#REF!," ","[",TIMETABLE!#REF!," ","Students","]"," ",TIMETABLE!#REF!,":"," ",TIMETABLE!#REF!," ",TIMETABLE!#REF!)</f>
        <v>#REF!</v>
      </c>
      <c r="L189" s="317" t="str">
        <f>CONCATENATE(TIMETABLE!D$6," ","[",TIMETABLE!D$7," ","Students","]"," ",TIMETABLE!D95,":"," ",TIMETABLE!D98," ",TIMETABLE!D97)</f>
        <v xml:space="preserve">BSME/SEP2020/J-FT [Y2S1  (50) Students] :  </v>
      </c>
      <c r="M189" s="317" t="str">
        <f>CONCATENATE(TIMETABLE!E$6," ","[",TIMETABLE!E$7," ","Students","]"," ",TIMETABLE!E95,":"," ",TIMETABLE!E98," ",TIMETABLE!E97)</f>
        <v xml:space="preserve">BSME/AUG2021/J-FT [Y1S2  (55) Students] :  </v>
      </c>
      <c r="N189" s="317" t="e">
        <f>CONCATENATE(TIMETABLE!#REF!," ","[",TIMETABLE!#REF!," ","Students","]"," ",TIMETABLE!#REF!,":"," ",TIMETABLE!#REF!," ",TIMETABLE!#REF!)</f>
        <v>#REF!</v>
      </c>
      <c r="O189" s="317" t="e">
        <f>CONCATENATE(TIMETABLE!#REF!," ","[",TIMETABLE!#REF!," ","Students","]"," ",TIMETABLE!#REF!,":"," ",TIMETABLE!#REF!," ",TIMETABLE!#REF!)</f>
        <v>#REF!</v>
      </c>
      <c r="P189" s="317" t="str">
        <f>CONCATENATE(TIMETABLE!F$6," ","[",TIMETABLE!F$7," ","Students","]"," ",TIMETABLE!F95,":"," ",TIMETABLE!F98," ",TIMETABLE!F97)</f>
        <v>BTME/SEP2019/S-PT [Y3S1   (10) Students] TMC 4312: MUTIE FET 109</v>
      </c>
      <c r="Q189" s="317" t="str">
        <f>CONCATENATE(TIMETABLE!G$6," ","[",TIMETABLE!G$7," ","Students","]"," ",TIMETABLE!G95,":"," ",TIMETABLE!G98," ",TIMETABLE!G97)</f>
        <v>BTME/AUG2021/S-PT [Y2S2   (10) Students] TMC 4222: MUTAVA CH</v>
      </c>
      <c r="R189" s="317" t="e">
        <f>CONCATENATE(TIMETABLE!#REF!," ","[",TIMETABLE!#REF!," ","Students","]"," ",TIMETABLE!#REF!,":"," ",TIMETABLE!#REF!," ",TIMETABLE!#REF!)</f>
        <v>#REF!</v>
      </c>
      <c r="S189" s="317" t="e">
        <f>CONCATENATE(TIMETABLE!#REF!," ","[",TIMETABLE!#REF!," ","Students","]"," ",TIMETABLE!#REF!,":"," ",TIMETABLE!#REF!," ",TIMETABLE!#REF!)</f>
        <v>#REF!</v>
      </c>
      <c r="T189" s="317" t="str">
        <f>CONCATENATE(TIMETABLE!J$6," ","[",TIMETABLE!J$7," ","Students","]"," ",TIMETABLE!J95,":"," ",TIMETABLE!J98," ",TIMETABLE!J97)</f>
        <v xml:space="preserve">BTME/AUG2021/J&amp;S-FT [Y1S1  (52) Students] :  </v>
      </c>
      <c r="U189" s="317" t="e">
        <f>CONCATENATE(TIMETABLE!#REF!," ","[",TIMETABLE!#REF!," ","Students","]"," ",TIMETABLE!#REF!,":"," ",TIMETABLE!#REF!," ",TIMETABLE!#REF!)</f>
        <v>#REF!</v>
      </c>
      <c r="V189" s="317" t="e">
        <f>CONCATENATE(TIMETABLE!#REF!," ","[",TIMETABLE!#REF!," ","Students","]"," ",TIMETABLE!#REF!,":"," ",TIMETABLE!#REF!," ",TIMETABLE!#REF!)</f>
        <v>#REF!</v>
      </c>
      <c r="W189" s="317" t="e">
        <f>CONCATENATE(TIMETABLE!#REF!," ","[",TIMETABLE!#REF!," ","Students","]"," ",TIMETABLE!#REF!,":"," ",TIMETABLE!#REF!," ",TIMETABLE!#REF!)</f>
        <v>#REF!</v>
      </c>
      <c r="X189" s="317" t="e">
        <f>CONCATENATE(TIMETABLE!#REF!," ","[",TIMETABLE!#REF!," ","Students","]"," ",TIMETABLE!#REF!,":"," ",TIMETABLE!#REF!," ",TIMETABLE!#REF!)</f>
        <v>#REF!</v>
      </c>
      <c r="Y189" s="317" t="e">
        <f>CONCATENATE(TIMETABLE!#REF!," ","[",TIMETABLE!#REF!," ","Students","]"," ",TIMETABLE!#REF!,":"," ",TIMETABLE!#REF!," ",TIMETABLE!#REF!)</f>
        <v>#REF!</v>
      </c>
      <c r="Z189" s="317" t="e">
        <f>CONCATENATE(TIMETABLE!#REF!," ","[",TIMETABLE!#REF!," ","Students","]"," ",TIMETABLE!#REF!,":"," ",TIMETABLE!#REF!," ",TIMETABLE!#REF!)</f>
        <v>#REF!</v>
      </c>
      <c r="AA189" s="317" t="e">
        <f>CONCATENATE(TIMETABLE!#REF!," ","[",TIMETABLE!#REF!," ","Students","]"," ",TIMETABLE!#REF!,":"," ",TIMETABLE!#REF!," ",TIMETABLE!#REF!)</f>
        <v>#REF!</v>
      </c>
      <c r="AB189" s="317" t="e">
        <f>CONCATENATE(TIMETABLE!#REF!," ","[",TIMETABLE!#REF!," ","Students","]"," ",TIMETABLE!#REF!,":"," ",TIMETABLE!#REF!," ",TIMETABLE!#REF!)</f>
        <v>#REF!</v>
      </c>
      <c r="AC189" s="317" t="str">
        <f>CONCATENATE(TIMETABLE!W$6," ","[",TIMETABLE!W$7," ","Students","]"," ",TIMETABLE!W95,":"," ",TIMETABLE!W98," ",TIMETABLE!W97)</f>
        <v>DMAE/SEP20201J&amp;S-FT [Y1S2   (60) Students] EMR 2110: KANANA FET 107</v>
      </c>
      <c r="AD189" s="317" t="e">
        <f>CONCATENATE(TIMETABLE!#REF!," ","[",TIMETABLE!#REF!," ","Students","]"," ",TIMETABLE!#REF!,":"," ",TIMETABLE!#REF!," ",TIMETABLE!#REF!)</f>
        <v>#REF!</v>
      </c>
      <c r="AE189" s="317" t="e">
        <f>CONCATENATE(TIMETABLE!#REF!," ","[",TIMETABLE!#REF!," ","Students","]"," ",TIMETABLE!#REF!,":"," ",TIMETABLE!#REF!," ",TIMETABLE!#REF!)</f>
        <v>#REF!</v>
      </c>
      <c r="AF189" s="498"/>
    </row>
    <row r="190" spans="3:32" ht="23.4" x14ac:dyDescent="0.45">
      <c r="C190" s="498"/>
      <c r="D190" s="176"/>
      <c r="E190" s="167"/>
      <c r="F190" s="167"/>
      <c r="G190" s="167"/>
      <c r="H190" s="167"/>
      <c r="I190" s="167"/>
      <c r="J190" s="167"/>
      <c r="K190" s="167"/>
      <c r="L190" s="167"/>
      <c r="M190" s="167"/>
      <c r="N190" s="167"/>
      <c r="O190" s="167"/>
      <c r="P190" s="167"/>
      <c r="Q190" s="167"/>
      <c r="R190" s="167"/>
      <c r="S190" s="167"/>
      <c r="T190" s="167"/>
      <c r="U190" s="167"/>
      <c r="V190" s="167"/>
      <c r="W190" s="167"/>
      <c r="X190" s="167"/>
      <c r="Y190" s="167"/>
      <c r="Z190" s="167"/>
      <c r="AA190" s="167"/>
      <c r="AB190" s="167"/>
      <c r="AC190" s="167"/>
      <c r="AD190" s="167"/>
      <c r="AE190" s="167"/>
      <c r="AF190" s="498"/>
    </row>
    <row r="191" spans="3:32" ht="23.4" x14ac:dyDescent="0.45">
      <c r="C191" s="498"/>
      <c r="D191" s="177"/>
      <c r="E191" s="169"/>
      <c r="F191" s="169"/>
      <c r="G191" s="169"/>
      <c r="H191" s="169"/>
      <c r="I191" s="169"/>
      <c r="J191" s="169"/>
      <c r="K191" s="169"/>
      <c r="L191" s="169"/>
      <c r="M191" s="169"/>
      <c r="N191" s="169"/>
      <c r="O191" s="169"/>
      <c r="P191" s="169"/>
      <c r="Q191" s="169"/>
      <c r="R191" s="169"/>
      <c r="S191" s="169"/>
      <c r="T191" s="169"/>
      <c r="U191" s="169"/>
      <c r="V191" s="169"/>
      <c r="W191" s="169"/>
      <c r="X191" s="169"/>
      <c r="Y191" s="169"/>
      <c r="Z191" s="169"/>
      <c r="AA191" s="169"/>
      <c r="AB191" s="169"/>
      <c r="AC191" s="169"/>
      <c r="AD191" s="169"/>
      <c r="AE191" s="169"/>
      <c r="AF191" s="498"/>
    </row>
    <row r="192" spans="3:32" ht="24" thickBot="1" x14ac:dyDescent="0.5">
      <c r="C192" s="498"/>
      <c r="D192" s="178"/>
      <c r="E192" s="317" t="e">
        <f>CONCATENATE(TIMETABLE!#REF!," ","[",TIMETABLE!#REF!," ","Students","]"," ",TIMETABLE!#REF!,":"," ",TIMETABLE!#REF!," ",TIMETABLE!#REF!)</f>
        <v>#REF!</v>
      </c>
      <c r="F192" s="317" t="e">
        <f>CONCATENATE(TIMETABLE!#REF!," ","[",TIMETABLE!#REF!," ","Students","]"," ",TIMETABLE!#REF!,":"," ",TIMETABLE!#REF!," ",TIMETABLE!#REF!)</f>
        <v>#REF!</v>
      </c>
      <c r="G192" s="317" t="e">
        <f>CONCATENATE(TIMETABLE!#REF!," ","[",TIMETABLE!#REF!," ","Students","]"," ",TIMETABLE!#REF!,":"," ",TIMETABLE!#REF!," ",TIMETABLE!#REF!)</f>
        <v>#REF!</v>
      </c>
      <c r="H192" s="317" t="e">
        <f>CONCATENATE(TIMETABLE!#REF!," ","[",TIMETABLE!#REF!," ","Students","]"," ",TIMETABLE!#REF!,":"," ",TIMETABLE!#REF!," ",TIMETABLE!#REF!)</f>
        <v>#REF!</v>
      </c>
      <c r="I192" s="317" t="e">
        <f>CONCATENATE(TIMETABLE!#REF!," ","[",TIMETABLE!#REF!," ","Students","]"," ",TIMETABLE!#REF!,":"," ",TIMETABLE!#REF!," ",TIMETABLE!#REF!)</f>
        <v>#REF!</v>
      </c>
      <c r="J192" s="317" t="e">
        <f>CONCATENATE(TIMETABLE!#REF!," ","[",TIMETABLE!#REF!," ","Students","]"," ",TIMETABLE!#REF!,":"," ",TIMETABLE!#REF!," ",TIMETABLE!#REF!)</f>
        <v>#REF!</v>
      </c>
      <c r="K192" s="317" t="e">
        <f>CONCATENATE(TIMETABLE!#REF!," ","[",TIMETABLE!#REF!," ","Students","]"," ",TIMETABLE!#REF!,":"," ",TIMETABLE!#REF!," ",TIMETABLE!#REF!)</f>
        <v>#REF!</v>
      </c>
      <c r="L192" s="317" t="e">
        <f>CONCATENATE(TIMETABLE!D$6," ","[",TIMETABLE!D$7," ","Students","]"," ",TIMETABLE!#REF!,":"," ",TIMETABLE!#REF!," ",TIMETABLE!#REF!)</f>
        <v>#REF!</v>
      </c>
      <c r="M192" s="317" t="e">
        <f>CONCATENATE(TIMETABLE!E$6," ","[",TIMETABLE!E$7," ","Students","]"," ",TIMETABLE!#REF!,":"," ",TIMETABLE!#REF!," ",TIMETABLE!#REF!)</f>
        <v>#REF!</v>
      </c>
      <c r="N192" s="317" t="e">
        <f>CONCATENATE(TIMETABLE!#REF!," ","[",TIMETABLE!#REF!," ","Students","]"," ",TIMETABLE!#REF!,":"," ",TIMETABLE!#REF!," ",TIMETABLE!#REF!)</f>
        <v>#REF!</v>
      </c>
      <c r="O192" s="317" t="e">
        <f>CONCATENATE(TIMETABLE!#REF!," ","[",TIMETABLE!#REF!," ","Students","]"," ",TIMETABLE!#REF!,":"," ",TIMETABLE!#REF!," ",TIMETABLE!#REF!)</f>
        <v>#REF!</v>
      </c>
      <c r="P192" s="317" t="e">
        <f>CONCATENATE(TIMETABLE!F$6," ","[",TIMETABLE!F$7," ","Students","]"," ",TIMETABLE!#REF!,":"," ",TIMETABLE!#REF!," ",TIMETABLE!#REF!)</f>
        <v>#REF!</v>
      </c>
      <c r="Q192" s="317" t="e">
        <f>CONCATENATE(TIMETABLE!G$6," ","[",TIMETABLE!G$7," ","Students","]"," ",TIMETABLE!#REF!,":"," ",TIMETABLE!#REF!," ",TIMETABLE!#REF!)</f>
        <v>#REF!</v>
      </c>
      <c r="R192" s="317" t="e">
        <f>CONCATENATE(TIMETABLE!#REF!," ","[",TIMETABLE!#REF!," ","Students","]"," ",TIMETABLE!#REF!,":"," ",TIMETABLE!#REF!," ",TIMETABLE!#REF!)</f>
        <v>#REF!</v>
      </c>
      <c r="S192" s="317" t="e">
        <f>CONCATENATE(TIMETABLE!#REF!," ","[",TIMETABLE!#REF!," ","Students","]"," ",TIMETABLE!#REF!,":"," ",TIMETABLE!#REF!," ",TIMETABLE!#REF!)</f>
        <v>#REF!</v>
      </c>
      <c r="T192" s="317" t="e">
        <f>CONCATENATE(TIMETABLE!J$6," ","[",TIMETABLE!J$7," ","Students","]"," ",TIMETABLE!#REF!,":"," ",TIMETABLE!#REF!," ",TIMETABLE!#REF!)</f>
        <v>#REF!</v>
      </c>
      <c r="U192" s="317" t="e">
        <f>CONCATENATE(TIMETABLE!#REF!," ","[",TIMETABLE!#REF!," ","Students","]"," ",TIMETABLE!#REF!,":"," ",TIMETABLE!#REF!," ",TIMETABLE!#REF!)</f>
        <v>#REF!</v>
      </c>
      <c r="V192" s="317" t="e">
        <f>CONCATENATE(TIMETABLE!#REF!," ","[",TIMETABLE!#REF!," ","Students","]"," ",TIMETABLE!#REF!,":"," ",TIMETABLE!#REF!," ",TIMETABLE!#REF!)</f>
        <v>#REF!</v>
      </c>
      <c r="W192" s="317" t="e">
        <f>CONCATENATE(TIMETABLE!#REF!," ","[",TIMETABLE!#REF!," ","Students","]"," ",TIMETABLE!#REF!,":"," ",TIMETABLE!#REF!," ",TIMETABLE!#REF!)</f>
        <v>#REF!</v>
      </c>
      <c r="X192" s="317" t="e">
        <f>CONCATENATE(TIMETABLE!#REF!," ","[",TIMETABLE!#REF!," ","Students","]"," ",TIMETABLE!#REF!,":"," ",TIMETABLE!#REF!," ",TIMETABLE!#REF!)</f>
        <v>#REF!</v>
      </c>
      <c r="Y192" s="317" t="e">
        <f>CONCATENATE(TIMETABLE!#REF!," ","[",TIMETABLE!#REF!," ","Students","]"," ",TIMETABLE!#REF!,":"," ",TIMETABLE!#REF!," ",TIMETABLE!#REF!)</f>
        <v>#REF!</v>
      </c>
      <c r="Z192" s="317" t="e">
        <f>CONCATENATE(TIMETABLE!#REF!," ","[",TIMETABLE!#REF!," ","Students","]"," ",TIMETABLE!#REF!,":"," ",TIMETABLE!#REF!," ",TIMETABLE!#REF!)</f>
        <v>#REF!</v>
      </c>
      <c r="AA192" s="317" t="e">
        <f>CONCATENATE(TIMETABLE!#REF!," ","[",TIMETABLE!#REF!," ","Students","]"," ",TIMETABLE!#REF!,":"," ",TIMETABLE!#REF!," ",TIMETABLE!#REF!)</f>
        <v>#REF!</v>
      </c>
      <c r="AB192" s="317" t="e">
        <f>CONCATENATE(TIMETABLE!#REF!," ","[",TIMETABLE!#REF!," ","Students","]"," ",TIMETABLE!#REF!,":"," ",TIMETABLE!#REF!," ",TIMETABLE!#REF!)</f>
        <v>#REF!</v>
      </c>
      <c r="AC192" s="317" t="e">
        <f>CONCATENATE(TIMETABLE!W$6," ","[",TIMETABLE!W$7," ","Students","]"," ",TIMETABLE!#REF!,":"," ",TIMETABLE!#REF!," ",TIMETABLE!#REF!)</f>
        <v>#REF!</v>
      </c>
      <c r="AD192" s="317" t="e">
        <f>CONCATENATE(TIMETABLE!#REF!," ","[",TIMETABLE!#REF!," ","Students","]"," ",TIMETABLE!#REF!,":"," ",TIMETABLE!#REF!," ",TIMETABLE!#REF!)</f>
        <v>#REF!</v>
      </c>
      <c r="AE192" s="317" t="e">
        <f>CONCATENATE(TIMETABLE!#REF!," ","[",TIMETABLE!#REF!," ","Students","]"," ",TIMETABLE!#REF!,":"," ",TIMETABLE!#REF!," ",TIMETABLE!#REF!)</f>
        <v>#REF!</v>
      </c>
      <c r="AF192" s="498"/>
    </row>
    <row r="193" spans="3:32" ht="23.4" x14ac:dyDescent="0.45">
      <c r="C193" s="498"/>
      <c r="D193" s="176"/>
      <c r="E193" s="167"/>
      <c r="F193" s="167"/>
      <c r="G193" s="167"/>
      <c r="H193" s="167"/>
      <c r="I193" s="167"/>
      <c r="J193" s="167"/>
      <c r="K193" s="167"/>
      <c r="L193" s="167"/>
      <c r="M193" s="167"/>
      <c r="N193" s="167"/>
      <c r="O193" s="167"/>
      <c r="P193" s="167"/>
      <c r="Q193" s="167"/>
      <c r="R193" s="167"/>
      <c r="S193" s="167"/>
      <c r="T193" s="167"/>
      <c r="U193" s="167"/>
      <c r="V193" s="167"/>
      <c r="W193" s="167"/>
      <c r="X193" s="167"/>
      <c r="Y193" s="167"/>
      <c r="Z193" s="167"/>
      <c r="AA193" s="167"/>
      <c r="AB193" s="167"/>
      <c r="AC193" s="167"/>
      <c r="AD193" s="167"/>
      <c r="AE193" s="167"/>
      <c r="AF193" s="498"/>
    </row>
    <row r="194" spans="3:32" ht="23.4" x14ac:dyDescent="0.45">
      <c r="C194" s="498"/>
      <c r="D194" s="177"/>
      <c r="E194" s="169"/>
      <c r="F194" s="169"/>
      <c r="G194" s="169"/>
      <c r="H194" s="169"/>
      <c r="I194" s="169"/>
      <c r="J194" s="169"/>
      <c r="K194" s="169"/>
      <c r="L194" s="169"/>
      <c r="M194" s="169"/>
      <c r="N194" s="169"/>
      <c r="O194" s="169"/>
      <c r="P194" s="169"/>
      <c r="Q194" s="169"/>
      <c r="R194" s="169"/>
      <c r="S194" s="169"/>
      <c r="T194" s="169"/>
      <c r="U194" s="169"/>
      <c r="V194" s="169"/>
      <c r="W194" s="169"/>
      <c r="X194" s="169"/>
      <c r="Y194" s="169"/>
      <c r="Z194" s="169"/>
      <c r="AA194" s="169"/>
      <c r="AB194" s="169"/>
      <c r="AC194" s="169"/>
      <c r="AD194" s="169"/>
      <c r="AE194" s="169"/>
      <c r="AF194" s="498"/>
    </row>
    <row r="195" spans="3:32" ht="24" thickBot="1" x14ac:dyDescent="0.5">
      <c r="C195" s="498"/>
      <c r="D195" s="178"/>
      <c r="E195" s="317" t="e">
        <f>CONCATENATE(TIMETABLE!#REF!," ","[",TIMETABLE!#REF!," ","Students","]"," ",TIMETABLE!#REF!,":"," ",TIMETABLE!#REF!," ",TIMETABLE!#REF!)</f>
        <v>#REF!</v>
      </c>
      <c r="F195" s="317" t="e">
        <f>CONCATENATE(TIMETABLE!#REF!," ","[",TIMETABLE!#REF!," ","Students","]"," ",TIMETABLE!#REF!,":"," ",TIMETABLE!#REF!," ",TIMETABLE!#REF!)</f>
        <v>#REF!</v>
      </c>
      <c r="G195" s="317" t="e">
        <f>CONCATENATE(TIMETABLE!#REF!," ","[",TIMETABLE!#REF!," ","Students","]"," ",TIMETABLE!#REF!,":"," ",TIMETABLE!#REF!," ",TIMETABLE!#REF!)</f>
        <v>#REF!</v>
      </c>
      <c r="H195" s="317" t="e">
        <f>CONCATENATE(TIMETABLE!#REF!," ","[",TIMETABLE!#REF!," ","Students","]"," ",TIMETABLE!#REF!,":"," ",TIMETABLE!#REF!," ",TIMETABLE!#REF!)</f>
        <v>#REF!</v>
      </c>
      <c r="I195" s="317" t="e">
        <f>CONCATENATE(TIMETABLE!#REF!," ","[",TIMETABLE!#REF!," ","Students","]"," ",TIMETABLE!#REF!,":"," ",TIMETABLE!#REF!," ",TIMETABLE!#REF!)</f>
        <v>#REF!</v>
      </c>
      <c r="J195" s="317" t="e">
        <f>CONCATENATE(TIMETABLE!#REF!," ","[",TIMETABLE!#REF!," ","Students","]"," ",TIMETABLE!#REF!,":"," ",TIMETABLE!#REF!," ",TIMETABLE!#REF!)</f>
        <v>#REF!</v>
      </c>
      <c r="K195" s="317" t="e">
        <f>CONCATENATE(TIMETABLE!#REF!," ","[",TIMETABLE!#REF!," ","Students","]"," ",TIMETABLE!#REF!,":"," ",TIMETABLE!#REF!," ",TIMETABLE!#REF!)</f>
        <v>#REF!</v>
      </c>
      <c r="L195" s="317" t="e">
        <f>CONCATENATE(TIMETABLE!D$6," ","[",TIMETABLE!D$7," ","Students","]"," ",TIMETABLE!#REF!,":"," ",TIMETABLE!#REF!," ",TIMETABLE!#REF!)</f>
        <v>#REF!</v>
      </c>
      <c r="M195" s="317" t="e">
        <f>CONCATENATE(TIMETABLE!E$6," ","[",TIMETABLE!E$7," ","Students","]"," ",TIMETABLE!#REF!,":"," ",TIMETABLE!#REF!," ",TIMETABLE!#REF!)</f>
        <v>#REF!</v>
      </c>
      <c r="N195" s="317" t="e">
        <f>CONCATENATE(TIMETABLE!#REF!," ","[",TIMETABLE!#REF!," ","Students","]"," ",TIMETABLE!#REF!,":"," ",TIMETABLE!#REF!," ",TIMETABLE!#REF!)</f>
        <v>#REF!</v>
      </c>
      <c r="O195" s="317" t="e">
        <f>CONCATENATE(TIMETABLE!#REF!," ","[",TIMETABLE!#REF!," ","Students","]"," ",TIMETABLE!#REF!,":"," ",TIMETABLE!#REF!," ",TIMETABLE!#REF!)</f>
        <v>#REF!</v>
      </c>
      <c r="P195" s="317" t="e">
        <f>CONCATENATE(TIMETABLE!F$6," ","[",TIMETABLE!F$7," ","Students","]"," ",TIMETABLE!#REF!,":"," ",TIMETABLE!#REF!," ",TIMETABLE!#REF!)</f>
        <v>#REF!</v>
      </c>
      <c r="Q195" s="317" t="e">
        <f>CONCATENATE(TIMETABLE!G$6," ","[",TIMETABLE!G$7," ","Students","]"," ",TIMETABLE!#REF!,":"," ",TIMETABLE!#REF!," ",TIMETABLE!#REF!)</f>
        <v>#REF!</v>
      </c>
      <c r="R195" s="317" t="e">
        <f>CONCATENATE(TIMETABLE!#REF!," ","[",TIMETABLE!#REF!," ","Students","]"," ",TIMETABLE!#REF!,":"," ",TIMETABLE!#REF!," ",TIMETABLE!#REF!)</f>
        <v>#REF!</v>
      </c>
      <c r="S195" s="317" t="e">
        <f>CONCATENATE(TIMETABLE!#REF!," ","[",TIMETABLE!#REF!," ","Students","]"," ",TIMETABLE!#REF!,":"," ",TIMETABLE!#REF!," ",TIMETABLE!#REF!)</f>
        <v>#REF!</v>
      </c>
      <c r="T195" s="317" t="e">
        <f>CONCATENATE(TIMETABLE!J$6," ","[",TIMETABLE!J$7," ","Students","]"," ",TIMETABLE!#REF!,":"," ",TIMETABLE!#REF!," ",TIMETABLE!#REF!)</f>
        <v>#REF!</v>
      </c>
      <c r="U195" s="317" t="e">
        <f>CONCATENATE(TIMETABLE!#REF!," ","[",TIMETABLE!#REF!," ","Students","]"," ",TIMETABLE!#REF!,":"," ",TIMETABLE!#REF!," ",TIMETABLE!#REF!)</f>
        <v>#REF!</v>
      </c>
      <c r="V195" s="317" t="e">
        <f>CONCATENATE(TIMETABLE!#REF!," ","[",TIMETABLE!#REF!," ","Students","]"," ",TIMETABLE!#REF!,":"," ",TIMETABLE!#REF!," ",TIMETABLE!#REF!)</f>
        <v>#REF!</v>
      </c>
      <c r="W195" s="317" t="e">
        <f>CONCATENATE(TIMETABLE!#REF!," ","[",TIMETABLE!#REF!," ","Students","]"," ",TIMETABLE!#REF!,":"," ",TIMETABLE!#REF!," ",TIMETABLE!#REF!)</f>
        <v>#REF!</v>
      </c>
      <c r="X195" s="317" t="e">
        <f>CONCATENATE(TIMETABLE!#REF!," ","[",TIMETABLE!#REF!," ","Students","]"," ",TIMETABLE!#REF!,":"," ",TIMETABLE!#REF!," ",TIMETABLE!#REF!)</f>
        <v>#REF!</v>
      </c>
      <c r="Y195" s="317" t="e">
        <f>CONCATENATE(TIMETABLE!#REF!," ","[",TIMETABLE!#REF!," ","Students","]"," ",TIMETABLE!#REF!,":"," ",TIMETABLE!#REF!," ",TIMETABLE!#REF!)</f>
        <v>#REF!</v>
      </c>
      <c r="Z195" s="317" t="e">
        <f>CONCATENATE(TIMETABLE!#REF!," ","[",TIMETABLE!#REF!," ","Students","]"," ",TIMETABLE!#REF!,":"," ",TIMETABLE!#REF!," ",TIMETABLE!#REF!)</f>
        <v>#REF!</v>
      </c>
      <c r="AA195" s="317" t="e">
        <f>CONCATENATE(TIMETABLE!#REF!," ","[",TIMETABLE!#REF!," ","Students","]"," ",TIMETABLE!#REF!,":"," ",TIMETABLE!#REF!," ",TIMETABLE!#REF!)</f>
        <v>#REF!</v>
      </c>
      <c r="AB195" s="317" t="e">
        <f>CONCATENATE(TIMETABLE!#REF!," ","[",TIMETABLE!#REF!," ","Students","]"," ",TIMETABLE!#REF!,":"," ",TIMETABLE!#REF!," ",TIMETABLE!#REF!)</f>
        <v>#REF!</v>
      </c>
      <c r="AC195" s="317" t="e">
        <f>CONCATENATE(TIMETABLE!W$6," ","[",TIMETABLE!W$7," ","Students","]"," ",TIMETABLE!#REF!,":"," ",TIMETABLE!#REF!," ",TIMETABLE!#REF!)</f>
        <v>#REF!</v>
      </c>
      <c r="AD195" s="317" t="e">
        <f>CONCATENATE(TIMETABLE!#REF!," ","[",TIMETABLE!#REF!," ","Students","]"," ",TIMETABLE!#REF!,":"," ",TIMETABLE!#REF!," ",TIMETABLE!#REF!)</f>
        <v>#REF!</v>
      </c>
      <c r="AE195" s="317" t="e">
        <f>CONCATENATE(TIMETABLE!#REF!," ","[",TIMETABLE!#REF!," ","Students","]"," ",TIMETABLE!#REF!,":"," ",TIMETABLE!#REF!," ",TIMETABLE!#REF!)</f>
        <v>#REF!</v>
      </c>
      <c r="AF195" s="498"/>
    </row>
    <row r="196" spans="3:32" ht="23.4" x14ac:dyDescent="0.45">
      <c r="C196" s="498"/>
      <c r="D196" s="176"/>
      <c r="E196" s="167"/>
      <c r="F196" s="167"/>
      <c r="G196" s="167"/>
      <c r="H196" s="167"/>
      <c r="I196" s="167"/>
      <c r="J196" s="167"/>
      <c r="K196" s="167"/>
      <c r="L196" s="167"/>
      <c r="M196" s="167"/>
      <c r="N196" s="167"/>
      <c r="O196" s="167"/>
      <c r="P196" s="167"/>
      <c r="Q196" s="167"/>
      <c r="R196" s="167"/>
      <c r="S196" s="167"/>
      <c r="T196" s="167"/>
      <c r="U196" s="167"/>
      <c r="V196" s="167"/>
      <c r="W196" s="167"/>
      <c r="X196" s="167"/>
      <c r="Y196" s="167"/>
      <c r="Z196" s="167"/>
      <c r="AA196" s="167"/>
      <c r="AB196" s="167"/>
      <c r="AC196" s="167"/>
      <c r="AD196" s="167"/>
      <c r="AE196" s="167"/>
      <c r="AF196" s="498"/>
    </row>
    <row r="197" spans="3:32" ht="23.4" x14ac:dyDescent="0.45">
      <c r="C197" s="498"/>
      <c r="D197" s="177"/>
      <c r="E197" s="169"/>
      <c r="F197" s="169"/>
      <c r="G197" s="169"/>
      <c r="H197" s="169"/>
      <c r="I197" s="169"/>
      <c r="J197" s="169"/>
      <c r="K197" s="169"/>
      <c r="L197" s="169"/>
      <c r="M197" s="169"/>
      <c r="N197" s="169"/>
      <c r="O197" s="169"/>
      <c r="P197" s="169"/>
      <c r="Q197" s="169"/>
      <c r="R197" s="169"/>
      <c r="S197" s="169"/>
      <c r="T197" s="169"/>
      <c r="U197" s="169"/>
      <c r="V197" s="169"/>
      <c r="W197" s="169"/>
      <c r="X197" s="169"/>
      <c r="Y197" s="169"/>
      <c r="Z197" s="169"/>
      <c r="AA197" s="169"/>
      <c r="AB197" s="169"/>
      <c r="AC197" s="169"/>
      <c r="AD197" s="169"/>
      <c r="AE197" s="169"/>
      <c r="AF197" s="498"/>
    </row>
    <row r="198" spans="3:32" ht="24" thickBot="1" x14ac:dyDescent="0.5">
      <c r="C198" s="498"/>
      <c r="D198" s="178"/>
      <c r="E198" s="317" t="e">
        <f>CONCATENATE(TIMETABLE!#REF!," ","[",TIMETABLE!#REF!," ","Students","]"," ",TIMETABLE!#REF!,":"," ",TIMETABLE!#REF!," ",TIMETABLE!#REF!)</f>
        <v>#REF!</v>
      </c>
      <c r="F198" s="317" t="e">
        <f>CONCATENATE(TIMETABLE!#REF!," ","[",TIMETABLE!#REF!," ","Students","]"," ",TIMETABLE!#REF!,":"," ",TIMETABLE!#REF!," ",TIMETABLE!#REF!)</f>
        <v>#REF!</v>
      </c>
      <c r="G198" s="317" t="e">
        <f>CONCATENATE(TIMETABLE!#REF!," ","[",TIMETABLE!#REF!," ","Students","]"," ",TIMETABLE!#REF!,":"," ",TIMETABLE!#REF!," ",TIMETABLE!#REF!)</f>
        <v>#REF!</v>
      </c>
      <c r="H198" s="317" t="e">
        <f>CONCATENATE(TIMETABLE!#REF!," ","[",TIMETABLE!#REF!," ","Students","]"," ",TIMETABLE!#REF!,":"," ",TIMETABLE!#REF!," ",TIMETABLE!#REF!)</f>
        <v>#REF!</v>
      </c>
      <c r="I198" s="317" t="e">
        <f>CONCATENATE(TIMETABLE!#REF!," ","[",TIMETABLE!#REF!," ","Students","]"," ",TIMETABLE!#REF!,":"," ",TIMETABLE!#REF!," ",TIMETABLE!#REF!)</f>
        <v>#REF!</v>
      </c>
      <c r="J198" s="317" t="e">
        <f>CONCATENATE(TIMETABLE!#REF!," ","[",TIMETABLE!#REF!," ","Students","]"," ",TIMETABLE!#REF!,":"," ",TIMETABLE!#REF!," ",TIMETABLE!#REF!)</f>
        <v>#REF!</v>
      </c>
      <c r="K198" s="317" t="e">
        <f>CONCATENATE(TIMETABLE!#REF!," ","[",TIMETABLE!#REF!," ","Students","]"," ",TIMETABLE!#REF!,":"," ",TIMETABLE!#REF!," ",TIMETABLE!#REF!)</f>
        <v>#REF!</v>
      </c>
      <c r="L198" s="317" t="str">
        <f>CONCATENATE(TIMETABLE!D$6," ","[",TIMETABLE!D$7," ","Students","]"," ",TIMETABLE!D99,":"," ",TIMETABLE!D102," ",TIMETABLE!D101)</f>
        <v xml:space="preserve">BSME/SEP2020/J-FT [Y2S1  (50) Students] :  </v>
      </c>
      <c r="M198" s="317" t="str">
        <f>CONCATENATE(TIMETABLE!E$6," ","[",TIMETABLE!E$7," ","Students","]"," ",TIMETABLE!E99,":"," ",TIMETABLE!E102," ",TIMETABLE!E101)</f>
        <v xml:space="preserve">BSME/AUG2021/J-FT [Y1S2  (55) Students] :  </v>
      </c>
      <c r="N198" s="317" t="e">
        <f>CONCATENATE(TIMETABLE!#REF!," ","[",TIMETABLE!#REF!," ","Students","]"," ",TIMETABLE!#REF!,":"," ",TIMETABLE!#REF!," ",TIMETABLE!#REF!)</f>
        <v>#REF!</v>
      </c>
      <c r="O198" s="317" t="e">
        <f>CONCATENATE(TIMETABLE!#REF!," ","[",TIMETABLE!#REF!," ","Students","]"," ",TIMETABLE!#REF!,":"," ",TIMETABLE!#REF!," ",TIMETABLE!#REF!)</f>
        <v>#REF!</v>
      </c>
      <c r="P198" s="317" t="str">
        <f>CONCATENATE(TIMETABLE!F$6," ","[",TIMETABLE!F$7," ","Students","]"," ",TIMETABLE!F99,":"," ",TIMETABLE!F102," ",TIMETABLE!F101)</f>
        <v>BTME/SEP2019/S-PT [Y3S1   (10) Students] TMC 4313: MUTAVA FET 109</v>
      </c>
      <c r="Q198" s="317" t="str">
        <f>CONCATENATE(TIMETABLE!G$6," ","[",TIMETABLE!G$7," ","Students","]"," ",TIMETABLE!G99,":"," ",TIMETABLE!G102," ",TIMETABLE!G101)</f>
        <v>BTME/AUG2021/S-PT [Y2S2   (10) Students] TCV 4223: MUTIE CH</v>
      </c>
      <c r="R198" s="317" t="e">
        <f>CONCATENATE(TIMETABLE!#REF!," ","[",TIMETABLE!#REF!," ","Students","]"," ",TIMETABLE!#REF!,":"," ",TIMETABLE!#REF!," ",TIMETABLE!#REF!)</f>
        <v>#REF!</v>
      </c>
      <c r="S198" s="317" t="e">
        <f>CONCATENATE(TIMETABLE!#REF!," ","[",TIMETABLE!#REF!," ","Students","]"," ",TIMETABLE!#REF!,":"," ",TIMETABLE!#REF!," ",TIMETABLE!#REF!)</f>
        <v>#REF!</v>
      </c>
      <c r="T198" s="317" t="str">
        <f>CONCATENATE(TIMETABLE!J$6," ","[",TIMETABLE!J$7," ","Students","]"," ",TIMETABLE!J99,":"," ",TIMETABLE!J102," ",TIMETABLE!J101)</f>
        <v xml:space="preserve">BTME/AUG2021/J&amp;S-FT [Y1S1  (52) Students] :  </v>
      </c>
      <c r="U198" s="317" t="e">
        <f>CONCATENATE(TIMETABLE!#REF!," ","[",TIMETABLE!#REF!," ","Students","]"," ",TIMETABLE!#REF!,":"," ",TIMETABLE!#REF!," ",TIMETABLE!#REF!)</f>
        <v>#REF!</v>
      </c>
      <c r="V198" s="317" t="e">
        <f>CONCATENATE(TIMETABLE!#REF!," ","[",TIMETABLE!#REF!," ","Students","]"," ",TIMETABLE!#REF!,":"," ",TIMETABLE!#REF!," ",TIMETABLE!#REF!)</f>
        <v>#REF!</v>
      </c>
      <c r="W198" s="317" t="e">
        <f>CONCATENATE(TIMETABLE!#REF!," ","[",TIMETABLE!#REF!," ","Students","]"," ",TIMETABLE!#REF!,":"," ",TIMETABLE!#REF!," ",TIMETABLE!#REF!)</f>
        <v>#REF!</v>
      </c>
      <c r="X198" s="317" t="e">
        <f>CONCATENATE(TIMETABLE!#REF!," ","[",TIMETABLE!#REF!," ","Students","]"," ",TIMETABLE!#REF!,":"," ",TIMETABLE!#REF!," ",TIMETABLE!#REF!)</f>
        <v>#REF!</v>
      </c>
      <c r="Y198" s="317" t="e">
        <f>CONCATENATE(TIMETABLE!#REF!," ","[",TIMETABLE!#REF!," ","Students","]"," ",TIMETABLE!#REF!,":"," ",TIMETABLE!#REF!," ",TIMETABLE!#REF!)</f>
        <v>#REF!</v>
      </c>
      <c r="Z198" s="317" t="e">
        <f>CONCATENATE(TIMETABLE!#REF!," ","[",TIMETABLE!#REF!," ","Students","]"," ",TIMETABLE!#REF!,":"," ",TIMETABLE!#REF!," ",TIMETABLE!#REF!)</f>
        <v>#REF!</v>
      </c>
      <c r="AA198" s="317" t="e">
        <f>CONCATENATE(TIMETABLE!#REF!," ","[",TIMETABLE!#REF!," ","Students","]"," ",TIMETABLE!#REF!,":"," ",TIMETABLE!#REF!," ",TIMETABLE!#REF!)</f>
        <v>#REF!</v>
      </c>
      <c r="AB198" s="317" t="e">
        <f>CONCATENATE(TIMETABLE!#REF!," ","[",TIMETABLE!#REF!," ","Students","]"," ",TIMETABLE!#REF!,":"," ",TIMETABLE!#REF!," ",TIMETABLE!#REF!)</f>
        <v>#REF!</v>
      </c>
      <c r="AC198" s="317" t="str">
        <f>CONCATENATE(TIMETABLE!W$6," ","[",TIMETABLE!W$7," ","Students","]"," ",TIMETABLE!W99,":"," ",TIMETABLE!W102," ",TIMETABLE!W101)</f>
        <v xml:space="preserve">DMAE/SEP20201J&amp;S-FT [Y1S2   (60) Students] :  </v>
      </c>
      <c r="AD198" s="317" t="e">
        <f>CONCATENATE(TIMETABLE!#REF!," ","[",TIMETABLE!#REF!," ","Students","]"," ",TIMETABLE!#REF!,":"," ",TIMETABLE!#REF!," ",TIMETABLE!#REF!)</f>
        <v>#REF!</v>
      </c>
      <c r="AE198" s="317" t="e">
        <f>CONCATENATE(TIMETABLE!#REF!," ","[",TIMETABLE!#REF!," ","Students","]"," ",TIMETABLE!#REF!,":"," ",TIMETABLE!#REF!," ",TIMETABLE!#REF!)</f>
        <v>#REF!</v>
      </c>
      <c r="AF198" s="498"/>
    </row>
    <row r="199" spans="3:32" ht="23.4" x14ac:dyDescent="0.45">
      <c r="C199" s="498"/>
      <c r="D199" s="181"/>
      <c r="E199" s="167"/>
      <c r="F199" s="167"/>
      <c r="G199" s="167"/>
      <c r="H199" s="167"/>
      <c r="I199" s="167"/>
      <c r="J199" s="167"/>
      <c r="K199" s="167"/>
      <c r="L199" s="167"/>
      <c r="M199" s="167"/>
      <c r="N199" s="167"/>
      <c r="O199" s="167"/>
      <c r="P199" s="167"/>
      <c r="Q199" s="167"/>
      <c r="R199" s="167"/>
      <c r="S199" s="167"/>
      <c r="T199" s="167"/>
      <c r="U199" s="167"/>
      <c r="V199" s="167"/>
      <c r="W199" s="167"/>
      <c r="X199" s="167"/>
      <c r="Y199" s="167"/>
      <c r="Z199" s="167"/>
      <c r="AA199" s="167"/>
      <c r="AB199" s="167"/>
      <c r="AC199" s="167"/>
      <c r="AD199" s="167"/>
      <c r="AE199" s="167"/>
      <c r="AF199" s="498"/>
    </row>
    <row r="200" spans="3:32" ht="23.4" x14ac:dyDescent="0.45">
      <c r="C200" s="498"/>
      <c r="D200" s="177"/>
      <c r="E200" s="169"/>
      <c r="F200" s="169"/>
      <c r="G200" s="169"/>
      <c r="H200" s="169"/>
      <c r="I200" s="169"/>
      <c r="J200" s="169"/>
      <c r="K200" s="169"/>
      <c r="L200" s="169"/>
      <c r="M200" s="169"/>
      <c r="N200" s="169"/>
      <c r="O200" s="169"/>
      <c r="P200" s="169"/>
      <c r="Q200" s="169"/>
      <c r="R200" s="169"/>
      <c r="S200" s="169"/>
      <c r="T200" s="169"/>
      <c r="U200" s="169"/>
      <c r="V200" s="169"/>
      <c r="W200" s="169"/>
      <c r="X200" s="169"/>
      <c r="Y200" s="169"/>
      <c r="Z200" s="169"/>
      <c r="AA200" s="169"/>
      <c r="AB200" s="169"/>
      <c r="AC200" s="169"/>
      <c r="AD200" s="169"/>
      <c r="AE200" s="169"/>
      <c r="AF200" s="498"/>
    </row>
    <row r="201" spans="3:32" ht="24" thickBot="1" x14ac:dyDescent="0.5">
      <c r="C201" s="498"/>
      <c r="D201" s="178"/>
      <c r="E201" s="317" t="e">
        <f>CONCATENATE(TIMETABLE!#REF!," ","[",TIMETABLE!#REF!," ","Students","]"," ",TIMETABLE!#REF!,":"," ",TIMETABLE!#REF!," ",TIMETABLE!#REF!)</f>
        <v>#REF!</v>
      </c>
      <c r="F201" s="317" t="e">
        <f>CONCATENATE(TIMETABLE!#REF!," ","[",TIMETABLE!#REF!," ","Students","]"," ",TIMETABLE!#REF!,":"," ",TIMETABLE!#REF!," ",TIMETABLE!#REF!)</f>
        <v>#REF!</v>
      </c>
      <c r="G201" s="317" t="e">
        <f>CONCATENATE(TIMETABLE!#REF!," ","[",TIMETABLE!#REF!," ","Students","]"," ",TIMETABLE!#REF!,":"," ",TIMETABLE!#REF!," ",TIMETABLE!#REF!)</f>
        <v>#REF!</v>
      </c>
      <c r="H201" s="317" t="e">
        <f>CONCATENATE(TIMETABLE!#REF!," ","[",TIMETABLE!#REF!," ","Students","]"," ",TIMETABLE!#REF!,":"," ",TIMETABLE!#REF!," ",TIMETABLE!#REF!)</f>
        <v>#REF!</v>
      </c>
      <c r="I201" s="317" t="e">
        <f>CONCATENATE(TIMETABLE!#REF!," ","[",TIMETABLE!#REF!," ","Students","]"," ",TIMETABLE!#REF!,":"," ",TIMETABLE!#REF!," ",TIMETABLE!#REF!)</f>
        <v>#REF!</v>
      </c>
      <c r="J201" s="317" t="e">
        <f>CONCATENATE(TIMETABLE!#REF!," ","[",TIMETABLE!#REF!," ","Students","]"," ",TIMETABLE!#REF!,":"," ",TIMETABLE!#REF!," ",TIMETABLE!#REF!)</f>
        <v>#REF!</v>
      </c>
      <c r="K201" s="317" t="e">
        <f>CONCATENATE(TIMETABLE!#REF!," ","[",TIMETABLE!#REF!," ","Students","]"," ",TIMETABLE!#REF!,":"," ",TIMETABLE!#REF!," ",TIMETABLE!#REF!)</f>
        <v>#REF!</v>
      </c>
      <c r="L201" s="317" t="e">
        <f>CONCATENATE(TIMETABLE!D$6," ","[",TIMETABLE!D$7," ","Students","]"," ",TIMETABLE!#REF!,":"," ",TIMETABLE!#REF!," ",TIMETABLE!#REF!)</f>
        <v>#REF!</v>
      </c>
      <c r="M201" s="317" t="e">
        <f>CONCATENATE(TIMETABLE!E$6," ","[",TIMETABLE!E$7," ","Students","]"," ",TIMETABLE!#REF!,":"," ",TIMETABLE!#REF!," ",TIMETABLE!#REF!)</f>
        <v>#REF!</v>
      </c>
      <c r="N201" s="317" t="e">
        <f>CONCATENATE(TIMETABLE!#REF!," ","[",TIMETABLE!#REF!," ","Students","]"," ",TIMETABLE!#REF!,":"," ",TIMETABLE!#REF!," ",TIMETABLE!#REF!)</f>
        <v>#REF!</v>
      </c>
      <c r="O201" s="317" t="e">
        <f>CONCATENATE(TIMETABLE!#REF!," ","[",TIMETABLE!#REF!," ","Students","]"," ",TIMETABLE!#REF!,":"," ",TIMETABLE!#REF!," ",TIMETABLE!#REF!)</f>
        <v>#REF!</v>
      </c>
      <c r="P201" s="317" t="e">
        <f>CONCATENATE(TIMETABLE!F$6," ","[",TIMETABLE!F$7," ","Students","]"," ",TIMETABLE!#REF!,":"," ",TIMETABLE!#REF!," ",TIMETABLE!#REF!)</f>
        <v>#REF!</v>
      </c>
      <c r="Q201" s="317" t="e">
        <f>CONCATENATE(TIMETABLE!G$6," ","[",TIMETABLE!G$7," ","Students","]"," ",TIMETABLE!#REF!,":"," ",TIMETABLE!#REF!," ",TIMETABLE!#REF!)</f>
        <v>#REF!</v>
      </c>
      <c r="R201" s="317" t="e">
        <f>CONCATENATE(TIMETABLE!#REF!," ","[",TIMETABLE!#REF!," ","Students","]"," ",TIMETABLE!#REF!,":"," ",TIMETABLE!#REF!," ",TIMETABLE!#REF!)</f>
        <v>#REF!</v>
      </c>
      <c r="S201" s="317" t="e">
        <f>CONCATENATE(TIMETABLE!#REF!," ","[",TIMETABLE!#REF!," ","Students","]"," ",TIMETABLE!#REF!,":"," ",TIMETABLE!#REF!," ",TIMETABLE!#REF!)</f>
        <v>#REF!</v>
      </c>
      <c r="T201" s="317" t="e">
        <f>CONCATENATE(TIMETABLE!J$6," ","[",TIMETABLE!J$7," ","Students","]"," ",TIMETABLE!#REF!,":"," ",TIMETABLE!#REF!," ",TIMETABLE!#REF!)</f>
        <v>#REF!</v>
      </c>
      <c r="U201" s="317" t="e">
        <f>CONCATENATE(TIMETABLE!#REF!," ","[",TIMETABLE!#REF!," ","Students","]"," ",TIMETABLE!#REF!,":"," ",TIMETABLE!#REF!," ",TIMETABLE!#REF!)</f>
        <v>#REF!</v>
      </c>
      <c r="V201" s="317" t="e">
        <f>CONCATENATE(TIMETABLE!#REF!," ","[",TIMETABLE!#REF!," ","Students","]"," ",TIMETABLE!#REF!,":"," ",TIMETABLE!#REF!," ",TIMETABLE!#REF!)</f>
        <v>#REF!</v>
      </c>
      <c r="W201" s="317" t="e">
        <f>CONCATENATE(TIMETABLE!#REF!," ","[",TIMETABLE!#REF!," ","Students","]"," ",TIMETABLE!#REF!,":"," ",TIMETABLE!#REF!," ",TIMETABLE!#REF!)</f>
        <v>#REF!</v>
      </c>
      <c r="X201" s="317" t="e">
        <f>CONCATENATE(TIMETABLE!#REF!," ","[",TIMETABLE!#REF!," ","Students","]"," ",TIMETABLE!#REF!,":"," ",TIMETABLE!#REF!," ",TIMETABLE!#REF!)</f>
        <v>#REF!</v>
      </c>
      <c r="Y201" s="317" t="e">
        <f>CONCATENATE(TIMETABLE!#REF!," ","[",TIMETABLE!#REF!," ","Students","]"," ",TIMETABLE!#REF!,":"," ",TIMETABLE!#REF!," ",TIMETABLE!#REF!)</f>
        <v>#REF!</v>
      </c>
      <c r="Z201" s="317" t="e">
        <f>CONCATENATE(TIMETABLE!#REF!," ","[",TIMETABLE!#REF!," ","Students","]"," ",TIMETABLE!#REF!,":"," ",TIMETABLE!#REF!," ",TIMETABLE!#REF!)</f>
        <v>#REF!</v>
      </c>
      <c r="AA201" s="317" t="e">
        <f>CONCATENATE(TIMETABLE!#REF!," ","[",TIMETABLE!#REF!," ","Students","]"," ",TIMETABLE!#REF!,":"," ",TIMETABLE!#REF!," ",TIMETABLE!#REF!)</f>
        <v>#REF!</v>
      </c>
      <c r="AB201" s="317" t="e">
        <f>CONCATENATE(TIMETABLE!#REF!," ","[",TIMETABLE!#REF!," ","Students","]"," ",TIMETABLE!#REF!,":"," ",TIMETABLE!#REF!," ",TIMETABLE!#REF!)</f>
        <v>#REF!</v>
      </c>
      <c r="AC201" s="317" t="e">
        <f>CONCATENATE(TIMETABLE!W$6," ","[",TIMETABLE!W$7," ","Students","]"," ",TIMETABLE!#REF!,":"," ",TIMETABLE!#REF!," ",TIMETABLE!#REF!)</f>
        <v>#REF!</v>
      </c>
      <c r="AD201" s="317" t="e">
        <f>CONCATENATE(TIMETABLE!#REF!," ","[",TIMETABLE!#REF!," ","Students","]"," ",TIMETABLE!#REF!,":"," ",TIMETABLE!#REF!," ",TIMETABLE!#REF!)</f>
        <v>#REF!</v>
      </c>
      <c r="AE201" s="317" t="e">
        <f>CONCATENATE(TIMETABLE!#REF!," ","[",TIMETABLE!#REF!," ","Students","]"," ",TIMETABLE!#REF!,":"," ",TIMETABLE!#REF!," ",TIMETABLE!#REF!)</f>
        <v>#REF!</v>
      </c>
      <c r="AF201" s="498"/>
    </row>
    <row r="202" spans="3:32" ht="23.4" x14ac:dyDescent="0.45">
      <c r="C202" s="498"/>
      <c r="D202" s="177"/>
      <c r="E202" s="167"/>
      <c r="F202" s="167"/>
      <c r="G202" s="167"/>
      <c r="H202" s="167"/>
      <c r="I202" s="167"/>
      <c r="J202" s="167"/>
      <c r="K202" s="167"/>
      <c r="L202" s="167"/>
      <c r="M202" s="167"/>
      <c r="N202" s="167"/>
      <c r="O202" s="167"/>
      <c r="P202" s="167"/>
      <c r="Q202" s="167"/>
      <c r="R202" s="167"/>
      <c r="S202" s="167"/>
      <c r="T202" s="167"/>
      <c r="U202" s="167"/>
      <c r="V202" s="167"/>
      <c r="W202" s="167"/>
      <c r="X202" s="167"/>
      <c r="Y202" s="167"/>
      <c r="Z202" s="167"/>
      <c r="AA202" s="167"/>
      <c r="AB202" s="167"/>
      <c r="AC202" s="167"/>
      <c r="AD202" s="167"/>
      <c r="AE202" s="167"/>
      <c r="AF202" s="498"/>
    </row>
    <row r="203" spans="3:32" ht="23.4" x14ac:dyDescent="0.45">
      <c r="C203" s="498"/>
      <c r="D203" s="177"/>
      <c r="E203" s="169"/>
      <c r="F203" s="169"/>
      <c r="G203" s="169"/>
      <c r="H203" s="169"/>
      <c r="I203" s="169"/>
      <c r="J203" s="169"/>
      <c r="K203" s="169"/>
      <c r="L203" s="169"/>
      <c r="M203" s="169"/>
      <c r="N203" s="169"/>
      <c r="O203" s="169"/>
      <c r="P203" s="169"/>
      <c r="Q203" s="169"/>
      <c r="R203" s="169"/>
      <c r="S203" s="169"/>
      <c r="T203" s="169"/>
      <c r="U203" s="169"/>
      <c r="V203" s="169"/>
      <c r="W203" s="169"/>
      <c r="X203" s="169"/>
      <c r="Y203" s="169"/>
      <c r="Z203" s="169"/>
      <c r="AA203" s="169"/>
      <c r="AB203" s="169"/>
      <c r="AC203" s="169"/>
      <c r="AD203" s="169"/>
      <c r="AE203" s="169"/>
      <c r="AF203" s="498"/>
    </row>
    <row r="204" spans="3:32" ht="24" thickBot="1" x14ac:dyDescent="0.5">
      <c r="C204" s="499"/>
      <c r="D204" s="182"/>
      <c r="E204" s="317" t="e">
        <f>CONCATENATE(TIMETABLE!#REF!," ","[",TIMETABLE!#REF!," ","Students","]"," ",TIMETABLE!#REF!,":"," ",TIMETABLE!#REF!," ",TIMETABLE!#REF!)</f>
        <v>#REF!</v>
      </c>
      <c r="F204" s="317" t="e">
        <f>CONCATENATE(TIMETABLE!#REF!," ","[",TIMETABLE!#REF!," ","Students","]"," ",TIMETABLE!#REF!,":"," ",TIMETABLE!#REF!," ",TIMETABLE!#REF!)</f>
        <v>#REF!</v>
      </c>
      <c r="G204" s="317" t="e">
        <f>CONCATENATE(TIMETABLE!#REF!," ","[",TIMETABLE!#REF!," ","Students","]"," ",TIMETABLE!#REF!,":"," ",TIMETABLE!#REF!," ",TIMETABLE!#REF!)</f>
        <v>#REF!</v>
      </c>
      <c r="H204" s="317" t="e">
        <f>CONCATENATE(TIMETABLE!#REF!," ","[",TIMETABLE!#REF!," ","Students","]"," ",TIMETABLE!#REF!,":"," ",TIMETABLE!#REF!," ",TIMETABLE!#REF!)</f>
        <v>#REF!</v>
      </c>
      <c r="I204" s="317" t="e">
        <f>CONCATENATE(TIMETABLE!#REF!," ","[",TIMETABLE!#REF!," ","Students","]"," ",TIMETABLE!#REF!,":"," ",TIMETABLE!#REF!," ",TIMETABLE!#REF!)</f>
        <v>#REF!</v>
      </c>
      <c r="J204" s="317" t="e">
        <f>CONCATENATE(TIMETABLE!#REF!," ","[",TIMETABLE!#REF!," ","Students","]"," ",TIMETABLE!#REF!,":"," ",TIMETABLE!#REF!," ",TIMETABLE!#REF!)</f>
        <v>#REF!</v>
      </c>
      <c r="K204" s="317" t="e">
        <f>CONCATENATE(TIMETABLE!#REF!," ","[",TIMETABLE!#REF!," ","Students","]"," ",TIMETABLE!#REF!,":"," ",TIMETABLE!#REF!," ",TIMETABLE!#REF!)</f>
        <v>#REF!</v>
      </c>
      <c r="L204" s="317" t="e">
        <f>CONCATENATE(TIMETABLE!D$6," ","[",TIMETABLE!D$7," ","Students","]"," ",TIMETABLE!#REF!,":"," ",TIMETABLE!#REF!," ",TIMETABLE!#REF!)</f>
        <v>#REF!</v>
      </c>
      <c r="M204" s="317" t="e">
        <f>CONCATENATE(TIMETABLE!E$6," ","[",TIMETABLE!E$7," ","Students","]"," ",TIMETABLE!#REF!,":"," ",TIMETABLE!#REF!," ",TIMETABLE!#REF!)</f>
        <v>#REF!</v>
      </c>
      <c r="N204" s="317" t="e">
        <f>CONCATENATE(TIMETABLE!#REF!," ","[",TIMETABLE!#REF!," ","Students","]"," ",TIMETABLE!#REF!,":"," ",TIMETABLE!#REF!," ",TIMETABLE!#REF!)</f>
        <v>#REF!</v>
      </c>
      <c r="O204" s="317" t="e">
        <f>CONCATENATE(TIMETABLE!#REF!," ","[",TIMETABLE!#REF!," ","Students","]"," ",TIMETABLE!#REF!,":"," ",TIMETABLE!#REF!," ",TIMETABLE!#REF!)</f>
        <v>#REF!</v>
      </c>
      <c r="P204" s="317" t="e">
        <f>CONCATENATE(TIMETABLE!F$6," ","[",TIMETABLE!F$7," ","Students","]"," ",TIMETABLE!#REF!,":"," ",TIMETABLE!#REF!," ",TIMETABLE!#REF!)</f>
        <v>#REF!</v>
      </c>
      <c r="Q204" s="317" t="e">
        <f>CONCATENATE(TIMETABLE!G$6," ","[",TIMETABLE!G$7," ","Students","]"," ",TIMETABLE!#REF!,":"," ",TIMETABLE!#REF!," ",TIMETABLE!#REF!)</f>
        <v>#REF!</v>
      </c>
      <c r="R204" s="317" t="e">
        <f>CONCATENATE(TIMETABLE!#REF!," ","[",TIMETABLE!#REF!," ","Students","]"," ",TIMETABLE!#REF!,":"," ",TIMETABLE!#REF!," ",TIMETABLE!#REF!)</f>
        <v>#REF!</v>
      </c>
      <c r="S204" s="317" t="e">
        <f>CONCATENATE(TIMETABLE!#REF!," ","[",TIMETABLE!#REF!," ","Students","]"," ",TIMETABLE!#REF!,":"," ",TIMETABLE!#REF!," ",TIMETABLE!#REF!)</f>
        <v>#REF!</v>
      </c>
      <c r="T204" s="317" t="e">
        <f>CONCATENATE(TIMETABLE!J$6," ","[",TIMETABLE!J$7," ","Students","]"," ",TIMETABLE!#REF!,":"," ",TIMETABLE!#REF!," ",TIMETABLE!#REF!)</f>
        <v>#REF!</v>
      </c>
      <c r="U204" s="317" t="e">
        <f>CONCATENATE(TIMETABLE!#REF!," ","[",TIMETABLE!#REF!," ","Students","]"," ",TIMETABLE!#REF!,":"," ",TIMETABLE!#REF!," ",TIMETABLE!#REF!)</f>
        <v>#REF!</v>
      </c>
      <c r="V204" s="317" t="e">
        <f>CONCATENATE(TIMETABLE!#REF!," ","[",TIMETABLE!#REF!," ","Students","]"," ",TIMETABLE!#REF!,":"," ",TIMETABLE!#REF!," ",TIMETABLE!#REF!)</f>
        <v>#REF!</v>
      </c>
      <c r="W204" s="317" t="e">
        <f>CONCATENATE(TIMETABLE!#REF!," ","[",TIMETABLE!#REF!," ","Students","]"," ",TIMETABLE!#REF!,":"," ",TIMETABLE!#REF!," ",TIMETABLE!#REF!)</f>
        <v>#REF!</v>
      </c>
      <c r="X204" s="317" t="e">
        <f>CONCATENATE(TIMETABLE!#REF!," ","[",TIMETABLE!#REF!," ","Students","]"," ",TIMETABLE!#REF!,":"," ",TIMETABLE!#REF!," ",TIMETABLE!#REF!)</f>
        <v>#REF!</v>
      </c>
      <c r="Y204" s="317" t="e">
        <f>CONCATENATE(TIMETABLE!#REF!," ","[",TIMETABLE!#REF!," ","Students","]"," ",TIMETABLE!#REF!,":"," ",TIMETABLE!#REF!," ",TIMETABLE!#REF!)</f>
        <v>#REF!</v>
      </c>
      <c r="Z204" s="317" t="e">
        <f>CONCATENATE(TIMETABLE!#REF!," ","[",TIMETABLE!#REF!," ","Students","]"," ",TIMETABLE!#REF!,":"," ",TIMETABLE!#REF!," ",TIMETABLE!#REF!)</f>
        <v>#REF!</v>
      </c>
      <c r="AA204" s="317" t="e">
        <f>CONCATENATE(TIMETABLE!#REF!," ","[",TIMETABLE!#REF!," ","Students","]"," ",TIMETABLE!#REF!,":"," ",TIMETABLE!#REF!," ",TIMETABLE!#REF!)</f>
        <v>#REF!</v>
      </c>
      <c r="AB204" s="317" t="e">
        <f>CONCATENATE(TIMETABLE!#REF!," ","[",TIMETABLE!#REF!," ","Students","]"," ",TIMETABLE!#REF!,":"," ",TIMETABLE!#REF!," ",TIMETABLE!#REF!)</f>
        <v>#REF!</v>
      </c>
      <c r="AC204" s="317" t="e">
        <f>CONCATENATE(TIMETABLE!W$6," ","[",TIMETABLE!W$7," ","Students","]"," ",TIMETABLE!#REF!,":"," ",TIMETABLE!#REF!," ",TIMETABLE!#REF!)</f>
        <v>#REF!</v>
      </c>
      <c r="AD204" s="317" t="e">
        <f>CONCATENATE(TIMETABLE!#REF!," ","[",TIMETABLE!#REF!," ","Students","]"," ",TIMETABLE!#REF!,":"," ",TIMETABLE!#REF!," ",TIMETABLE!#REF!)</f>
        <v>#REF!</v>
      </c>
      <c r="AE204" s="317" t="e">
        <f>CONCATENATE(TIMETABLE!#REF!," ","[",TIMETABLE!#REF!," ","Students","]"," ",TIMETABLE!#REF!,":"," ",TIMETABLE!#REF!," ",TIMETABLE!#REF!)</f>
        <v>#REF!</v>
      </c>
      <c r="AF204" s="499"/>
    </row>
    <row r="205" spans="3:32" ht="23.4" x14ac:dyDescent="0.45">
      <c r="C205" s="502"/>
      <c r="D205" s="183"/>
      <c r="E205" s="130"/>
      <c r="F205" s="130"/>
      <c r="G205" s="130"/>
      <c r="H205" s="130"/>
      <c r="I205" s="130"/>
      <c r="J205" s="130"/>
      <c r="K205" s="130"/>
      <c r="L205" s="130"/>
      <c r="M205" s="130"/>
      <c r="N205" s="130"/>
      <c r="O205" s="130"/>
      <c r="P205" s="130"/>
      <c r="Q205" s="130"/>
      <c r="R205" s="130"/>
      <c r="S205" s="130"/>
      <c r="T205" s="130"/>
      <c r="U205" s="130"/>
      <c r="V205" s="130"/>
      <c r="W205" s="130"/>
      <c r="X205" s="130"/>
      <c r="Y205" s="130"/>
      <c r="Z205" s="130"/>
      <c r="AA205" s="130"/>
      <c r="AB205" s="130"/>
      <c r="AC205" s="130"/>
      <c r="AD205" s="130"/>
      <c r="AE205" s="130"/>
      <c r="AF205" s="502"/>
    </row>
    <row r="206" spans="3:32" ht="23.4" x14ac:dyDescent="0.45">
      <c r="C206" s="495"/>
      <c r="D206" s="18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c r="AA206" s="134"/>
      <c r="AB206" s="134"/>
      <c r="AC206" s="134"/>
      <c r="AD206" s="134"/>
      <c r="AE206" s="134"/>
      <c r="AF206" s="495"/>
    </row>
    <row r="207" spans="3:32" ht="24" thickBot="1" x14ac:dyDescent="0.5">
      <c r="C207" s="495"/>
      <c r="D207" s="185"/>
      <c r="E207" s="315" t="e">
        <f>CONCATENATE(TIMETABLE!#REF!," ","[",TIMETABLE!#REF!," ","Students","]"," ",TIMETABLE!#REF!,":"," ",TIMETABLE!#REF!," ",TIMETABLE!#REF!)</f>
        <v>#REF!</v>
      </c>
      <c r="F207" s="315" t="e">
        <f>CONCATENATE(TIMETABLE!#REF!," ","[",TIMETABLE!#REF!," ","Students","]"," ",TIMETABLE!#REF!,":"," ",TIMETABLE!#REF!," ",TIMETABLE!#REF!)</f>
        <v>#REF!</v>
      </c>
      <c r="G207" s="315" t="e">
        <f>CONCATENATE(TIMETABLE!#REF!," ","[",TIMETABLE!#REF!," ","Students","]"," ",TIMETABLE!#REF!,":"," ",TIMETABLE!#REF!," ",TIMETABLE!#REF!)</f>
        <v>#REF!</v>
      </c>
      <c r="H207" s="315" t="e">
        <f>CONCATENATE(TIMETABLE!#REF!," ","[",TIMETABLE!#REF!," ","Students","]"," ",TIMETABLE!#REF!,":"," ",TIMETABLE!#REF!," ",TIMETABLE!#REF!)</f>
        <v>#REF!</v>
      </c>
      <c r="I207" s="315" t="e">
        <f>CONCATENATE(TIMETABLE!#REF!," ","[",TIMETABLE!#REF!," ","Students","]"," ",TIMETABLE!#REF!,":"," ",TIMETABLE!#REF!," ",TIMETABLE!#REF!)</f>
        <v>#REF!</v>
      </c>
      <c r="J207" s="315" t="e">
        <f>CONCATENATE(TIMETABLE!#REF!," ","[",TIMETABLE!#REF!," ","Students","]"," ",TIMETABLE!#REF!,":"," ",TIMETABLE!#REF!," ",TIMETABLE!#REF!)</f>
        <v>#REF!</v>
      </c>
      <c r="K207" s="315" t="e">
        <f>CONCATENATE(TIMETABLE!#REF!," ","[",TIMETABLE!#REF!," ","Students","]"," ",TIMETABLE!#REF!,":"," ",TIMETABLE!#REF!," ",TIMETABLE!#REF!)</f>
        <v>#REF!</v>
      </c>
      <c r="L207" s="315" t="str">
        <f>CONCATENATE(TIMETABLE!D$6," ","[",TIMETABLE!D$7," ","Students","]"," ",TIMETABLE!D103,":"," ",TIMETABLE!D106," ",TIMETABLE!D105)</f>
        <v xml:space="preserve">BSME/SEP2020/J-FT [Y2S1  (50) Students] :  </v>
      </c>
      <c r="M207" s="315" t="str">
        <f>CONCATENATE(TIMETABLE!E$6," ","[",TIMETABLE!E$7," ","Students","]"," ",TIMETABLE!E103,":"," ",TIMETABLE!E106," ",TIMETABLE!E105)</f>
        <v xml:space="preserve">BSME/AUG2021/J-FT [Y1S2  (55) Students] :  </v>
      </c>
      <c r="N207" s="315" t="e">
        <f>CONCATENATE(TIMETABLE!#REF!," ","[",TIMETABLE!#REF!," ","Students","]"," ",TIMETABLE!#REF!,":"," ",TIMETABLE!#REF!," ",TIMETABLE!#REF!)</f>
        <v>#REF!</v>
      </c>
      <c r="O207" s="315" t="e">
        <f>CONCATENATE(TIMETABLE!#REF!," ","[",TIMETABLE!#REF!," ","Students","]"," ",TIMETABLE!#REF!,":"," ",TIMETABLE!#REF!," ",TIMETABLE!#REF!)</f>
        <v>#REF!</v>
      </c>
      <c r="P207" s="315" t="str">
        <f>CONCATENATE(TIMETABLE!F$6," ","[",TIMETABLE!F$7," ","Students","]"," ",TIMETABLE!F103,":"," ",TIMETABLE!F106," ",TIMETABLE!F105)</f>
        <v>BTME/SEP2019/S-PT [Y3S1   (10) Students] TMC 4316: SAAD FET 210</v>
      </c>
      <c r="Q207" s="315" t="str">
        <f>CONCATENATE(TIMETABLE!G$6," ","[",TIMETABLE!G$7," ","Students","]"," ",TIMETABLE!G103,":"," ",TIMETABLE!G106," ",TIMETABLE!G105)</f>
        <v>BTME/AUG2021/S-PT [Y2S2   (10) Students] AMA 4105: WAMBUA FET 109</v>
      </c>
      <c r="R207" s="315" t="e">
        <f>CONCATENATE(TIMETABLE!#REF!," ","[",TIMETABLE!#REF!," ","Students","]"," ",TIMETABLE!#REF!,":"," ",TIMETABLE!#REF!," ",TIMETABLE!#REF!)</f>
        <v>#REF!</v>
      </c>
      <c r="S207" s="315" t="e">
        <f>CONCATENATE(TIMETABLE!#REF!," ","[",TIMETABLE!#REF!," ","Students","]"," ",TIMETABLE!#REF!,":"," ",TIMETABLE!#REF!," ",TIMETABLE!#REF!)</f>
        <v>#REF!</v>
      </c>
      <c r="T207" s="315" t="str">
        <f>CONCATENATE(TIMETABLE!J$6," ","[",TIMETABLE!J$7," ","Students","]"," ",TIMETABLE!J103,":"," ",TIMETABLE!J106," ",TIMETABLE!J105)</f>
        <v xml:space="preserve">BTME/AUG2021/J&amp;S-FT [Y1S1  (52) Students] :  </v>
      </c>
      <c r="U207" s="315" t="e">
        <f>CONCATENATE(TIMETABLE!#REF!," ","[",TIMETABLE!#REF!," ","Students","]"," ",TIMETABLE!#REF!,":"," ",TIMETABLE!#REF!," ",TIMETABLE!#REF!)</f>
        <v>#REF!</v>
      </c>
      <c r="V207" s="315" t="e">
        <f>CONCATENATE(TIMETABLE!#REF!," ","[",TIMETABLE!#REF!," ","Students","]"," ",TIMETABLE!#REF!,":"," ",TIMETABLE!#REF!," ",TIMETABLE!#REF!)</f>
        <v>#REF!</v>
      </c>
      <c r="W207" s="315" t="e">
        <f>CONCATENATE(TIMETABLE!#REF!," ","[",TIMETABLE!#REF!," ","Students","]"," ",TIMETABLE!#REF!,":"," ",TIMETABLE!#REF!," ",TIMETABLE!#REF!)</f>
        <v>#REF!</v>
      </c>
      <c r="X207" s="315" t="e">
        <f>CONCATENATE(TIMETABLE!#REF!," ","[",TIMETABLE!#REF!," ","Students","]"," ",TIMETABLE!#REF!,":"," ",TIMETABLE!#REF!," ",TIMETABLE!#REF!)</f>
        <v>#REF!</v>
      </c>
      <c r="Y207" s="315" t="e">
        <f>CONCATENATE(TIMETABLE!#REF!," ","[",TIMETABLE!#REF!," ","Students","]"," ",TIMETABLE!#REF!,":"," ",TIMETABLE!#REF!," ",TIMETABLE!#REF!)</f>
        <v>#REF!</v>
      </c>
      <c r="Z207" s="315" t="e">
        <f>CONCATENATE(TIMETABLE!#REF!," ","[",TIMETABLE!#REF!," ","Students","]"," ",TIMETABLE!#REF!,":"," ",TIMETABLE!#REF!," ",TIMETABLE!#REF!)</f>
        <v>#REF!</v>
      </c>
      <c r="AA207" s="315" t="e">
        <f>CONCATENATE(TIMETABLE!#REF!," ","[",TIMETABLE!#REF!," ","Students","]"," ",TIMETABLE!#REF!,":"," ",TIMETABLE!#REF!," ",TIMETABLE!#REF!)</f>
        <v>#REF!</v>
      </c>
      <c r="AB207" s="315" t="e">
        <f>CONCATENATE(TIMETABLE!#REF!," ","[",TIMETABLE!#REF!," ","Students","]"," ",TIMETABLE!#REF!,":"," ",TIMETABLE!#REF!," ",TIMETABLE!#REF!)</f>
        <v>#REF!</v>
      </c>
      <c r="AC207" s="315" t="str">
        <f>CONCATENATE(TIMETABLE!W$6," ","[",TIMETABLE!W$7," ","Students","]"," ",TIMETABLE!W103,":"," ",TIMETABLE!W106," ",TIMETABLE!W105)</f>
        <v xml:space="preserve">DMAE/SEP20201J&amp;S-FT [Y1S2   (60) Students] :  </v>
      </c>
      <c r="AD207" s="315" t="e">
        <f>CONCATENATE(TIMETABLE!#REF!," ","[",TIMETABLE!#REF!," ","Students","]"," ",TIMETABLE!#REF!,":"," ",TIMETABLE!#REF!," ",TIMETABLE!#REF!)</f>
        <v>#REF!</v>
      </c>
      <c r="AE207" s="315" t="e">
        <f>CONCATENATE(TIMETABLE!#REF!," ","[",TIMETABLE!#REF!," ","Students","]"," ",TIMETABLE!#REF!,":"," ",TIMETABLE!#REF!," ",TIMETABLE!#REF!)</f>
        <v>#REF!</v>
      </c>
      <c r="AF207" s="495"/>
    </row>
    <row r="208" spans="3:32" ht="23.4" x14ac:dyDescent="0.45">
      <c r="C208" s="495"/>
      <c r="D208" s="183"/>
      <c r="E208" s="130"/>
      <c r="F208" s="130"/>
      <c r="G208" s="130"/>
      <c r="H208" s="130"/>
      <c r="I208" s="130"/>
      <c r="J208" s="130"/>
      <c r="K208" s="130"/>
      <c r="L208" s="130"/>
      <c r="M208" s="130"/>
      <c r="N208" s="130"/>
      <c r="O208" s="130"/>
      <c r="P208" s="130"/>
      <c r="Q208" s="130"/>
      <c r="R208" s="130"/>
      <c r="S208" s="130"/>
      <c r="T208" s="130"/>
      <c r="U208" s="130"/>
      <c r="V208" s="130"/>
      <c r="W208" s="130"/>
      <c r="X208" s="130"/>
      <c r="Y208" s="130"/>
      <c r="Z208" s="130"/>
      <c r="AA208" s="130"/>
      <c r="AB208" s="130"/>
      <c r="AC208" s="130"/>
      <c r="AD208" s="130"/>
      <c r="AE208" s="130"/>
      <c r="AF208" s="495"/>
    </row>
    <row r="209" spans="3:32" ht="23.4" x14ac:dyDescent="0.45">
      <c r="C209" s="495"/>
      <c r="D209" s="183"/>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4"/>
      <c r="AA209" s="134"/>
      <c r="AB209" s="134"/>
      <c r="AC209" s="134"/>
      <c r="AD209" s="134"/>
      <c r="AE209" s="134"/>
      <c r="AF209" s="495"/>
    </row>
    <row r="210" spans="3:32" ht="24" thickBot="1" x14ac:dyDescent="0.5">
      <c r="C210" s="495"/>
      <c r="D210" s="185"/>
      <c r="E210" s="315" t="e">
        <f>CONCATENATE(TIMETABLE!#REF!," ","[",TIMETABLE!#REF!," ","Students","]"," ",TIMETABLE!#REF!,":"," ",TIMETABLE!#REF!," ",TIMETABLE!#REF!)</f>
        <v>#REF!</v>
      </c>
      <c r="F210" s="315" t="e">
        <f>CONCATENATE(TIMETABLE!#REF!," ","[",TIMETABLE!#REF!," ","Students","]"," ",TIMETABLE!#REF!,":"," ",TIMETABLE!#REF!," ",TIMETABLE!#REF!)</f>
        <v>#REF!</v>
      </c>
      <c r="G210" s="315" t="e">
        <f>CONCATENATE(TIMETABLE!#REF!," ","[",TIMETABLE!#REF!," ","Students","]"," ",TIMETABLE!#REF!,":"," ",TIMETABLE!#REF!," ",TIMETABLE!#REF!)</f>
        <v>#REF!</v>
      </c>
      <c r="H210" s="315" t="e">
        <f>CONCATENATE(TIMETABLE!#REF!," ","[",TIMETABLE!#REF!," ","Students","]"," ",TIMETABLE!#REF!,":"," ",TIMETABLE!#REF!," ",TIMETABLE!#REF!)</f>
        <v>#REF!</v>
      </c>
      <c r="I210" s="315" t="e">
        <f>CONCATENATE(TIMETABLE!#REF!," ","[",TIMETABLE!#REF!," ","Students","]"," ",TIMETABLE!#REF!,":"," ",TIMETABLE!#REF!," ",TIMETABLE!#REF!)</f>
        <v>#REF!</v>
      </c>
      <c r="J210" s="315" t="e">
        <f>CONCATENATE(TIMETABLE!#REF!," ","[",TIMETABLE!#REF!," ","Students","]"," ",TIMETABLE!#REF!,":"," ",TIMETABLE!#REF!," ",TIMETABLE!#REF!)</f>
        <v>#REF!</v>
      </c>
      <c r="K210" s="315" t="e">
        <f>CONCATENATE(TIMETABLE!#REF!," ","[",TIMETABLE!#REF!," ","Students","]"," ",TIMETABLE!#REF!,":"," ",TIMETABLE!#REF!," ",TIMETABLE!#REF!)</f>
        <v>#REF!</v>
      </c>
      <c r="L210" s="315" t="e">
        <f>CONCATENATE(TIMETABLE!D$6," ","[",TIMETABLE!D$7," ","Students","]"," ",TIMETABLE!#REF!,":"," ",TIMETABLE!#REF!," ",TIMETABLE!#REF!)</f>
        <v>#REF!</v>
      </c>
      <c r="M210" s="315" t="e">
        <f>CONCATENATE(TIMETABLE!E$6," ","[",TIMETABLE!E$7," ","Students","]"," ",TIMETABLE!#REF!,":"," ",TIMETABLE!#REF!," ",TIMETABLE!#REF!)</f>
        <v>#REF!</v>
      </c>
      <c r="N210" s="315" t="e">
        <f>CONCATENATE(TIMETABLE!#REF!," ","[",TIMETABLE!#REF!," ","Students","]"," ",TIMETABLE!#REF!,":"," ",TIMETABLE!#REF!," ",TIMETABLE!#REF!)</f>
        <v>#REF!</v>
      </c>
      <c r="O210" s="315" t="e">
        <f>CONCATENATE(TIMETABLE!#REF!," ","[",TIMETABLE!#REF!," ","Students","]"," ",TIMETABLE!#REF!,":"," ",TIMETABLE!#REF!," ",TIMETABLE!#REF!)</f>
        <v>#REF!</v>
      </c>
      <c r="P210" s="315" t="e">
        <f>CONCATENATE(TIMETABLE!F$6," ","[",TIMETABLE!F$7," ","Students","]"," ",TIMETABLE!#REF!,":"," ",TIMETABLE!#REF!," ",TIMETABLE!#REF!)</f>
        <v>#REF!</v>
      </c>
      <c r="Q210" s="315" t="e">
        <f>CONCATENATE(TIMETABLE!G$6," ","[",TIMETABLE!G$7," ","Students","]"," ",TIMETABLE!#REF!,":"," ",TIMETABLE!#REF!," ",TIMETABLE!#REF!)</f>
        <v>#REF!</v>
      </c>
      <c r="R210" s="315" t="e">
        <f>CONCATENATE(TIMETABLE!#REF!," ","[",TIMETABLE!#REF!," ","Students","]"," ",TIMETABLE!#REF!,":"," ",TIMETABLE!#REF!," ",TIMETABLE!#REF!)</f>
        <v>#REF!</v>
      </c>
      <c r="S210" s="315" t="e">
        <f>CONCATENATE(TIMETABLE!#REF!," ","[",TIMETABLE!#REF!," ","Students","]"," ",TIMETABLE!#REF!,":"," ",TIMETABLE!#REF!," ",TIMETABLE!#REF!)</f>
        <v>#REF!</v>
      </c>
      <c r="T210" s="315" t="e">
        <f>CONCATENATE(TIMETABLE!J$6," ","[",TIMETABLE!J$7," ","Students","]"," ",TIMETABLE!#REF!,":"," ",TIMETABLE!#REF!," ",TIMETABLE!#REF!)</f>
        <v>#REF!</v>
      </c>
      <c r="U210" s="315" t="e">
        <f>CONCATENATE(TIMETABLE!#REF!," ","[",TIMETABLE!#REF!," ","Students","]"," ",TIMETABLE!#REF!,":"," ",TIMETABLE!#REF!," ",TIMETABLE!#REF!)</f>
        <v>#REF!</v>
      </c>
      <c r="V210" s="315" t="e">
        <f>CONCATENATE(TIMETABLE!#REF!," ","[",TIMETABLE!#REF!," ","Students","]"," ",TIMETABLE!#REF!,":"," ",TIMETABLE!#REF!," ",TIMETABLE!#REF!)</f>
        <v>#REF!</v>
      </c>
      <c r="W210" s="315" t="e">
        <f>CONCATENATE(TIMETABLE!#REF!," ","[",TIMETABLE!#REF!," ","Students","]"," ",TIMETABLE!#REF!,":"," ",TIMETABLE!#REF!," ",TIMETABLE!#REF!)</f>
        <v>#REF!</v>
      </c>
      <c r="X210" s="315" t="e">
        <f>CONCATENATE(TIMETABLE!#REF!," ","[",TIMETABLE!#REF!," ","Students","]"," ",TIMETABLE!#REF!,":"," ",TIMETABLE!#REF!," ",TIMETABLE!#REF!)</f>
        <v>#REF!</v>
      </c>
      <c r="Y210" s="315" t="e">
        <f>CONCATENATE(TIMETABLE!#REF!," ","[",TIMETABLE!#REF!," ","Students","]"," ",TIMETABLE!#REF!,":"," ",TIMETABLE!#REF!," ",TIMETABLE!#REF!)</f>
        <v>#REF!</v>
      </c>
      <c r="Z210" s="315" t="e">
        <f>CONCATENATE(TIMETABLE!#REF!," ","[",TIMETABLE!#REF!," ","Students","]"," ",TIMETABLE!#REF!,":"," ",TIMETABLE!#REF!," ",TIMETABLE!#REF!)</f>
        <v>#REF!</v>
      </c>
      <c r="AA210" s="315" t="e">
        <f>CONCATENATE(TIMETABLE!#REF!," ","[",TIMETABLE!#REF!," ","Students","]"," ",TIMETABLE!#REF!,":"," ",TIMETABLE!#REF!," ",TIMETABLE!#REF!)</f>
        <v>#REF!</v>
      </c>
      <c r="AB210" s="315" t="e">
        <f>CONCATENATE(TIMETABLE!#REF!," ","[",TIMETABLE!#REF!," ","Students","]"," ",TIMETABLE!#REF!,":"," ",TIMETABLE!#REF!," ",TIMETABLE!#REF!)</f>
        <v>#REF!</v>
      </c>
      <c r="AC210" s="315" t="e">
        <f>CONCATENATE(TIMETABLE!W$6," ","[",TIMETABLE!W$7," ","Students","]"," ",TIMETABLE!#REF!,":"," ",TIMETABLE!#REF!," ",TIMETABLE!#REF!)</f>
        <v>#REF!</v>
      </c>
      <c r="AD210" s="315" t="e">
        <f>CONCATENATE(TIMETABLE!#REF!," ","[",TIMETABLE!#REF!," ","Students","]"," ",TIMETABLE!#REF!,":"," ",TIMETABLE!#REF!," ",TIMETABLE!#REF!)</f>
        <v>#REF!</v>
      </c>
      <c r="AE210" s="315" t="e">
        <f>CONCATENATE(TIMETABLE!#REF!," ","[",TIMETABLE!#REF!," ","Students","]"," ",TIMETABLE!#REF!,":"," ",TIMETABLE!#REF!," ",TIMETABLE!#REF!)</f>
        <v>#REF!</v>
      </c>
      <c r="AF210" s="495"/>
    </row>
    <row r="211" spans="3:32" ht="23.4" x14ac:dyDescent="0.45">
      <c r="C211" s="495"/>
      <c r="D211" s="183"/>
      <c r="E211" s="130"/>
      <c r="F211" s="130"/>
      <c r="G211" s="130"/>
      <c r="H211" s="130"/>
      <c r="I211" s="130"/>
      <c r="J211" s="130"/>
      <c r="K211" s="130"/>
      <c r="L211" s="130"/>
      <c r="M211" s="130"/>
      <c r="N211" s="130"/>
      <c r="O211" s="130"/>
      <c r="P211" s="130"/>
      <c r="Q211" s="130"/>
      <c r="R211" s="130"/>
      <c r="S211" s="130"/>
      <c r="T211" s="130"/>
      <c r="U211" s="130"/>
      <c r="V211" s="130"/>
      <c r="W211" s="130"/>
      <c r="X211" s="130"/>
      <c r="Y211" s="130"/>
      <c r="Z211" s="130"/>
      <c r="AA211" s="130"/>
      <c r="AB211" s="130"/>
      <c r="AC211" s="130"/>
      <c r="AD211" s="130"/>
      <c r="AE211" s="130"/>
      <c r="AF211" s="495"/>
    </row>
    <row r="212" spans="3:32" ht="23.4" x14ac:dyDescent="0.45">
      <c r="C212" s="495"/>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c r="AA212" s="134"/>
      <c r="AB212" s="134"/>
      <c r="AC212" s="134"/>
      <c r="AD212" s="134"/>
      <c r="AE212" s="134"/>
      <c r="AF212" s="495"/>
    </row>
    <row r="213" spans="3:32" ht="24" thickBot="1" x14ac:dyDescent="0.5">
      <c r="C213" s="495"/>
      <c r="D213" s="185"/>
      <c r="E213" s="315" t="e">
        <f>CONCATENATE(TIMETABLE!#REF!," ","[",TIMETABLE!#REF!," ","Students","]"," ",TIMETABLE!#REF!,":"," ",TIMETABLE!#REF!," ",TIMETABLE!#REF!)</f>
        <v>#REF!</v>
      </c>
      <c r="F213" s="315" t="e">
        <f>CONCATENATE(TIMETABLE!#REF!," ","[",TIMETABLE!#REF!," ","Students","]"," ",TIMETABLE!#REF!,":"," ",TIMETABLE!#REF!," ",TIMETABLE!#REF!)</f>
        <v>#REF!</v>
      </c>
      <c r="G213" s="315" t="e">
        <f>CONCATENATE(TIMETABLE!#REF!," ","[",TIMETABLE!#REF!," ","Students","]"," ",TIMETABLE!#REF!,":"," ",TIMETABLE!#REF!," ",TIMETABLE!#REF!)</f>
        <v>#REF!</v>
      </c>
      <c r="H213" s="315" t="e">
        <f>CONCATENATE(TIMETABLE!#REF!," ","[",TIMETABLE!#REF!," ","Students","]"," ",TIMETABLE!#REF!,":"," ",TIMETABLE!#REF!," ",TIMETABLE!#REF!)</f>
        <v>#REF!</v>
      </c>
      <c r="I213" s="315" t="e">
        <f>CONCATENATE(TIMETABLE!#REF!," ","[",TIMETABLE!#REF!," ","Students","]"," ",TIMETABLE!#REF!,":"," ",TIMETABLE!#REF!," ",TIMETABLE!#REF!)</f>
        <v>#REF!</v>
      </c>
      <c r="J213" s="315" t="e">
        <f>CONCATENATE(TIMETABLE!#REF!," ","[",TIMETABLE!#REF!," ","Students","]"," ",TIMETABLE!#REF!,":"," ",TIMETABLE!#REF!," ",TIMETABLE!#REF!)</f>
        <v>#REF!</v>
      </c>
      <c r="K213" s="315" t="e">
        <f>CONCATENATE(TIMETABLE!#REF!," ","[",TIMETABLE!#REF!," ","Students","]"," ",TIMETABLE!#REF!,":"," ",TIMETABLE!#REF!," ",TIMETABLE!#REF!)</f>
        <v>#REF!</v>
      </c>
      <c r="L213" s="315" t="e">
        <f>CONCATENATE(TIMETABLE!D$6," ","[",TIMETABLE!D$7," ","Students","]"," ",TIMETABLE!#REF!,":"," ",TIMETABLE!#REF!," ",TIMETABLE!#REF!)</f>
        <v>#REF!</v>
      </c>
      <c r="M213" s="315" t="e">
        <f>CONCATENATE(TIMETABLE!E$6," ","[",TIMETABLE!E$7," ","Students","]"," ",TIMETABLE!#REF!,":"," ",TIMETABLE!#REF!," ",TIMETABLE!#REF!)</f>
        <v>#REF!</v>
      </c>
      <c r="N213" s="315" t="e">
        <f>CONCATENATE(TIMETABLE!#REF!," ","[",TIMETABLE!#REF!," ","Students","]"," ",TIMETABLE!#REF!,":"," ",TIMETABLE!#REF!," ",TIMETABLE!#REF!)</f>
        <v>#REF!</v>
      </c>
      <c r="O213" s="315" t="e">
        <f>CONCATENATE(TIMETABLE!#REF!," ","[",TIMETABLE!#REF!," ","Students","]"," ",TIMETABLE!#REF!,":"," ",TIMETABLE!#REF!," ",TIMETABLE!#REF!)</f>
        <v>#REF!</v>
      </c>
      <c r="P213" s="315" t="e">
        <f>CONCATENATE(TIMETABLE!F$6," ","[",TIMETABLE!F$7," ","Students","]"," ",TIMETABLE!#REF!,":"," ",TIMETABLE!#REF!," ",TIMETABLE!#REF!)</f>
        <v>#REF!</v>
      </c>
      <c r="Q213" s="315" t="e">
        <f>CONCATENATE(TIMETABLE!G$6," ","[",TIMETABLE!G$7," ","Students","]"," ",TIMETABLE!#REF!,":"," ",TIMETABLE!#REF!," ",TIMETABLE!#REF!)</f>
        <v>#REF!</v>
      </c>
      <c r="R213" s="315" t="e">
        <f>CONCATENATE(TIMETABLE!#REF!," ","[",TIMETABLE!#REF!," ","Students","]"," ",TIMETABLE!#REF!,":"," ",TIMETABLE!#REF!," ",TIMETABLE!#REF!)</f>
        <v>#REF!</v>
      </c>
      <c r="S213" s="315" t="e">
        <f>CONCATENATE(TIMETABLE!#REF!," ","[",TIMETABLE!#REF!," ","Students","]"," ",TIMETABLE!#REF!,":"," ",TIMETABLE!#REF!," ",TIMETABLE!#REF!)</f>
        <v>#REF!</v>
      </c>
      <c r="T213" s="315" t="e">
        <f>CONCATENATE(TIMETABLE!J$6," ","[",TIMETABLE!J$7," ","Students","]"," ",TIMETABLE!#REF!,":"," ",TIMETABLE!#REF!," ",TIMETABLE!#REF!)</f>
        <v>#REF!</v>
      </c>
      <c r="U213" s="315" t="e">
        <f>CONCATENATE(TIMETABLE!#REF!," ","[",TIMETABLE!#REF!," ","Students","]"," ",TIMETABLE!#REF!,":"," ",TIMETABLE!#REF!," ",TIMETABLE!#REF!)</f>
        <v>#REF!</v>
      </c>
      <c r="V213" s="315" t="e">
        <f>CONCATENATE(TIMETABLE!#REF!," ","[",TIMETABLE!#REF!," ","Students","]"," ",TIMETABLE!#REF!,":"," ",TIMETABLE!#REF!," ",TIMETABLE!#REF!)</f>
        <v>#REF!</v>
      </c>
      <c r="W213" s="315" t="e">
        <f>CONCATENATE(TIMETABLE!#REF!," ","[",TIMETABLE!#REF!," ","Students","]"," ",TIMETABLE!#REF!,":"," ",TIMETABLE!#REF!," ",TIMETABLE!#REF!)</f>
        <v>#REF!</v>
      </c>
      <c r="X213" s="315" t="e">
        <f>CONCATENATE(TIMETABLE!#REF!," ","[",TIMETABLE!#REF!," ","Students","]"," ",TIMETABLE!#REF!,":"," ",TIMETABLE!#REF!," ",TIMETABLE!#REF!)</f>
        <v>#REF!</v>
      </c>
      <c r="Y213" s="315" t="e">
        <f>CONCATENATE(TIMETABLE!#REF!," ","[",TIMETABLE!#REF!," ","Students","]"," ",TIMETABLE!#REF!,":"," ",TIMETABLE!#REF!," ",TIMETABLE!#REF!)</f>
        <v>#REF!</v>
      </c>
      <c r="Z213" s="315" t="e">
        <f>CONCATENATE(TIMETABLE!#REF!," ","[",TIMETABLE!#REF!," ","Students","]"," ",TIMETABLE!#REF!,":"," ",TIMETABLE!#REF!," ",TIMETABLE!#REF!)</f>
        <v>#REF!</v>
      </c>
      <c r="AA213" s="315" t="e">
        <f>CONCATENATE(TIMETABLE!#REF!," ","[",TIMETABLE!#REF!," ","Students","]"," ",TIMETABLE!#REF!,":"," ",TIMETABLE!#REF!," ",TIMETABLE!#REF!)</f>
        <v>#REF!</v>
      </c>
      <c r="AB213" s="315" t="e">
        <f>CONCATENATE(TIMETABLE!#REF!," ","[",TIMETABLE!#REF!," ","Students","]"," ",TIMETABLE!#REF!,":"," ",TIMETABLE!#REF!," ",TIMETABLE!#REF!)</f>
        <v>#REF!</v>
      </c>
      <c r="AC213" s="315" t="e">
        <f>CONCATENATE(TIMETABLE!W$6," ","[",TIMETABLE!W$7," ","Students","]"," ",TIMETABLE!#REF!,":"," ",TIMETABLE!#REF!," ",TIMETABLE!#REF!)</f>
        <v>#REF!</v>
      </c>
      <c r="AD213" s="315" t="e">
        <f>CONCATENATE(TIMETABLE!#REF!," ","[",TIMETABLE!#REF!," ","Students","]"," ",TIMETABLE!#REF!,":"," ",TIMETABLE!#REF!," ",TIMETABLE!#REF!)</f>
        <v>#REF!</v>
      </c>
      <c r="AE213" s="315" t="e">
        <f>CONCATENATE(TIMETABLE!#REF!," ","[",TIMETABLE!#REF!," ","Students","]"," ",TIMETABLE!#REF!,":"," ",TIMETABLE!#REF!," ",TIMETABLE!#REF!)</f>
        <v>#REF!</v>
      </c>
      <c r="AF213" s="495"/>
    </row>
    <row r="214" spans="3:32" ht="23.4" x14ac:dyDescent="0.45">
      <c r="C214" s="495"/>
      <c r="D214" s="183"/>
      <c r="E214" s="130"/>
      <c r="F214" s="130"/>
      <c r="G214" s="130"/>
      <c r="H214" s="130"/>
      <c r="I214" s="130"/>
      <c r="J214" s="130"/>
      <c r="K214" s="130"/>
      <c r="L214" s="130"/>
      <c r="M214" s="130"/>
      <c r="N214" s="130"/>
      <c r="O214" s="130"/>
      <c r="P214" s="130"/>
      <c r="Q214" s="130"/>
      <c r="R214" s="130"/>
      <c r="S214" s="130"/>
      <c r="T214" s="130"/>
      <c r="U214" s="130"/>
      <c r="V214" s="130"/>
      <c r="W214" s="130"/>
      <c r="X214" s="130"/>
      <c r="Y214" s="130"/>
      <c r="Z214" s="130"/>
      <c r="AA214" s="130"/>
      <c r="AB214" s="130"/>
      <c r="AC214" s="130"/>
      <c r="AD214" s="130"/>
      <c r="AE214" s="130"/>
      <c r="AF214" s="495"/>
    </row>
    <row r="215" spans="3:32" ht="23.4" x14ac:dyDescent="0.45">
      <c r="C215" s="495"/>
      <c r="D215" s="186"/>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4"/>
      <c r="AA215" s="134"/>
      <c r="AB215" s="134"/>
      <c r="AC215" s="134"/>
      <c r="AD215" s="134"/>
      <c r="AE215" s="134"/>
      <c r="AF215" s="495"/>
    </row>
    <row r="216" spans="3:32" ht="24" thickBot="1" x14ac:dyDescent="0.5">
      <c r="C216" s="495"/>
      <c r="D216" s="185"/>
      <c r="E216" s="315" t="e">
        <f>CONCATENATE(TIMETABLE!#REF!," ","[",TIMETABLE!#REF!," ","Students","]"," ",TIMETABLE!#REF!,":"," ",TIMETABLE!#REF!," ",TIMETABLE!#REF!)</f>
        <v>#REF!</v>
      </c>
      <c r="F216" s="315" t="e">
        <f>CONCATENATE(TIMETABLE!#REF!," ","[",TIMETABLE!#REF!," ","Students","]"," ",TIMETABLE!#REF!,":"," ",TIMETABLE!#REF!," ",TIMETABLE!#REF!)</f>
        <v>#REF!</v>
      </c>
      <c r="G216" s="315" t="e">
        <f>CONCATENATE(TIMETABLE!#REF!," ","[",TIMETABLE!#REF!," ","Students","]"," ",TIMETABLE!#REF!,":"," ",TIMETABLE!#REF!," ",TIMETABLE!#REF!)</f>
        <v>#REF!</v>
      </c>
      <c r="H216" s="315" t="e">
        <f>CONCATENATE(TIMETABLE!#REF!," ","[",TIMETABLE!#REF!," ","Students","]"," ",TIMETABLE!#REF!,":"," ",TIMETABLE!#REF!," ",TIMETABLE!#REF!)</f>
        <v>#REF!</v>
      </c>
      <c r="I216" s="315" t="e">
        <f>CONCATENATE(TIMETABLE!#REF!," ","[",TIMETABLE!#REF!," ","Students","]"," ",TIMETABLE!#REF!,":"," ",TIMETABLE!#REF!," ",TIMETABLE!#REF!)</f>
        <v>#REF!</v>
      </c>
      <c r="J216" s="315" t="e">
        <f>CONCATENATE(TIMETABLE!#REF!," ","[",TIMETABLE!#REF!," ","Students","]"," ",TIMETABLE!#REF!,":"," ",TIMETABLE!#REF!," ",TIMETABLE!#REF!)</f>
        <v>#REF!</v>
      </c>
      <c r="K216" s="315" t="e">
        <f>CONCATENATE(TIMETABLE!#REF!," ","[",TIMETABLE!#REF!," ","Students","]"," ",TIMETABLE!#REF!,":"," ",TIMETABLE!#REF!," ",TIMETABLE!#REF!)</f>
        <v>#REF!</v>
      </c>
      <c r="L216" s="315" t="str">
        <f>CONCATENATE(TIMETABLE!D$6," ","[",TIMETABLE!D$7," ","Students","]"," ",TIMETABLE!D107,":"," ",TIMETABLE!D110," ",TIMETABLE!D109)</f>
        <v xml:space="preserve">BSME/SEP2020/J-FT [Y2S1  (50) Students] :  </v>
      </c>
      <c r="M216" s="315" t="str">
        <f>CONCATENATE(TIMETABLE!E$6," ","[",TIMETABLE!E$7," ","Students","]"," ",TIMETABLE!E107,":"," ",TIMETABLE!E110," ",TIMETABLE!E109)</f>
        <v xml:space="preserve">BSME/AUG2021/J-FT [Y1S2  (55) Students] :  </v>
      </c>
      <c r="N216" s="315" t="e">
        <f>CONCATENATE(TIMETABLE!#REF!," ","[",TIMETABLE!#REF!," ","Students","]"," ",TIMETABLE!#REF!,":"," ",TIMETABLE!#REF!," ",TIMETABLE!#REF!)</f>
        <v>#REF!</v>
      </c>
      <c r="O216" s="315" t="e">
        <f>CONCATENATE(TIMETABLE!#REF!," ","[",TIMETABLE!#REF!," ","Students","]"," ",TIMETABLE!#REF!,":"," ",TIMETABLE!#REF!," ",TIMETABLE!#REF!)</f>
        <v>#REF!</v>
      </c>
      <c r="P216" s="315" t="str">
        <f>CONCATENATE(TIMETABLE!F$6," ","[",TIMETABLE!F$7," ","Students","]"," ",TIMETABLE!F107,":"," ",TIMETABLE!F110," ",TIMETABLE!F109)</f>
        <v>BTME/SEP2019/S-PT [Y3S1   (10) Students] TCV4319: MANGENI/KITI LAB</v>
      </c>
      <c r="Q216" s="315" t="str">
        <f>CONCATENATE(TIMETABLE!G$6," ","[",TIMETABLE!G$7," ","Students","]"," ",TIMETABLE!G107,":"," ",TIMETABLE!G110," ",TIMETABLE!G109)</f>
        <v>BTME/AUG2021/S-PT [Y2S2   (10) Students] TMC 4226: WAGATHIGE FET 109</v>
      </c>
      <c r="R216" s="315" t="e">
        <f>CONCATENATE(TIMETABLE!#REF!," ","[",TIMETABLE!#REF!," ","Students","]"," ",TIMETABLE!#REF!,":"," ",TIMETABLE!#REF!," ",TIMETABLE!#REF!)</f>
        <v>#REF!</v>
      </c>
      <c r="S216" s="315" t="e">
        <f>CONCATENATE(TIMETABLE!#REF!," ","[",TIMETABLE!#REF!," ","Students","]"," ",TIMETABLE!#REF!,":"," ",TIMETABLE!#REF!," ",TIMETABLE!#REF!)</f>
        <v>#REF!</v>
      </c>
      <c r="T216" s="315" t="str">
        <f>CONCATENATE(TIMETABLE!J$6," ","[",TIMETABLE!J$7," ","Students","]"," ",TIMETABLE!J107,":"," ",TIMETABLE!J110," ",TIMETABLE!J109)</f>
        <v xml:space="preserve">BTME/AUG2021/J&amp;S-FT [Y1S1  (52) Students] :  </v>
      </c>
      <c r="U216" s="315" t="e">
        <f>CONCATENATE(TIMETABLE!#REF!," ","[",TIMETABLE!#REF!," ","Students","]"," ",TIMETABLE!#REF!,":"," ",TIMETABLE!#REF!," ",TIMETABLE!#REF!)</f>
        <v>#REF!</v>
      </c>
      <c r="V216" s="315" t="e">
        <f>CONCATENATE(TIMETABLE!#REF!," ","[",TIMETABLE!#REF!," ","Students","]"," ",TIMETABLE!#REF!,":"," ",TIMETABLE!#REF!," ",TIMETABLE!#REF!)</f>
        <v>#REF!</v>
      </c>
      <c r="W216" s="315" t="e">
        <f>CONCATENATE(TIMETABLE!#REF!," ","[",TIMETABLE!#REF!," ","Students","]"," ",TIMETABLE!#REF!,":"," ",TIMETABLE!#REF!," ",TIMETABLE!#REF!)</f>
        <v>#REF!</v>
      </c>
      <c r="X216" s="315" t="e">
        <f>CONCATENATE(TIMETABLE!#REF!," ","[",TIMETABLE!#REF!," ","Students","]"," ",TIMETABLE!#REF!,":"," ",TIMETABLE!#REF!," ",TIMETABLE!#REF!)</f>
        <v>#REF!</v>
      </c>
      <c r="Y216" s="315" t="e">
        <f>CONCATENATE(TIMETABLE!#REF!," ","[",TIMETABLE!#REF!," ","Students","]"," ",TIMETABLE!#REF!,":"," ",TIMETABLE!#REF!," ",TIMETABLE!#REF!)</f>
        <v>#REF!</v>
      </c>
      <c r="Z216" s="315" t="e">
        <f>CONCATENATE(TIMETABLE!#REF!," ","[",TIMETABLE!#REF!," ","Students","]"," ",TIMETABLE!#REF!,":"," ",TIMETABLE!#REF!," ",TIMETABLE!#REF!)</f>
        <v>#REF!</v>
      </c>
      <c r="AA216" s="315" t="e">
        <f>CONCATENATE(TIMETABLE!#REF!," ","[",TIMETABLE!#REF!," ","Students","]"," ",TIMETABLE!#REF!,":"," ",TIMETABLE!#REF!," ",TIMETABLE!#REF!)</f>
        <v>#REF!</v>
      </c>
      <c r="AB216" s="315" t="e">
        <f>CONCATENATE(TIMETABLE!#REF!," ","[",TIMETABLE!#REF!," ","Students","]"," ",TIMETABLE!#REF!,":"," ",TIMETABLE!#REF!," ",TIMETABLE!#REF!)</f>
        <v>#REF!</v>
      </c>
      <c r="AC216" s="315" t="str">
        <f>CONCATENATE(TIMETABLE!W$6," ","[",TIMETABLE!W$7," ","Students","]"," ",TIMETABLE!W107,":"," ",TIMETABLE!W110," ",TIMETABLE!W109)</f>
        <v xml:space="preserve">DMAE/SEP20201J&amp;S-FT [Y1S2   (60) Students] :  </v>
      </c>
      <c r="AD216" s="315" t="e">
        <f>CONCATENATE(TIMETABLE!#REF!," ","[",TIMETABLE!#REF!," ","Students","]"," ",TIMETABLE!#REF!,":"," ",TIMETABLE!#REF!," ",TIMETABLE!#REF!)</f>
        <v>#REF!</v>
      </c>
      <c r="AE216" s="315" t="e">
        <f>CONCATENATE(TIMETABLE!#REF!," ","[",TIMETABLE!#REF!," ","Students","]"," ",TIMETABLE!#REF!,":"," ",TIMETABLE!#REF!," ",TIMETABLE!#REF!)</f>
        <v>#REF!</v>
      </c>
      <c r="AF216" s="495"/>
    </row>
    <row r="217" spans="3:32" ht="23.4" x14ac:dyDescent="0.45">
      <c r="C217" s="495"/>
      <c r="D217" s="183"/>
      <c r="E217" s="130"/>
      <c r="F217" s="130"/>
      <c r="G217" s="130"/>
      <c r="H217" s="130"/>
      <c r="I217" s="130"/>
      <c r="J217" s="130"/>
      <c r="K217" s="130"/>
      <c r="L217" s="130"/>
      <c r="M217" s="130"/>
      <c r="N217" s="130"/>
      <c r="O217" s="130"/>
      <c r="P217" s="130"/>
      <c r="Q217" s="130"/>
      <c r="R217" s="130"/>
      <c r="S217" s="130"/>
      <c r="T217" s="130"/>
      <c r="U217" s="130"/>
      <c r="V217" s="130"/>
      <c r="W217" s="130"/>
      <c r="X217" s="130"/>
      <c r="Y217" s="130"/>
      <c r="Z217" s="130"/>
      <c r="AA217" s="130"/>
      <c r="AB217" s="130"/>
      <c r="AC217" s="130"/>
      <c r="AD217" s="130"/>
      <c r="AE217" s="130"/>
      <c r="AF217" s="495"/>
    </row>
    <row r="218" spans="3:32" ht="23.4" x14ac:dyDescent="0.45">
      <c r="C218" s="495"/>
      <c r="D218" s="184"/>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34"/>
      <c r="AA218" s="134"/>
      <c r="AB218" s="134"/>
      <c r="AC218" s="134"/>
      <c r="AD218" s="134"/>
      <c r="AE218" s="134"/>
      <c r="AF218" s="495"/>
    </row>
    <row r="219" spans="3:32" ht="24" thickBot="1" x14ac:dyDescent="0.5">
      <c r="C219" s="495"/>
      <c r="D219" s="185"/>
      <c r="E219" s="315" t="e">
        <f>CONCATENATE(TIMETABLE!#REF!," ","[",TIMETABLE!#REF!," ","Students","]"," ",TIMETABLE!#REF!,":"," ",TIMETABLE!#REF!," ",TIMETABLE!#REF!)</f>
        <v>#REF!</v>
      </c>
      <c r="F219" s="315" t="e">
        <f>CONCATENATE(TIMETABLE!#REF!," ","[",TIMETABLE!#REF!," ","Students","]"," ",TIMETABLE!#REF!,":"," ",TIMETABLE!#REF!," ",TIMETABLE!#REF!)</f>
        <v>#REF!</v>
      </c>
      <c r="G219" s="315" t="e">
        <f>CONCATENATE(TIMETABLE!#REF!," ","[",TIMETABLE!#REF!," ","Students","]"," ",TIMETABLE!#REF!,":"," ",TIMETABLE!#REF!," ",TIMETABLE!#REF!)</f>
        <v>#REF!</v>
      </c>
      <c r="H219" s="315" t="e">
        <f>CONCATENATE(TIMETABLE!#REF!," ","[",TIMETABLE!#REF!," ","Students","]"," ",TIMETABLE!#REF!,":"," ",TIMETABLE!#REF!," ",TIMETABLE!#REF!)</f>
        <v>#REF!</v>
      </c>
      <c r="I219" s="315" t="e">
        <f>CONCATENATE(TIMETABLE!#REF!," ","[",TIMETABLE!#REF!," ","Students","]"," ",TIMETABLE!#REF!,":"," ",TIMETABLE!#REF!," ",TIMETABLE!#REF!)</f>
        <v>#REF!</v>
      </c>
      <c r="J219" s="315" t="e">
        <f>CONCATENATE(TIMETABLE!#REF!," ","[",TIMETABLE!#REF!," ","Students","]"," ",TIMETABLE!#REF!,":"," ",TIMETABLE!#REF!," ",TIMETABLE!#REF!)</f>
        <v>#REF!</v>
      </c>
      <c r="K219" s="315" t="e">
        <f>CONCATENATE(TIMETABLE!#REF!," ","[",TIMETABLE!#REF!," ","Students","]"," ",TIMETABLE!#REF!,":"," ",TIMETABLE!#REF!," ",TIMETABLE!#REF!)</f>
        <v>#REF!</v>
      </c>
      <c r="L219" s="315" t="e">
        <f>CONCATENATE(TIMETABLE!D$6," ","[",TIMETABLE!D$7," ","Students","]"," ",TIMETABLE!#REF!,":"," ",TIMETABLE!#REF!," ",TIMETABLE!#REF!)</f>
        <v>#REF!</v>
      </c>
      <c r="M219" s="315" t="e">
        <f>CONCATENATE(TIMETABLE!E$6," ","[",TIMETABLE!E$7," ","Students","]"," ",TIMETABLE!#REF!,":"," ",TIMETABLE!#REF!," ",TIMETABLE!#REF!)</f>
        <v>#REF!</v>
      </c>
      <c r="N219" s="315" t="e">
        <f>CONCATENATE(TIMETABLE!#REF!," ","[",TIMETABLE!#REF!," ","Students","]"," ",TIMETABLE!#REF!,":"," ",TIMETABLE!#REF!," ",TIMETABLE!#REF!)</f>
        <v>#REF!</v>
      </c>
      <c r="O219" s="315" t="e">
        <f>CONCATENATE(TIMETABLE!#REF!," ","[",TIMETABLE!#REF!," ","Students","]"," ",TIMETABLE!#REF!,":"," ",TIMETABLE!#REF!," ",TIMETABLE!#REF!)</f>
        <v>#REF!</v>
      </c>
      <c r="P219" s="315" t="e">
        <f>CONCATENATE(TIMETABLE!F$6," ","[",TIMETABLE!F$7," ","Students","]"," ",TIMETABLE!#REF!,":"," ",TIMETABLE!#REF!," ",TIMETABLE!#REF!)</f>
        <v>#REF!</v>
      </c>
      <c r="Q219" s="315" t="e">
        <f>CONCATENATE(TIMETABLE!G$6," ","[",TIMETABLE!G$7," ","Students","]"," ",TIMETABLE!#REF!,":"," ",TIMETABLE!#REF!," ",TIMETABLE!#REF!)</f>
        <v>#REF!</v>
      </c>
      <c r="R219" s="315" t="e">
        <f>CONCATENATE(TIMETABLE!#REF!," ","[",TIMETABLE!#REF!," ","Students","]"," ",TIMETABLE!#REF!,":"," ",TIMETABLE!#REF!," ",TIMETABLE!#REF!)</f>
        <v>#REF!</v>
      </c>
      <c r="S219" s="315" t="e">
        <f>CONCATENATE(TIMETABLE!#REF!," ","[",TIMETABLE!#REF!," ","Students","]"," ",TIMETABLE!#REF!,":"," ",TIMETABLE!#REF!," ",TIMETABLE!#REF!)</f>
        <v>#REF!</v>
      </c>
      <c r="T219" s="315" t="e">
        <f>CONCATENATE(TIMETABLE!J$6," ","[",TIMETABLE!J$7," ","Students","]"," ",TIMETABLE!#REF!,":"," ",TIMETABLE!#REF!," ",TIMETABLE!#REF!)</f>
        <v>#REF!</v>
      </c>
      <c r="U219" s="315" t="e">
        <f>CONCATENATE(TIMETABLE!#REF!," ","[",TIMETABLE!#REF!," ","Students","]"," ",TIMETABLE!#REF!,":"," ",TIMETABLE!#REF!," ",TIMETABLE!#REF!)</f>
        <v>#REF!</v>
      </c>
      <c r="V219" s="315" t="e">
        <f>CONCATENATE(TIMETABLE!#REF!," ","[",TIMETABLE!#REF!," ","Students","]"," ",TIMETABLE!#REF!,":"," ",TIMETABLE!#REF!," ",TIMETABLE!#REF!)</f>
        <v>#REF!</v>
      </c>
      <c r="W219" s="315" t="e">
        <f>CONCATENATE(TIMETABLE!#REF!," ","[",TIMETABLE!#REF!," ","Students","]"," ",TIMETABLE!#REF!,":"," ",TIMETABLE!#REF!," ",TIMETABLE!#REF!)</f>
        <v>#REF!</v>
      </c>
      <c r="X219" s="315" t="e">
        <f>CONCATENATE(TIMETABLE!#REF!," ","[",TIMETABLE!#REF!," ","Students","]"," ",TIMETABLE!#REF!,":"," ",TIMETABLE!#REF!," ",TIMETABLE!#REF!)</f>
        <v>#REF!</v>
      </c>
      <c r="Y219" s="315" t="e">
        <f>CONCATENATE(TIMETABLE!#REF!," ","[",TIMETABLE!#REF!," ","Students","]"," ",TIMETABLE!#REF!,":"," ",TIMETABLE!#REF!," ",TIMETABLE!#REF!)</f>
        <v>#REF!</v>
      </c>
      <c r="Z219" s="315" t="e">
        <f>CONCATENATE(TIMETABLE!#REF!," ","[",TIMETABLE!#REF!," ","Students","]"," ",TIMETABLE!#REF!,":"," ",TIMETABLE!#REF!," ",TIMETABLE!#REF!)</f>
        <v>#REF!</v>
      </c>
      <c r="AA219" s="315" t="e">
        <f>CONCATENATE(TIMETABLE!#REF!," ","[",TIMETABLE!#REF!," ","Students","]"," ",TIMETABLE!#REF!,":"," ",TIMETABLE!#REF!," ",TIMETABLE!#REF!)</f>
        <v>#REF!</v>
      </c>
      <c r="AB219" s="315" t="e">
        <f>CONCATENATE(TIMETABLE!#REF!," ","[",TIMETABLE!#REF!," ","Students","]"," ",TIMETABLE!#REF!,":"," ",TIMETABLE!#REF!," ",TIMETABLE!#REF!)</f>
        <v>#REF!</v>
      </c>
      <c r="AC219" s="315" t="e">
        <f>CONCATENATE(TIMETABLE!W$6," ","[",TIMETABLE!W$7," ","Students","]"," ",TIMETABLE!#REF!,":"," ",TIMETABLE!#REF!," ",TIMETABLE!#REF!)</f>
        <v>#REF!</v>
      </c>
      <c r="AD219" s="315" t="e">
        <f>CONCATENATE(TIMETABLE!#REF!," ","[",TIMETABLE!#REF!," ","Students","]"," ",TIMETABLE!#REF!,":"," ",TIMETABLE!#REF!," ",TIMETABLE!#REF!)</f>
        <v>#REF!</v>
      </c>
      <c r="AE219" s="315" t="e">
        <f>CONCATENATE(TIMETABLE!#REF!," ","[",TIMETABLE!#REF!," ","Students","]"," ",TIMETABLE!#REF!,":"," ",TIMETABLE!#REF!," ",TIMETABLE!#REF!)</f>
        <v>#REF!</v>
      </c>
      <c r="AF219" s="495"/>
    </row>
    <row r="220" spans="3:32" ht="23.4" x14ac:dyDescent="0.45">
      <c r="C220" s="495"/>
      <c r="D220" s="183"/>
      <c r="E220" s="130"/>
      <c r="F220" s="130"/>
      <c r="G220" s="130"/>
      <c r="H220" s="130"/>
      <c r="I220" s="130"/>
      <c r="J220" s="130"/>
      <c r="K220" s="130"/>
      <c r="L220" s="130"/>
      <c r="M220" s="130"/>
      <c r="N220" s="130"/>
      <c r="O220" s="130"/>
      <c r="P220" s="130"/>
      <c r="Q220" s="130"/>
      <c r="R220" s="130"/>
      <c r="S220" s="130"/>
      <c r="T220" s="130"/>
      <c r="U220" s="130"/>
      <c r="V220" s="130"/>
      <c r="W220" s="130"/>
      <c r="X220" s="130"/>
      <c r="Y220" s="130"/>
      <c r="Z220" s="130"/>
      <c r="AA220" s="130"/>
      <c r="AB220" s="130"/>
      <c r="AC220" s="130"/>
      <c r="AD220" s="130"/>
      <c r="AE220" s="130"/>
      <c r="AF220" s="495"/>
    </row>
    <row r="221" spans="3:32" ht="23.4" x14ac:dyDescent="0.45">
      <c r="C221" s="495"/>
      <c r="D221" s="18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c r="AA221" s="134"/>
      <c r="AB221" s="134"/>
      <c r="AC221" s="134"/>
      <c r="AD221" s="134"/>
      <c r="AE221" s="134"/>
      <c r="AF221" s="495"/>
    </row>
    <row r="222" spans="3:32" ht="24" thickBot="1" x14ac:dyDescent="0.5">
      <c r="C222" s="495"/>
      <c r="D222" s="185"/>
      <c r="E222" s="315" t="e">
        <f>CONCATENATE(TIMETABLE!#REF!," ","[",TIMETABLE!#REF!," ","Students","]"," ",TIMETABLE!#REF!,":"," ",TIMETABLE!#REF!," ",TIMETABLE!#REF!)</f>
        <v>#REF!</v>
      </c>
      <c r="F222" s="315" t="e">
        <f>CONCATENATE(TIMETABLE!#REF!," ","[",TIMETABLE!#REF!," ","Students","]"," ",TIMETABLE!#REF!,":"," ",TIMETABLE!#REF!," ",TIMETABLE!#REF!)</f>
        <v>#REF!</v>
      </c>
      <c r="G222" s="315" t="e">
        <f>CONCATENATE(TIMETABLE!#REF!," ","[",TIMETABLE!#REF!," ","Students","]"," ",TIMETABLE!#REF!,":"," ",TIMETABLE!#REF!," ",TIMETABLE!#REF!)</f>
        <v>#REF!</v>
      </c>
      <c r="H222" s="315" t="e">
        <f>CONCATENATE(TIMETABLE!#REF!," ","[",TIMETABLE!#REF!," ","Students","]"," ",TIMETABLE!#REF!,":"," ",TIMETABLE!#REF!," ",TIMETABLE!#REF!)</f>
        <v>#REF!</v>
      </c>
      <c r="I222" s="315" t="e">
        <f>CONCATENATE(TIMETABLE!#REF!," ","[",TIMETABLE!#REF!," ","Students","]"," ",TIMETABLE!#REF!,":"," ",TIMETABLE!#REF!," ",TIMETABLE!#REF!)</f>
        <v>#REF!</v>
      </c>
      <c r="J222" s="315" t="e">
        <f>CONCATENATE(TIMETABLE!#REF!," ","[",TIMETABLE!#REF!," ","Students","]"," ",TIMETABLE!#REF!,":"," ",TIMETABLE!#REF!," ",TIMETABLE!#REF!)</f>
        <v>#REF!</v>
      </c>
      <c r="K222" s="315" t="e">
        <f>CONCATENATE(TIMETABLE!#REF!," ","[",TIMETABLE!#REF!," ","Students","]"," ",TIMETABLE!#REF!,":"," ",TIMETABLE!#REF!," ",TIMETABLE!#REF!)</f>
        <v>#REF!</v>
      </c>
      <c r="L222" s="315" t="e">
        <f>CONCATENATE(TIMETABLE!D$6," ","[",TIMETABLE!D$7," ","Students","]"," ",TIMETABLE!#REF!,":"," ",TIMETABLE!#REF!," ",TIMETABLE!#REF!)</f>
        <v>#REF!</v>
      </c>
      <c r="M222" s="315" t="e">
        <f>CONCATENATE(TIMETABLE!E$6," ","[",TIMETABLE!E$7," ","Students","]"," ",TIMETABLE!#REF!,":"," ",TIMETABLE!#REF!," ",TIMETABLE!#REF!)</f>
        <v>#REF!</v>
      </c>
      <c r="N222" s="315" t="e">
        <f>CONCATENATE(TIMETABLE!#REF!," ","[",TIMETABLE!#REF!," ","Students","]"," ",TIMETABLE!#REF!,":"," ",TIMETABLE!#REF!," ",TIMETABLE!#REF!)</f>
        <v>#REF!</v>
      </c>
      <c r="O222" s="315" t="e">
        <f>CONCATENATE(TIMETABLE!#REF!," ","[",TIMETABLE!#REF!," ","Students","]"," ",TIMETABLE!#REF!,":"," ",TIMETABLE!#REF!," ",TIMETABLE!#REF!)</f>
        <v>#REF!</v>
      </c>
      <c r="P222" s="315" t="e">
        <f>CONCATENATE(TIMETABLE!F$6," ","[",TIMETABLE!F$7," ","Students","]"," ",TIMETABLE!#REF!,":"," ",TIMETABLE!#REF!," ",TIMETABLE!#REF!)</f>
        <v>#REF!</v>
      </c>
      <c r="Q222" s="315" t="e">
        <f>CONCATENATE(TIMETABLE!G$6," ","[",TIMETABLE!G$7," ","Students","]"," ",TIMETABLE!#REF!,":"," ",TIMETABLE!#REF!," ",TIMETABLE!#REF!)</f>
        <v>#REF!</v>
      </c>
      <c r="R222" s="315" t="e">
        <f>CONCATENATE(TIMETABLE!#REF!," ","[",TIMETABLE!#REF!," ","Students","]"," ",TIMETABLE!#REF!,":"," ",TIMETABLE!#REF!," ",TIMETABLE!#REF!)</f>
        <v>#REF!</v>
      </c>
      <c r="S222" s="315" t="e">
        <f>CONCATENATE(TIMETABLE!#REF!," ","[",TIMETABLE!#REF!," ","Students","]"," ",TIMETABLE!#REF!,":"," ",TIMETABLE!#REF!," ",TIMETABLE!#REF!)</f>
        <v>#REF!</v>
      </c>
      <c r="T222" s="315" t="e">
        <f>CONCATENATE(TIMETABLE!J$6," ","[",TIMETABLE!J$7," ","Students","]"," ",TIMETABLE!#REF!,":"," ",TIMETABLE!#REF!," ",TIMETABLE!#REF!)</f>
        <v>#REF!</v>
      </c>
      <c r="U222" s="315" t="e">
        <f>CONCATENATE(TIMETABLE!#REF!," ","[",TIMETABLE!#REF!," ","Students","]"," ",TIMETABLE!#REF!,":"," ",TIMETABLE!#REF!," ",TIMETABLE!#REF!)</f>
        <v>#REF!</v>
      </c>
      <c r="V222" s="315" t="e">
        <f>CONCATENATE(TIMETABLE!#REF!," ","[",TIMETABLE!#REF!," ","Students","]"," ",TIMETABLE!#REF!,":"," ",TIMETABLE!#REF!," ",TIMETABLE!#REF!)</f>
        <v>#REF!</v>
      </c>
      <c r="W222" s="315" t="e">
        <f>CONCATENATE(TIMETABLE!#REF!," ","[",TIMETABLE!#REF!," ","Students","]"," ",TIMETABLE!#REF!,":"," ",TIMETABLE!#REF!," ",TIMETABLE!#REF!)</f>
        <v>#REF!</v>
      </c>
      <c r="X222" s="315" t="e">
        <f>CONCATENATE(TIMETABLE!#REF!," ","[",TIMETABLE!#REF!," ","Students","]"," ",TIMETABLE!#REF!,":"," ",TIMETABLE!#REF!," ",TIMETABLE!#REF!)</f>
        <v>#REF!</v>
      </c>
      <c r="Y222" s="315" t="e">
        <f>CONCATENATE(TIMETABLE!#REF!," ","[",TIMETABLE!#REF!," ","Students","]"," ",TIMETABLE!#REF!,":"," ",TIMETABLE!#REF!," ",TIMETABLE!#REF!)</f>
        <v>#REF!</v>
      </c>
      <c r="Z222" s="315" t="e">
        <f>CONCATENATE(TIMETABLE!#REF!," ","[",TIMETABLE!#REF!," ","Students","]"," ",TIMETABLE!#REF!,":"," ",TIMETABLE!#REF!," ",TIMETABLE!#REF!)</f>
        <v>#REF!</v>
      </c>
      <c r="AA222" s="315" t="e">
        <f>CONCATENATE(TIMETABLE!#REF!," ","[",TIMETABLE!#REF!," ","Students","]"," ",TIMETABLE!#REF!,":"," ",TIMETABLE!#REF!," ",TIMETABLE!#REF!)</f>
        <v>#REF!</v>
      </c>
      <c r="AB222" s="315" t="e">
        <f>CONCATENATE(TIMETABLE!#REF!," ","[",TIMETABLE!#REF!," ","Students","]"," ",TIMETABLE!#REF!,":"," ",TIMETABLE!#REF!," ",TIMETABLE!#REF!)</f>
        <v>#REF!</v>
      </c>
      <c r="AC222" s="315" t="e">
        <f>CONCATENATE(TIMETABLE!W$6," ","[",TIMETABLE!W$7," ","Students","]"," ",TIMETABLE!#REF!,":"," ",TIMETABLE!#REF!," ",TIMETABLE!#REF!)</f>
        <v>#REF!</v>
      </c>
      <c r="AD222" s="315" t="e">
        <f>CONCATENATE(TIMETABLE!#REF!," ","[",TIMETABLE!#REF!," ","Students","]"," ",TIMETABLE!#REF!,":"," ",TIMETABLE!#REF!," ",TIMETABLE!#REF!)</f>
        <v>#REF!</v>
      </c>
      <c r="AE222" s="315" t="e">
        <f>CONCATENATE(TIMETABLE!#REF!," ","[",TIMETABLE!#REF!," ","Students","]"," ",TIMETABLE!#REF!,":"," ",TIMETABLE!#REF!," ",TIMETABLE!#REF!)</f>
        <v>#REF!</v>
      </c>
      <c r="AF222" s="495"/>
    </row>
    <row r="223" spans="3:32" ht="23.4" x14ac:dyDescent="0.45">
      <c r="C223" s="495"/>
      <c r="D223" s="187"/>
      <c r="E223" s="188"/>
      <c r="F223" s="188"/>
      <c r="G223" s="188"/>
      <c r="H223" s="188"/>
      <c r="I223" s="188"/>
      <c r="J223" s="188"/>
      <c r="K223" s="188"/>
      <c r="L223" s="188"/>
      <c r="M223" s="188"/>
      <c r="N223" s="188"/>
      <c r="O223" s="188"/>
      <c r="P223" s="188"/>
      <c r="Q223" s="188"/>
      <c r="R223" s="188"/>
      <c r="S223" s="188"/>
      <c r="T223" s="188"/>
      <c r="U223" s="188"/>
      <c r="V223" s="188"/>
      <c r="W223" s="188"/>
      <c r="X223" s="188"/>
      <c r="Y223" s="188"/>
      <c r="Z223" s="188"/>
      <c r="AA223" s="188"/>
      <c r="AB223" s="188"/>
      <c r="AC223" s="188"/>
      <c r="AD223" s="188"/>
      <c r="AE223" s="188"/>
      <c r="AF223" s="495"/>
    </row>
    <row r="224" spans="3:32" ht="23.4" x14ac:dyDescent="0.45">
      <c r="C224" s="495"/>
      <c r="D224" s="190"/>
      <c r="E224" s="191"/>
      <c r="F224" s="191"/>
      <c r="G224" s="191"/>
      <c r="H224" s="191"/>
      <c r="I224" s="191"/>
      <c r="J224" s="191"/>
      <c r="K224" s="191"/>
      <c r="L224" s="191"/>
      <c r="M224" s="191"/>
      <c r="N224" s="191"/>
      <c r="O224" s="191"/>
      <c r="P224" s="191"/>
      <c r="Q224" s="191"/>
      <c r="R224" s="191"/>
      <c r="S224" s="191"/>
      <c r="T224" s="191"/>
      <c r="U224" s="191"/>
      <c r="V224" s="191"/>
      <c r="W224" s="191"/>
      <c r="X224" s="191"/>
      <c r="Y224" s="191"/>
      <c r="Z224" s="191"/>
      <c r="AA224" s="191"/>
      <c r="AB224" s="191"/>
      <c r="AC224" s="191"/>
      <c r="AD224" s="191"/>
      <c r="AE224" s="191"/>
      <c r="AF224" s="495"/>
    </row>
    <row r="225" spans="3:32" ht="24" thickBot="1" x14ac:dyDescent="0.5">
      <c r="C225" s="495"/>
      <c r="D225" s="192"/>
      <c r="E225" s="398" t="e">
        <f>CONCATENATE(TIMETABLE!#REF!," ","[",TIMETABLE!#REF!," ","Students","]"," ",TIMETABLE!#REF!,":"," ",TIMETABLE!#REF!," ",TIMETABLE!#REF!)</f>
        <v>#REF!</v>
      </c>
      <c r="F225" s="398" t="e">
        <f>CONCATENATE(TIMETABLE!#REF!," ","[",TIMETABLE!#REF!," ","Students","]"," ",TIMETABLE!#REF!,":"," ",TIMETABLE!#REF!," ",TIMETABLE!#REF!)</f>
        <v>#REF!</v>
      </c>
      <c r="G225" s="398" t="e">
        <f>CONCATENATE(TIMETABLE!#REF!," ","[",TIMETABLE!#REF!," ","Students","]"," ",TIMETABLE!#REF!,":"," ",TIMETABLE!#REF!," ",TIMETABLE!#REF!)</f>
        <v>#REF!</v>
      </c>
      <c r="H225" s="398" t="e">
        <f>CONCATENATE(TIMETABLE!#REF!," ","[",TIMETABLE!#REF!," ","Students","]"," ",TIMETABLE!#REF!,":"," ",TIMETABLE!#REF!," ",TIMETABLE!#REF!)</f>
        <v>#REF!</v>
      </c>
      <c r="I225" s="398" t="e">
        <f>CONCATENATE(TIMETABLE!#REF!," ","[",TIMETABLE!#REF!," ","Students","]"," ",TIMETABLE!#REF!,":"," ",TIMETABLE!#REF!," ",TIMETABLE!#REF!)</f>
        <v>#REF!</v>
      </c>
      <c r="J225" s="398" t="e">
        <f>CONCATENATE(TIMETABLE!#REF!," ","[",TIMETABLE!#REF!," ","Students","]"," ",TIMETABLE!#REF!,":"," ",TIMETABLE!#REF!," ",TIMETABLE!#REF!)</f>
        <v>#REF!</v>
      </c>
      <c r="K225" s="398" t="e">
        <f>CONCATENATE(TIMETABLE!#REF!," ","[",TIMETABLE!#REF!," ","Students","]"," ",TIMETABLE!#REF!,":"," ",TIMETABLE!#REF!," ",TIMETABLE!#REF!)</f>
        <v>#REF!</v>
      </c>
      <c r="L225" s="398" t="str">
        <f>CONCATENATE(TIMETABLE!D$6," ","[",TIMETABLE!D$7," ","Students","]"," ",TIMETABLE!D111,":"," ",TIMETABLE!D113," ",TIMETABLE!D112)</f>
        <v xml:space="preserve">BSME/SEP2020/J-FT [Y2S1  (50) Students] :  </v>
      </c>
      <c r="M225" s="398" t="str">
        <f>CONCATENATE(TIMETABLE!E$6," ","[",TIMETABLE!E$7," ","Students","]"," ",TIMETABLE!E111,":"," ",TIMETABLE!E113," ",TIMETABLE!E112)</f>
        <v xml:space="preserve">BSME/AUG2021/J-FT [Y1S2  (55) Students] :  </v>
      </c>
      <c r="N225" s="398" t="e">
        <f>CONCATENATE(TIMETABLE!#REF!," ","[",TIMETABLE!#REF!," ","Students","]"," ",TIMETABLE!#REF!,":"," ",TIMETABLE!#REF!," ",TIMETABLE!#REF!)</f>
        <v>#REF!</v>
      </c>
      <c r="O225" s="398" t="e">
        <f>CONCATENATE(TIMETABLE!#REF!," ","[",TIMETABLE!#REF!," ","Students","]"," ",TIMETABLE!#REF!,":"," ",TIMETABLE!#REF!," ",TIMETABLE!#REF!)</f>
        <v>#REF!</v>
      </c>
      <c r="P225" s="398" t="str">
        <f>CONCATENATE(TIMETABLE!F$6," ","[",TIMETABLE!F$7," ","Students","]"," ",TIMETABLE!F111,":"," ",TIMETABLE!F113," ",TIMETABLE!F112)</f>
        <v xml:space="preserve">BTME/SEP2019/S-PT [Y3S1   (10) Students] :  </v>
      </c>
      <c r="Q225" s="398" t="str">
        <f>CONCATENATE(TIMETABLE!G$6," ","[",TIMETABLE!G$7," ","Students","]"," ",TIMETABLE!G111,":"," ",TIMETABLE!G113," ",TIMETABLE!G112)</f>
        <v xml:space="preserve">BTME/AUG2021/S-PT [Y2S2   (10) Students] :  </v>
      </c>
      <c r="R225" s="398" t="e">
        <f>CONCATENATE(TIMETABLE!#REF!," ","[",TIMETABLE!#REF!," ","Students","]"," ",TIMETABLE!#REF!,":"," ",TIMETABLE!#REF!," ",TIMETABLE!#REF!)</f>
        <v>#REF!</v>
      </c>
      <c r="S225" s="398" t="e">
        <f>CONCATENATE(TIMETABLE!#REF!," ","[",TIMETABLE!#REF!," ","Students","]"," ",TIMETABLE!#REF!,":"," ",TIMETABLE!#REF!," ",TIMETABLE!#REF!)</f>
        <v>#REF!</v>
      </c>
      <c r="T225" s="398" t="str">
        <f>CONCATENATE(TIMETABLE!J$6," ","[",TIMETABLE!J$7," ","Students","]"," ",TIMETABLE!J111,":"," ",TIMETABLE!J113," ",TIMETABLE!J112)</f>
        <v xml:space="preserve">BTME/AUG2021/J&amp;S-FT [Y1S1  (52) Students] :  </v>
      </c>
      <c r="U225" s="398" t="e">
        <f>CONCATENATE(TIMETABLE!#REF!," ","[",TIMETABLE!#REF!," ","Students","]"," ",TIMETABLE!#REF!,":"," ",TIMETABLE!#REF!," ",TIMETABLE!#REF!)</f>
        <v>#REF!</v>
      </c>
      <c r="V225" s="398" t="e">
        <f>CONCATENATE(TIMETABLE!#REF!," ","[",TIMETABLE!#REF!," ","Students","]"," ",TIMETABLE!#REF!,":"," ",TIMETABLE!#REF!," ",TIMETABLE!#REF!)</f>
        <v>#REF!</v>
      </c>
      <c r="W225" s="398" t="e">
        <f>CONCATENATE(TIMETABLE!#REF!," ","[",TIMETABLE!#REF!," ","Students","]"," ",TIMETABLE!#REF!,":"," ",TIMETABLE!#REF!," ",TIMETABLE!#REF!)</f>
        <v>#REF!</v>
      </c>
      <c r="X225" s="398" t="e">
        <f>CONCATENATE(TIMETABLE!#REF!," ","[",TIMETABLE!#REF!," ","Students","]"," ",TIMETABLE!#REF!,":"," ",TIMETABLE!#REF!," ",TIMETABLE!#REF!)</f>
        <v>#REF!</v>
      </c>
      <c r="Y225" s="398" t="e">
        <f>CONCATENATE(TIMETABLE!#REF!," ","[",TIMETABLE!#REF!," ","Students","]"," ",TIMETABLE!#REF!,":"," ",TIMETABLE!#REF!," ",TIMETABLE!#REF!)</f>
        <v>#REF!</v>
      </c>
      <c r="Z225" s="398" t="e">
        <f>CONCATENATE(TIMETABLE!#REF!," ","[",TIMETABLE!#REF!," ","Students","]"," ",TIMETABLE!#REF!,":"," ",TIMETABLE!#REF!," ",TIMETABLE!#REF!)</f>
        <v>#REF!</v>
      </c>
      <c r="AA225" s="398" t="e">
        <f>CONCATENATE(TIMETABLE!#REF!," ","[",TIMETABLE!#REF!," ","Students","]"," ",TIMETABLE!#REF!,":"," ",TIMETABLE!#REF!," ",TIMETABLE!#REF!)</f>
        <v>#REF!</v>
      </c>
      <c r="AB225" s="398" t="e">
        <f>CONCATENATE(TIMETABLE!#REF!," ","[",TIMETABLE!#REF!," ","Students","]"," ",TIMETABLE!#REF!,":"," ",TIMETABLE!#REF!," ",TIMETABLE!#REF!)</f>
        <v>#REF!</v>
      </c>
      <c r="AC225" s="398" t="str">
        <f>CONCATENATE(TIMETABLE!W$6," ","[",TIMETABLE!W$7," ","Students","]"," ",TIMETABLE!W111,":"," ",TIMETABLE!W113," ",TIMETABLE!W112)</f>
        <v xml:space="preserve">DMAE/SEP20201J&amp;S-FT [Y1S2   (60) Students] :  </v>
      </c>
      <c r="AD225" s="398" t="e">
        <f>CONCATENATE(TIMETABLE!#REF!," ","[",TIMETABLE!#REF!," ","Students","]"," ",TIMETABLE!#REF!,":"," ",TIMETABLE!#REF!," ",TIMETABLE!#REF!)</f>
        <v>#REF!</v>
      </c>
      <c r="AE225" s="398" t="e">
        <f>CONCATENATE(TIMETABLE!#REF!," ","[",TIMETABLE!#REF!," ","Students","]"," ",TIMETABLE!#REF!,":"," ",TIMETABLE!#REF!," ",TIMETABLE!#REF!)</f>
        <v>#REF!</v>
      </c>
      <c r="AF225" s="495"/>
    </row>
    <row r="226" spans="3:32" ht="23.4" x14ac:dyDescent="0.45">
      <c r="C226" s="495"/>
      <c r="D226" s="193"/>
      <c r="E226" s="130"/>
      <c r="F226" s="130"/>
      <c r="G226" s="130"/>
      <c r="H226" s="130"/>
      <c r="I226" s="130"/>
      <c r="J226" s="130"/>
      <c r="K226" s="130"/>
      <c r="L226" s="130"/>
      <c r="M226" s="130"/>
      <c r="N226" s="130"/>
      <c r="O226" s="130"/>
      <c r="P226" s="130"/>
      <c r="Q226" s="130"/>
      <c r="R226" s="130"/>
      <c r="S226" s="130"/>
      <c r="T226" s="130"/>
      <c r="U226" s="130"/>
      <c r="V226" s="130"/>
      <c r="W226" s="130"/>
      <c r="X226" s="130"/>
      <c r="Y226" s="130"/>
      <c r="Z226" s="130"/>
      <c r="AA226" s="130"/>
      <c r="AB226" s="130"/>
      <c r="AC226" s="130"/>
      <c r="AD226" s="130"/>
      <c r="AE226" s="130"/>
      <c r="AF226" s="495"/>
    </row>
    <row r="227" spans="3:32" ht="23.4" x14ac:dyDescent="0.45">
      <c r="C227" s="495"/>
      <c r="D227" s="19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c r="AA227" s="134"/>
      <c r="AB227" s="134"/>
      <c r="AC227" s="134"/>
      <c r="AD227" s="134"/>
      <c r="AE227" s="134"/>
      <c r="AF227" s="495"/>
    </row>
    <row r="228" spans="3:32" ht="24" thickBot="1" x14ac:dyDescent="0.5">
      <c r="C228" s="495"/>
      <c r="D228" s="195"/>
      <c r="E228" s="315" t="e">
        <f>CONCATENATE(TIMETABLE!#REF!," ","[",TIMETABLE!#REF!," ","Students","]"," ",TIMETABLE!#REF!,":"," ",TIMETABLE!#REF!," ",TIMETABLE!#REF!)</f>
        <v>#REF!</v>
      </c>
      <c r="F228" s="315" t="e">
        <f>CONCATENATE(TIMETABLE!#REF!," ","[",TIMETABLE!#REF!," ","Students","]"," ",TIMETABLE!#REF!,":"," ",TIMETABLE!#REF!," ",TIMETABLE!#REF!)</f>
        <v>#REF!</v>
      </c>
      <c r="G228" s="315" t="e">
        <f>CONCATENATE(TIMETABLE!#REF!," ","[",TIMETABLE!#REF!," ","Students","]"," ",TIMETABLE!#REF!,":"," ",TIMETABLE!#REF!," ",TIMETABLE!#REF!)</f>
        <v>#REF!</v>
      </c>
      <c r="H228" s="315" t="e">
        <f>CONCATENATE(TIMETABLE!#REF!," ","[",TIMETABLE!#REF!," ","Students","]"," ",TIMETABLE!#REF!,":"," ",TIMETABLE!#REF!," ",TIMETABLE!#REF!)</f>
        <v>#REF!</v>
      </c>
      <c r="I228" s="315" t="e">
        <f>CONCATENATE(TIMETABLE!#REF!," ","[",TIMETABLE!#REF!," ","Students","]"," ",TIMETABLE!#REF!,":"," ",TIMETABLE!#REF!," ",TIMETABLE!#REF!)</f>
        <v>#REF!</v>
      </c>
      <c r="J228" s="315" t="e">
        <f>CONCATENATE(TIMETABLE!#REF!," ","[",TIMETABLE!#REF!," ","Students","]"," ",TIMETABLE!#REF!,":"," ",TIMETABLE!#REF!," ",TIMETABLE!#REF!)</f>
        <v>#REF!</v>
      </c>
      <c r="K228" s="315" t="e">
        <f>CONCATENATE(TIMETABLE!#REF!," ","[",TIMETABLE!#REF!," ","Students","]"," ",TIMETABLE!#REF!,":"," ",TIMETABLE!#REF!," ",TIMETABLE!#REF!)</f>
        <v>#REF!</v>
      </c>
      <c r="L228" s="315" t="str">
        <f>CONCATENATE(TIMETABLE!D$6," ","[",TIMETABLE!D$7," ","Students","]"," ",TIMETABLE!D114,":"," ",TIMETABLE!D117," ",TIMETABLE!D116)</f>
        <v xml:space="preserve">BSME/SEP2020/J-FT [Y2S1  (50) Students] :  </v>
      </c>
      <c r="M228" s="315" t="str">
        <f>CONCATENATE(TIMETABLE!E$6," ","[",TIMETABLE!E$7," ","Students","]"," ",TIMETABLE!E114,":"," ",TIMETABLE!E117," ",TIMETABLE!E116)</f>
        <v xml:space="preserve">BSME/AUG2021/J-FT [Y1S2  (55) Students] :  </v>
      </c>
      <c r="N228" s="315" t="e">
        <f>CONCATENATE(TIMETABLE!#REF!," ","[",TIMETABLE!#REF!," ","Students","]"," ",TIMETABLE!#REF!,":"," ",TIMETABLE!#REF!," ",TIMETABLE!#REF!)</f>
        <v>#REF!</v>
      </c>
      <c r="O228" s="315" t="e">
        <f>CONCATENATE(TIMETABLE!#REF!," ","[",TIMETABLE!#REF!," ","Students","]"," ",TIMETABLE!#REF!,":"," ",TIMETABLE!#REF!," ",TIMETABLE!#REF!)</f>
        <v>#REF!</v>
      </c>
      <c r="P228" s="315" t="str">
        <f>CONCATENATE(TIMETABLE!F$6," ","[",TIMETABLE!F$7," ","Students","]"," ",TIMETABLE!F114,":"," ",TIMETABLE!F117," ",TIMETABLE!F116)</f>
        <v>BTME/SEP2019/S-PT [Y3S1   (10) Students] TMC 4311: NYAMU/MUTUKU MET/LAB</v>
      </c>
      <c r="Q228" s="315" t="str">
        <f>CONCATENATE(TIMETABLE!G$6," ","[",TIMETABLE!G$7," ","Students","]"," ",TIMETABLE!G114,":"," ",TIMETABLE!G117," ",TIMETABLE!G116)</f>
        <v>BTME/AUG2021/S-PT [Y2S2   (10) Students] TCV 4223: MUTIE/KITI LAB</v>
      </c>
      <c r="R228" s="315" t="e">
        <f>CONCATENATE(TIMETABLE!#REF!," ","[",TIMETABLE!#REF!," ","Students","]"," ",TIMETABLE!#REF!,":"," ",TIMETABLE!#REF!," ",TIMETABLE!#REF!)</f>
        <v>#REF!</v>
      </c>
      <c r="S228" s="315" t="e">
        <f>CONCATENATE(TIMETABLE!#REF!," ","[",TIMETABLE!#REF!," ","Students","]"," ",TIMETABLE!#REF!,":"," ",TIMETABLE!#REF!," ",TIMETABLE!#REF!)</f>
        <v>#REF!</v>
      </c>
      <c r="T228" s="315" t="str">
        <f>CONCATENATE(TIMETABLE!J$6," ","[",TIMETABLE!J$7," ","Students","]"," ",TIMETABLE!J114,":"," ",TIMETABLE!J117," ",TIMETABLE!J116)</f>
        <v xml:space="preserve">BTME/AUG2021/J&amp;S-FT [Y1S1  (52) Students] :  </v>
      </c>
      <c r="U228" s="315" t="e">
        <f>CONCATENATE(TIMETABLE!#REF!," ","[",TIMETABLE!#REF!," ","Students","]"," ",TIMETABLE!#REF!,":"," ",TIMETABLE!#REF!," ",TIMETABLE!#REF!)</f>
        <v>#REF!</v>
      </c>
      <c r="V228" s="315" t="e">
        <f>CONCATENATE(TIMETABLE!#REF!," ","[",TIMETABLE!#REF!," ","Students","]"," ",TIMETABLE!#REF!,":"," ",TIMETABLE!#REF!," ",TIMETABLE!#REF!)</f>
        <v>#REF!</v>
      </c>
      <c r="W228" s="315" t="e">
        <f>CONCATENATE(TIMETABLE!#REF!," ","[",TIMETABLE!#REF!," ","Students","]"," ",TIMETABLE!#REF!,":"," ",TIMETABLE!#REF!," ",TIMETABLE!#REF!)</f>
        <v>#REF!</v>
      </c>
      <c r="X228" s="315" t="e">
        <f>CONCATENATE(TIMETABLE!#REF!," ","[",TIMETABLE!#REF!," ","Students","]"," ",TIMETABLE!#REF!,":"," ",TIMETABLE!#REF!," ",TIMETABLE!#REF!)</f>
        <v>#REF!</v>
      </c>
      <c r="Y228" s="315" t="e">
        <f>CONCATENATE(TIMETABLE!#REF!," ","[",TIMETABLE!#REF!," ","Students","]"," ",TIMETABLE!#REF!,":"," ",TIMETABLE!#REF!," ",TIMETABLE!#REF!)</f>
        <v>#REF!</v>
      </c>
      <c r="Z228" s="315" t="e">
        <f>CONCATENATE(TIMETABLE!#REF!," ","[",TIMETABLE!#REF!," ","Students","]"," ",TIMETABLE!#REF!,":"," ",TIMETABLE!#REF!," ",TIMETABLE!#REF!)</f>
        <v>#REF!</v>
      </c>
      <c r="AA228" s="315" t="e">
        <f>CONCATENATE(TIMETABLE!#REF!," ","[",TIMETABLE!#REF!," ","Students","]"," ",TIMETABLE!#REF!,":"," ",TIMETABLE!#REF!," ",TIMETABLE!#REF!)</f>
        <v>#REF!</v>
      </c>
      <c r="AB228" s="315" t="e">
        <f>CONCATENATE(TIMETABLE!#REF!," ","[",TIMETABLE!#REF!," ","Students","]"," ",TIMETABLE!#REF!,":"," ",TIMETABLE!#REF!," ",TIMETABLE!#REF!)</f>
        <v>#REF!</v>
      </c>
      <c r="AC228" s="315" t="str">
        <f>CONCATENATE(TIMETABLE!W$6," ","[",TIMETABLE!W$7," ","Students","]"," ",TIMETABLE!W114,":"," ",TIMETABLE!W117," ",TIMETABLE!W116)</f>
        <v xml:space="preserve">DMAE/SEP20201J&amp;S-FT [Y1S2   (60) Students] :  </v>
      </c>
      <c r="AD228" s="315" t="e">
        <f>CONCATENATE(TIMETABLE!#REF!," ","[",TIMETABLE!#REF!," ","Students","]"," ",TIMETABLE!#REF!,":"," ",TIMETABLE!#REF!," ",TIMETABLE!#REF!)</f>
        <v>#REF!</v>
      </c>
      <c r="AE228" s="315" t="e">
        <f>CONCATENATE(TIMETABLE!#REF!," ","[",TIMETABLE!#REF!," ","Students","]"," ",TIMETABLE!#REF!,":"," ",TIMETABLE!#REF!," ",TIMETABLE!#REF!)</f>
        <v>#REF!</v>
      </c>
      <c r="AF228" s="495"/>
    </row>
    <row r="229" spans="3:32" ht="23.4" x14ac:dyDescent="0.45">
      <c r="C229" s="495"/>
      <c r="D229" s="196"/>
      <c r="E229" s="130"/>
      <c r="F229" s="130"/>
      <c r="G229" s="130"/>
      <c r="H229" s="130"/>
      <c r="I229" s="130"/>
      <c r="J229" s="130"/>
      <c r="K229" s="130"/>
      <c r="L229" s="130"/>
      <c r="M229" s="130"/>
      <c r="N229" s="130"/>
      <c r="O229" s="130"/>
      <c r="P229" s="130"/>
      <c r="Q229" s="130"/>
      <c r="R229" s="130"/>
      <c r="S229" s="130"/>
      <c r="T229" s="130"/>
      <c r="U229" s="130"/>
      <c r="V229" s="130"/>
      <c r="W229" s="130"/>
      <c r="X229" s="130"/>
      <c r="Y229" s="130"/>
      <c r="Z229" s="130"/>
      <c r="AA229" s="130"/>
      <c r="AB229" s="130"/>
      <c r="AC229" s="130"/>
      <c r="AD229" s="130"/>
      <c r="AE229" s="130"/>
      <c r="AF229" s="495"/>
    </row>
    <row r="230" spans="3:32" ht="23.4" x14ac:dyDescent="0.45">
      <c r="C230" s="495"/>
      <c r="D230" s="19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c r="AA230" s="134"/>
      <c r="AB230" s="134"/>
      <c r="AC230" s="134"/>
      <c r="AD230" s="134"/>
      <c r="AE230" s="134"/>
      <c r="AF230" s="495"/>
    </row>
    <row r="231" spans="3:32" ht="24" thickBot="1" x14ac:dyDescent="0.5">
      <c r="C231" s="495"/>
      <c r="D231" s="195"/>
      <c r="E231" s="315" t="e">
        <f>CONCATENATE(TIMETABLE!#REF!," ","[",TIMETABLE!#REF!," ","Students","]"," ",TIMETABLE!#REF!,":"," ",TIMETABLE!#REF!," ",TIMETABLE!#REF!)</f>
        <v>#REF!</v>
      </c>
      <c r="F231" s="315" t="e">
        <f>CONCATENATE(TIMETABLE!#REF!," ","[",TIMETABLE!#REF!," ","Students","]"," ",TIMETABLE!#REF!,":"," ",TIMETABLE!#REF!," ",TIMETABLE!#REF!)</f>
        <v>#REF!</v>
      </c>
      <c r="G231" s="315" t="e">
        <f>CONCATENATE(TIMETABLE!#REF!," ","[",TIMETABLE!#REF!," ","Students","]"," ",TIMETABLE!#REF!,":"," ",TIMETABLE!#REF!," ",TIMETABLE!#REF!)</f>
        <v>#REF!</v>
      </c>
      <c r="H231" s="315" t="e">
        <f>CONCATENATE(TIMETABLE!#REF!," ","[",TIMETABLE!#REF!," ","Students","]"," ",TIMETABLE!#REF!,":"," ",TIMETABLE!#REF!," ",TIMETABLE!#REF!)</f>
        <v>#REF!</v>
      </c>
      <c r="I231" s="315" t="e">
        <f>CONCATENATE(TIMETABLE!#REF!," ","[",TIMETABLE!#REF!," ","Students","]"," ",TIMETABLE!#REF!,":"," ",TIMETABLE!#REF!," ",TIMETABLE!#REF!)</f>
        <v>#REF!</v>
      </c>
      <c r="J231" s="315" t="e">
        <f>CONCATENATE(TIMETABLE!#REF!," ","[",TIMETABLE!#REF!," ","Students","]"," ",TIMETABLE!#REF!,":"," ",TIMETABLE!#REF!," ",TIMETABLE!#REF!)</f>
        <v>#REF!</v>
      </c>
      <c r="K231" s="315" t="e">
        <f>CONCATENATE(TIMETABLE!#REF!," ","[",TIMETABLE!#REF!," ","Students","]"," ",TIMETABLE!#REF!,":"," ",TIMETABLE!#REF!," ",TIMETABLE!#REF!)</f>
        <v>#REF!</v>
      </c>
      <c r="L231" s="315" t="e">
        <f>CONCATENATE(TIMETABLE!D$6," ","[",TIMETABLE!D$7," ","Students","]"," ",TIMETABLE!#REF!,":"," ",TIMETABLE!#REF!," ",TIMETABLE!#REF!)</f>
        <v>#REF!</v>
      </c>
      <c r="M231" s="315" t="e">
        <f>CONCATENATE(TIMETABLE!E$6," ","[",TIMETABLE!E$7," ","Students","]"," ",TIMETABLE!#REF!,":"," ",TIMETABLE!#REF!," ",TIMETABLE!#REF!)</f>
        <v>#REF!</v>
      </c>
      <c r="N231" s="315" t="e">
        <f>CONCATENATE(TIMETABLE!#REF!," ","[",TIMETABLE!#REF!," ","Students","]"," ",TIMETABLE!#REF!,":"," ",TIMETABLE!#REF!," ",TIMETABLE!#REF!)</f>
        <v>#REF!</v>
      </c>
      <c r="O231" s="315" t="e">
        <f>CONCATENATE(TIMETABLE!#REF!," ","[",TIMETABLE!#REF!," ","Students","]"," ",TIMETABLE!#REF!,":"," ",TIMETABLE!#REF!," ",TIMETABLE!#REF!)</f>
        <v>#REF!</v>
      </c>
      <c r="P231" s="315" t="e">
        <f>CONCATENATE(TIMETABLE!F$6," ","[",TIMETABLE!F$7," ","Students","]"," ",TIMETABLE!#REF!,":"," ",TIMETABLE!#REF!," ",TIMETABLE!#REF!)</f>
        <v>#REF!</v>
      </c>
      <c r="Q231" s="315" t="e">
        <f>CONCATENATE(TIMETABLE!G$6," ","[",TIMETABLE!G$7," ","Students","]"," ",TIMETABLE!#REF!,":"," ",TIMETABLE!#REF!," ",TIMETABLE!#REF!)</f>
        <v>#REF!</v>
      </c>
      <c r="R231" s="315" t="e">
        <f>CONCATENATE(TIMETABLE!#REF!," ","[",TIMETABLE!#REF!," ","Students","]"," ",TIMETABLE!#REF!,":"," ",TIMETABLE!#REF!," ",TIMETABLE!#REF!)</f>
        <v>#REF!</v>
      </c>
      <c r="S231" s="315" t="e">
        <f>CONCATENATE(TIMETABLE!#REF!," ","[",TIMETABLE!#REF!," ","Students","]"," ",TIMETABLE!#REF!,":"," ",TIMETABLE!#REF!," ",TIMETABLE!#REF!)</f>
        <v>#REF!</v>
      </c>
      <c r="T231" s="315" t="e">
        <f>CONCATENATE(TIMETABLE!J$6," ","[",TIMETABLE!J$7," ","Students","]"," ",TIMETABLE!#REF!,":"," ",TIMETABLE!#REF!," ",TIMETABLE!#REF!)</f>
        <v>#REF!</v>
      </c>
      <c r="U231" s="315" t="e">
        <f>CONCATENATE(TIMETABLE!#REF!," ","[",TIMETABLE!#REF!," ","Students","]"," ",TIMETABLE!#REF!,":"," ",TIMETABLE!#REF!," ",TIMETABLE!#REF!)</f>
        <v>#REF!</v>
      </c>
      <c r="V231" s="315" t="e">
        <f>CONCATENATE(TIMETABLE!#REF!," ","[",TIMETABLE!#REF!," ","Students","]"," ",TIMETABLE!#REF!,":"," ",TIMETABLE!#REF!," ",TIMETABLE!#REF!)</f>
        <v>#REF!</v>
      </c>
      <c r="W231" s="315" t="e">
        <f>CONCATENATE(TIMETABLE!#REF!," ","[",TIMETABLE!#REF!," ","Students","]"," ",TIMETABLE!#REF!,":"," ",TIMETABLE!#REF!," ",TIMETABLE!#REF!)</f>
        <v>#REF!</v>
      </c>
      <c r="X231" s="315" t="e">
        <f>CONCATENATE(TIMETABLE!#REF!," ","[",TIMETABLE!#REF!," ","Students","]"," ",TIMETABLE!#REF!,":"," ",TIMETABLE!#REF!," ",TIMETABLE!#REF!)</f>
        <v>#REF!</v>
      </c>
      <c r="Y231" s="315" t="e">
        <f>CONCATENATE(TIMETABLE!#REF!," ","[",TIMETABLE!#REF!," ","Students","]"," ",TIMETABLE!#REF!,":"," ",TIMETABLE!#REF!," ",TIMETABLE!#REF!)</f>
        <v>#REF!</v>
      </c>
      <c r="Z231" s="315" t="e">
        <f>CONCATENATE(TIMETABLE!#REF!," ","[",TIMETABLE!#REF!," ","Students","]"," ",TIMETABLE!#REF!,":"," ",TIMETABLE!#REF!," ",TIMETABLE!#REF!)</f>
        <v>#REF!</v>
      </c>
      <c r="AA231" s="315" t="e">
        <f>CONCATENATE(TIMETABLE!#REF!," ","[",TIMETABLE!#REF!," ","Students","]"," ",TIMETABLE!#REF!,":"," ",TIMETABLE!#REF!," ",TIMETABLE!#REF!)</f>
        <v>#REF!</v>
      </c>
      <c r="AB231" s="315" t="e">
        <f>CONCATENATE(TIMETABLE!#REF!," ","[",TIMETABLE!#REF!," ","Students","]"," ",TIMETABLE!#REF!,":"," ",TIMETABLE!#REF!," ",TIMETABLE!#REF!)</f>
        <v>#REF!</v>
      </c>
      <c r="AC231" s="315" t="e">
        <f>CONCATENATE(TIMETABLE!W$6," ","[",TIMETABLE!W$7," ","Students","]"," ",TIMETABLE!#REF!,":"," ",TIMETABLE!#REF!," ",TIMETABLE!#REF!)</f>
        <v>#REF!</v>
      </c>
      <c r="AD231" s="315" t="e">
        <f>CONCATENATE(TIMETABLE!#REF!," ","[",TIMETABLE!#REF!," ","Students","]"," ",TIMETABLE!#REF!,":"," ",TIMETABLE!#REF!," ",TIMETABLE!#REF!)</f>
        <v>#REF!</v>
      </c>
      <c r="AE231" s="315" t="e">
        <f>CONCATENATE(TIMETABLE!#REF!," ","[",TIMETABLE!#REF!," ","Students","]"," ",TIMETABLE!#REF!,":"," ",TIMETABLE!#REF!," ",TIMETABLE!#REF!)</f>
        <v>#REF!</v>
      </c>
      <c r="AF231" s="495"/>
    </row>
    <row r="232" spans="3:32" ht="23.4" x14ac:dyDescent="0.45">
      <c r="C232" s="495"/>
      <c r="D232" s="196"/>
      <c r="E232" s="130"/>
      <c r="F232" s="130"/>
      <c r="G232" s="130"/>
      <c r="H232" s="130"/>
      <c r="I232" s="130"/>
      <c r="J232" s="130"/>
      <c r="K232" s="130"/>
      <c r="L232" s="130"/>
      <c r="M232" s="130"/>
      <c r="N232" s="130"/>
      <c r="O232" s="130"/>
      <c r="P232" s="130"/>
      <c r="Q232" s="130"/>
      <c r="R232" s="130"/>
      <c r="S232" s="130"/>
      <c r="T232" s="130"/>
      <c r="U232" s="130"/>
      <c r="V232" s="130"/>
      <c r="W232" s="130"/>
      <c r="X232" s="130"/>
      <c r="Y232" s="130"/>
      <c r="Z232" s="130"/>
      <c r="AA232" s="130"/>
      <c r="AB232" s="130"/>
      <c r="AC232" s="130"/>
      <c r="AD232" s="130"/>
      <c r="AE232" s="130"/>
      <c r="AF232" s="495"/>
    </row>
    <row r="233" spans="3:32" ht="23.4" x14ac:dyDescent="0.45">
      <c r="C233" s="495"/>
      <c r="D233" s="19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c r="AA233" s="134"/>
      <c r="AB233" s="134"/>
      <c r="AC233" s="134"/>
      <c r="AD233" s="134"/>
      <c r="AE233" s="134"/>
      <c r="AF233" s="495"/>
    </row>
    <row r="234" spans="3:32" ht="24" thickBot="1" x14ac:dyDescent="0.5">
      <c r="C234" s="495"/>
      <c r="D234" s="195"/>
      <c r="E234" s="315" t="e">
        <f>CONCATENATE(TIMETABLE!#REF!," ","[",TIMETABLE!#REF!," ","Students","]"," ",TIMETABLE!#REF!,":"," ",TIMETABLE!#REF!," ",TIMETABLE!#REF!)</f>
        <v>#REF!</v>
      </c>
      <c r="F234" s="315" t="e">
        <f>CONCATENATE(TIMETABLE!#REF!," ","[",TIMETABLE!#REF!," ","Students","]"," ",TIMETABLE!#REF!,":"," ",TIMETABLE!#REF!," ",TIMETABLE!#REF!)</f>
        <v>#REF!</v>
      </c>
      <c r="G234" s="315" t="e">
        <f>CONCATENATE(TIMETABLE!#REF!," ","[",TIMETABLE!#REF!," ","Students","]"," ",TIMETABLE!#REF!,":"," ",TIMETABLE!#REF!," ",TIMETABLE!#REF!)</f>
        <v>#REF!</v>
      </c>
      <c r="H234" s="315" t="e">
        <f>CONCATENATE(TIMETABLE!#REF!," ","[",TIMETABLE!#REF!," ","Students","]"," ",TIMETABLE!#REF!,":"," ",TIMETABLE!#REF!," ",TIMETABLE!#REF!)</f>
        <v>#REF!</v>
      </c>
      <c r="I234" s="315" t="e">
        <f>CONCATENATE(TIMETABLE!#REF!," ","[",TIMETABLE!#REF!," ","Students","]"," ",TIMETABLE!#REF!,":"," ",TIMETABLE!#REF!," ",TIMETABLE!#REF!)</f>
        <v>#REF!</v>
      </c>
      <c r="J234" s="315" t="e">
        <f>CONCATENATE(TIMETABLE!#REF!," ","[",TIMETABLE!#REF!," ","Students","]"," ",TIMETABLE!#REF!,":"," ",TIMETABLE!#REF!," ",TIMETABLE!#REF!)</f>
        <v>#REF!</v>
      </c>
      <c r="K234" s="315" t="e">
        <f>CONCATENATE(TIMETABLE!#REF!," ","[",TIMETABLE!#REF!," ","Students","]"," ",TIMETABLE!#REF!,":"," ",TIMETABLE!#REF!," ",TIMETABLE!#REF!)</f>
        <v>#REF!</v>
      </c>
      <c r="L234" s="315" t="e">
        <f>CONCATENATE(TIMETABLE!D$6," ","[",TIMETABLE!D$7," ","Students","]"," ",TIMETABLE!#REF!,":"," ",TIMETABLE!#REF!," ",TIMETABLE!#REF!)</f>
        <v>#REF!</v>
      </c>
      <c r="M234" s="315" t="e">
        <f>CONCATENATE(TIMETABLE!E$6," ","[",TIMETABLE!E$7," ","Students","]"," ",TIMETABLE!#REF!,":"," ",TIMETABLE!#REF!," ",TIMETABLE!#REF!)</f>
        <v>#REF!</v>
      </c>
      <c r="N234" s="315" t="e">
        <f>CONCATENATE(TIMETABLE!#REF!," ","[",TIMETABLE!#REF!," ","Students","]"," ",TIMETABLE!#REF!,":"," ",TIMETABLE!#REF!," ",TIMETABLE!#REF!)</f>
        <v>#REF!</v>
      </c>
      <c r="O234" s="315" t="e">
        <f>CONCATENATE(TIMETABLE!#REF!," ","[",TIMETABLE!#REF!," ","Students","]"," ",TIMETABLE!#REF!,":"," ",TIMETABLE!#REF!," ",TIMETABLE!#REF!)</f>
        <v>#REF!</v>
      </c>
      <c r="P234" s="315" t="e">
        <f>CONCATENATE(TIMETABLE!F$6," ","[",TIMETABLE!F$7," ","Students","]"," ",TIMETABLE!#REF!,":"," ",TIMETABLE!#REF!," ",TIMETABLE!#REF!)</f>
        <v>#REF!</v>
      </c>
      <c r="Q234" s="315" t="e">
        <f>CONCATENATE(TIMETABLE!G$6," ","[",TIMETABLE!G$7," ","Students","]"," ",TIMETABLE!#REF!,":"," ",TIMETABLE!#REF!," ",TIMETABLE!#REF!)</f>
        <v>#REF!</v>
      </c>
      <c r="R234" s="315" t="e">
        <f>CONCATENATE(TIMETABLE!#REF!," ","[",TIMETABLE!#REF!," ","Students","]"," ",TIMETABLE!#REF!,":"," ",TIMETABLE!#REF!," ",TIMETABLE!#REF!)</f>
        <v>#REF!</v>
      </c>
      <c r="S234" s="315" t="e">
        <f>CONCATENATE(TIMETABLE!#REF!," ","[",TIMETABLE!#REF!," ","Students","]"," ",TIMETABLE!#REF!,":"," ",TIMETABLE!#REF!," ",TIMETABLE!#REF!)</f>
        <v>#REF!</v>
      </c>
      <c r="T234" s="315" t="e">
        <f>CONCATENATE(TIMETABLE!J$6," ","[",TIMETABLE!J$7," ","Students","]"," ",TIMETABLE!#REF!,":"," ",TIMETABLE!#REF!," ",TIMETABLE!#REF!)</f>
        <v>#REF!</v>
      </c>
      <c r="U234" s="315" t="e">
        <f>CONCATENATE(TIMETABLE!#REF!," ","[",TIMETABLE!#REF!," ","Students","]"," ",TIMETABLE!#REF!,":"," ",TIMETABLE!#REF!," ",TIMETABLE!#REF!)</f>
        <v>#REF!</v>
      </c>
      <c r="V234" s="315" t="e">
        <f>CONCATENATE(TIMETABLE!#REF!," ","[",TIMETABLE!#REF!," ","Students","]"," ",TIMETABLE!#REF!,":"," ",TIMETABLE!#REF!," ",TIMETABLE!#REF!)</f>
        <v>#REF!</v>
      </c>
      <c r="W234" s="315" t="e">
        <f>CONCATENATE(TIMETABLE!#REF!," ","[",TIMETABLE!#REF!," ","Students","]"," ",TIMETABLE!#REF!,":"," ",TIMETABLE!#REF!," ",TIMETABLE!#REF!)</f>
        <v>#REF!</v>
      </c>
      <c r="X234" s="315" t="e">
        <f>CONCATENATE(TIMETABLE!#REF!," ","[",TIMETABLE!#REF!," ","Students","]"," ",TIMETABLE!#REF!,":"," ",TIMETABLE!#REF!," ",TIMETABLE!#REF!)</f>
        <v>#REF!</v>
      </c>
      <c r="Y234" s="315" t="e">
        <f>CONCATENATE(TIMETABLE!#REF!," ","[",TIMETABLE!#REF!," ","Students","]"," ",TIMETABLE!#REF!,":"," ",TIMETABLE!#REF!," ",TIMETABLE!#REF!)</f>
        <v>#REF!</v>
      </c>
      <c r="Z234" s="315" t="e">
        <f>CONCATENATE(TIMETABLE!#REF!," ","[",TIMETABLE!#REF!," ","Students","]"," ",TIMETABLE!#REF!,":"," ",TIMETABLE!#REF!," ",TIMETABLE!#REF!)</f>
        <v>#REF!</v>
      </c>
      <c r="AA234" s="315" t="e">
        <f>CONCATENATE(TIMETABLE!#REF!," ","[",TIMETABLE!#REF!," ","Students","]"," ",TIMETABLE!#REF!,":"," ",TIMETABLE!#REF!," ",TIMETABLE!#REF!)</f>
        <v>#REF!</v>
      </c>
      <c r="AB234" s="315" t="e">
        <f>CONCATENATE(TIMETABLE!#REF!," ","[",TIMETABLE!#REF!," ","Students","]"," ",TIMETABLE!#REF!,":"," ",TIMETABLE!#REF!," ",TIMETABLE!#REF!)</f>
        <v>#REF!</v>
      </c>
      <c r="AC234" s="315" t="e">
        <f>CONCATENATE(TIMETABLE!W$6," ","[",TIMETABLE!W$7," ","Students","]"," ",TIMETABLE!#REF!,":"," ",TIMETABLE!#REF!," ",TIMETABLE!#REF!)</f>
        <v>#REF!</v>
      </c>
      <c r="AD234" s="315" t="e">
        <f>CONCATENATE(TIMETABLE!#REF!," ","[",TIMETABLE!#REF!," ","Students","]"," ",TIMETABLE!#REF!,":"," ",TIMETABLE!#REF!," ",TIMETABLE!#REF!)</f>
        <v>#REF!</v>
      </c>
      <c r="AE234" s="315" t="e">
        <f>CONCATENATE(TIMETABLE!#REF!," ","[",TIMETABLE!#REF!," ","Students","]"," ",TIMETABLE!#REF!,":"," ",TIMETABLE!#REF!," ",TIMETABLE!#REF!)</f>
        <v>#REF!</v>
      </c>
      <c r="AF234" s="495"/>
    </row>
    <row r="235" spans="3:32" ht="23.4" x14ac:dyDescent="0.45">
      <c r="C235" s="495"/>
      <c r="D235" s="196"/>
      <c r="E235" s="130"/>
      <c r="F235" s="130"/>
      <c r="G235" s="130"/>
      <c r="H235" s="130"/>
      <c r="I235" s="130"/>
      <c r="J235" s="130"/>
      <c r="K235" s="130"/>
      <c r="L235" s="130"/>
      <c r="M235" s="130"/>
      <c r="N235" s="130"/>
      <c r="O235" s="130"/>
      <c r="P235" s="130"/>
      <c r="Q235" s="130"/>
      <c r="R235" s="130"/>
      <c r="S235" s="130"/>
      <c r="T235" s="130"/>
      <c r="U235" s="130"/>
      <c r="V235" s="130"/>
      <c r="W235" s="130"/>
      <c r="X235" s="130"/>
      <c r="Y235" s="130"/>
      <c r="Z235" s="130"/>
      <c r="AA235" s="130"/>
      <c r="AB235" s="130"/>
      <c r="AC235" s="130"/>
      <c r="AD235" s="130"/>
      <c r="AE235" s="130"/>
      <c r="AF235" s="495"/>
    </row>
    <row r="236" spans="3:32" ht="23.4" x14ac:dyDescent="0.45">
      <c r="C236" s="495"/>
      <c r="D236" s="19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c r="AA236" s="134"/>
      <c r="AB236" s="134"/>
      <c r="AC236" s="134"/>
      <c r="AD236" s="134"/>
      <c r="AE236" s="134"/>
      <c r="AF236" s="495"/>
    </row>
    <row r="237" spans="3:32" ht="24" thickBot="1" x14ac:dyDescent="0.5">
      <c r="C237" s="495"/>
      <c r="D237" s="195"/>
      <c r="E237" s="315" t="e">
        <f>CONCATENATE(TIMETABLE!#REF!," ","[",TIMETABLE!#REF!," ","Students","]"," ",TIMETABLE!#REF!,":"," ",TIMETABLE!#REF!," ",TIMETABLE!#REF!)</f>
        <v>#REF!</v>
      </c>
      <c r="F237" s="315" t="e">
        <f>CONCATENATE(TIMETABLE!#REF!," ","[",TIMETABLE!#REF!," ","Students","]"," ",TIMETABLE!#REF!,":"," ",TIMETABLE!#REF!," ",TIMETABLE!#REF!)</f>
        <v>#REF!</v>
      </c>
      <c r="G237" s="315" t="e">
        <f>CONCATENATE(TIMETABLE!#REF!," ","[",TIMETABLE!#REF!," ","Students","]"," ",TIMETABLE!#REF!,":"," ",TIMETABLE!#REF!," ",TIMETABLE!#REF!)</f>
        <v>#REF!</v>
      </c>
      <c r="H237" s="315" t="e">
        <f>CONCATENATE(TIMETABLE!#REF!," ","[",TIMETABLE!#REF!," ","Students","]"," ",TIMETABLE!#REF!,":"," ",TIMETABLE!#REF!," ",TIMETABLE!#REF!)</f>
        <v>#REF!</v>
      </c>
      <c r="I237" s="315" t="e">
        <f>CONCATENATE(TIMETABLE!#REF!," ","[",TIMETABLE!#REF!," ","Students","]"," ",TIMETABLE!#REF!,":"," ",TIMETABLE!#REF!," ",TIMETABLE!#REF!)</f>
        <v>#REF!</v>
      </c>
      <c r="J237" s="315" t="e">
        <f>CONCATENATE(TIMETABLE!#REF!," ","[",TIMETABLE!#REF!," ","Students","]"," ",TIMETABLE!#REF!,":"," ",TIMETABLE!#REF!," ",TIMETABLE!#REF!)</f>
        <v>#REF!</v>
      </c>
      <c r="K237" s="315" t="e">
        <f>CONCATENATE(TIMETABLE!#REF!," ","[",TIMETABLE!#REF!," ","Students","]"," ",TIMETABLE!#REF!,":"," ",TIMETABLE!#REF!," ",TIMETABLE!#REF!)</f>
        <v>#REF!</v>
      </c>
      <c r="L237" s="315" t="str">
        <f>CONCATENATE(TIMETABLE!D$6," ","[",TIMETABLE!D$7," ","Students","]"," ",TIMETABLE!D118,":"," ",TIMETABLE!D121," ",TIMETABLE!D120)</f>
        <v xml:space="preserve">BSME/SEP2020/J-FT [Y2S1  (50) Students] :  </v>
      </c>
      <c r="M237" s="315" t="str">
        <f>CONCATENATE(TIMETABLE!E$6," ","[",TIMETABLE!E$7," ","Students","]"," ",TIMETABLE!E118,":"," ",TIMETABLE!E121," ",TIMETABLE!E120)</f>
        <v xml:space="preserve">BSME/AUG2021/J-FT [Y1S2  (55) Students] :  </v>
      </c>
      <c r="N237" s="315" t="e">
        <f>CONCATENATE(TIMETABLE!#REF!," ","[",TIMETABLE!#REF!," ","Students","]"," ",TIMETABLE!#REF!,":"," ",TIMETABLE!#REF!," ",TIMETABLE!#REF!)</f>
        <v>#REF!</v>
      </c>
      <c r="O237" s="315" t="e">
        <f>CONCATENATE(TIMETABLE!#REF!," ","[",TIMETABLE!#REF!," ","Students","]"," ",TIMETABLE!#REF!,":"," ",TIMETABLE!#REF!," ",TIMETABLE!#REF!)</f>
        <v>#REF!</v>
      </c>
      <c r="P237" s="315" t="str">
        <f>CONCATENATE(TIMETABLE!F$6," ","[",TIMETABLE!F$7," ","Students","]"," ",TIMETABLE!F118,":"," ",TIMETABLE!F121," ",TIMETABLE!F120)</f>
        <v>BTME/SEP2019/S-PT [Y3S1   (10) Students] TEE 4315: ONGAYO/DORIS LAB</v>
      </c>
      <c r="Q237" s="315" t="str">
        <f>CONCATENATE(TIMETABLE!G$6," ","[",TIMETABLE!G$7," ","Students","]"," ",TIMETABLE!G118,":"," ",TIMETABLE!G121," ",TIMETABLE!G120)</f>
        <v>BTME/AUG2021/S-PT [Y2S2   (10) Students] TMC 4222: MUTAVA/MWAFONDO CH</v>
      </c>
      <c r="R237" s="315" t="e">
        <f>CONCATENATE(TIMETABLE!#REF!," ","[",TIMETABLE!#REF!," ","Students","]"," ",TIMETABLE!#REF!,":"," ",TIMETABLE!#REF!," ",TIMETABLE!#REF!)</f>
        <v>#REF!</v>
      </c>
      <c r="S237" s="315" t="e">
        <f>CONCATENATE(TIMETABLE!#REF!," ","[",TIMETABLE!#REF!," ","Students","]"," ",TIMETABLE!#REF!,":"," ",TIMETABLE!#REF!," ",TIMETABLE!#REF!)</f>
        <v>#REF!</v>
      </c>
      <c r="T237" s="315" t="str">
        <f>CONCATENATE(TIMETABLE!J$6," ","[",TIMETABLE!J$7," ","Students","]"," ",TIMETABLE!J118,":"," ",TIMETABLE!J121," ",TIMETABLE!J120)</f>
        <v xml:space="preserve">BTME/AUG2021/J&amp;S-FT [Y1S1  (52) Students] :  </v>
      </c>
      <c r="U237" s="315" t="e">
        <f>CONCATENATE(TIMETABLE!#REF!," ","[",TIMETABLE!#REF!," ","Students","]"," ",TIMETABLE!#REF!,":"," ",TIMETABLE!#REF!," ",TIMETABLE!#REF!)</f>
        <v>#REF!</v>
      </c>
      <c r="V237" s="315" t="e">
        <f>CONCATENATE(TIMETABLE!#REF!," ","[",TIMETABLE!#REF!," ","Students","]"," ",TIMETABLE!#REF!,":"," ",TIMETABLE!#REF!," ",TIMETABLE!#REF!)</f>
        <v>#REF!</v>
      </c>
      <c r="W237" s="315" t="e">
        <f>CONCATENATE(TIMETABLE!#REF!," ","[",TIMETABLE!#REF!," ","Students","]"," ",TIMETABLE!#REF!,":"," ",TIMETABLE!#REF!," ",TIMETABLE!#REF!)</f>
        <v>#REF!</v>
      </c>
      <c r="X237" s="315" t="e">
        <f>CONCATENATE(TIMETABLE!#REF!," ","[",TIMETABLE!#REF!," ","Students","]"," ",TIMETABLE!#REF!,":"," ",TIMETABLE!#REF!," ",TIMETABLE!#REF!)</f>
        <v>#REF!</v>
      </c>
      <c r="Y237" s="315" t="e">
        <f>CONCATENATE(TIMETABLE!#REF!," ","[",TIMETABLE!#REF!," ","Students","]"," ",TIMETABLE!#REF!,":"," ",TIMETABLE!#REF!," ",TIMETABLE!#REF!)</f>
        <v>#REF!</v>
      </c>
      <c r="Z237" s="315" t="e">
        <f>CONCATENATE(TIMETABLE!#REF!," ","[",TIMETABLE!#REF!," ","Students","]"," ",TIMETABLE!#REF!,":"," ",TIMETABLE!#REF!," ",TIMETABLE!#REF!)</f>
        <v>#REF!</v>
      </c>
      <c r="AA237" s="315" t="e">
        <f>CONCATENATE(TIMETABLE!#REF!," ","[",TIMETABLE!#REF!," ","Students","]"," ",TIMETABLE!#REF!,":"," ",TIMETABLE!#REF!," ",TIMETABLE!#REF!)</f>
        <v>#REF!</v>
      </c>
      <c r="AB237" s="315" t="e">
        <f>CONCATENATE(TIMETABLE!#REF!," ","[",TIMETABLE!#REF!," ","Students","]"," ",TIMETABLE!#REF!,":"," ",TIMETABLE!#REF!," ",TIMETABLE!#REF!)</f>
        <v>#REF!</v>
      </c>
      <c r="AC237" s="315" t="str">
        <f>CONCATENATE(TIMETABLE!W$6," ","[",TIMETABLE!W$7," ","Students","]"," ",TIMETABLE!W118,":"," ",TIMETABLE!W121," ",TIMETABLE!W120)</f>
        <v xml:space="preserve">DMAE/SEP20201J&amp;S-FT [Y1S2   (60) Students] :  </v>
      </c>
      <c r="AD237" s="315" t="e">
        <f>CONCATENATE(TIMETABLE!#REF!," ","[",TIMETABLE!#REF!," ","Students","]"," ",TIMETABLE!#REF!,":"," ",TIMETABLE!#REF!," ",TIMETABLE!#REF!)</f>
        <v>#REF!</v>
      </c>
      <c r="AE237" s="315" t="e">
        <f>CONCATENATE(TIMETABLE!#REF!," ","[",TIMETABLE!#REF!," ","Students","]"," ",TIMETABLE!#REF!,":"," ",TIMETABLE!#REF!," ",TIMETABLE!#REF!)</f>
        <v>#REF!</v>
      </c>
      <c r="AF237" s="495"/>
    </row>
    <row r="238" spans="3:32" ht="23.4" x14ac:dyDescent="0.45">
      <c r="C238" s="495"/>
      <c r="D238" s="194"/>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c r="AA238" s="130"/>
      <c r="AB238" s="130"/>
      <c r="AC238" s="130"/>
      <c r="AD238" s="130"/>
      <c r="AE238" s="130"/>
      <c r="AF238" s="495"/>
    </row>
    <row r="239" spans="3:32" ht="23.4" x14ac:dyDescent="0.45">
      <c r="C239" s="495"/>
      <c r="D239" s="19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c r="AA239" s="134"/>
      <c r="AB239" s="134"/>
      <c r="AC239" s="134"/>
      <c r="AD239" s="134"/>
      <c r="AE239" s="134"/>
      <c r="AF239" s="495"/>
    </row>
    <row r="240" spans="3:32" ht="24" thickBot="1" x14ac:dyDescent="0.5">
      <c r="C240" s="495"/>
      <c r="D240" s="195"/>
      <c r="E240" s="315" t="e">
        <f>CONCATENATE(TIMETABLE!#REF!," ","[",TIMETABLE!#REF!," ","Students","]"," ",TIMETABLE!#REF!,":"," ",TIMETABLE!#REF!," ",TIMETABLE!#REF!)</f>
        <v>#REF!</v>
      </c>
      <c r="F240" s="315" t="e">
        <f>CONCATENATE(TIMETABLE!#REF!," ","[",TIMETABLE!#REF!," ","Students","]"," ",TIMETABLE!#REF!,":"," ",TIMETABLE!#REF!," ",TIMETABLE!#REF!)</f>
        <v>#REF!</v>
      </c>
      <c r="G240" s="315" t="e">
        <f>CONCATENATE(TIMETABLE!#REF!," ","[",TIMETABLE!#REF!," ","Students","]"," ",TIMETABLE!#REF!,":"," ",TIMETABLE!#REF!," ",TIMETABLE!#REF!)</f>
        <v>#REF!</v>
      </c>
      <c r="H240" s="315" t="e">
        <f>CONCATENATE(TIMETABLE!#REF!," ","[",TIMETABLE!#REF!," ","Students","]"," ",TIMETABLE!#REF!,":"," ",TIMETABLE!#REF!," ",TIMETABLE!#REF!)</f>
        <v>#REF!</v>
      </c>
      <c r="I240" s="315" t="e">
        <f>CONCATENATE(TIMETABLE!#REF!," ","[",TIMETABLE!#REF!," ","Students","]"," ",TIMETABLE!#REF!,":"," ",TIMETABLE!#REF!," ",TIMETABLE!#REF!)</f>
        <v>#REF!</v>
      </c>
      <c r="J240" s="315" t="e">
        <f>CONCATENATE(TIMETABLE!#REF!," ","[",TIMETABLE!#REF!," ","Students","]"," ",TIMETABLE!#REF!,":"," ",TIMETABLE!#REF!," ",TIMETABLE!#REF!)</f>
        <v>#REF!</v>
      </c>
      <c r="K240" s="315" t="e">
        <f>CONCATENATE(TIMETABLE!#REF!," ","[",TIMETABLE!#REF!," ","Students","]"," ",TIMETABLE!#REF!,":"," ",TIMETABLE!#REF!," ",TIMETABLE!#REF!)</f>
        <v>#REF!</v>
      </c>
      <c r="L240" s="315" t="e">
        <f>CONCATENATE(TIMETABLE!D$6," ","[",TIMETABLE!D$7," ","Students","]"," ",TIMETABLE!#REF!,":"," ",TIMETABLE!#REF!," ",TIMETABLE!#REF!)</f>
        <v>#REF!</v>
      </c>
      <c r="M240" s="315" t="e">
        <f>CONCATENATE(TIMETABLE!E$6," ","[",TIMETABLE!E$7," ","Students","]"," ",TIMETABLE!#REF!,":"," ",TIMETABLE!#REF!," ",TIMETABLE!#REF!)</f>
        <v>#REF!</v>
      </c>
      <c r="N240" s="315" t="e">
        <f>CONCATENATE(TIMETABLE!#REF!," ","[",TIMETABLE!#REF!," ","Students","]"," ",TIMETABLE!#REF!,":"," ",TIMETABLE!#REF!," ",TIMETABLE!#REF!)</f>
        <v>#REF!</v>
      </c>
      <c r="O240" s="315" t="e">
        <f>CONCATENATE(TIMETABLE!#REF!," ","[",TIMETABLE!#REF!," ","Students","]"," ",TIMETABLE!#REF!,":"," ",TIMETABLE!#REF!," ",TIMETABLE!#REF!)</f>
        <v>#REF!</v>
      </c>
      <c r="P240" s="315" t="e">
        <f>CONCATENATE(TIMETABLE!F$6," ","[",TIMETABLE!F$7," ","Students","]"," ",TIMETABLE!#REF!,":"," ",TIMETABLE!#REF!," ",TIMETABLE!#REF!)</f>
        <v>#REF!</v>
      </c>
      <c r="Q240" s="315" t="e">
        <f>CONCATENATE(TIMETABLE!G$6," ","[",TIMETABLE!G$7," ","Students","]"," ",TIMETABLE!#REF!,":"," ",TIMETABLE!#REF!," ",TIMETABLE!#REF!)</f>
        <v>#REF!</v>
      </c>
      <c r="R240" s="315" t="e">
        <f>CONCATENATE(TIMETABLE!#REF!," ","[",TIMETABLE!#REF!," ","Students","]"," ",TIMETABLE!#REF!,":"," ",TIMETABLE!#REF!," ",TIMETABLE!#REF!)</f>
        <v>#REF!</v>
      </c>
      <c r="S240" s="315" t="e">
        <f>CONCATENATE(TIMETABLE!#REF!," ","[",TIMETABLE!#REF!," ","Students","]"," ",TIMETABLE!#REF!,":"," ",TIMETABLE!#REF!," ",TIMETABLE!#REF!)</f>
        <v>#REF!</v>
      </c>
      <c r="T240" s="315" t="e">
        <f>CONCATENATE(TIMETABLE!J$6," ","[",TIMETABLE!J$7," ","Students","]"," ",TIMETABLE!#REF!,":"," ",TIMETABLE!#REF!," ",TIMETABLE!#REF!)</f>
        <v>#REF!</v>
      </c>
      <c r="U240" s="315" t="e">
        <f>CONCATENATE(TIMETABLE!#REF!," ","[",TIMETABLE!#REF!," ","Students","]"," ",TIMETABLE!#REF!,":"," ",TIMETABLE!#REF!," ",TIMETABLE!#REF!)</f>
        <v>#REF!</v>
      </c>
      <c r="V240" s="315" t="e">
        <f>CONCATENATE(TIMETABLE!#REF!," ","[",TIMETABLE!#REF!," ","Students","]"," ",TIMETABLE!#REF!,":"," ",TIMETABLE!#REF!," ",TIMETABLE!#REF!)</f>
        <v>#REF!</v>
      </c>
      <c r="W240" s="315" t="e">
        <f>CONCATENATE(TIMETABLE!#REF!," ","[",TIMETABLE!#REF!," ","Students","]"," ",TIMETABLE!#REF!,":"," ",TIMETABLE!#REF!," ",TIMETABLE!#REF!)</f>
        <v>#REF!</v>
      </c>
      <c r="X240" s="315" t="e">
        <f>CONCATENATE(TIMETABLE!#REF!," ","[",TIMETABLE!#REF!," ","Students","]"," ",TIMETABLE!#REF!,":"," ",TIMETABLE!#REF!," ",TIMETABLE!#REF!)</f>
        <v>#REF!</v>
      </c>
      <c r="Y240" s="315" t="e">
        <f>CONCATENATE(TIMETABLE!#REF!," ","[",TIMETABLE!#REF!," ","Students","]"," ",TIMETABLE!#REF!,":"," ",TIMETABLE!#REF!," ",TIMETABLE!#REF!)</f>
        <v>#REF!</v>
      </c>
      <c r="Z240" s="315" t="e">
        <f>CONCATENATE(TIMETABLE!#REF!," ","[",TIMETABLE!#REF!," ","Students","]"," ",TIMETABLE!#REF!,":"," ",TIMETABLE!#REF!," ",TIMETABLE!#REF!)</f>
        <v>#REF!</v>
      </c>
      <c r="AA240" s="315" t="e">
        <f>CONCATENATE(TIMETABLE!#REF!," ","[",TIMETABLE!#REF!," ","Students","]"," ",TIMETABLE!#REF!,":"," ",TIMETABLE!#REF!," ",TIMETABLE!#REF!)</f>
        <v>#REF!</v>
      </c>
      <c r="AB240" s="315" t="e">
        <f>CONCATENATE(TIMETABLE!#REF!," ","[",TIMETABLE!#REF!," ","Students","]"," ",TIMETABLE!#REF!,":"," ",TIMETABLE!#REF!," ",TIMETABLE!#REF!)</f>
        <v>#REF!</v>
      </c>
      <c r="AC240" s="315" t="e">
        <f>CONCATENATE(TIMETABLE!W$6," ","[",TIMETABLE!W$7," ","Students","]"," ",TIMETABLE!#REF!,":"," ",TIMETABLE!#REF!," ",TIMETABLE!#REF!)</f>
        <v>#REF!</v>
      </c>
      <c r="AD240" s="315" t="e">
        <f>CONCATENATE(TIMETABLE!#REF!," ","[",TIMETABLE!#REF!," ","Students","]"," ",TIMETABLE!#REF!,":"," ",TIMETABLE!#REF!," ",TIMETABLE!#REF!)</f>
        <v>#REF!</v>
      </c>
      <c r="AE240" s="315" t="e">
        <f>CONCATENATE(TIMETABLE!#REF!," ","[",TIMETABLE!#REF!," ","Students","]"," ",TIMETABLE!#REF!,":"," ",TIMETABLE!#REF!," ",TIMETABLE!#REF!)</f>
        <v>#REF!</v>
      </c>
      <c r="AF240" s="495"/>
    </row>
    <row r="241" spans="3:32" ht="23.4" x14ac:dyDescent="0.45">
      <c r="C241" s="495"/>
      <c r="D241" s="194"/>
      <c r="E241" s="130"/>
      <c r="F241" s="130"/>
      <c r="G241" s="130"/>
      <c r="H241" s="130"/>
      <c r="I241" s="130"/>
      <c r="J241" s="130"/>
      <c r="K241" s="130"/>
      <c r="L241" s="130"/>
      <c r="M241" s="130"/>
      <c r="N241" s="130"/>
      <c r="O241" s="130"/>
      <c r="P241" s="130"/>
      <c r="Q241" s="130"/>
      <c r="R241" s="130"/>
      <c r="S241" s="130"/>
      <c r="T241" s="130"/>
      <c r="U241" s="130"/>
      <c r="V241" s="130"/>
      <c r="W241" s="130"/>
      <c r="X241" s="130"/>
      <c r="Y241" s="130"/>
      <c r="Z241" s="130"/>
      <c r="AA241" s="130"/>
      <c r="AB241" s="130"/>
      <c r="AC241" s="130"/>
      <c r="AD241" s="130"/>
      <c r="AE241" s="130"/>
      <c r="AF241" s="495"/>
    </row>
    <row r="242" spans="3:32" ht="23.4" x14ac:dyDescent="0.45">
      <c r="C242" s="495"/>
      <c r="D242" s="19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c r="AA242" s="134"/>
      <c r="AB242" s="134"/>
      <c r="AC242" s="134"/>
      <c r="AD242" s="134"/>
      <c r="AE242" s="134"/>
      <c r="AF242" s="495"/>
    </row>
    <row r="243" spans="3:32" ht="24" thickBot="1" x14ac:dyDescent="0.5">
      <c r="C243" s="506"/>
      <c r="D243" s="195"/>
      <c r="E243" s="315" t="e">
        <f>CONCATENATE(TIMETABLE!#REF!," ","[",TIMETABLE!#REF!," ","Students","]"," ",TIMETABLE!#REF!,":"," ",TIMETABLE!#REF!," ",TIMETABLE!#REF!)</f>
        <v>#REF!</v>
      </c>
      <c r="F243" s="315" t="e">
        <f>CONCATENATE(TIMETABLE!#REF!," ","[",TIMETABLE!#REF!," ","Students","]"," ",TIMETABLE!#REF!,":"," ",TIMETABLE!#REF!," ",TIMETABLE!#REF!)</f>
        <v>#REF!</v>
      </c>
      <c r="G243" s="315" t="e">
        <f>CONCATENATE(TIMETABLE!#REF!," ","[",TIMETABLE!#REF!," ","Students","]"," ",TIMETABLE!#REF!,":"," ",TIMETABLE!#REF!," ",TIMETABLE!#REF!)</f>
        <v>#REF!</v>
      </c>
      <c r="H243" s="315" t="e">
        <f>CONCATENATE(TIMETABLE!#REF!," ","[",TIMETABLE!#REF!," ","Students","]"," ",TIMETABLE!#REF!,":"," ",TIMETABLE!#REF!," ",TIMETABLE!#REF!)</f>
        <v>#REF!</v>
      </c>
      <c r="I243" s="315" t="e">
        <f>CONCATENATE(TIMETABLE!#REF!," ","[",TIMETABLE!#REF!," ","Students","]"," ",TIMETABLE!#REF!,":"," ",TIMETABLE!#REF!," ",TIMETABLE!#REF!)</f>
        <v>#REF!</v>
      </c>
      <c r="J243" s="315" t="e">
        <f>CONCATENATE(TIMETABLE!#REF!," ","[",TIMETABLE!#REF!," ","Students","]"," ",TIMETABLE!#REF!,":"," ",TIMETABLE!#REF!," ",TIMETABLE!#REF!)</f>
        <v>#REF!</v>
      </c>
      <c r="K243" s="315" t="e">
        <f>CONCATENATE(TIMETABLE!#REF!," ","[",TIMETABLE!#REF!," ","Students","]"," ",TIMETABLE!#REF!,":"," ",TIMETABLE!#REF!," ",TIMETABLE!#REF!)</f>
        <v>#REF!</v>
      </c>
      <c r="L243" s="315" t="e">
        <f>CONCATENATE(TIMETABLE!D$6," ","[",TIMETABLE!D$7," ","Students","]"," ",TIMETABLE!#REF!,":"," ",TIMETABLE!#REF!," ",TIMETABLE!#REF!)</f>
        <v>#REF!</v>
      </c>
      <c r="M243" s="315" t="e">
        <f>CONCATENATE(TIMETABLE!E$6," ","[",TIMETABLE!E$7," ","Students","]"," ",TIMETABLE!#REF!,":"," ",TIMETABLE!#REF!," ",TIMETABLE!#REF!)</f>
        <v>#REF!</v>
      </c>
      <c r="N243" s="315" t="e">
        <f>CONCATENATE(TIMETABLE!#REF!," ","[",TIMETABLE!#REF!," ","Students","]"," ",TIMETABLE!#REF!,":"," ",TIMETABLE!#REF!," ",TIMETABLE!#REF!)</f>
        <v>#REF!</v>
      </c>
      <c r="O243" s="315" t="e">
        <f>CONCATENATE(TIMETABLE!#REF!," ","[",TIMETABLE!#REF!," ","Students","]"," ",TIMETABLE!#REF!,":"," ",TIMETABLE!#REF!," ",TIMETABLE!#REF!)</f>
        <v>#REF!</v>
      </c>
      <c r="P243" s="315" t="e">
        <f>CONCATENATE(TIMETABLE!F$6," ","[",TIMETABLE!F$7," ","Students","]"," ",TIMETABLE!#REF!,":"," ",TIMETABLE!#REF!," ",TIMETABLE!#REF!)</f>
        <v>#REF!</v>
      </c>
      <c r="Q243" s="315" t="e">
        <f>CONCATENATE(TIMETABLE!G$6," ","[",TIMETABLE!G$7," ","Students","]"," ",TIMETABLE!#REF!,":"," ",TIMETABLE!#REF!," ",TIMETABLE!#REF!)</f>
        <v>#REF!</v>
      </c>
      <c r="R243" s="315" t="e">
        <f>CONCATENATE(TIMETABLE!#REF!," ","[",TIMETABLE!#REF!," ","Students","]"," ",TIMETABLE!#REF!,":"," ",TIMETABLE!#REF!," ",TIMETABLE!#REF!)</f>
        <v>#REF!</v>
      </c>
      <c r="S243" s="315" t="e">
        <f>CONCATENATE(TIMETABLE!#REF!," ","[",TIMETABLE!#REF!," ","Students","]"," ",TIMETABLE!#REF!,":"," ",TIMETABLE!#REF!," ",TIMETABLE!#REF!)</f>
        <v>#REF!</v>
      </c>
      <c r="T243" s="315" t="e">
        <f>CONCATENATE(TIMETABLE!J$6," ","[",TIMETABLE!J$7," ","Students","]"," ",TIMETABLE!#REF!,":"," ",TIMETABLE!#REF!," ",TIMETABLE!#REF!)</f>
        <v>#REF!</v>
      </c>
      <c r="U243" s="315" t="e">
        <f>CONCATENATE(TIMETABLE!#REF!," ","[",TIMETABLE!#REF!," ","Students","]"," ",TIMETABLE!#REF!,":"," ",TIMETABLE!#REF!," ",TIMETABLE!#REF!)</f>
        <v>#REF!</v>
      </c>
      <c r="V243" s="315" t="e">
        <f>CONCATENATE(TIMETABLE!#REF!," ","[",TIMETABLE!#REF!," ","Students","]"," ",TIMETABLE!#REF!,":"," ",TIMETABLE!#REF!," ",TIMETABLE!#REF!)</f>
        <v>#REF!</v>
      </c>
      <c r="W243" s="315" t="e">
        <f>CONCATENATE(TIMETABLE!#REF!," ","[",TIMETABLE!#REF!," ","Students","]"," ",TIMETABLE!#REF!,":"," ",TIMETABLE!#REF!," ",TIMETABLE!#REF!)</f>
        <v>#REF!</v>
      </c>
      <c r="X243" s="315" t="e">
        <f>CONCATENATE(TIMETABLE!#REF!," ","[",TIMETABLE!#REF!," ","Students","]"," ",TIMETABLE!#REF!,":"," ",TIMETABLE!#REF!," ",TIMETABLE!#REF!)</f>
        <v>#REF!</v>
      </c>
      <c r="Y243" s="315" t="e">
        <f>CONCATENATE(TIMETABLE!#REF!," ","[",TIMETABLE!#REF!," ","Students","]"," ",TIMETABLE!#REF!,":"," ",TIMETABLE!#REF!," ",TIMETABLE!#REF!)</f>
        <v>#REF!</v>
      </c>
      <c r="Z243" s="315" t="e">
        <f>CONCATENATE(TIMETABLE!#REF!," ","[",TIMETABLE!#REF!," ","Students","]"," ",TIMETABLE!#REF!,":"," ",TIMETABLE!#REF!," ",TIMETABLE!#REF!)</f>
        <v>#REF!</v>
      </c>
      <c r="AA243" s="315" t="e">
        <f>CONCATENATE(TIMETABLE!#REF!," ","[",TIMETABLE!#REF!," ","Students","]"," ",TIMETABLE!#REF!,":"," ",TIMETABLE!#REF!," ",TIMETABLE!#REF!)</f>
        <v>#REF!</v>
      </c>
      <c r="AB243" s="315" t="e">
        <f>CONCATENATE(TIMETABLE!#REF!," ","[",TIMETABLE!#REF!," ","Students","]"," ",TIMETABLE!#REF!,":"," ",TIMETABLE!#REF!," ",TIMETABLE!#REF!)</f>
        <v>#REF!</v>
      </c>
      <c r="AC243" s="315" t="e">
        <f>CONCATENATE(TIMETABLE!W$6," ","[",TIMETABLE!W$7," ","Students","]"," ",TIMETABLE!#REF!,":"," ",TIMETABLE!#REF!," ",TIMETABLE!#REF!)</f>
        <v>#REF!</v>
      </c>
      <c r="AD243" s="315" t="e">
        <f>CONCATENATE(TIMETABLE!#REF!," ","[",TIMETABLE!#REF!," ","Students","]"," ",TIMETABLE!#REF!,":"," ",TIMETABLE!#REF!," ",TIMETABLE!#REF!)</f>
        <v>#REF!</v>
      </c>
      <c r="AE243" s="315" t="e">
        <f>CONCATENATE(TIMETABLE!#REF!," ","[",TIMETABLE!#REF!," ","Students","]"," ",TIMETABLE!#REF!,":"," ",TIMETABLE!#REF!," ",TIMETABLE!#REF!)</f>
        <v>#REF!</v>
      </c>
      <c r="AF243" s="506"/>
    </row>
    <row r="244" spans="3:32" ht="24" thickTop="1" x14ac:dyDescent="0.45">
      <c r="C244" s="494"/>
      <c r="D244" s="243"/>
      <c r="E244" s="243"/>
      <c r="F244" s="243"/>
      <c r="G244" s="243"/>
      <c r="H244" s="243"/>
      <c r="I244" s="243"/>
      <c r="J244" s="243"/>
      <c r="K244" s="243"/>
      <c r="L244" s="243"/>
      <c r="M244" s="243"/>
      <c r="N244" s="243"/>
      <c r="O244" s="243"/>
      <c r="P244" s="243"/>
      <c r="Q244" s="243"/>
      <c r="R244" s="243"/>
      <c r="S244" s="243"/>
      <c r="T244" s="243"/>
      <c r="U244" s="243"/>
      <c r="V244" s="243"/>
      <c r="W244" s="243"/>
      <c r="X244" s="243"/>
      <c r="Y244" s="243"/>
      <c r="Z244" s="243"/>
      <c r="AA244" s="243"/>
      <c r="AB244" s="243"/>
      <c r="AC244" s="243"/>
      <c r="AD244" s="243"/>
      <c r="AE244" s="243"/>
      <c r="AF244" s="505"/>
    </row>
    <row r="245" spans="3:32" ht="23.4" x14ac:dyDescent="0.45">
      <c r="C245" s="495"/>
      <c r="D245" s="244"/>
      <c r="E245" s="244"/>
      <c r="F245" s="244"/>
      <c r="G245" s="244"/>
      <c r="H245" s="244"/>
      <c r="I245" s="244"/>
      <c r="J245" s="244"/>
      <c r="K245" s="244"/>
      <c r="L245" s="244"/>
      <c r="M245" s="244"/>
      <c r="N245" s="244"/>
      <c r="O245" s="244"/>
      <c r="P245" s="244"/>
      <c r="Q245" s="244"/>
      <c r="R245" s="244"/>
      <c r="S245" s="244"/>
      <c r="T245" s="244"/>
      <c r="U245" s="244"/>
      <c r="V245" s="244"/>
      <c r="W245" s="244"/>
      <c r="X245" s="244"/>
      <c r="Y245" s="244"/>
      <c r="Z245" s="244"/>
      <c r="AA245" s="244"/>
      <c r="AB245" s="244"/>
      <c r="AC245" s="244"/>
      <c r="AD245" s="244"/>
      <c r="AE245" s="244"/>
      <c r="AF245" s="495"/>
    </row>
    <row r="246" spans="3:32" ht="24" thickBot="1" x14ac:dyDescent="0.5">
      <c r="C246" s="495"/>
      <c r="D246" s="245"/>
      <c r="E246" s="318" t="e">
        <f>CONCATENATE(TIMETABLE!#REF!," ","[",TIMETABLE!#REF!," ","Students","]"," ",TIMETABLE!#REF!,":"," ",TIMETABLE!#REF!," ",TIMETABLE!#REF!)</f>
        <v>#REF!</v>
      </c>
      <c r="F246" s="318" t="e">
        <f>CONCATENATE(TIMETABLE!#REF!," ","[",TIMETABLE!#REF!," ","Students","]"," ",TIMETABLE!#REF!,":"," ",TIMETABLE!#REF!," ",TIMETABLE!#REF!)</f>
        <v>#REF!</v>
      </c>
      <c r="G246" s="318" t="e">
        <f>CONCATENATE(TIMETABLE!#REF!," ","[",TIMETABLE!#REF!," ","Students","]"," ",TIMETABLE!#REF!,":"," ",TIMETABLE!#REF!," ",TIMETABLE!#REF!)</f>
        <v>#REF!</v>
      </c>
      <c r="H246" s="318" t="e">
        <f>CONCATENATE(TIMETABLE!#REF!," ","[",TIMETABLE!#REF!," ","Students","]"," ",TIMETABLE!#REF!,":"," ",TIMETABLE!#REF!," ",TIMETABLE!#REF!)</f>
        <v>#REF!</v>
      </c>
      <c r="I246" s="318" t="e">
        <f>CONCATENATE(TIMETABLE!#REF!," ","[",TIMETABLE!#REF!," ","Students","]"," ",TIMETABLE!#REF!,":"," ",TIMETABLE!#REF!," ",TIMETABLE!#REF!)</f>
        <v>#REF!</v>
      </c>
      <c r="J246" s="318" t="e">
        <f>CONCATENATE(TIMETABLE!#REF!," ","[",TIMETABLE!#REF!," ","Students","]"," ",TIMETABLE!#REF!,":"," ",TIMETABLE!#REF!," ",TIMETABLE!#REF!)</f>
        <v>#REF!</v>
      </c>
      <c r="K246" s="318" t="e">
        <f>CONCATENATE(TIMETABLE!#REF!," ","[",TIMETABLE!#REF!," ","Students","]"," ",TIMETABLE!#REF!,":"," ",TIMETABLE!#REF!," ",TIMETABLE!#REF!)</f>
        <v>#REF!</v>
      </c>
      <c r="L246" s="318" t="str">
        <f>CONCATENATE(TIMETABLE!D$6," ","[",TIMETABLE!D$7," ","Students","]"," ",TIMETABLE!D122,":"," ",TIMETABLE!D125," ",TIMETABLE!D124)</f>
        <v xml:space="preserve">BSME/SEP2020/J-FT [Y2S1  (50) Students] :  </v>
      </c>
      <c r="M246" s="318" t="str">
        <f>CONCATENATE(TIMETABLE!E$6," ","[",TIMETABLE!E$7," ","Students","]"," ",TIMETABLE!E122,":"," ",TIMETABLE!E125," ",TIMETABLE!E124)</f>
        <v xml:space="preserve">BSME/AUG2021/J-FT [Y1S2  (55) Students] :  </v>
      </c>
      <c r="N246" s="318" t="e">
        <f>CONCATENATE(TIMETABLE!#REF!," ","[",TIMETABLE!#REF!," ","Students","]"," ",TIMETABLE!#REF!,":"," ",TIMETABLE!#REF!," ",TIMETABLE!#REF!)</f>
        <v>#REF!</v>
      </c>
      <c r="O246" s="318" t="e">
        <f>CONCATENATE(TIMETABLE!#REF!," ","[",TIMETABLE!#REF!," ","Students","]"," ",TIMETABLE!#REF!,":"," ",TIMETABLE!#REF!," ",TIMETABLE!#REF!)</f>
        <v>#REF!</v>
      </c>
      <c r="P246" s="318" t="str">
        <f>CONCATENATE(TIMETABLE!F$6," ","[",TIMETABLE!F$7," ","Students","]"," ",TIMETABLE!F122,":"," ",TIMETABLE!F125," ",TIMETABLE!F124)</f>
        <v>BTME/SEP2019/S-PT [Y3S1   (10) Students] TMC 4313: MUTAVA /MWAFONDO LAB..</v>
      </c>
      <c r="Q246" s="318" t="str">
        <f>CONCATENATE(TIMETABLE!G$6," ","[",TIMETABLE!G$7," ","Students","]"," ",TIMETABLE!G122,":"," ",TIMETABLE!G125," ",TIMETABLE!G124)</f>
        <v>BTME/AUG2021/S-PT [Y2S2   (10) Students] TMC 4224: MANGENI/SUDI LAB</v>
      </c>
      <c r="R246" s="318" t="e">
        <f>CONCATENATE(TIMETABLE!#REF!," ","[",TIMETABLE!#REF!," ","Students","]"," ",TIMETABLE!#REF!,":"," ",TIMETABLE!#REF!," ",TIMETABLE!#REF!)</f>
        <v>#REF!</v>
      </c>
      <c r="S246" s="318" t="e">
        <f>CONCATENATE(TIMETABLE!#REF!," ","[",TIMETABLE!#REF!," ","Students","]"," ",TIMETABLE!#REF!,":"," ",TIMETABLE!#REF!," ",TIMETABLE!#REF!)</f>
        <v>#REF!</v>
      </c>
      <c r="T246" s="318" t="str">
        <f>CONCATENATE(TIMETABLE!J$6," ","[",TIMETABLE!J$7," ","Students","]"," ",TIMETABLE!J122,":"," ",TIMETABLE!J125," ",TIMETABLE!J124)</f>
        <v xml:space="preserve">BTME/AUG2021/J&amp;S-FT [Y1S1  (52) Students] :  </v>
      </c>
      <c r="U246" s="318" t="e">
        <f>CONCATENATE(TIMETABLE!#REF!," ","[",TIMETABLE!#REF!," ","Students","]"," ",TIMETABLE!#REF!,":"," ",TIMETABLE!#REF!," ",TIMETABLE!#REF!)</f>
        <v>#REF!</v>
      </c>
      <c r="V246" s="318" t="e">
        <f>CONCATENATE(TIMETABLE!#REF!," ","[",TIMETABLE!#REF!," ","Students","]"," ",TIMETABLE!#REF!,":"," ",TIMETABLE!#REF!," ",TIMETABLE!#REF!)</f>
        <v>#REF!</v>
      </c>
      <c r="W246" s="318" t="e">
        <f>CONCATENATE(TIMETABLE!#REF!," ","[",TIMETABLE!#REF!," ","Students","]"," ",TIMETABLE!#REF!,":"," ",TIMETABLE!#REF!," ",TIMETABLE!#REF!)</f>
        <v>#REF!</v>
      </c>
      <c r="X246" s="318" t="e">
        <f>CONCATENATE(TIMETABLE!#REF!," ","[",TIMETABLE!#REF!," ","Students","]"," ",TIMETABLE!#REF!,":"," ",TIMETABLE!#REF!," ",TIMETABLE!#REF!)</f>
        <v>#REF!</v>
      </c>
      <c r="Y246" s="318" t="e">
        <f>CONCATENATE(TIMETABLE!#REF!," ","[",TIMETABLE!#REF!," ","Students","]"," ",TIMETABLE!#REF!,":"," ",TIMETABLE!#REF!," ",TIMETABLE!#REF!)</f>
        <v>#REF!</v>
      </c>
      <c r="Z246" s="318" t="e">
        <f>CONCATENATE(TIMETABLE!#REF!," ","[",TIMETABLE!#REF!," ","Students","]"," ",TIMETABLE!#REF!,":"," ",TIMETABLE!#REF!," ",TIMETABLE!#REF!)</f>
        <v>#REF!</v>
      </c>
      <c r="AA246" s="318" t="e">
        <f>CONCATENATE(TIMETABLE!#REF!," ","[",TIMETABLE!#REF!," ","Students","]"," ",TIMETABLE!#REF!,":"," ",TIMETABLE!#REF!," ",TIMETABLE!#REF!)</f>
        <v>#REF!</v>
      </c>
      <c r="AB246" s="318" t="e">
        <f>CONCATENATE(TIMETABLE!#REF!," ","[",TIMETABLE!#REF!," ","Students","]"," ",TIMETABLE!#REF!,":"," ",TIMETABLE!#REF!," ",TIMETABLE!#REF!)</f>
        <v>#REF!</v>
      </c>
      <c r="AC246" s="318" t="str">
        <f>CONCATENATE(TIMETABLE!W$6," ","[",TIMETABLE!W$7," ","Students","]"," ",TIMETABLE!W122,":"," ",TIMETABLE!W125," ",TIMETABLE!W124)</f>
        <v xml:space="preserve">DMAE/SEP20201J&amp;S-FT [Y1S2   (60) Students] :  </v>
      </c>
      <c r="AD246" s="318" t="e">
        <f>CONCATENATE(TIMETABLE!#REF!," ","[",TIMETABLE!#REF!," ","Students","]"," ",TIMETABLE!#REF!,":"," ",TIMETABLE!#REF!," ",TIMETABLE!#REF!)</f>
        <v>#REF!</v>
      </c>
      <c r="AE246" s="318" t="e">
        <f>CONCATENATE(TIMETABLE!#REF!," ","[",TIMETABLE!#REF!," ","Students","]"," ",TIMETABLE!#REF!,":"," ",TIMETABLE!#REF!," ",TIMETABLE!#REF!)</f>
        <v>#REF!</v>
      </c>
      <c r="AF246" s="495"/>
    </row>
    <row r="247" spans="3:32" ht="23.4" x14ac:dyDescent="0.45">
      <c r="C247" s="495"/>
      <c r="D247" s="243"/>
      <c r="E247" s="243"/>
      <c r="F247" s="243"/>
      <c r="G247" s="243"/>
      <c r="H247" s="243"/>
      <c r="I247" s="243"/>
      <c r="J247" s="243"/>
      <c r="K247" s="243"/>
      <c r="L247" s="243"/>
      <c r="M247" s="243"/>
      <c r="N247" s="243"/>
      <c r="O247" s="243"/>
      <c r="P247" s="243"/>
      <c r="Q247" s="243"/>
      <c r="R247" s="243"/>
      <c r="S247" s="243"/>
      <c r="T247" s="243"/>
      <c r="U247" s="243"/>
      <c r="V247" s="243"/>
      <c r="W247" s="243"/>
      <c r="X247" s="243"/>
      <c r="Y247" s="243"/>
      <c r="Z247" s="243"/>
      <c r="AA247" s="243"/>
      <c r="AB247" s="243"/>
      <c r="AC247" s="243"/>
      <c r="AD247" s="243"/>
      <c r="AE247" s="243"/>
      <c r="AF247" s="495"/>
    </row>
    <row r="248" spans="3:32" ht="23.4" x14ac:dyDescent="0.45">
      <c r="C248" s="495"/>
      <c r="D248" s="244"/>
      <c r="E248" s="244"/>
      <c r="F248" s="244"/>
      <c r="G248" s="244"/>
      <c r="H248" s="244"/>
      <c r="I248" s="244"/>
      <c r="J248" s="244"/>
      <c r="K248" s="244"/>
      <c r="L248" s="244"/>
      <c r="M248" s="244"/>
      <c r="N248" s="244"/>
      <c r="O248" s="244"/>
      <c r="P248" s="244"/>
      <c r="Q248" s="244"/>
      <c r="R248" s="244"/>
      <c r="S248" s="244"/>
      <c r="T248" s="244"/>
      <c r="U248" s="244"/>
      <c r="V248" s="244"/>
      <c r="W248" s="244"/>
      <c r="X248" s="244"/>
      <c r="Y248" s="244"/>
      <c r="Z248" s="244"/>
      <c r="AA248" s="244"/>
      <c r="AB248" s="244"/>
      <c r="AC248" s="244"/>
      <c r="AD248" s="244"/>
      <c r="AE248" s="244"/>
      <c r="AF248" s="495"/>
    </row>
    <row r="249" spans="3:32" ht="24" thickBot="1" x14ac:dyDescent="0.5">
      <c r="C249" s="495"/>
      <c r="D249" s="245"/>
      <c r="E249" s="318" t="e">
        <f>CONCATENATE(TIMETABLE!#REF!," ","[",TIMETABLE!#REF!," ","Students","]"," ",TIMETABLE!#REF!,":"," ",TIMETABLE!#REF!," ",TIMETABLE!#REF!)</f>
        <v>#REF!</v>
      </c>
      <c r="F249" s="318" t="e">
        <f>CONCATENATE(TIMETABLE!#REF!," ","[",TIMETABLE!#REF!," ","Students","]"," ",TIMETABLE!#REF!,":"," ",TIMETABLE!#REF!," ",TIMETABLE!#REF!)</f>
        <v>#REF!</v>
      </c>
      <c r="G249" s="318" t="e">
        <f>CONCATENATE(TIMETABLE!#REF!," ","[",TIMETABLE!#REF!," ","Students","]"," ",TIMETABLE!#REF!,":"," ",TIMETABLE!#REF!," ",TIMETABLE!#REF!)</f>
        <v>#REF!</v>
      </c>
      <c r="H249" s="318" t="e">
        <f>CONCATENATE(TIMETABLE!#REF!," ","[",TIMETABLE!#REF!," ","Students","]"," ",TIMETABLE!#REF!,":"," ",TIMETABLE!#REF!," ",TIMETABLE!#REF!)</f>
        <v>#REF!</v>
      </c>
      <c r="I249" s="318" t="e">
        <f>CONCATENATE(TIMETABLE!#REF!," ","[",TIMETABLE!#REF!," ","Students","]"," ",TIMETABLE!#REF!,":"," ",TIMETABLE!#REF!," ",TIMETABLE!#REF!)</f>
        <v>#REF!</v>
      </c>
      <c r="J249" s="318" t="e">
        <f>CONCATENATE(TIMETABLE!#REF!," ","[",TIMETABLE!#REF!," ","Students","]"," ",TIMETABLE!#REF!,":"," ",TIMETABLE!#REF!," ",TIMETABLE!#REF!)</f>
        <v>#REF!</v>
      </c>
      <c r="K249" s="318" t="e">
        <f>CONCATENATE(TIMETABLE!#REF!," ","[",TIMETABLE!#REF!," ","Students","]"," ",TIMETABLE!#REF!,":"," ",TIMETABLE!#REF!," ",TIMETABLE!#REF!)</f>
        <v>#REF!</v>
      </c>
      <c r="L249" s="318" t="str">
        <f>CONCATENATE(TIMETABLE!D$6," ","[",TIMETABLE!D$7," ","Students","]"," ",TIMETABLE!D126,":"," ",TIMETABLE!D129," ",TIMETABLE!D128)</f>
        <v xml:space="preserve">BSME/SEP2020/J-FT [Y2S1  (50) Students] :  </v>
      </c>
      <c r="M249" s="318" t="str">
        <f>CONCATENATE(TIMETABLE!E$6," ","[",TIMETABLE!E$7," ","Students","]"," ",TIMETABLE!E126,":"," ",TIMETABLE!E129," ",TIMETABLE!E128)</f>
        <v xml:space="preserve">BSME/AUG2021/J-FT [Y1S2  (55) Students] :  </v>
      </c>
      <c r="N249" s="318" t="e">
        <f>CONCATENATE(TIMETABLE!#REF!," ","[",TIMETABLE!#REF!," ","Students","]"," ",TIMETABLE!#REF!,":"," ",TIMETABLE!#REF!," ",TIMETABLE!#REF!)</f>
        <v>#REF!</v>
      </c>
      <c r="O249" s="318" t="e">
        <f>CONCATENATE(TIMETABLE!#REF!," ","[",TIMETABLE!#REF!," ","Students","]"," ",TIMETABLE!#REF!,":"," ",TIMETABLE!#REF!," ",TIMETABLE!#REF!)</f>
        <v>#REF!</v>
      </c>
      <c r="P249" s="318" t="str">
        <f>CONCATENATE(TIMETABLE!F$6," ","[",TIMETABLE!F$7," ","Students","]"," ",TIMETABLE!F126,":"," ",TIMETABLE!F129," ",TIMETABLE!F128)</f>
        <v xml:space="preserve">BTME/SEP2019/S-PT [Y3S1   (10) Students] :  </v>
      </c>
      <c r="Q249" s="318" t="str">
        <f>CONCATENATE(TIMETABLE!G$6," ","[",TIMETABLE!G$7," ","Students","]"," ",TIMETABLE!G126,":"," ",TIMETABLE!G129," ",TIMETABLE!G128)</f>
        <v>BTME/AUG2021/S-PT [Y2S2   (10) Students] TMC 4225: MUNIALO/KIKONDE LAB</v>
      </c>
      <c r="R249" s="318" t="e">
        <f>CONCATENATE(TIMETABLE!#REF!," ","[",TIMETABLE!#REF!," ","Students","]"," ",TIMETABLE!#REF!,":"," ",TIMETABLE!#REF!," ",TIMETABLE!#REF!)</f>
        <v>#REF!</v>
      </c>
      <c r="S249" s="318" t="e">
        <f>CONCATENATE(TIMETABLE!#REF!," ","[",TIMETABLE!#REF!," ","Students","]"," ",TIMETABLE!#REF!,":"," ",TIMETABLE!#REF!," ",TIMETABLE!#REF!)</f>
        <v>#REF!</v>
      </c>
      <c r="T249" s="318" t="str">
        <f>CONCATENATE(TIMETABLE!J$6," ","[",TIMETABLE!J$7," ","Students","]"," ",TIMETABLE!J126,":"," ",TIMETABLE!J129," ",TIMETABLE!J128)</f>
        <v xml:space="preserve">BTME/AUG2021/J&amp;S-FT [Y1S1  (52) Students] :  </v>
      </c>
      <c r="U249" s="318" t="e">
        <f>CONCATENATE(TIMETABLE!#REF!," ","[",TIMETABLE!#REF!," ","Students","]"," ",TIMETABLE!#REF!,":"," ",TIMETABLE!#REF!," ",TIMETABLE!#REF!)</f>
        <v>#REF!</v>
      </c>
      <c r="V249" s="318" t="e">
        <f>CONCATENATE(TIMETABLE!#REF!," ","[",TIMETABLE!#REF!," ","Students","]"," ",TIMETABLE!#REF!,":"," ",TIMETABLE!#REF!," ",TIMETABLE!#REF!)</f>
        <v>#REF!</v>
      </c>
      <c r="W249" s="318" t="e">
        <f>CONCATENATE(TIMETABLE!#REF!," ","[",TIMETABLE!#REF!," ","Students","]"," ",TIMETABLE!#REF!,":"," ",TIMETABLE!#REF!," ",TIMETABLE!#REF!)</f>
        <v>#REF!</v>
      </c>
      <c r="X249" s="318" t="e">
        <f>CONCATENATE(TIMETABLE!#REF!," ","[",TIMETABLE!#REF!," ","Students","]"," ",TIMETABLE!#REF!,":"," ",TIMETABLE!#REF!," ",TIMETABLE!#REF!)</f>
        <v>#REF!</v>
      </c>
      <c r="Y249" s="318" t="e">
        <f>CONCATENATE(TIMETABLE!#REF!," ","[",TIMETABLE!#REF!," ","Students","]"," ",TIMETABLE!#REF!,":"," ",TIMETABLE!#REF!," ",TIMETABLE!#REF!)</f>
        <v>#REF!</v>
      </c>
      <c r="Z249" s="318" t="e">
        <f>CONCATENATE(TIMETABLE!#REF!," ","[",TIMETABLE!#REF!," ","Students","]"," ",TIMETABLE!#REF!,":"," ",TIMETABLE!#REF!," ",TIMETABLE!#REF!)</f>
        <v>#REF!</v>
      </c>
      <c r="AA249" s="318" t="e">
        <f>CONCATENATE(TIMETABLE!#REF!," ","[",TIMETABLE!#REF!," ","Students","]"," ",TIMETABLE!#REF!,":"," ",TIMETABLE!#REF!," ",TIMETABLE!#REF!)</f>
        <v>#REF!</v>
      </c>
      <c r="AB249" s="318" t="e">
        <f>CONCATENATE(TIMETABLE!#REF!," ","[",TIMETABLE!#REF!," ","Students","]"," ",TIMETABLE!#REF!,":"," ",TIMETABLE!#REF!," ",TIMETABLE!#REF!)</f>
        <v>#REF!</v>
      </c>
      <c r="AC249" s="318" t="str">
        <f>CONCATENATE(TIMETABLE!W$6," ","[",TIMETABLE!W$7," ","Students","]"," ",TIMETABLE!W126,":"," ",TIMETABLE!W129," ",TIMETABLE!W128)</f>
        <v xml:space="preserve">DMAE/SEP20201J&amp;S-FT [Y1S2   (60) Students] :  </v>
      </c>
      <c r="AD249" s="318" t="e">
        <f>CONCATENATE(TIMETABLE!#REF!," ","[",TIMETABLE!#REF!," ","Students","]"," ",TIMETABLE!#REF!,":"," ",TIMETABLE!#REF!," ",TIMETABLE!#REF!)</f>
        <v>#REF!</v>
      </c>
      <c r="AE249" s="318" t="e">
        <f>CONCATENATE(TIMETABLE!#REF!," ","[",TIMETABLE!#REF!," ","Students","]"," ",TIMETABLE!#REF!,":"," ",TIMETABLE!#REF!," ",TIMETABLE!#REF!)</f>
        <v>#REF!</v>
      </c>
      <c r="AF249" s="495"/>
    </row>
    <row r="250" spans="3:32" ht="23.4" x14ac:dyDescent="0.45">
      <c r="C250" s="495"/>
      <c r="D250" s="243"/>
      <c r="E250" s="243"/>
      <c r="F250" s="243"/>
      <c r="G250" s="243"/>
      <c r="H250" s="243"/>
      <c r="I250" s="243"/>
      <c r="J250" s="243"/>
      <c r="K250" s="243"/>
      <c r="L250" s="243"/>
      <c r="M250" s="243"/>
      <c r="N250" s="243"/>
      <c r="O250" s="243"/>
      <c r="P250" s="243"/>
      <c r="Q250" s="243"/>
      <c r="R250" s="243"/>
      <c r="S250" s="243"/>
      <c r="T250" s="243"/>
      <c r="U250" s="243"/>
      <c r="V250" s="243"/>
      <c r="W250" s="243"/>
      <c r="X250" s="243"/>
      <c r="Y250" s="243"/>
      <c r="Z250" s="243"/>
      <c r="AA250" s="243"/>
      <c r="AB250" s="243"/>
      <c r="AC250" s="243"/>
      <c r="AD250" s="243"/>
      <c r="AE250" s="243"/>
      <c r="AF250" s="495"/>
    </row>
    <row r="251" spans="3:32" ht="23.4" x14ac:dyDescent="0.45">
      <c r="C251" s="495"/>
      <c r="D251" s="244"/>
      <c r="E251" s="244"/>
      <c r="F251" s="244"/>
      <c r="G251" s="244"/>
      <c r="H251" s="244"/>
      <c r="I251" s="244"/>
      <c r="J251" s="244"/>
      <c r="K251" s="244"/>
      <c r="L251" s="244"/>
      <c r="M251" s="244"/>
      <c r="N251" s="244"/>
      <c r="O251" s="244"/>
      <c r="P251" s="244"/>
      <c r="Q251" s="244"/>
      <c r="R251" s="244"/>
      <c r="S251" s="244"/>
      <c r="T251" s="244"/>
      <c r="U251" s="244"/>
      <c r="V251" s="244"/>
      <c r="W251" s="244"/>
      <c r="X251" s="244"/>
      <c r="Y251" s="244"/>
      <c r="Z251" s="244"/>
      <c r="AA251" s="244"/>
      <c r="AB251" s="244"/>
      <c r="AC251" s="244"/>
      <c r="AD251" s="244"/>
      <c r="AE251" s="244"/>
      <c r="AF251" s="495"/>
    </row>
    <row r="252" spans="3:32" ht="24" thickBot="1" x14ac:dyDescent="0.5">
      <c r="C252" s="495"/>
      <c r="D252" s="245"/>
      <c r="E252" s="318" t="e">
        <f>CONCATENATE(TIMETABLE!#REF!," ","[",TIMETABLE!#REF!," ","Students","]"," ",TIMETABLE!#REF!,":"," ",TIMETABLE!#REF!," ",TIMETABLE!#REF!)</f>
        <v>#REF!</v>
      </c>
      <c r="F252" s="318" t="e">
        <f>CONCATENATE(TIMETABLE!#REF!," ","[",TIMETABLE!#REF!," ","Students","]"," ",TIMETABLE!#REF!,":"," ",TIMETABLE!#REF!," ",TIMETABLE!#REF!)</f>
        <v>#REF!</v>
      </c>
      <c r="G252" s="318" t="e">
        <f>CONCATENATE(TIMETABLE!#REF!," ","[",TIMETABLE!#REF!," ","Students","]"," ",TIMETABLE!#REF!,":"," ",TIMETABLE!#REF!," ",TIMETABLE!#REF!)</f>
        <v>#REF!</v>
      </c>
      <c r="H252" s="318" t="e">
        <f>CONCATENATE(TIMETABLE!#REF!," ","[",TIMETABLE!#REF!," ","Students","]"," ",TIMETABLE!#REF!,":"," ",TIMETABLE!#REF!," ",TIMETABLE!#REF!)</f>
        <v>#REF!</v>
      </c>
      <c r="I252" s="318" t="e">
        <f>CONCATENATE(TIMETABLE!#REF!," ","[",TIMETABLE!#REF!," ","Students","]"," ",TIMETABLE!#REF!,":"," ",TIMETABLE!#REF!," ",TIMETABLE!#REF!)</f>
        <v>#REF!</v>
      </c>
      <c r="J252" s="318" t="e">
        <f>CONCATENATE(TIMETABLE!#REF!," ","[",TIMETABLE!#REF!," ","Students","]"," ",TIMETABLE!#REF!,":"," ",TIMETABLE!#REF!," ",TIMETABLE!#REF!)</f>
        <v>#REF!</v>
      </c>
      <c r="K252" s="318" t="e">
        <f>CONCATENATE(TIMETABLE!#REF!," ","[",TIMETABLE!#REF!," ","Students","]"," ",TIMETABLE!#REF!,":"," ",TIMETABLE!#REF!," ",TIMETABLE!#REF!)</f>
        <v>#REF!</v>
      </c>
      <c r="L252" s="318" t="str">
        <f>CONCATENATE(TIMETABLE!D$6," ","[",TIMETABLE!D$7," ","Students","]"," ",TIMETABLE!D130,":"," ",TIMETABLE!D133," ",TIMETABLE!D132)</f>
        <v xml:space="preserve">BSME/SEP2020/J-FT [Y2S1  (50) Students] :  </v>
      </c>
      <c r="M252" s="318" t="str">
        <f>CONCATENATE(TIMETABLE!E$6," ","[",TIMETABLE!E$7," ","Students","]"," ",TIMETABLE!E130,":"," ",TIMETABLE!E133," ",TIMETABLE!E132)</f>
        <v xml:space="preserve">BSME/AUG2021/J-FT [Y1S2  (55) Students] :  </v>
      </c>
      <c r="N252" s="318" t="e">
        <f>CONCATENATE(TIMETABLE!#REF!," ","[",TIMETABLE!#REF!," ","Students","]"," ",TIMETABLE!#REF!,":"," ",TIMETABLE!#REF!," ",TIMETABLE!#REF!)</f>
        <v>#REF!</v>
      </c>
      <c r="O252" s="318" t="e">
        <f>CONCATENATE(TIMETABLE!#REF!," ","[",TIMETABLE!#REF!," ","Students","]"," ",TIMETABLE!#REF!,":"," ",TIMETABLE!#REF!," ",TIMETABLE!#REF!)</f>
        <v>#REF!</v>
      </c>
      <c r="P252" s="318" t="str">
        <f>CONCATENATE(TIMETABLE!F$6," ","[",TIMETABLE!F$7," ","Students","]"," ",TIMETABLE!F130,":"," ",TIMETABLE!F133," ",TIMETABLE!F132)</f>
        <v xml:space="preserve">BTME/SEP2019/S-PT [Y3S1   (10) Students] :  </v>
      </c>
      <c r="Q252" s="318" t="str">
        <f>CONCATENATE(TIMETABLE!G$6," ","[",TIMETABLE!G$7," ","Students","]"," ",TIMETABLE!G130,":"," ",TIMETABLE!G133," ",TIMETABLE!G132)</f>
        <v>BTME/AUG2021/S-PT [Y2S2   (10) Students] TMC 4226: AHMED/KITI LAB</v>
      </c>
      <c r="R252" s="318" t="e">
        <f>CONCATENATE(TIMETABLE!#REF!," ","[",TIMETABLE!#REF!," ","Students","]"," ",TIMETABLE!#REF!,":"," ",TIMETABLE!#REF!," ",TIMETABLE!#REF!)</f>
        <v>#REF!</v>
      </c>
      <c r="S252" s="318" t="e">
        <f>CONCATENATE(TIMETABLE!#REF!," ","[",TIMETABLE!#REF!," ","Students","]"," ",TIMETABLE!#REF!,":"," ",TIMETABLE!#REF!," ",TIMETABLE!#REF!)</f>
        <v>#REF!</v>
      </c>
      <c r="T252" s="318" t="str">
        <f>CONCATENATE(TIMETABLE!J$6," ","[",TIMETABLE!J$7," ","Students","]"," ",TIMETABLE!J130,":"," ",TIMETABLE!J133," ",TIMETABLE!J132)</f>
        <v xml:space="preserve">BTME/AUG2021/J&amp;S-FT [Y1S1  (52) Students] :  </v>
      </c>
      <c r="U252" s="318" t="e">
        <f>CONCATENATE(TIMETABLE!#REF!," ","[",TIMETABLE!#REF!," ","Students","]"," ",TIMETABLE!#REF!,":"," ",TIMETABLE!#REF!," ",TIMETABLE!#REF!)</f>
        <v>#REF!</v>
      </c>
      <c r="V252" s="318" t="e">
        <f>CONCATENATE(TIMETABLE!#REF!," ","[",TIMETABLE!#REF!," ","Students","]"," ",TIMETABLE!#REF!,":"," ",TIMETABLE!#REF!," ",TIMETABLE!#REF!)</f>
        <v>#REF!</v>
      </c>
      <c r="W252" s="318" t="e">
        <f>CONCATENATE(TIMETABLE!#REF!," ","[",TIMETABLE!#REF!," ","Students","]"," ",TIMETABLE!#REF!,":"," ",TIMETABLE!#REF!," ",TIMETABLE!#REF!)</f>
        <v>#REF!</v>
      </c>
      <c r="X252" s="318" t="e">
        <f>CONCATENATE(TIMETABLE!#REF!," ","[",TIMETABLE!#REF!," ","Students","]"," ",TIMETABLE!#REF!,":"," ",TIMETABLE!#REF!," ",TIMETABLE!#REF!)</f>
        <v>#REF!</v>
      </c>
      <c r="Y252" s="318" t="e">
        <f>CONCATENATE(TIMETABLE!#REF!," ","[",TIMETABLE!#REF!," ","Students","]"," ",TIMETABLE!#REF!,":"," ",TIMETABLE!#REF!," ",TIMETABLE!#REF!)</f>
        <v>#REF!</v>
      </c>
      <c r="Z252" s="318" t="e">
        <f>CONCATENATE(TIMETABLE!#REF!," ","[",TIMETABLE!#REF!," ","Students","]"," ",TIMETABLE!#REF!,":"," ",TIMETABLE!#REF!," ",TIMETABLE!#REF!)</f>
        <v>#REF!</v>
      </c>
      <c r="AA252" s="318" t="e">
        <f>CONCATENATE(TIMETABLE!#REF!," ","[",TIMETABLE!#REF!," ","Students","]"," ",TIMETABLE!#REF!,":"," ",TIMETABLE!#REF!," ",TIMETABLE!#REF!)</f>
        <v>#REF!</v>
      </c>
      <c r="AB252" s="318" t="e">
        <f>CONCATENATE(TIMETABLE!#REF!," ","[",TIMETABLE!#REF!," ","Students","]"," ",TIMETABLE!#REF!,":"," ",TIMETABLE!#REF!," ",TIMETABLE!#REF!)</f>
        <v>#REF!</v>
      </c>
      <c r="AC252" s="318" t="str">
        <f>CONCATENATE(TIMETABLE!W$6," ","[",TIMETABLE!W$7," ","Students","]"," ",TIMETABLE!W130,":"," ",TIMETABLE!W133," ",TIMETABLE!W132)</f>
        <v xml:space="preserve">DMAE/SEP20201J&amp;S-FT [Y1S2   (60) Students] :  </v>
      </c>
      <c r="AD252" s="318" t="e">
        <f>CONCATENATE(TIMETABLE!#REF!," ","[",TIMETABLE!#REF!," ","Students","]"," ",TIMETABLE!#REF!,":"," ",TIMETABLE!#REF!," ",TIMETABLE!#REF!)</f>
        <v>#REF!</v>
      </c>
      <c r="AE252" s="318" t="e">
        <f>CONCATENATE(TIMETABLE!#REF!," ","[",TIMETABLE!#REF!," ","Students","]"," ",TIMETABLE!#REF!,":"," ",TIMETABLE!#REF!," ",TIMETABLE!#REF!)</f>
        <v>#REF!</v>
      </c>
      <c r="AF252" s="495"/>
    </row>
    <row r="253" spans="3:32" ht="23.4" x14ac:dyDescent="0.45">
      <c r="C253" s="495"/>
      <c r="D253" s="243"/>
      <c r="E253" s="243"/>
      <c r="F253" s="243"/>
      <c r="G253" s="243"/>
      <c r="H253" s="243"/>
      <c r="I253" s="243"/>
      <c r="J253" s="243"/>
      <c r="K253" s="243"/>
      <c r="L253" s="243"/>
      <c r="M253" s="243"/>
      <c r="N253" s="243"/>
      <c r="O253" s="243"/>
      <c r="P253" s="243"/>
      <c r="Q253" s="243"/>
      <c r="R253" s="243"/>
      <c r="S253" s="243"/>
      <c r="T253" s="243"/>
      <c r="U253" s="243"/>
      <c r="V253" s="243"/>
      <c r="W253" s="243"/>
      <c r="X253" s="243"/>
      <c r="Y253" s="243"/>
      <c r="Z253" s="243"/>
      <c r="AA253" s="243"/>
      <c r="AB253" s="243"/>
      <c r="AC253" s="243"/>
      <c r="AD253" s="243"/>
      <c r="AE253" s="243"/>
      <c r="AF253" s="495"/>
    </row>
    <row r="254" spans="3:32" ht="23.4" x14ac:dyDescent="0.45">
      <c r="C254" s="495"/>
      <c r="D254" s="244"/>
      <c r="E254" s="244"/>
      <c r="F254" s="244"/>
      <c r="G254" s="244"/>
      <c r="H254" s="244"/>
      <c r="I254" s="244"/>
      <c r="J254" s="244"/>
      <c r="K254" s="244"/>
      <c r="L254" s="244"/>
      <c r="M254" s="244"/>
      <c r="N254" s="244"/>
      <c r="O254" s="244"/>
      <c r="P254" s="244"/>
      <c r="Q254" s="244"/>
      <c r="R254" s="244"/>
      <c r="S254" s="244"/>
      <c r="T254" s="244"/>
      <c r="U254" s="244"/>
      <c r="V254" s="244"/>
      <c r="W254" s="244"/>
      <c r="X254" s="244"/>
      <c r="Y254" s="244"/>
      <c r="Z254" s="244"/>
      <c r="AA254" s="244"/>
      <c r="AB254" s="244"/>
      <c r="AC254" s="244"/>
      <c r="AD254" s="244"/>
      <c r="AE254" s="244"/>
      <c r="AF254" s="495"/>
    </row>
    <row r="255" spans="3:32" ht="24" thickBot="1" x14ac:dyDescent="0.5">
      <c r="C255" s="495"/>
      <c r="D255" s="245"/>
      <c r="E255" s="318" t="e">
        <f>CONCATENATE(TIMETABLE!#REF!," ","[",TIMETABLE!#REF!," ","Students","]"," ",TIMETABLE!#REF!,":"," ",TIMETABLE!#REF!," ",TIMETABLE!#REF!)</f>
        <v>#REF!</v>
      </c>
      <c r="F255" s="318" t="e">
        <f>CONCATENATE(TIMETABLE!#REF!," ","[",TIMETABLE!#REF!," ","Students","]"," ",TIMETABLE!#REF!,":"," ",TIMETABLE!#REF!," ",TIMETABLE!#REF!)</f>
        <v>#REF!</v>
      </c>
      <c r="G255" s="318" t="e">
        <f>CONCATENATE(TIMETABLE!#REF!," ","[",TIMETABLE!#REF!," ","Students","]"," ",TIMETABLE!#REF!,":"," ",TIMETABLE!#REF!," ",TIMETABLE!#REF!)</f>
        <v>#REF!</v>
      </c>
      <c r="H255" s="318" t="e">
        <f>CONCATENATE(TIMETABLE!#REF!," ","[",TIMETABLE!#REF!," ","Students","]"," ",TIMETABLE!#REF!,":"," ",TIMETABLE!#REF!," ",TIMETABLE!#REF!)</f>
        <v>#REF!</v>
      </c>
      <c r="I255" s="318" t="e">
        <f>CONCATENATE(TIMETABLE!#REF!," ","[",TIMETABLE!#REF!," ","Students","]"," ",TIMETABLE!#REF!,":"," ",TIMETABLE!#REF!," ",TIMETABLE!#REF!)</f>
        <v>#REF!</v>
      </c>
      <c r="J255" s="318" t="e">
        <f>CONCATENATE(TIMETABLE!#REF!," ","[",TIMETABLE!#REF!," ","Students","]"," ",TIMETABLE!#REF!,":"," ",TIMETABLE!#REF!," ",TIMETABLE!#REF!)</f>
        <v>#REF!</v>
      </c>
      <c r="K255" s="318" t="e">
        <f>CONCATENATE(TIMETABLE!#REF!," ","[",TIMETABLE!#REF!," ","Students","]"," ",TIMETABLE!#REF!,":"," ",TIMETABLE!#REF!," ",TIMETABLE!#REF!)</f>
        <v>#REF!</v>
      </c>
      <c r="L255" s="318" t="str">
        <f>CONCATENATE(TIMETABLE!D$6," ","[",TIMETABLE!D$7," ","Students","]"," ",TIMETABLE!D134,":"," ",TIMETABLE!D136," ",TIMETABLE!D135)</f>
        <v xml:space="preserve">BSME/SEP2020/J-FT [Y2S1  (50) Students] :  </v>
      </c>
      <c r="M255" s="318" t="str">
        <f>CONCATENATE(TIMETABLE!E$6," ","[",TIMETABLE!E$7," ","Students","]"," ",TIMETABLE!E134,":"," ",TIMETABLE!E136," ",TIMETABLE!E135)</f>
        <v xml:space="preserve">BSME/AUG2021/J-FT [Y1S2  (55) Students] :  </v>
      </c>
      <c r="N255" s="318" t="e">
        <f>CONCATENATE(TIMETABLE!#REF!," ","[",TIMETABLE!#REF!," ","Students","]"," ",TIMETABLE!#REF!,":"," ",TIMETABLE!#REF!," ",TIMETABLE!#REF!)</f>
        <v>#REF!</v>
      </c>
      <c r="O255" s="318" t="e">
        <f>CONCATENATE(TIMETABLE!#REF!," ","[",TIMETABLE!#REF!," ","Students","]"," ",TIMETABLE!#REF!,":"," ",TIMETABLE!#REF!," ",TIMETABLE!#REF!)</f>
        <v>#REF!</v>
      </c>
      <c r="P255" s="318" t="str">
        <f>CONCATENATE(TIMETABLE!F$6," ","[",TIMETABLE!F$7," ","Students","]"," ",TIMETABLE!F134,":"," ",TIMETABLE!F136," ",TIMETABLE!F135)</f>
        <v xml:space="preserve">BTME/SEP2019/S-PT [Y3S1   (10) Students] :  </v>
      </c>
      <c r="Q255" s="318" t="str">
        <f>CONCATENATE(TIMETABLE!G$6," ","[",TIMETABLE!G$7," ","Students","]"," ",TIMETABLE!G134,":"," ",TIMETABLE!G136," ",TIMETABLE!G135)</f>
        <v xml:space="preserve">BTME/AUG2021/S-PT [Y2S2   (10) Students] :  </v>
      </c>
      <c r="R255" s="318" t="e">
        <f>CONCATENATE(TIMETABLE!#REF!," ","[",TIMETABLE!#REF!," ","Students","]"," ",TIMETABLE!#REF!,":"," ",TIMETABLE!#REF!," ",TIMETABLE!#REF!)</f>
        <v>#REF!</v>
      </c>
      <c r="S255" s="318" t="e">
        <f>CONCATENATE(TIMETABLE!#REF!," ","[",TIMETABLE!#REF!," ","Students","]"," ",TIMETABLE!#REF!,":"," ",TIMETABLE!#REF!," ",TIMETABLE!#REF!)</f>
        <v>#REF!</v>
      </c>
      <c r="T255" s="318" t="str">
        <f>CONCATENATE(TIMETABLE!J$6," ","[",TIMETABLE!J$7," ","Students","]"," ",TIMETABLE!J134,":"," ",TIMETABLE!J136," ",TIMETABLE!J135)</f>
        <v xml:space="preserve">BTME/AUG2021/J&amp;S-FT [Y1S1  (52) Students] :  </v>
      </c>
      <c r="U255" s="318" t="e">
        <f>CONCATENATE(TIMETABLE!#REF!," ","[",TIMETABLE!#REF!," ","Students","]"," ",TIMETABLE!#REF!,":"," ",TIMETABLE!#REF!," ",TIMETABLE!#REF!)</f>
        <v>#REF!</v>
      </c>
      <c r="V255" s="318" t="e">
        <f>CONCATENATE(TIMETABLE!#REF!," ","[",TIMETABLE!#REF!," ","Students","]"," ",TIMETABLE!#REF!,":"," ",TIMETABLE!#REF!," ",TIMETABLE!#REF!)</f>
        <v>#REF!</v>
      </c>
      <c r="W255" s="318" t="e">
        <f>CONCATENATE(TIMETABLE!#REF!," ","[",TIMETABLE!#REF!," ","Students","]"," ",TIMETABLE!#REF!,":"," ",TIMETABLE!#REF!," ",TIMETABLE!#REF!)</f>
        <v>#REF!</v>
      </c>
      <c r="X255" s="318" t="e">
        <f>CONCATENATE(TIMETABLE!#REF!," ","[",TIMETABLE!#REF!," ","Students","]"," ",TIMETABLE!#REF!,":"," ",TIMETABLE!#REF!," ",TIMETABLE!#REF!)</f>
        <v>#REF!</v>
      </c>
      <c r="Y255" s="318" t="e">
        <f>CONCATENATE(TIMETABLE!#REF!," ","[",TIMETABLE!#REF!," ","Students","]"," ",TIMETABLE!#REF!,":"," ",TIMETABLE!#REF!," ",TIMETABLE!#REF!)</f>
        <v>#REF!</v>
      </c>
      <c r="Z255" s="318" t="e">
        <f>CONCATENATE(TIMETABLE!#REF!," ","[",TIMETABLE!#REF!," ","Students","]"," ",TIMETABLE!#REF!,":"," ",TIMETABLE!#REF!," ",TIMETABLE!#REF!)</f>
        <v>#REF!</v>
      </c>
      <c r="AA255" s="318" t="e">
        <f>CONCATENATE(TIMETABLE!#REF!," ","[",TIMETABLE!#REF!," ","Students","]"," ",TIMETABLE!#REF!,":"," ",TIMETABLE!#REF!," ",TIMETABLE!#REF!)</f>
        <v>#REF!</v>
      </c>
      <c r="AB255" s="318" t="e">
        <f>CONCATENATE(TIMETABLE!#REF!," ","[",TIMETABLE!#REF!," ","Students","]"," ",TIMETABLE!#REF!,":"," ",TIMETABLE!#REF!," ",TIMETABLE!#REF!)</f>
        <v>#REF!</v>
      </c>
      <c r="AC255" s="318" t="str">
        <f>CONCATENATE(TIMETABLE!W$6," ","[",TIMETABLE!W$7," ","Students","]"," ",TIMETABLE!W134,":"," ",TIMETABLE!W136," ",TIMETABLE!W135)</f>
        <v xml:space="preserve">DMAE/SEP20201J&amp;S-FT [Y1S2   (60) Students] :  </v>
      </c>
      <c r="AD255" s="318" t="e">
        <f>CONCATENATE(TIMETABLE!#REF!," ","[",TIMETABLE!#REF!," ","Students","]"," ",TIMETABLE!#REF!,":"," ",TIMETABLE!#REF!," ",TIMETABLE!#REF!)</f>
        <v>#REF!</v>
      </c>
      <c r="AE255" s="318" t="e">
        <f>CONCATENATE(TIMETABLE!#REF!," ","[",TIMETABLE!#REF!," ","Students","]"," ",TIMETABLE!#REF!,":"," ",TIMETABLE!#REF!," ",TIMETABLE!#REF!)</f>
        <v>#REF!</v>
      </c>
      <c r="AF255" s="495"/>
    </row>
    <row r="256" spans="3:32" ht="23.4" x14ac:dyDescent="0.45">
      <c r="C256" s="495"/>
      <c r="D256" s="243"/>
      <c r="E256" s="243"/>
      <c r="F256" s="243"/>
      <c r="G256" s="243"/>
      <c r="H256" s="243"/>
      <c r="I256" s="243"/>
      <c r="J256" s="243"/>
      <c r="K256" s="243"/>
      <c r="L256" s="243"/>
      <c r="M256" s="243"/>
      <c r="N256" s="243"/>
      <c r="O256" s="243"/>
      <c r="P256" s="243"/>
      <c r="Q256" s="243"/>
      <c r="R256" s="243"/>
      <c r="S256" s="243"/>
      <c r="T256" s="243"/>
      <c r="U256" s="243"/>
      <c r="V256" s="243"/>
      <c r="W256" s="243"/>
      <c r="X256" s="243"/>
      <c r="Y256" s="243"/>
      <c r="Z256" s="243"/>
      <c r="AA256" s="243"/>
      <c r="AB256" s="243"/>
      <c r="AC256" s="243"/>
      <c r="AD256" s="243"/>
      <c r="AE256" s="243"/>
      <c r="AF256" s="495"/>
    </row>
    <row r="257" spans="3:32" ht="23.4" x14ac:dyDescent="0.45">
      <c r="C257" s="495"/>
      <c r="D257" s="244"/>
      <c r="E257" s="244"/>
      <c r="F257" s="244"/>
      <c r="G257" s="244"/>
      <c r="H257" s="244"/>
      <c r="I257" s="244"/>
      <c r="J257" s="244"/>
      <c r="K257" s="244"/>
      <c r="L257" s="244"/>
      <c r="M257" s="244"/>
      <c r="N257" s="244"/>
      <c r="O257" s="244"/>
      <c r="P257" s="244"/>
      <c r="Q257" s="244"/>
      <c r="R257" s="244"/>
      <c r="S257" s="244"/>
      <c r="T257" s="244"/>
      <c r="U257" s="244"/>
      <c r="V257" s="244"/>
      <c r="W257" s="244"/>
      <c r="X257" s="244"/>
      <c r="Y257" s="244"/>
      <c r="Z257" s="244"/>
      <c r="AA257" s="244"/>
      <c r="AB257" s="244"/>
      <c r="AC257" s="244"/>
      <c r="AD257" s="244"/>
      <c r="AE257" s="244"/>
      <c r="AF257" s="495"/>
    </row>
    <row r="258" spans="3:32" ht="24" thickBot="1" x14ac:dyDescent="0.5">
      <c r="C258" s="495"/>
      <c r="D258" s="245"/>
      <c r="E258" s="318" t="e">
        <f>CONCATENATE(TIMETABLE!#REF!," ","[",TIMETABLE!#REF!," ","Students","]"," ",TIMETABLE!#REF!,":"," ",TIMETABLE!#REF!," ",TIMETABLE!#REF!)</f>
        <v>#REF!</v>
      </c>
      <c r="F258" s="318" t="e">
        <f>CONCATENATE(TIMETABLE!#REF!," ","[",TIMETABLE!#REF!," ","Students","]"," ",TIMETABLE!#REF!,":"," ",TIMETABLE!#REF!," ",TIMETABLE!#REF!)</f>
        <v>#REF!</v>
      </c>
      <c r="G258" s="318" t="e">
        <f>CONCATENATE(TIMETABLE!#REF!," ","[",TIMETABLE!#REF!," ","Students","]"," ",TIMETABLE!#REF!,":"," ",TIMETABLE!#REF!," ",TIMETABLE!#REF!)</f>
        <v>#REF!</v>
      </c>
      <c r="H258" s="318" t="e">
        <f>CONCATENATE(TIMETABLE!#REF!," ","[",TIMETABLE!#REF!," ","Students","]"," ",TIMETABLE!#REF!,":"," ",TIMETABLE!#REF!," ",TIMETABLE!#REF!)</f>
        <v>#REF!</v>
      </c>
      <c r="I258" s="318" t="e">
        <f>CONCATENATE(TIMETABLE!#REF!," ","[",TIMETABLE!#REF!," ","Students","]"," ",TIMETABLE!#REF!,":"," ",TIMETABLE!#REF!," ",TIMETABLE!#REF!)</f>
        <v>#REF!</v>
      </c>
      <c r="J258" s="318" t="e">
        <f>CONCATENATE(TIMETABLE!#REF!," ","[",TIMETABLE!#REF!," ","Students","]"," ",TIMETABLE!#REF!,":"," ",TIMETABLE!#REF!," ",TIMETABLE!#REF!)</f>
        <v>#REF!</v>
      </c>
      <c r="K258" s="318" t="e">
        <f>CONCATENATE(TIMETABLE!#REF!," ","[",TIMETABLE!#REF!," ","Students","]"," ",TIMETABLE!#REF!,":"," ",TIMETABLE!#REF!," ",TIMETABLE!#REF!)</f>
        <v>#REF!</v>
      </c>
      <c r="L258" s="318" t="str">
        <f>CONCATENATE(TIMETABLE!D$6," ","[",TIMETABLE!D$7," ","Students","]"," ",TIMETABLE!D137,":"," ",TIMETABLE!D139," ",TIMETABLE!D138)</f>
        <v xml:space="preserve">BSME/SEP2020/J-FT [Y2S1  (50) Students] :  </v>
      </c>
      <c r="M258" s="318" t="str">
        <f>CONCATENATE(TIMETABLE!E$6," ","[",TIMETABLE!E$7," ","Students","]"," ",TIMETABLE!E137,":"," ",TIMETABLE!E139," ",TIMETABLE!E138)</f>
        <v xml:space="preserve">BSME/AUG2021/J-FT [Y1S2  (55) Students] :  </v>
      </c>
      <c r="N258" s="318" t="e">
        <f>CONCATENATE(TIMETABLE!#REF!," ","[",TIMETABLE!#REF!," ","Students","]"," ",TIMETABLE!#REF!,":"," ",TIMETABLE!#REF!," ",TIMETABLE!#REF!)</f>
        <v>#REF!</v>
      </c>
      <c r="O258" s="318" t="e">
        <f>CONCATENATE(TIMETABLE!#REF!," ","[",TIMETABLE!#REF!," ","Students","]"," ",TIMETABLE!#REF!,":"," ",TIMETABLE!#REF!," ",TIMETABLE!#REF!)</f>
        <v>#REF!</v>
      </c>
      <c r="P258" s="318" t="str">
        <f>CONCATENATE(TIMETABLE!F$6," ","[",TIMETABLE!F$7," ","Students","]"," ",TIMETABLE!F137,":"," ",TIMETABLE!F139," ",TIMETABLE!F138)</f>
        <v xml:space="preserve">BTME/SEP2019/S-PT [Y3S1   (10) Students] :  </v>
      </c>
      <c r="Q258" s="318" t="str">
        <f>CONCATENATE(TIMETABLE!G$6," ","[",TIMETABLE!G$7," ","Students","]"," ",TIMETABLE!G137,":"," ",TIMETABLE!G139," ",TIMETABLE!G138)</f>
        <v xml:space="preserve">BTME/AUG2021/S-PT [Y2S2   (10) Students] :  </v>
      </c>
      <c r="R258" s="318" t="e">
        <f>CONCATENATE(TIMETABLE!#REF!," ","[",TIMETABLE!#REF!," ","Students","]"," ",TIMETABLE!#REF!,":"," ",TIMETABLE!#REF!," ",TIMETABLE!#REF!)</f>
        <v>#REF!</v>
      </c>
      <c r="S258" s="318" t="e">
        <f>CONCATENATE(TIMETABLE!#REF!," ","[",TIMETABLE!#REF!," ","Students","]"," ",TIMETABLE!#REF!,":"," ",TIMETABLE!#REF!," ",TIMETABLE!#REF!)</f>
        <v>#REF!</v>
      </c>
      <c r="T258" s="318" t="str">
        <f>CONCATENATE(TIMETABLE!J$6," ","[",TIMETABLE!J$7," ","Students","]"," ",TIMETABLE!J137,":"," ",TIMETABLE!J139," ",TIMETABLE!J138)</f>
        <v xml:space="preserve">BTME/AUG2021/J&amp;S-FT [Y1S1  (52) Students] :  </v>
      </c>
      <c r="U258" s="318" t="e">
        <f>CONCATENATE(TIMETABLE!#REF!," ","[",TIMETABLE!#REF!," ","Students","]"," ",TIMETABLE!#REF!,":"," ",TIMETABLE!#REF!," ",TIMETABLE!#REF!)</f>
        <v>#REF!</v>
      </c>
      <c r="V258" s="318" t="e">
        <f>CONCATENATE(TIMETABLE!#REF!," ","[",TIMETABLE!#REF!," ","Students","]"," ",TIMETABLE!#REF!,":"," ",TIMETABLE!#REF!," ",TIMETABLE!#REF!)</f>
        <v>#REF!</v>
      </c>
      <c r="W258" s="318" t="e">
        <f>CONCATENATE(TIMETABLE!#REF!," ","[",TIMETABLE!#REF!," ","Students","]"," ",TIMETABLE!#REF!,":"," ",TIMETABLE!#REF!," ",TIMETABLE!#REF!)</f>
        <v>#REF!</v>
      </c>
      <c r="X258" s="318" t="e">
        <f>CONCATENATE(TIMETABLE!#REF!," ","[",TIMETABLE!#REF!," ","Students","]"," ",TIMETABLE!#REF!,":"," ",TIMETABLE!#REF!," ",TIMETABLE!#REF!)</f>
        <v>#REF!</v>
      </c>
      <c r="Y258" s="318" t="e">
        <f>CONCATENATE(TIMETABLE!#REF!," ","[",TIMETABLE!#REF!," ","Students","]"," ",TIMETABLE!#REF!,":"," ",TIMETABLE!#REF!," ",TIMETABLE!#REF!)</f>
        <v>#REF!</v>
      </c>
      <c r="Z258" s="318" t="e">
        <f>CONCATENATE(TIMETABLE!#REF!," ","[",TIMETABLE!#REF!," ","Students","]"," ",TIMETABLE!#REF!,":"," ",TIMETABLE!#REF!," ",TIMETABLE!#REF!)</f>
        <v>#REF!</v>
      </c>
      <c r="AA258" s="318" t="e">
        <f>CONCATENATE(TIMETABLE!#REF!," ","[",TIMETABLE!#REF!," ","Students","]"," ",TIMETABLE!#REF!,":"," ",TIMETABLE!#REF!," ",TIMETABLE!#REF!)</f>
        <v>#REF!</v>
      </c>
      <c r="AB258" s="318" t="e">
        <f>CONCATENATE(TIMETABLE!#REF!," ","[",TIMETABLE!#REF!," ","Students","]"," ",TIMETABLE!#REF!,":"," ",TIMETABLE!#REF!," ",TIMETABLE!#REF!)</f>
        <v>#REF!</v>
      </c>
      <c r="AC258" s="318" t="str">
        <f>CONCATENATE(TIMETABLE!W$6," ","[",TIMETABLE!W$7," ","Students","]"," ",TIMETABLE!W137,":"," ",TIMETABLE!W139," ",TIMETABLE!W138)</f>
        <v xml:space="preserve">DMAE/SEP20201J&amp;S-FT [Y1S2   (60) Students] :  </v>
      </c>
      <c r="AD258" s="318" t="e">
        <f>CONCATENATE(TIMETABLE!#REF!," ","[",TIMETABLE!#REF!," ","Students","]"," ",TIMETABLE!#REF!,":"," ",TIMETABLE!#REF!," ",TIMETABLE!#REF!)</f>
        <v>#REF!</v>
      </c>
      <c r="AE258" s="318" t="e">
        <f>CONCATENATE(TIMETABLE!#REF!," ","[",TIMETABLE!#REF!," ","Students","]"," ",TIMETABLE!#REF!,":"," ",TIMETABLE!#REF!," ",TIMETABLE!#REF!)</f>
        <v>#REF!</v>
      </c>
      <c r="AF258" s="495"/>
    </row>
    <row r="259" spans="3:32" ht="23.4" x14ac:dyDescent="0.45">
      <c r="C259" s="495"/>
      <c r="D259" s="243"/>
      <c r="E259" s="243"/>
      <c r="F259" s="243"/>
      <c r="G259" s="243"/>
      <c r="H259" s="243"/>
      <c r="I259" s="243"/>
      <c r="J259" s="243"/>
      <c r="K259" s="243"/>
      <c r="L259" s="243"/>
      <c r="M259" s="243"/>
      <c r="N259" s="243"/>
      <c r="O259" s="243"/>
      <c r="P259" s="243"/>
      <c r="Q259" s="243"/>
      <c r="R259" s="243"/>
      <c r="S259" s="243"/>
      <c r="T259" s="243"/>
      <c r="U259" s="243"/>
      <c r="V259" s="243"/>
      <c r="W259" s="243"/>
      <c r="X259" s="243"/>
      <c r="Y259" s="243"/>
      <c r="Z259" s="243"/>
      <c r="AA259" s="243"/>
      <c r="AB259" s="243"/>
      <c r="AC259" s="243"/>
      <c r="AD259" s="243"/>
      <c r="AE259" s="243"/>
      <c r="AF259" s="495"/>
    </row>
    <row r="260" spans="3:32" ht="23.4" x14ac:dyDescent="0.45">
      <c r="C260" s="495"/>
      <c r="D260" s="244"/>
      <c r="E260" s="244"/>
      <c r="F260" s="244"/>
      <c r="G260" s="244"/>
      <c r="H260" s="244"/>
      <c r="I260" s="244"/>
      <c r="J260" s="244"/>
      <c r="K260" s="244"/>
      <c r="L260" s="244"/>
      <c r="M260" s="244"/>
      <c r="N260" s="244"/>
      <c r="O260" s="244"/>
      <c r="P260" s="244"/>
      <c r="Q260" s="244"/>
      <c r="R260" s="244"/>
      <c r="S260" s="244"/>
      <c r="T260" s="244"/>
      <c r="U260" s="244"/>
      <c r="V260" s="244"/>
      <c r="W260" s="244"/>
      <c r="X260" s="244"/>
      <c r="Y260" s="244"/>
      <c r="Z260" s="244"/>
      <c r="AA260" s="244"/>
      <c r="AB260" s="244"/>
      <c r="AC260" s="244"/>
      <c r="AD260" s="244"/>
      <c r="AE260" s="244"/>
      <c r="AF260" s="495"/>
    </row>
    <row r="261" spans="3:32" ht="24" thickBot="1" x14ac:dyDescent="0.5">
      <c r="C261" s="495"/>
      <c r="D261" s="245"/>
      <c r="E261" s="318" t="e">
        <f>CONCATENATE(TIMETABLE!#REF!," ","[",TIMETABLE!#REF!," ","Students","]"," ",TIMETABLE!#REF!,":"," ",TIMETABLE!#REF!," ",TIMETABLE!#REF!)</f>
        <v>#REF!</v>
      </c>
      <c r="F261" s="318" t="e">
        <f>CONCATENATE(TIMETABLE!#REF!," ","[",TIMETABLE!#REF!," ","Students","]"," ",TIMETABLE!#REF!,":"," ",TIMETABLE!#REF!," ",TIMETABLE!#REF!)</f>
        <v>#REF!</v>
      </c>
      <c r="G261" s="318" t="e">
        <f>CONCATENATE(TIMETABLE!#REF!," ","[",TIMETABLE!#REF!," ","Students","]"," ",TIMETABLE!#REF!,":"," ",TIMETABLE!#REF!," ",TIMETABLE!#REF!)</f>
        <v>#REF!</v>
      </c>
      <c r="H261" s="318" t="e">
        <f>CONCATENATE(TIMETABLE!#REF!," ","[",TIMETABLE!#REF!," ","Students","]"," ",TIMETABLE!#REF!,":"," ",TIMETABLE!#REF!," ",TIMETABLE!#REF!)</f>
        <v>#REF!</v>
      </c>
      <c r="I261" s="318" t="e">
        <f>CONCATENATE(TIMETABLE!#REF!," ","[",TIMETABLE!#REF!," ","Students","]"," ",TIMETABLE!#REF!,":"," ",TIMETABLE!#REF!," ",TIMETABLE!#REF!)</f>
        <v>#REF!</v>
      </c>
      <c r="J261" s="318" t="e">
        <f>CONCATENATE(TIMETABLE!#REF!," ","[",TIMETABLE!#REF!," ","Students","]"," ",TIMETABLE!#REF!,":"," ",TIMETABLE!#REF!," ",TIMETABLE!#REF!)</f>
        <v>#REF!</v>
      </c>
      <c r="K261" s="318" t="e">
        <f>CONCATENATE(TIMETABLE!#REF!," ","[",TIMETABLE!#REF!," ","Students","]"," ",TIMETABLE!#REF!,":"," ",TIMETABLE!#REF!," ",TIMETABLE!#REF!)</f>
        <v>#REF!</v>
      </c>
      <c r="L261" s="318" t="str">
        <f>CONCATENATE(TIMETABLE!D$6," ","[",TIMETABLE!D$7," ","Students","]"," ",TIMETABLE!D140,":"," ",TIMETABLE!D142," ",TIMETABLE!D141)</f>
        <v xml:space="preserve">BSME/SEP2020/J-FT [Y2S1  (50) Students] :  </v>
      </c>
      <c r="M261" s="318" t="str">
        <f>CONCATENATE(TIMETABLE!E$6," ","[",TIMETABLE!E$7," ","Students","]"," ",TIMETABLE!E140,":"," ",TIMETABLE!E142," ",TIMETABLE!E141)</f>
        <v xml:space="preserve">BSME/AUG2021/J-FT [Y1S2  (55) Students] :  </v>
      </c>
      <c r="N261" s="318" t="e">
        <f>CONCATENATE(TIMETABLE!#REF!," ","[",TIMETABLE!#REF!," ","Students","]"," ",TIMETABLE!#REF!,":"," ",TIMETABLE!#REF!," ",TIMETABLE!#REF!)</f>
        <v>#REF!</v>
      </c>
      <c r="O261" s="318" t="e">
        <f>CONCATENATE(TIMETABLE!#REF!," ","[",TIMETABLE!#REF!," ","Students","]"," ",TIMETABLE!#REF!,":"," ",TIMETABLE!#REF!," ",TIMETABLE!#REF!)</f>
        <v>#REF!</v>
      </c>
      <c r="P261" s="318" t="str">
        <f>CONCATENATE(TIMETABLE!F$6," ","[",TIMETABLE!F$7," ","Students","]"," ",TIMETABLE!F140,":"," ",TIMETABLE!F142," ",TIMETABLE!F141)</f>
        <v xml:space="preserve">BTME/SEP2019/S-PT [Y3S1   (10) Students] :  </v>
      </c>
      <c r="Q261" s="318" t="str">
        <f>CONCATENATE(TIMETABLE!G$6," ","[",TIMETABLE!G$7," ","Students","]"," ",TIMETABLE!G140,":"," ",TIMETABLE!G142," ",TIMETABLE!G141)</f>
        <v xml:space="preserve">BTME/AUG2021/S-PT [Y2S2   (10) Students] :  </v>
      </c>
      <c r="R261" s="318" t="e">
        <f>CONCATENATE(TIMETABLE!#REF!," ","[",TIMETABLE!#REF!," ","Students","]"," ",TIMETABLE!#REF!,":"," ",TIMETABLE!#REF!," ",TIMETABLE!#REF!)</f>
        <v>#REF!</v>
      </c>
      <c r="S261" s="318" t="e">
        <f>CONCATENATE(TIMETABLE!#REF!," ","[",TIMETABLE!#REF!," ","Students","]"," ",TIMETABLE!#REF!,":"," ",TIMETABLE!#REF!," ",TIMETABLE!#REF!)</f>
        <v>#REF!</v>
      </c>
      <c r="T261" s="318" t="str">
        <f>CONCATENATE(TIMETABLE!J$6," ","[",TIMETABLE!J$7," ","Students","]"," ",TIMETABLE!J140,":"," ",TIMETABLE!J142," ",TIMETABLE!J141)</f>
        <v xml:space="preserve">BTME/AUG2021/J&amp;S-FT [Y1S1  (52) Students] :  </v>
      </c>
      <c r="U261" s="318" t="e">
        <f>CONCATENATE(TIMETABLE!#REF!," ","[",TIMETABLE!#REF!," ","Students","]"," ",TIMETABLE!#REF!,":"," ",TIMETABLE!#REF!," ",TIMETABLE!#REF!)</f>
        <v>#REF!</v>
      </c>
      <c r="V261" s="318" t="e">
        <f>CONCATENATE(TIMETABLE!#REF!," ","[",TIMETABLE!#REF!," ","Students","]"," ",TIMETABLE!#REF!,":"," ",TIMETABLE!#REF!," ",TIMETABLE!#REF!)</f>
        <v>#REF!</v>
      </c>
      <c r="W261" s="318" t="e">
        <f>CONCATENATE(TIMETABLE!#REF!," ","[",TIMETABLE!#REF!," ","Students","]"," ",TIMETABLE!#REF!,":"," ",TIMETABLE!#REF!," ",TIMETABLE!#REF!)</f>
        <v>#REF!</v>
      </c>
      <c r="X261" s="318" t="e">
        <f>CONCATENATE(TIMETABLE!#REF!," ","[",TIMETABLE!#REF!," ","Students","]"," ",TIMETABLE!#REF!,":"," ",TIMETABLE!#REF!," ",TIMETABLE!#REF!)</f>
        <v>#REF!</v>
      </c>
      <c r="Y261" s="318" t="e">
        <f>CONCATENATE(TIMETABLE!#REF!," ","[",TIMETABLE!#REF!," ","Students","]"," ",TIMETABLE!#REF!,":"," ",TIMETABLE!#REF!," ",TIMETABLE!#REF!)</f>
        <v>#REF!</v>
      </c>
      <c r="Z261" s="318" t="e">
        <f>CONCATENATE(TIMETABLE!#REF!," ","[",TIMETABLE!#REF!," ","Students","]"," ",TIMETABLE!#REF!,":"," ",TIMETABLE!#REF!," ",TIMETABLE!#REF!)</f>
        <v>#REF!</v>
      </c>
      <c r="AA261" s="318" t="e">
        <f>CONCATENATE(TIMETABLE!#REF!," ","[",TIMETABLE!#REF!," ","Students","]"," ",TIMETABLE!#REF!,":"," ",TIMETABLE!#REF!," ",TIMETABLE!#REF!)</f>
        <v>#REF!</v>
      </c>
      <c r="AB261" s="318" t="e">
        <f>CONCATENATE(TIMETABLE!#REF!," ","[",TIMETABLE!#REF!," ","Students","]"," ",TIMETABLE!#REF!,":"," ",TIMETABLE!#REF!," ",TIMETABLE!#REF!)</f>
        <v>#REF!</v>
      </c>
      <c r="AC261" s="318" t="str">
        <f>CONCATENATE(TIMETABLE!W$6," ","[",TIMETABLE!W$7," ","Students","]"," ",TIMETABLE!W140,":"," ",TIMETABLE!W142," ",TIMETABLE!W141)</f>
        <v xml:space="preserve">DMAE/SEP20201J&amp;S-FT [Y1S2   (60) Students] :  </v>
      </c>
      <c r="AD261" s="318" t="e">
        <f>CONCATENATE(TIMETABLE!#REF!," ","[",TIMETABLE!#REF!," ","Students","]"," ",TIMETABLE!#REF!,":"," ",TIMETABLE!#REF!," ",TIMETABLE!#REF!)</f>
        <v>#REF!</v>
      </c>
      <c r="AE261" s="318" t="e">
        <f>CONCATENATE(TIMETABLE!#REF!," ","[",TIMETABLE!#REF!," ","Students","]"," ",TIMETABLE!#REF!,":"," ",TIMETABLE!#REF!," ",TIMETABLE!#REF!)</f>
        <v>#REF!</v>
      </c>
      <c r="AF261" s="495"/>
    </row>
    <row r="262" spans="3:32" ht="23.4" x14ac:dyDescent="0.45">
      <c r="C262" s="495"/>
      <c r="D262" s="231"/>
      <c r="E262" s="231"/>
      <c r="F262" s="231"/>
      <c r="G262" s="231"/>
      <c r="H262" s="231"/>
      <c r="I262" s="231"/>
      <c r="J262" s="231"/>
      <c r="K262" s="231"/>
      <c r="L262" s="231"/>
      <c r="M262" s="231"/>
      <c r="N262" s="231"/>
      <c r="O262" s="231"/>
      <c r="P262" s="231"/>
      <c r="Q262" s="231"/>
      <c r="R262" s="231"/>
      <c r="S262" s="231"/>
      <c r="T262" s="231"/>
      <c r="U262" s="231"/>
      <c r="V262" s="231"/>
      <c r="W262" s="231"/>
      <c r="X262" s="231"/>
      <c r="Y262" s="231"/>
      <c r="Z262" s="231"/>
      <c r="AA262" s="231"/>
      <c r="AB262" s="231"/>
      <c r="AC262" s="231"/>
      <c r="AD262" s="231"/>
      <c r="AE262" s="231"/>
      <c r="AF262" s="495"/>
    </row>
    <row r="263" spans="3:32" ht="23.4" x14ac:dyDescent="0.45">
      <c r="C263" s="495"/>
      <c r="D263" s="232"/>
      <c r="E263" s="232"/>
      <c r="F263" s="232"/>
      <c r="G263" s="232"/>
      <c r="H263" s="232"/>
      <c r="I263" s="232"/>
      <c r="J263" s="232"/>
      <c r="K263" s="232"/>
      <c r="L263" s="232"/>
      <c r="M263" s="232"/>
      <c r="N263" s="232"/>
      <c r="O263" s="232"/>
      <c r="P263" s="232"/>
      <c r="Q263" s="232"/>
      <c r="R263" s="232"/>
      <c r="S263" s="232"/>
      <c r="T263" s="232"/>
      <c r="U263" s="232"/>
      <c r="V263" s="232"/>
      <c r="W263" s="232"/>
      <c r="X263" s="232"/>
      <c r="Y263" s="232"/>
      <c r="Z263" s="232"/>
      <c r="AA263" s="232"/>
      <c r="AB263" s="232"/>
      <c r="AC263" s="232"/>
      <c r="AD263" s="232"/>
      <c r="AE263" s="232"/>
      <c r="AF263" s="495"/>
    </row>
    <row r="264" spans="3:32" ht="24" thickBot="1" x14ac:dyDescent="0.5">
      <c r="C264" s="495"/>
      <c r="D264" s="233"/>
      <c r="E264" s="399" t="e">
        <f>CONCATENATE(TIMETABLE!#REF!," ","[",TIMETABLE!#REF!," ","Students","]"," ",TIMETABLE!#REF!,":"," ",TIMETABLE!#REF!," ",TIMETABLE!#REF!)</f>
        <v>#REF!</v>
      </c>
      <c r="F264" s="399" t="e">
        <f>CONCATENATE(TIMETABLE!#REF!," ","[",TIMETABLE!#REF!," ","Students","]"," ",TIMETABLE!#REF!,":"," ",TIMETABLE!#REF!," ",TIMETABLE!#REF!)</f>
        <v>#REF!</v>
      </c>
      <c r="G264" s="399" t="e">
        <f>CONCATENATE(TIMETABLE!#REF!," ","[",TIMETABLE!#REF!," ","Students","]"," ",TIMETABLE!#REF!,":"," ",TIMETABLE!#REF!," ",TIMETABLE!#REF!)</f>
        <v>#REF!</v>
      </c>
      <c r="H264" s="399" t="e">
        <f>CONCATENATE(TIMETABLE!#REF!," ","[",TIMETABLE!#REF!," ","Students","]"," ",TIMETABLE!#REF!,":"," ",TIMETABLE!#REF!," ",TIMETABLE!#REF!)</f>
        <v>#REF!</v>
      </c>
      <c r="I264" s="399" t="e">
        <f>CONCATENATE(TIMETABLE!#REF!," ","[",TIMETABLE!#REF!," ","Students","]"," ",TIMETABLE!#REF!,":"," ",TIMETABLE!#REF!," ",TIMETABLE!#REF!)</f>
        <v>#REF!</v>
      </c>
      <c r="J264" s="399" t="e">
        <f>CONCATENATE(TIMETABLE!#REF!," ","[",TIMETABLE!#REF!," ","Students","]"," ",TIMETABLE!#REF!,":"," ",TIMETABLE!#REF!," ",TIMETABLE!#REF!)</f>
        <v>#REF!</v>
      </c>
      <c r="K264" s="399" t="e">
        <f>CONCATENATE(TIMETABLE!#REF!," ","[",TIMETABLE!#REF!," ","Students","]"," ",TIMETABLE!#REF!,":"," ",TIMETABLE!#REF!," ",TIMETABLE!#REF!)</f>
        <v>#REF!</v>
      </c>
      <c r="L264" s="399" t="str">
        <f>CONCATENATE(TIMETABLE!D$6," ","[",TIMETABLE!D$7," ","Students","]"," ",TIMETABLE!D143,":"," ",TIMETABLE!D145," ",TIMETABLE!D144)</f>
        <v xml:space="preserve">BSME/SEP2020/J-FT [Y2S1  (50) Students] :  </v>
      </c>
      <c r="M264" s="399" t="str">
        <f>CONCATENATE(TIMETABLE!E$6," ","[",TIMETABLE!E$7," ","Students","]"," ",TIMETABLE!E143,":"," ",TIMETABLE!E145," ",TIMETABLE!E144)</f>
        <v xml:space="preserve">BSME/AUG2021/J-FT [Y1S2  (55) Students] :  </v>
      </c>
      <c r="N264" s="399" t="e">
        <f>CONCATENATE(TIMETABLE!#REF!," ","[",TIMETABLE!#REF!," ","Students","]"," ",TIMETABLE!#REF!,":"," ",TIMETABLE!#REF!," ",TIMETABLE!#REF!)</f>
        <v>#REF!</v>
      </c>
      <c r="O264" s="399" t="e">
        <f>CONCATENATE(TIMETABLE!#REF!," ","[",TIMETABLE!#REF!," ","Students","]"," ",TIMETABLE!#REF!,":"," ",TIMETABLE!#REF!," ",TIMETABLE!#REF!)</f>
        <v>#REF!</v>
      </c>
      <c r="P264" s="399" t="str">
        <f>CONCATENATE(TIMETABLE!F$6," ","[",TIMETABLE!F$7," ","Students","]"," ",TIMETABLE!F143,":"," ",TIMETABLE!F145," ",TIMETABLE!F144)</f>
        <v xml:space="preserve">BTME/SEP2019/S-PT [Y3S1   (10) Students] :  </v>
      </c>
      <c r="Q264" s="399" t="str">
        <f>CONCATENATE(TIMETABLE!G$6," ","[",TIMETABLE!G$7," ","Students","]"," ",TIMETABLE!G143,":"," ",TIMETABLE!G145," ",TIMETABLE!G144)</f>
        <v xml:space="preserve">BTME/AUG2021/S-PT [Y2S2   (10) Students] :  </v>
      </c>
      <c r="R264" s="399" t="e">
        <f>CONCATENATE(TIMETABLE!#REF!," ","[",TIMETABLE!#REF!," ","Students","]"," ",TIMETABLE!#REF!,":"," ",TIMETABLE!#REF!," ",TIMETABLE!#REF!)</f>
        <v>#REF!</v>
      </c>
      <c r="S264" s="399" t="e">
        <f>CONCATENATE(TIMETABLE!#REF!," ","[",TIMETABLE!#REF!," ","Students","]"," ",TIMETABLE!#REF!,":"," ",TIMETABLE!#REF!," ",TIMETABLE!#REF!)</f>
        <v>#REF!</v>
      </c>
      <c r="T264" s="399" t="str">
        <f>CONCATENATE(TIMETABLE!J$6," ","[",TIMETABLE!J$7," ","Students","]"," ",TIMETABLE!J143,":"," ",TIMETABLE!J145," ",TIMETABLE!J144)</f>
        <v xml:space="preserve">BTME/AUG2021/J&amp;S-FT [Y1S1  (52) Students] :  </v>
      </c>
      <c r="U264" s="399" t="e">
        <f>CONCATENATE(TIMETABLE!#REF!," ","[",TIMETABLE!#REF!," ","Students","]"," ",TIMETABLE!#REF!,":"," ",TIMETABLE!#REF!," ",TIMETABLE!#REF!)</f>
        <v>#REF!</v>
      </c>
      <c r="V264" s="399" t="e">
        <f>CONCATENATE(TIMETABLE!#REF!," ","[",TIMETABLE!#REF!," ","Students","]"," ",TIMETABLE!#REF!,":"," ",TIMETABLE!#REF!," ",TIMETABLE!#REF!)</f>
        <v>#REF!</v>
      </c>
      <c r="W264" s="399" t="e">
        <f>CONCATENATE(TIMETABLE!#REF!," ","[",TIMETABLE!#REF!," ","Students","]"," ",TIMETABLE!#REF!,":"," ",TIMETABLE!#REF!," ",TIMETABLE!#REF!)</f>
        <v>#REF!</v>
      </c>
      <c r="X264" s="399" t="e">
        <f>CONCATENATE(TIMETABLE!#REF!," ","[",TIMETABLE!#REF!," ","Students","]"," ",TIMETABLE!#REF!,":"," ",TIMETABLE!#REF!," ",TIMETABLE!#REF!)</f>
        <v>#REF!</v>
      </c>
      <c r="Y264" s="399" t="e">
        <f>CONCATENATE(TIMETABLE!#REF!," ","[",TIMETABLE!#REF!," ","Students","]"," ",TIMETABLE!#REF!,":"," ",TIMETABLE!#REF!," ",TIMETABLE!#REF!)</f>
        <v>#REF!</v>
      </c>
      <c r="Z264" s="399" t="e">
        <f>CONCATENATE(TIMETABLE!#REF!," ","[",TIMETABLE!#REF!," ","Students","]"," ",TIMETABLE!#REF!,":"," ",TIMETABLE!#REF!," ",TIMETABLE!#REF!)</f>
        <v>#REF!</v>
      </c>
      <c r="AA264" s="399" t="e">
        <f>CONCATENATE(TIMETABLE!#REF!," ","[",TIMETABLE!#REF!," ","Students","]"," ",TIMETABLE!#REF!,":"," ",TIMETABLE!#REF!," ",TIMETABLE!#REF!)</f>
        <v>#REF!</v>
      </c>
      <c r="AB264" s="399" t="e">
        <f>CONCATENATE(TIMETABLE!#REF!," ","[",TIMETABLE!#REF!," ","Students","]"," ",TIMETABLE!#REF!,":"," ",TIMETABLE!#REF!," ",TIMETABLE!#REF!)</f>
        <v>#REF!</v>
      </c>
      <c r="AC264" s="399" t="str">
        <f>CONCATENATE(TIMETABLE!W$6," ","[",TIMETABLE!W$7," ","Students","]"," ",TIMETABLE!W143,":"," ",TIMETABLE!W145," ",TIMETABLE!W144)</f>
        <v xml:space="preserve">DMAE/SEP20201J&amp;S-FT [Y1S2   (60) Students] :  </v>
      </c>
      <c r="AD264" s="399" t="e">
        <f>CONCATENATE(TIMETABLE!#REF!," ","[",TIMETABLE!#REF!," ","Students","]"," ",TIMETABLE!#REF!,":"," ",TIMETABLE!#REF!," ",TIMETABLE!#REF!)</f>
        <v>#REF!</v>
      </c>
      <c r="AE264" s="399" t="e">
        <f>CONCATENATE(TIMETABLE!#REF!," ","[",TIMETABLE!#REF!," ","Students","]"," ",TIMETABLE!#REF!,":"," ",TIMETABLE!#REF!," ",TIMETABLE!#REF!)</f>
        <v>#REF!</v>
      </c>
      <c r="AF264" s="495"/>
    </row>
    <row r="265" spans="3:32" ht="23.4" x14ac:dyDescent="0.45">
      <c r="C265" s="495"/>
      <c r="D265" s="243"/>
      <c r="E265" s="243"/>
      <c r="F265" s="243"/>
      <c r="G265" s="243"/>
      <c r="H265" s="243"/>
      <c r="I265" s="243"/>
      <c r="J265" s="243"/>
      <c r="K265" s="243"/>
      <c r="L265" s="243"/>
      <c r="M265" s="243"/>
      <c r="N265" s="243"/>
      <c r="O265" s="243"/>
      <c r="P265" s="243"/>
      <c r="Q265" s="243"/>
      <c r="R265" s="243"/>
      <c r="S265" s="243"/>
      <c r="T265" s="243"/>
      <c r="U265" s="243"/>
      <c r="V265" s="243"/>
      <c r="W265" s="243"/>
      <c r="X265" s="243"/>
      <c r="Y265" s="243"/>
      <c r="Z265" s="243"/>
      <c r="AA265" s="243"/>
      <c r="AB265" s="243"/>
      <c r="AC265" s="243"/>
      <c r="AD265" s="243"/>
      <c r="AE265" s="243"/>
      <c r="AF265" s="495"/>
    </row>
    <row r="266" spans="3:32" ht="23.4" x14ac:dyDescent="0.45">
      <c r="C266" s="495"/>
      <c r="D266" s="244"/>
      <c r="E266" s="244"/>
      <c r="F266" s="244"/>
      <c r="G266" s="244"/>
      <c r="H266" s="244"/>
      <c r="I266" s="244"/>
      <c r="J266" s="244"/>
      <c r="K266" s="244"/>
      <c r="L266" s="244"/>
      <c r="M266" s="244"/>
      <c r="N266" s="244"/>
      <c r="O266" s="244"/>
      <c r="P266" s="244"/>
      <c r="Q266" s="244"/>
      <c r="R266" s="244"/>
      <c r="S266" s="244"/>
      <c r="T266" s="244"/>
      <c r="U266" s="244"/>
      <c r="V266" s="244"/>
      <c r="W266" s="244"/>
      <c r="X266" s="244"/>
      <c r="Y266" s="244"/>
      <c r="Z266" s="244"/>
      <c r="AA266" s="244"/>
      <c r="AB266" s="244"/>
      <c r="AC266" s="244"/>
      <c r="AD266" s="244"/>
      <c r="AE266" s="244"/>
      <c r="AF266" s="495"/>
    </row>
    <row r="267" spans="3:32" ht="24" thickBot="1" x14ac:dyDescent="0.5">
      <c r="C267" s="495"/>
      <c r="D267" s="245"/>
      <c r="E267" s="318" t="e">
        <f>CONCATENATE(TIMETABLE!#REF!," ","[",TIMETABLE!#REF!," ","Students","]"," ",TIMETABLE!#REF!,":"," ",TIMETABLE!#REF!," ",TIMETABLE!#REF!)</f>
        <v>#REF!</v>
      </c>
      <c r="F267" s="318" t="e">
        <f>CONCATENATE(TIMETABLE!#REF!," ","[",TIMETABLE!#REF!," ","Students","]"," ",TIMETABLE!#REF!,":"," ",TIMETABLE!#REF!," ",TIMETABLE!#REF!)</f>
        <v>#REF!</v>
      </c>
      <c r="G267" s="318" t="e">
        <f>CONCATENATE(TIMETABLE!#REF!," ","[",TIMETABLE!#REF!," ","Students","]"," ",TIMETABLE!#REF!,":"," ",TIMETABLE!#REF!," ",TIMETABLE!#REF!)</f>
        <v>#REF!</v>
      </c>
      <c r="H267" s="318" t="e">
        <f>CONCATENATE(TIMETABLE!#REF!," ","[",TIMETABLE!#REF!," ","Students","]"," ",TIMETABLE!#REF!,":"," ",TIMETABLE!#REF!," ",TIMETABLE!#REF!)</f>
        <v>#REF!</v>
      </c>
      <c r="I267" s="318" t="e">
        <f>CONCATENATE(TIMETABLE!#REF!," ","[",TIMETABLE!#REF!," ","Students","]"," ",TIMETABLE!#REF!,":"," ",TIMETABLE!#REF!," ",TIMETABLE!#REF!)</f>
        <v>#REF!</v>
      </c>
      <c r="J267" s="318" t="e">
        <f>CONCATENATE(TIMETABLE!#REF!," ","[",TIMETABLE!#REF!," ","Students","]"," ",TIMETABLE!#REF!,":"," ",TIMETABLE!#REF!," ",TIMETABLE!#REF!)</f>
        <v>#REF!</v>
      </c>
      <c r="K267" s="318" t="e">
        <f>CONCATENATE(TIMETABLE!#REF!," ","[",TIMETABLE!#REF!," ","Students","]"," ",TIMETABLE!#REF!,":"," ",TIMETABLE!#REF!," ",TIMETABLE!#REF!)</f>
        <v>#REF!</v>
      </c>
      <c r="L267" s="318" t="str">
        <f>CONCATENATE(TIMETABLE!D$6," ","[",TIMETABLE!D$7," ","Students","]"," ",TIMETABLE!D146,":"," ",TIMETABLE!D148," ",TIMETABLE!D147)</f>
        <v xml:space="preserve">BSME/SEP2020/J-FT [Y2S1  (50) Students] :  </v>
      </c>
      <c r="M267" s="318" t="str">
        <f>CONCATENATE(TIMETABLE!E$6," ","[",TIMETABLE!E$7," ","Students","]"," ",TIMETABLE!E146,":"," ",TIMETABLE!E148," ",TIMETABLE!E147)</f>
        <v xml:space="preserve">BSME/AUG2021/J-FT [Y1S2  (55) Students] :  </v>
      </c>
      <c r="N267" s="318" t="e">
        <f>CONCATENATE(TIMETABLE!#REF!," ","[",TIMETABLE!#REF!," ","Students","]"," ",TIMETABLE!#REF!,":"," ",TIMETABLE!#REF!," ",TIMETABLE!#REF!)</f>
        <v>#REF!</v>
      </c>
      <c r="O267" s="318" t="e">
        <f>CONCATENATE(TIMETABLE!#REF!," ","[",TIMETABLE!#REF!," ","Students","]"," ",TIMETABLE!#REF!,":"," ",TIMETABLE!#REF!," ",TIMETABLE!#REF!)</f>
        <v>#REF!</v>
      </c>
      <c r="P267" s="318" t="str">
        <f>CONCATENATE(TIMETABLE!F$6," ","[",TIMETABLE!F$7," ","Students","]"," ",TIMETABLE!F146,":"," ",TIMETABLE!F148," ",TIMETABLE!F147)</f>
        <v xml:space="preserve">BTME/SEP2019/S-PT [Y3S1   (10) Students] :  </v>
      </c>
      <c r="Q267" s="318" t="str">
        <f>CONCATENATE(TIMETABLE!G$6," ","[",TIMETABLE!G$7," ","Students","]"," ",TIMETABLE!G146,":"," ",TIMETABLE!G148," ",TIMETABLE!G147)</f>
        <v xml:space="preserve">BTME/AUG2021/S-PT [Y2S2   (10) Students] :  </v>
      </c>
      <c r="R267" s="318" t="e">
        <f>CONCATENATE(TIMETABLE!#REF!," ","[",TIMETABLE!#REF!," ","Students","]"," ",TIMETABLE!#REF!,":"," ",TIMETABLE!#REF!," ",TIMETABLE!#REF!)</f>
        <v>#REF!</v>
      </c>
      <c r="S267" s="318" t="e">
        <f>CONCATENATE(TIMETABLE!#REF!," ","[",TIMETABLE!#REF!," ","Students","]"," ",TIMETABLE!#REF!,":"," ",TIMETABLE!#REF!," ",TIMETABLE!#REF!)</f>
        <v>#REF!</v>
      </c>
      <c r="T267" s="318" t="str">
        <f>CONCATENATE(TIMETABLE!J$6," ","[",TIMETABLE!J$7," ","Students","]"," ",TIMETABLE!J146,":"," ",TIMETABLE!J148," ",TIMETABLE!J147)</f>
        <v xml:space="preserve">BTME/AUG2021/J&amp;S-FT [Y1S1  (52) Students] :  </v>
      </c>
      <c r="U267" s="318" t="e">
        <f>CONCATENATE(TIMETABLE!#REF!," ","[",TIMETABLE!#REF!," ","Students","]"," ",TIMETABLE!#REF!,":"," ",TIMETABLE!#REF!," ",TIMETABLE!#REF!)</f>
        <v>#REF!</v>
      </c>
      <c r="V267" s="318" t="e">
        <f>CONCATENATE(TIMETABLE!#REF!," ","[",TIMETABLE!#REF!," ","Students","]"," ",TIMETABLE!#REF!,":"," ",TIMETABLE!#REF!," ",TIMETABLE!#REF!)</f>
        <v>#REF!</v>
      </c>
      <c r="W267" s="318" t="e">
        <f>CONCATENATE(TIMETABLE!#REF!," ","[",TIMETABLE!#REF!," ","Students","]"," ",TIMETABLE!#REF!,":"," ",TIMETABLE!#REF!," ",TIMETABLE!#REF!)</f>
        <v>#REF!</v>
      </c>
      <c r="X267" s="318" t="e">
        <f>CONCATENATE(TIMETABLE!#REF!," ","[",TIMETABLE!#REF!," ","Students","]"," ",TIMETABLE!#REF!,":"," ",TIMETABLE!#REF!," ",TIMETABLE!#REF!)</f>
        <v>#REF!</v>
      </c>
      <c r="Y267" s="318" t="e">
        <f>CONCATENATE(TIMETABLE!#REF!," ","[",TIMETABLE!#REF!," ","Students","]"," ",TIMETABLE!#REF!,":"," ",TIMETABLE!#REF!," ",TIMETABLE!#REF!)</f>
        <v>#REF!</v>
      </c>
      <c r="Z267" s="318" t="e">
        <f>CONCATENATE(TIMETABLE!#REF!," ","[",TIMETABLE!#REF!," ","Students","]"," ",TIMETABLE!#REF!,":"," ",TIMETABLE!#REF!," ",TIMETABLE!#REF!)</f>
        <v>#REF!</v>
      </c>
      <c r="AA267" s="318" t="e">
        <f>CONCATENATE(TIMETABLE!#REF!," ","[",TIMETABLE!#REF!," ","Students","]"," ",TIMETABLE!#REF!,":"," ",TIMETABLE!#REF!," ",TIMETABLE!#REF!)</f>
        <v>#REF!</v>
      </c>
      <c r="AB267" s="318" t="e">
        <f>CONCATENATE(TIMETABLE!#REF!," ","[",TIMETABLE!#REF!," ","Students","]"," ",TIMETABLE!#REF!,":"," ",TIMETABLE!#REF!," ",TIMETABLE!#REF!)</f>
        <v>#REF!</v>
      </c>
      <c r="AC267" s="318" t="str">
        <f>CONCATENATE(TIMETABLE!W$6," ","[",TIMETABLE!W$7," ","Students","]"," ",TIMETABLE!W146,":"," ",TIMETABLE!W148," ",TIMETABLE!W147)</f>
        <v xml:space="preserve">DMAE/SEP20201J&amp;S-FT [Y1S2   (60) Students] :  </v>
      </c>
      <c r="AD267" s="318" t="e">
        <f>CONCATENATE(TIMETABLE!#REF!," ","[",TIMETABLE!#REF!," ","Students","]"," ",TIMETABLE!#REF!,":"," ",TIMETABLE!#REF!," ",TIMETABLE!#REF!)</f>
        <v>#REF!</v>
      </c>
      <c r="AE267" s="318" t="e">
        <f>CONCATENATE(TIMETABLE!#REF!," ","[",TIMETABLE!#REF!," ","Students","]"," ",TIMETABLE!#REF!,":"," ",TIMETABLE!#REF!," ",TIMETABLE!#REF!)</f>
        <v>#REF!</v>
      </c>
      <c r="AF267" s="495"/>
    </row>
    <row r="268" spans="3:32" ht="23.4" x14ac:dyDescent="0.45">
      <c r="C268" s="495"/>
      <c r="D268" s="243"/>
      <c r="E268" s="243"/>
      <c r="F268" s="243"/>
      <c r="G268" s="243"/>
      <c r="H268" s="243"/>
      <c r="I268" s="243"/>
      <c r="J268" s="243"/>
      <c r="K268" s="243"/>
      <c r="L268" s="243"/>
      <c r="M268" s="243"/>
      <c r="N268" s="243"/>
      <c r="O268" s="243"/>
      <c r="P268" s="243"/>
      <c r="Q268" s="243"/>
      <c r="R268" s="243"/>
      <c r="S268" s="243"/>
      <c r="T268" s="243"/>
      <c r="U268" s="243"/>
      <c r="V268" s="243"/>
      <c r="W268" s="243"/>
      <c r="X268" s="243"/>
      <c r="Y268" s="243"/>
      <c r="Z268" s="243"/>
      <c r="AA268" s="243"/>
      <c r="AB268" s="243"/>
      <c r="AC268" s="243"/>
      <c r="AD268" s="243"/>
      <c r="AE268" s="243"/>
      <c r="AF268" s="495"/>
    </row>
    <row r="269" spans="3:32" ht="23.4" x14ac:dyDescent="0.45">
      <c r="C269" s="495"/>
      <c r="D269" s="244"/>
      <c r="E269" s="244"/>
      <c r="F269" s="244"/>
      <c r="G269" s="244"/>
      <c r="H269" s="244"/>
      <c r="I269" s="244"/>
      <c r="J269" s="244"/>
      <c r="K269" s="244"/>
      <c r="L269" s="244"/>
      <c r="M269" s="244"/>
      <c r="N269" s="244"/>
      <c r="O269" s="244"/>
      <c r="P269" s="244"/>
      <c r="Q269" s="244"/>
      <c r="R269" s="244"/>
      <c r="S269" s="244"/>
      <c r="T269" s="244"/>
      <c r="U269" s="244"/>
      <c r="V269" s="244"/>
      <c r="W269" s="244"/>
      <c r="X269" s="244"/>
      <c r="Y269" s="244"/>
      <c r="Z269" s="244"/>
      <c r="AA269" s="244"/>
      <c r="AB269" s="244"/>
      <c r="AC269" s="244"/>
      <c r="AD269" s="244"/>
      <c r="AE269" s="244"/>
      <c r="AF269" s="495"/>
    </row>
    <row r="270" spans="3:32" ht="24" thickBot="1" x14ac:dyDescent="0.5">
      <c r="C270" s="495"/>
      <c r="D270" s="245"/>
      <c r="E270" s="318" t="e">
        <f>CONCATENATE(TIMETABLE!#REF!," ","[",TIMETABLE!#REF!," ","Students","]"," ",TIMETABLE!#REF!,":"," ",TIMETABLE!#REF!," ",TIMETABLE!#REF!)</f>
        <v>#REF!</v>
      </c>
      <c r="F270" s="318" t="e">
        <f>CONCATENATE(TIMETABLE!#REF!," ","[",TIMETABLE!#REF!," ","Students","]"," ",TIMETABLE!#REF!,":"," ",TIMETABLE!#REF!," ",TIMETABLE!#REF!)</f>
        <v>#REF!</v>
      </c>
      <c r="G270" s="318" t="e">
        <f>CONCATENATE(TIMETABLE!#REF!," ","[",TIMETABLE!#REF!," ","Students","]"," ",TIMETABLE!#REF!,":"," ",TIMETABLE!#REF!," ",TIMETABLE!#REF!)</f>
        <v>#REF!</v>
      </c>
      <c r="H270" s="318" t="e">
        <f>CONCATENATE(TIMETABLE!#REF!," ","[",TIMETABLE!#REF!," ","Students","]"," ",TIMETABLE!#REF!,":"," ",TIMETABLE!#REF!," ",TIMETABLE!#REF!)</f>
        <v>#REF!</v>
      </c>
      <c r="I270" s="318" t="e">
        <f>CONCATENATE(TIMETABLE!#REF!," ","[",TIMETABLE!#REF!," ","Students","]"," ",TIMETABLE!#REF!,":"," ",TIMETABLE!#REF!," ",TIMETABLE!#REF!)</f>
        <v>#REF!</v>
      </c>
      <c r="J270" s="318" t="e">
        <f>CONCATENATE(TIMETABLE!#REF!," ","[",TIMETABLE!#REF!," ","Students","]"," ",TIMETABLE!#REF!,":"," ",TIMETABLE!#REF!," ",TIMETABLE!#REF!)</f>
        <v>#REF!</v>
      </c>
      <c r="K270" s="318" t="e">
        <f>CONCATENATE(TIMETABLE!#REF!," ","[",TIMETABLE!#REF!," ","Students","]"," ",TIMETABLE!#REF!,":"," ",TIMETABLE!#REF!," ",TIMETABLE!#REF!)</f>
        <v>#REF!</v>
      </c>
      <c r="L270" s="318" t="str">
        <f>CONCATENATE(TIMETABLE!D$6," ","[",TIMETABLE!D$7," ","Students","]"," ",TIMETABLE!D149,":"," ",TIMETABLE!D151," ",TIMETABLE!D150)</f>
        <v xml:space="preserve">BSME/SEP2020/J-FT [Y2S1  (50) Students] :  </v>
      </c>
      <c r="M270" s="318" t="str">
        <f>CONCATENATE(TIMETABLE!E$6," ","[",TIMETABLE!E$7," ","Students","]"," ",TIMETABLE!E149,":"," ",TIMETABLE!E151," ",TIMETABLE!E150)</f>
        <v xml:space="preserve">BSME/AUG2021/J-FT [Y1S2  (55) Students] :  </v>
      </c>
      <c r="N270" s="318" t="e">
        <f>CONCATENATE(TIMETABLE!#REF!," ","[",TIMETABLE!#REF!," ","Students","]"," ",TIMETABLE!#REF!,":"," ",TIMETABLE!#REF!," ",TIMETABLE!#REF!)</f>
        <v>#REF!</v>
      </c>
      <c r="O270" s="318" t="e">
        <f>CONCATENATE(TIMETABLE!#REF!," ","[",TIMETABLE!#REF!," ","Students","]"," ",TIMETABLE!#REF!,":"," ",TIMETABLE!#REF!," ",TIMETABLE!#REF!)</f>
        <v>#REF!</v>
      </c>
      <c r="P270" s="318" t="str">
        <f>CONCATENATE(TIMETABLE!F$6," ","[",TIMETABLE!F$7," ","Students","]"," ",TIMETABLE!F149,":"," ",TIMETABLE!F151," ",TIMETABLE!F150)</f>
        <v xml:space="preserve">BTME/SEP2019/S-PT [Y3S1   (10) Students] :  </v>
      </c>
      <c r="Q270" s="318" t="str">
        <f>CONCATENATE(TIMETABLE!G$6," ","[",TIMETABLE!G$7," ","Students","]"," ",TIMETABLE!G149,":"," ",TIMETABLE!G151," ",TIMETABLE!G150)</f>
        <v xml:space="preserve">BTME/AUG2021/S-PT [Y2S2   (10) Students] :  </v>
      </c>
      <c r="R270" s="318" t="e">
        <f>CONCATENATE(TIMETABLE!#REF!," ","[",TIMETABLE!#REF!," ","Students","]"," ",TIMETABLE!#REF!,":"," ",TIMETABLE!#REF!," ",TIMETABLE!#REF!)</f>
        <v>#REF!</v>
      </c>
      <c r="S270" s="318" t="e">
        <f>CONCATENATE(TIMETABLE!#REF!," ","[",TIMETABLE!#REF!," ","Students","]"," ",TIMETABLE!#REF!,":"," ",TIMETABLE!#REF!," ",TIMETABLE!#REF!)</f>
        <v>#REF!</v>
      </c>
      <c r="T270" s="318" t="str">
        <f>CONCATENATE(TIMETABLE!J$6," ","[",TIMETABLE!J$7," ","Students","]"," ",TIMETABLE!J149,":"," ",TIMETABLE!J151," ",TIMETABLE!J150)</f>
        <v xml:space="preserve">BTME/AUG2021/J&amp;S-FT [Y1S1  (52) Students] :  </v>
      </c>
      <c r="U270" s="318" t="e">
        <f>CONCATENATE(TIMETABLE!#REF!," ","[",TIMETABLE!#REF!," ","Students","]"," ",TIMETABLE!#REF!,":"," ",TIMETABLE!#REF!," ",TIMETABLE!#REF!)</f>
        <v>#REF!</v>
      </c>
      <c r="V270" s="318" t="e">
        <f>CONCATENATE(TIMETABLE!#REF!," ","[",TIMETABLE!#REF!," ","Students","]"," ",TIMETABLE!#REF!,":"," ",TIMETABLE!#REF!," ",TIMETABLE!#REF!)</f>
        <v>#REF!</v>
      </c>
      <c r="W270" s="318" t="e">
        <f>CONCATENATE(TIMETABLE!#REF!," ","[",TIMETABLE!#REF!," ","Students","]"," ",TIMETABLE!#REF!,":"," ",TIMETABLE!#REF!," ",TIMETABLE!#REF!)</f>
        <v>#REF!</v>
      </c>
      <c r="X270" s="318" t="e">
        <f>CONCATENATE(TIMETABLE!#REF!," ","[",TIMETABLE!#REF!," ","Students","]"," ",TIMETABLE!#REF!,":"," ",TIMETABLE!#REF!," ",TIMETABLE!#REF!)</f>
        <v>#REF!</v>
      </c>
      <c r="Y270" s="318" t="e">
        <f>CONCATENATE(TIMETABLE!#REF!," ","[",TIMETABLE!#REF!," ","Students","]"," ",TIMETABLE!#REF!,":"," ",TIMETABLE!#REF!," ",TIMETABLE!#REF!)</f>
        <v>#REF!</v>
      </c>
      <c r="Z270" s="318" t="e">
        <f>CONCATENATE(TIMETABLE!#REF!," ","[",TIMETABLE!#REF!," ","Students","]"," ",TIMETABLE!#REF!,":"," ",TIMETABLE!#REF!," ",TIMETABLE!#REF!)</f>
        <v>#REF!</v>
      </c>
      <c r="AA270" s="318" t="e">
        <f>CONCATENATE(TIMETABLE!#REF!," ","[",TIMETABLE!#REF!," ","Students","]"," ",TIMETABLE!#REF!,":"," ",TIMETABLE!#REF!," ",TIMETABLE!#REF!)</f>
        <v>#REF!</v>
      </c>
      <c r="AB270" s="318" t="e">
        <f>CONCATENATE(TIMETABLE!#REF!," ","[",TIMETABLE!#REF!," ","Students","]"," ",TIMETABLE!#REF!,":"," ",TIMETABLE!#REF!," ",TIMETABLE!#REF!)</f>
        <v>#REF!</v>
      </c>
      <c r="AC270" s="318" t="str">
        <f>CONCATENATE(TIMETABLE!W$6," ","[",TIMETABLE!W$7," ","Students","]"," ",TIMETABLE!W149,":"," ",TIMETABLE!W151," ",TIMETABLE!W150)</f>
        <v xml:space="preserve">DMAE/SEP20201J&amp;S-FT [Y1S2   (60) Students] :  </v>
      </c>
      <c r="AD270" s="318" t="e">
        <f>CONCATENATE(TIMETABLE!#REF!," ","[",TIMETABLE!#REF!," ","Students","]"," ",TIMETABLE!#REF!,":"," ",TIMETABLE!#REF!," ",TIMETABLE!#REF!)</f>
        <v>#REF!</v>
      </c>
      <c r="AE270" s="318" t="e">
        <f>CONCATENATE(TIMETABLE!#REF!," ","[",TIMETABLE!#REF!," ","Students","]"," ",TIMETABLE!#REF!,":"," ",TIMETABLE!#REF!," ",TIMETABLE!#REF!)</f>
        <v>#REF!</v>
      </c>
      <c r="AF270" s="495"/>
    </row>
    <row r="271" spans="3:32" ht="23.4" x14ac:dyDescent="0.45">
      <c r="C271" s="495"/>
      <c r="D271" s="243"/>
      <c r="E271" s="243"/>
      <c r="F271" s="243"/>
      <c r="G271" s="243"/>
      <c r="H271" s="243"/>
      <c r="I271" s="243"/>
      <c r="J271" s="243"/>
      <c r="K271" s="243"/>
      <c r="L271" s="243"/>
      <c r="M271" s="243"/>
      <c r="N271" s="243"/>
      <c r="O271" s="243"/>
      <c r="P271" s="243"/>
      <c r="Q271" s="243"/>
      <c r="R271" s="243"/>
      <c r="S271" s="243"/>
      <c r="T271" s="243"/>
      <c r="U271" s="243"/>
      <c r="V271" s="243"/>
      <c r="W271" s="243"/>
      <c r="X271" s="243"/>
      <c r="Y271" s="243"/>
      <c r="Z271" s="243"/>
      <c r="AA271" s="243"/>
      <c r="AB271" s="243"/>
      <c r="AC271" s="243"/>
      <c r="AD271" s="243"/>
      <c r="AE271" s="243"/>
      <c r="AF271" s="495"/>
    </row>
    <row r="272" spans="3:32" ht="23.4" x14ac:dyDescent="0.45">
      <c r="C272" s="495"/>
      <c r="D272" s="244"/>
      <c r="E272" s="244"/>
      <c r="F272" s="244"/>
      <c r="G272" s="244"/>
      <c r="H272" s="244"/>
      <c r="I272" s="244"/>
      <c r="J272" s="244"/>
      <c r="K272" s="244"/>
      <c r="L272" s="244"/>
      <c r="M272" s="244"/>
      <c r="N272" s="244"/>
      <c r="O272" s="244"/>
      <c r="P272" s="244"/>
      <c r="Q272" s="244"/>
      <c r="R272" s="244"/>
      <c r="S272" s="244"/>
      <c r="T272" s="244"/>
      <c r="U272" s="244"/>
      <c r="V272" s="244"/>
      <c r="W272" s="244"/>
      <c r="X272" s="244"/>
      <c r="Y272" s="244"/>
      <c r="Z272" s="244"/>
      <c r="AA272" s="244"/>
      <c r="AB272" s="244"/>
      <c r="AC272" s="244"/>
      <c r="AD272" s="244"/>
      <c r="AE272" s="244"/>
      <c r="AF272" s="495"/>
    </row>
    <row r="273" spans="3:32" ht="24" thickBot="1" x14ac:dyDescent="0.5">
      <c r="C273" s="495"/>
      <c r="D273" s="245"/>
      <c r="E273" s="318" t="e">
        <f>CONCATENATE(TIMETABLE!#REF!," ","[",TIMETABLE!#REF!," ","Students","]"," ",TIMETABLE!#REF!,":"," ",TIMETABLE!#REF!," ",TIMETABLE!#REF!)</f>
        <v>#REF!</v>
      </c>
      <c r="F273" s="318" t="e">
        <f>CONCATENATE(TIMETABLE!#REF!," ","[",TIMETABLE!#REF!," ","Students","]"," ",TIMETABLE!#REF!,":"," ",TIMETABLE!#REF!," ",TIMETABLE!#REF!)</f>
        <v>#REF!</v>
      </c>
      <c r="G273" s="318" t="e">
        <f>CONCATENATE(TIMETABLE!#REF!," ","[",TIMETABLE!#REF!," ","Students","]"," ",TIMETABLE!#REF!,":"," ",TIMETABLE!#REF!," ",TIMETABLE!#REF!)</f>
        <v>#REF!</v>
      </c>
      <c r="H273" s="318" t="e">
        <f>CONCATENATE(TIMETABLE!#REF!," ","[",TIMETABLE!#REF!," ","Students","]"," ",TIMETABLE!#REF!,":"," ",TIMETABLE!#REF!," ",TIMETABLE!#REF!)</f>
        <v>#REF!</v>
      </c>
      <c r="I273" s="318" t="e">
        <f>CONCATENATE(TIMETABLE!#REF!," ","[",TIMETABLE!#REF!," ","Students","]"," ",TIMETABLE!#REF!,":"," ",TIMETABLE!#REF!," ",TIMETABLE!#REF!)</f>
        <v>#REF!</v>
      </c>
      <c r="J273" s="318" t="e">
        <f>CONCATENATE(TIMETABLE!#REF!," ","[",TIMETABLE!#REF!," ","Students","]"," ",TIMETABLE!#REF!,":"," ",TIMETABLE!#REF!," ",TIMETABLE!#REF!)</f>
        <v>#REF!</v>
      </c>
      <c r="K273" s="318" t="e">
        <f>CONCATENATE(TIMETABLE!#REF!," ","[",TIMETABLE!#REF!," ","Students","]"," ",TIMETABLE!#REF!,":"," ",TIMETABLE!#REF!," ",TIMETABLE!#REF!)</f>
        <v>#REF!</v>
      </c>
      <c r="L273" s="318" t="str">
        <f>CONCATENATE(TIMETABLE!D$6," ","[",TIMETABLE!D$7," ","Students","]"," ",TIMETABLE!D152,":"," ",TIMETABLE!D154," ",TIMETABLE!D153)</f>
        <v xml:space="preserve">BSME/SEP2020/J-FT [Y2S1  (50) Students] :  </v>
      </c>
      <c r="M273" s="318" t="str">
        <f>CONCATENATE(TIMETABLE!E$6," ","[",TIMETABLE!E$7," ","Students","]"," ",TIMETABLE!E152,":"," ",TIMETABLE!E154," ",TIMETABLE!E153)</f>
        <v xml:space="preserve">BSME/AUG2021/J-FT [Y1S2  (55) Students] :  </v>
      </c>
      <c r="N273" s="318" t="e">
        <f>CONCATENATE(TIMETABLE!#REF!," ","[",TIMETABLE!#REF!," ","Students","]"," ",TIMETABLE!#REF!,":"," ",TIMETABLE!#REF!," ",TIMETABLE!#REF!)</f>
        <v>#REF!</v>
      </c>
      <c r="O273" s="318" t="e">
        <f>CONCATENATE(TIMETABLE!#REF!," ","[",TIMETABLE!#REF!," ","Students","]"," ",TIMETABLE!#REF!,":"," ",TIMETABLE!#REF!," ",TIMETABLE!#REF!)</f>
        <v>#REF!</v>
      </c>
      <c r="P273" s="318" t="str">
        <f>CONCATENATE(TIMETABLE!F$6," ","[",TIMETABLE!F$7," ","Students","]"," ",TIMETABLE!F152,":"," ",TIMETABLE!F154," ",TIMETABLE!F153)</f>
        <v xml:space="preserve">BTME/SEP2019/S-PT [Y3S1   (10) Students] :  </v>
      </c>
      <c r="Q273" s="318" t="str">
        <f>CONCATENATE(TIMETABLE!G$6," ","[",TIMETABLE!G$7," ","Students","]"," ",TIMETABLE!G152,":"," ",TIMETABLE!G154," ",TIMETABLE!G153)</f>
        <v xml:space="preserve">BTME/AUG2021/S-PT [Y2S2   (10) Students] :  </v>
      </c>
      <c r="R273" s="318" t="e">
        <f>CONCATENATE(TIMETABLE!#REF!," ","[",TIMETABLE!#REF!," ","Students","]"," ",TIMETABLE!#REF!,":"," ",TIMETABLE!#REF!," ",TIMETABLE!#REF!)</f>
        <v>#REF!</v>
      </c>
      <c r="S273" s="318" t="e">
        <f>CONCATENATE(TIMETABLE!#REF!," ","[",TIMETABLE!#REF!," ","Students","]"," ",TIMETABLE!#REF!,":"," ",TIMETABLE!#REF!," ",TIMETABLE!#REF!)</f>
        <v>#REF!</v>
      </c>
      <c r="T273" s="318" t="str">
        <f>CONCATENATE(TIMETABLE!J$6," ","[",TIMETABLE!J$7," ","Students","]"," ",TIMETABLE!J152,":"," ",TIMETABLE!J154," ",TIMETABLE!J153)</f>
        <v xml:space="preserve">BTME/AUG2021/J&amp;S-FT [Y1S1  (52) Students] :  </v>
      </c>
      <c r="U273" s="318" t="e">
        <f>CONCATENATE(TIMETABLE!#REF!," ","[",TIMETABLE!#REF!," ","Students","]"," ",TIMETABLE!#REF!,":"," ",TIMETABLE!#REF!," ",TIMETABLE!#REF!)</f>
        <v>#REF!</v>
      </c>
      <c r="V273" s="318" t="e">
        <f>CONCATENATE(TIMETABLE!#REF!," ","[",TIMETABLE!#REF!," ","Students","]"," ",TIMETABLE!#REF!,":"," ",TIMETABLE!#REF!," ",TIMETABLE!#REF!)</f>
        <v>#REF!</v>
      </c>
      <c r="W273" s="318" t="e">
        <f>CONCATENATE(TIMETABLE!#REF!," ","[",TIMETABLE!#REF!," ","Students","]"," ",TIMETABLE!#REF!,":"," ",TIMETABLE!#REF!," ",TIMETABLE!#REF!)</f>
        <v>#REF!</v>
      </c>
      <c r="X273" s="318" t="e">
        <f>CONCATENATE(TIMETABLE!#REF!," ","[",TIMETABLE!#REF!," ","Students","]"," ",TIMETABLE!#REF!,":"," ",TIMETABLE!#REF!," ",TIMETABLE!#REF!)</f>
        <v>#REF!</v>
      </c>
      <c r="Y273" s="318" t="e">
        <f>CONCATENATE(TIMETABLE!#REF!," ","[",TIMETABLE!#REF!," ","Students","]"," ",TIMETABLE!#REF!,":"," ",TIMETABLE!#REF!," ",TIMETABLE!#REF!)</f>
        <v>#REF!</v>
      </c>
      <c r="Z273" s="318" t="e">
        <f>CONCATENATE(TIMETABLE!#REF!," ","[",TIMETABLE!#REF!," ","Students","]"," ",TIMETABLE!#REF!,":"," ",TIMETABLE!#REF!," ",TIMETABLE!#REF!)</f>
        <v>#REF!</v>
      </c>
      <c r="AA273" s="318" t="e">
        <f>CONCATENATE(TIMETABLE!#REF!," ","[",TIMETABLE!#REF!," ","Students","]"," ",TIMETABLE!#REF!,":"," ",TIMETABLE!#REF!," ",TIMETABLE!#REF!)</f>
        <v>#REF!</v>
      </c>
      <c r="AB273" s="318" t="e">
        <f>CONCATENATE(TIMETABLE!#REF!," ","[",TIMETABLE!#REF!," ","Students","]"," ",TIMETABLE!#REF!,":"," ",TIMETABLE!#REF!," ",TIMETABLE!#REF!)</f>
        <v>#REF!</v>
      </c>
      <c r="AC273" s="318" t="str">
        <f>CONCATENATE(TIMETABLE!W$6," ","[",TIMETABLE!W$7," ","Students","]"," ",TIMETABLE!W152,":"," ",TIMETABLE!W154," ",TIMETABLE!W153)</f>
        <v xml:space="preserve">DMAE/SEP20201J&amp;S-FT [Y1S2   (60) Students] :  </v>
      </c>
      <c r="AD273" s="318" t="e">
        <f>CONCATENATE(TIMETABLE!#REF!," ","[",TIMETABLE!#REF!," ","Students","]"," ",TIMETABLE!#REF!,":"," ",TIMETABLE!#REF!," ",TIMETABLE!#REF!)</f>
        <v>#REF!</v>
      </c>
      <c r="AE273" s="318" t="e">
        <f>CONCATENATE(TIMETABLE!#REF!," ","[",TIMETABLE!#REF!," ","Students","]"," ",TIMETABLE!#REF!,":"," ",TIMETABLE!#REF!," ",TIMETABLE!#REF!)</f>
        <v>#REF!</v>
      </c>
      <c r="AF273" s="495"/>
    </row>
    <row r="274" spans="3:32" ht="23.4" x14ac:dyDescent="0.45">
      <c r="C274" s="495"/>
      <c r="D274" s="243"/>
      <c r="E274" s="243"/>
      <c r="F274" s="243"/>
      <c r="G274" s="243"/>
      <c r="H274" s="243"/>
      <c r="I274" s="243"/>
      <c r="J274" s="243"/>
      <c r="K274" s="243"/>
      <c r="L274" s="243"/>
      <c r="M274" s="243"/>
      <c r="N274" s="243"/>
      <c r="O274" s="243"/>
      <c r="P274" s="243"/>
      <c r="Q274" s="243"/>
      <c r="R274" s="243"/>
      <c r="S274" s="243"/>
      <c r="T274" s="243"/>
      <c r="U274" s="243"/>
      <c r="V274" s="243"/>
      <c r="W274" s="243"/>
      <c r="X274" s="243"/>
      <c r="Y274" s="243"/>
      <c r="Z274" s="243"/>
      <c r="AA274" s="243"/>
      <c r="AB274" s="243"/>
      <c r="AC274" s="243"/>
      <c r="AD274" s="243"/>
      <c r="AE274" s="243"/>
      <c r="AF274" s="495"/>
    </row>
    <row r="275" spans="3:32" ht="23.4" x14ac:dyDescent="0.45">
      <c r="C275" s="495"/>
      <c r="D275" s="244"/>
      <c r="E275" s="244"/>
      <c r="F275" s="244"/>
      <c r="G275" s="244"/>
      <c r="H275" s="244"/>
      <c r="I275" s="244"/>
      <c r="J275" s="244"/>
      <c r="K275" s="244"/>
      <c r="L275" s="244"/>
      <c r="M275" s="244"/>
      <c r="N275" s="244"/>
      <c r="O275" s="244"/>
      <c r="P275" s="244"/>
      <c r="Q275" s="244"/>
      <c r="R275" s="244"/>
      <c r="S275" s="244"/>
      <c r="T275" s="244"/>
      <c r="U275" s="244"/>
      <c r="V275" s="244"/>
      <c r="W275" s="244"/>
      <c r="X275" s="244"/>
      <c r="Y275" s="244"/>
      <c r="Z275" s="244"/>
      <c r="AA275" s="244"/>
      <c r="AB275" s="244"/>
      <c r="AC275" s="244"/>
      <c r="AD275" s="244"/>
      <c r="AE275" s="244"/>
      <c r="AF275" s="495"/>
    </row>
    <row r="276" spans="3:32" ht="24" thickBot="1" x14ac:dyDescent="0.5">
      <c r="C276" s="495"/>
      <c r="D276" s="245"/>
      <c r="E276" s="318" t="e">
        <f>CONCATENATE(TIMETABLE!#REF!," ","[",TIMETABLE!#REF!," ","Students","]"," ",TIMETABLE!#REF!,":"," ",TIMETABLE!#REF!," ",TIMETABLE!#REF!)</f>
        <v>#REF!</v>
      </c>
      <c r="F276" s="318" t="e">
        <f>CONCATENATE(TIMETABLE!#REF!," ","[",TIMETABLE!#REF!," ","Students","]"," ",TIMETABLE!#REF!,":"," ",TIMETABLE!#REF!," ",TIMETABLE!#REF!)</f>
        <v>#REF!</v>
      </c>
      <c r="G276" s="318" t="e">
        <f>CONCATENATE(TIMETABLE!#REF!," ","[",TIMETABLE!#REF!," ","Students","]"," ",TIMETABLE!#REF!,":"," ",TIMETABLE!#REF!," ",TIMETABLE!#REF!)</f>
        <v>#REF!</v>
      </c>
      <c r="H276" s="318" t="e">
        <f>CONCATENATE(TIMETABLE!#REF!," ","[",TIMETABLE!#REF!," ","Students","]"," ",TIMETABLE!#REF!,":"," ",TIMETABLE!#REF!," ",TIMETABLE!#REF!)</f>
        <v>#REF!</v>
      </c>
      <c r="I276" s="318" t="e">
        <f>CONCATENATE(TIMETABLE!#REF!," ","[",TIMETABLE!#REF!," ","Students","]"," ",TIMETABLE!#REF!,":"," ",TIMETABLE!#REF!," ",TIMETABLE!#REF!)</f>
        <v>#REF!</v>
      </c>
      <c r="J276" s="318" t="e">
        <f>CONCATENATE(TIMETABLE!#REF!," ","[",TIMETABLE!#REF!," ","Students","]"," ",TIMETABLE!#REF!,":"," ",TIMETABLE!#REF!," ",TIMETABLE!#REF!)</f>
        <v>#REF!</v>
      </c>
      <c r="K276" s="318" t="e">
        <f>CONCATENATE(TIMETABLE!#REF!," ","[",TIMETABLE!#REF!," ","Students","]"," ",TIMETABLE!#REF!,":"," ",TIMETABLE!#REF!," ",TIMETABLE!#REF!)</f>
        <v>#REF!</v>
      </c>
      <c r="L276" s="318" t="str">
        <f>CONCATENATE(TIMETABLE!D$6," ","[",TIMETABLE!D$7," ","Students","]"," ",TIMETABLE!D155,":"," ",TIMETABLE!D157," ",TIMETABLE!D156)</f>
        <v xml:space="preserve">BSME/SEP2020/J-FT [Y2S1  (50) Students] :  </v>
      </c>
      <c r="M276" s="318" t="str">
        <f>CONCATENATE(TIMETABLE!E$6," ","[",TIMETABLE!E$7," ","Students","]"," ",TIMETABLE!E155,":"," ",TIMETABLE!E157," ",TIMETABLE!E156)</f>
        <v xml:space="preserve">BSME/AUG2021/J-FT [Y1S2  (55) Students] :  </v>
      </c>
      <c r="N276" s="318" t="e">
        <f>CONCATENATE(TIMETABLE!#REF!," ","[",TIMETABLE!#REF!," ","Students","]"," ",TIMETABLE!#REF!,":"," ",TIMETABLE!#REF!," ",TIMETABLE!#REF!)</f>
        <v>#REF!</v>
      </c>
      <c r="O276" s="318" t="e">
        <f>CONCATENATE(TIMETABLE!#REF!," ","[",TIMETABLE!#REF!," ","Students","]"," ",TIMETABLE!#REF!,":"," ",TIMETABLE!#REF!," ",TIMETABLE!#REF!)</f>
        <v>#REF!</v>
      </c>
      <c r="P276" s="318" t="str">
        <f>CONCATENATE(TIMETABLE!F$6," ","[",TIMETABLE!F$7," ","Students","]"," ",TIMETABLE!F155,":"," ",TIMETABLE!F157," ",TIMETABLE!F156)</f>
        <v xml:space="preserve">BTME/SEP2019/S-PT [Y3S1   (10) Students] :  </v>
      </c>
      <c r="Q276" s="318" t="str">
        <f>CONCATENATE(TIMETABLE!G$6," ","[",TIMETABLE!G$7," ","Students","]"," ",TIMETABLE!G155,":"," ",TIMETABLE!G157," ",TIMETABLE!G156)</f>
        <v xml:space="preserve">BTME/AUG2021/S-PT [Y2S2   (10) Students] :  </v>
      </c>
      <c r="R276" s="318" t="e">
        <f>CONCATENATE(TIMETABLE!#REF!," ","[",TIMETABLE!#REF!," ","Students","]"," ",TIMETABLE!#REF!,":"," ",TIMETABLE!#REF!," ",TIMETABLE!#REF!)</f>
        <v>#REF!</v>
      </c>
      <c r="S276" s="318" t="e">
        <f>CONCATENATE(TIMETABLE!#REF!," ","[",TIMETABLE!#REF!," ","Students","]"," ",TIMETABLE!#REF!,":"," ",TIMETABLE!#REF!," ",TIMETABLE!#REF!)</f>
        <v>#REF!</v>
      </c>
      <c r="T276" s="318" t="str">
        <f>CONCATENATE(TIMETABLE!J$6," ","[",TIMETABLE!J$7," ","Students","]"," ",TIMETABLE!J155,":"," ",TIMETABLE!J157," ",TIMETABLE!J156)</f>
        <v xml:space="preserve">BTME/AUG2021/J&amp;S-FT [Y1S1  (52) Students] :  </v>
      </c>
      <c r="U276" s="318" t="e">
        <f>CONCATENATE(TIMETABLE!#REF!," ","[",TIMETABLE!#REF!," ","Students","]"," ",TIMETABLE!#REF!,":"," ",TIMETABLE!#REF!," ",TIMETABLE!#REF!)</f>
        <v>#REF!</v>
      </c>
      <c r="V276" s="318" t="e">
        <f>CONCATENATE(TIMETABLE!#REF!," ","[",TIMETABLE!#REF!," ","Students","]"," ",TIMETABLE!#REF!,":"," ",TIMETABLE!#REF!," ",TIMETABLE!#REF!)</f>
        <v>#REF!</v>
      </c>
      <c r="W276" s="318" t="e">
        <f>CONCATENATE(TIMETABLE!#REF!," ","[",TIMETABLE!#REF!," ","Students","]"," ",TIMETABLE!#REF!,":"," ",TIMETABLE!#REF!," ",TIMETABLE!#REF!)</f>
        <v>#REF!</v>
      </c>
      <c r="X276" s="318" t="e">
        <f>CONCATENATE(TIMETABLE!#REF!," ","[",TIMETABLE!#REF!," ","Students","]"," ",TIMETABLE!#REF!,":"," ",TIMETABLE!#REF!," ",TIMETABLE!#REF!)</f>
        <v>#REF!</v>
      </c>
      <c r="Y276" s="318" t="e">
        <f>CONCATENATE(TIMETABLE!#REF!," ","[",TIMETABLE!#REF!," ","Students","]"," ",TIMETABLE!#REF!,":"," ",TIMETABLE!#REF!," ",TIMETABLE!#REF!)</f>
        <v>#REF!</v>
      </c>
      <c r="Z276" s="318" t="e">
        <f>CONCATENATE(TIMETABLE!#REF!," ","[",TIMETABLE!#REF!," ","Students","]"," ",TIMETABLE!#REF!,":"," ",TIMETABLE!#REF!," ",TIMETABLE!#REF!)</f>
        <v>#REF!</v>
      </c>
      <c r="AA276" s="318" t="e">
        <f>CONCATENATE(TIMETABLE!#REF!," ","[",TIMETABLE!#REF!," ","Students","]"," ",TIMETABLE!#REF!,":"," ",TIMETABLE!#REF!," ",TIMETABLE!#REF!)</f>
        <v>#REF!</v>
      </c>
      <c r="AB276" s="318" t="e">
        <f>CONCATENATE(TIMETABLE!#REF!," ","[",TIMETABLE!#REF!," ","Students","]"," ",TIMETABLE!#REF!,":"," ",TIMETABLE!#REF!," ",TIMETABLE!#REF!)</f>
        <v>#REF!</v>
      </c>
      <c r="AC276" s="318" t="str">
        <f>CONCATENATE(TIMETABLE!W$6," ","[",TIMETABLE!W$7," ","Students","]"," ",TIMETABLE!W155,":"," ",TIMETABLE!W157," ",TIMETABLE!W156)</f>
        <v xml:space="preserve">DMAE/SEP20201J&amp;S-FT [Y1S2   (60) Students] :  </v>
      </c>
      <c r="AD276" s="318" t="e">
        <f>CONCATENATE(TIMETABLE!#REF!," ","[",TIMETABLE!#REF!," ","Students","]"," ",TIMETABLE!#REF!,":"," ",TIMETABLE!#REF!," ",TIMETABLE!#REF!)</f>
        <v>#REF!</v>
      </c>
      <c r="AE276" s="318" t="e">
        <f>CONCATENATE(TIMETABLE!#REF!," ","[",TIMETABLE!#REF!," ","Students","]"," ",TIMETABLE!#REF!,":"," ",TIMETABLE!#REF!," ",TIMETABLE!#REF!)</f>
        <v>#REF!</v>
      </c>
      <c r="AF276" s="495"/>
    </row>
    <row r="277" spans="3:32" ht="23.4" x14ac:dyDescent="0.45">
      <c r="C277" s="495"/>
      <c r="D277" s="243"/>
      <c r="E277" s="243"/>
      <c r="F277" s="243"/>
      <c r="G277" s="243"/>
      <c r="H277" s="243"/>
      <c r="I277" s="243"/>
      <c r="J277" s="243"/>
      <c r="K277" s="243"/>
      <c r="L277" s="243"/>
      <c r="M277" s="243"/>
      <c r="N277" s="243"/>
      <c r="O277" s="243"/>
      <c r="P277" s="243"/>
      <c r="Q277" s="243"/>
      <c r="R277" s="243"/>
      <c r="S277" s="243"/>
      <c r="T277" s="243"/>
      <c r="U277" s="243"/>
      <c r="V277" s="243"/>
      <c r="W277" s="243"/>
      <c r="X277" s="243"/>
      <c r="Y277" s="243"/>
      <c r="Z277" s="243"/>
      <c r="AA277" s="243"/>
      <c r="AB277" s="243"/>
      <c r="AC277" s="243"/>
      <c r="AD277" s="243"/>
      <c r="AE277" s="243"/>
      <c r="AF277" s="495"/>
    </row>
    <row r="278" spans="3:32" ht="23.4" x14ac:dyDescent="0.45">
      <c r="C278" s="495"/>
      <c r="D278" s="244"/>
      <c r="E278" s="244"/>
      <c r="F278" s="244"/>
      <c r="G278" s="244"/>
      <c r="H278" s="244"/>
      <c r="I278" s="244"/>
      <c r="J278" s="244"/>
      <c r="K278" s="244"/>
      <c r="L278" s="244"/>
      <c r="M278" s="244"/>
      <c r="N278" s="244"/>
      <c r="O278" s="244"/>
      <c r="P278" s="244"/>
      <c r="Q278" s="244"/>
      <c r="R278" s="244"/>
      <c r="S278" s="244"/>
      <c r="T278" s="244"/>
      <c r="U278" s="244"/>
      <c r="V278" s="244"/>
      <c r="W278" s="244"/>
      <c r="X278" s="244"/>
      <c r="Y278" s="244"/>
      <c r="Z278" s="244"/>
      <c r="AA278" s="244"/>
      <c r="AB278" s="244"/>
      <c r="AC278" s="244"/>
      <c r="AD278" s="244"/>
      <c r="AE278" s="244"/>
      <c r="AF278" s="495"/>
    </row>
    <row r="279" spans="3:32" ht="24" thickBot="1" x14ac:dyDescent="0.5">
      <c r="C279" s="495"/>
      <c r="D279" s="245"/>
      <c r="E279" s="318" t="e">
        <f>CONCATENATE(TIMETABLE!#REF!," ","[",TIMETABLE!#REF!," ","Students","]"," ",TIMETABLE!#REF!,":"," ",TIMETABLE!#REF!," ",TIMETABLE!#REF!)</f>
        <v>#REF!</v>
      </c>
      <c r="F279" s="318" t="e">
        <f>CONCATENATE(TIMETABLE!#REF!," ","[",TIMETABLE!#REF!," ","Students","]"," ",TIMETABLE!#REF!,":"," ",TIMETABLE!#REF!," ",TIMETABLE!#REF!)</f>
        <v>#REF!</v>
      </c>
      <c r="G279" s="318" t="e">
        <f>CONCATENATE(TIMETABLE!#REF!," ","[",TIMETABLE!#REF!," ","Students","]"," ",TIMETABLE!#REF!,":"," ",TIMETABLE!#REF!," ",TIMETABLE!#REF!)</f>
        <v>#REF!</v>
      </c>
      <c r="H279" s="318" t="e">
        <f>CONCATENATE(TIMETABLE!#REF!," ","[",TIMETABLE!#REF!," ","Students","]"," ",TIMETABLE!#REF!,":"," ",TIMETABLE!#REF!," ",TIMETABLE!#REF!)</f>
        <v>#REF!</v>
      </c>
      <c r="I279" s="318" t="e">
        <f>CONCATENATE(TIMETABLE!#REF!," ","[",TIMETABLE!#REF!," ","Students","]"," ",TIMETABLE!#REF!,":"," ",TIMETABLE!#REF!," ",TIMETABLE!#REF!)</f>
        <v>#REF!</v>
      </c>
      <c r="J279" s="318" t="e">
        <f>CONCATENATE(TIMETABLE!#REF!," ","[",TIMETABLE!#REF!," ","Students","]"," ",TIMETABLE!#REF!,":"," ",TIMETABLE!#REF!," ",TIMETABLE!#REF!)</f>
        <v>#REF!</v>
      </c>
      <c r="K279" s="318" t="e">
        <f>CONCATENATE(TIMETABLE!#REF!," ","[",TIMETABLE!#REF!," ","Students","]"," ",TIMETABLE!#REF!,":"," ",TIMETABLE!#REF!," ",TIMETABLE!#REF!)</f>
        <v>#REF!</v>
      </c>
      <c r="L279" s="318" t="str">
        <f>CONCATENATE(TIMETABLE!D$6," ","[",TIMETABLE!D$7," ","Students","]"," ",TIMETABLE!D158,":"," ",TIMETABLE!D160," ",TIMETABLE!D159)</f>
        <v xml:space="preserve">BSME/SEP2020/J-FT [Y2S1  (50) Students] :  </v>
      </c>
      <c r="M279" s="318" t="str">
        <f>CONCATENATE(TIMETABLE!E$6," ","[",TIMETABLE!E$7," ","Students","]"," ",TIMETABLE!E158,":"," ",TIMETABLE!E160," ",TIMETABLE!E159)</f>
        <v xml:space="preserve">BSME/AUG2021/J-FT [Y1S2  (55) Students] :  </v>
      </c>
      <c r="N279" s="318" t="e">
        <f>CONCATENATE(TIMETABLE!#REF!," ","[",TIMETABLE!#REF!," ","Students","]"," ",TIMETABLE!#REF!,":"," ",TIMETABLE!#REF!," ",TIMETABLE!#REF!)</f>
        <v>#REF!</v>
      </c>
      <c r="O279" s="318" t="e">
        <f>CONCATENATE(TIMETABLE!#REF!," ","[",TIMETABLE!#REF!," ","Students","]"," ",TIMETABLE!#REF!,":"," ",TIMETABLE!#REF!," ",TIMETABLE!#REF!)</f>
        <v>#REF!</v>
      </c>
      <c r="P279" s="318" t="str">
        <f>CONCATENATE(TIMETABLE!F$6," ","[",TIMETABLE!F$7," ","Students","]"," ",TIMETABLE!F158,":"," ",TIMETABLE!F160," ",TIMETABLE!F159)</f>
        <v xml:space="preserve">BTME/SEP2019/S-PT [Y3S1   (10) Students] :  </v>
      </c>
      <c r="Q279" s="318" t="str">
        <f>CONCATENATE(TIMETABLE!G$6," ","[",TIMETABLE!G$7," ","Students","]"," ",TIMETABLE!G158,":"," ",TIMETABLE!G160," ",TIMETABLE!G159)</f>
        <v xml:space="preserve">BTME/AUG2021/S-PT [Y2S2   (10) Students] :  </v>
      </c>
      <c r="R279" s="318" t="e">
        <f>CONCATENATE(TIMETABLE!#REF!," ","[",TIMETABLE!#REF!," ","Students","]"," ",TIMETABLE!#REF!,":"," ",TIMETABLE!#REF!," ",TIMETABLE!#REF!)</f>
        <v>#REF!</v>
      </c>
      <c r="S279" s="318" t="e">
        <f>CONCATENATE(TIMETABLE!#REF!," ","[",TIMETABLE!#REF!," ","Students","]"," ",TIMETABLE!#REF!,":"," ",TIMETABLE!#REF!," ",TIMETABLE!#REF!)</f>
        <v>#REF!</v>
      </c>
      <c r="T279" s="318" t="str">
        <f>CONCATENATE(TIMETABLE!J$6," ","[",TIMETABLE!J$7," ","Students","]"," ",TIMETABLE!J158,":"," ",TIMETABLE!J160," ",TIMETABLE!J159)</f>
        <v xml:space="preserve">BTME/AUG2021/J&amp;S-FT [Y1S1  (52) Students] :  </v>
      </c>
      <c r="U279" s="318" t="e">
        <f>CONCATENATE(TIMETABLE!#REF!," ","[",TIMETABLE!#REF!," ","Students","]"," ",TIMETABLE!#REF!,":"," ",TIMETABLE!#REF!," ",TIMETABLE!#REF!)</f>
        <v>#REF!</v>
      </c>
      <c r="V279" s="318" t="e">
        <f>CONCATENATE(TIMETABLE!#REF!," ","[",TIMETABLE!#REF!," ","Students","]"," ",TIMETABLE!#REF!,":"," ",TIMETABLE!#REF!," ",TIMETABLE!#REF!)</f>
        <v>#REF!</v>
      </c>
      <c r="W279" s="318" t="e">
        <f>CONCATENATE(TIMETABLE!#REF!," ","[",TIMETABLE!#REF!," ","Students","]"," ",TIMETABLE!#REF!,":"," ",TIMETABLE!#REF!," ",TIMETABLE!#REF!)</f>
        <v>#REF!</v>
      </c>
      <c r="X279" s="318" t="e">
        <f>CONCATENATE(TIMETABLE!#REF!," ","[",TIMETABLE!#REF!," ","Students","]"," ",TIMETABLE!#REF!,":"," ",TIMETABLE!#REF!," ",TIMETABLE!#REF!)</f>
        <v>#REF!</v>
      </c>
      <c r="Y279" s="318" t="e">
        <f>CONCATENATE(TIMETABLE!#REF!," ","[",TIMETABLE!#REF!," ","Students","]"," ",TIMETABLE!#REF!,":"," ",TIMETABLE!#REF!," ",TIMETABLE!#REF!)</f>
        <v>#REF!</v>
      </c>
      <c r="Z279" s="318" t="e">
        <f>CONCATENATE(TIMETABLE!#REF!," ","[",TIMETABLE!#REF!," ","Students","]"," ",TIMETABLE!#REF!,":"," ",TIMETABLE!#REF!," ",TIMETABLE!#REF!)</f>
        <v>#REF!</v>
      </c>
      <c r="AA279" s="318" t="e">
        <f>CONCATENATE(TIMETABLE!#REF!," ","[",TIMETABLE!#REF!," ","Students","]"," ",TIMETABLE!#REF!,":"," ",TIMETABLE!#REF!," ",TIMETABLE!#REF!)</f>
        <v>#REF!</v>
      </c>
      <c r="AB279" s="318" t="e">
        <f>CONCATENATE(TIMETABLE!#REF!," ","[",TIMETABLE!#REF!," ","Students","]"," ",TIMETABLE!#REF!,":"," ",TIMETABLE!#REF!," ",TIMETABLE!#REF!)</f>
        <v>#REF!</v>
      </c>
      <c r="AC279" s="318" t="str">
        <f>CONCATENATE(TIMETABLE!W$6," ","[",TIMETABLE!W$7," ","Students","]"," ",TIMETABLE!W158,":"," ",TIMETABLE!W160," ",TIMETABLE!W159)</f>
        <v xml:space="preserve">DMAE/SEP20201J&amp;S-FT [Y1S2   (60) Students] :  </v>
      </c>
      <c r="AD279" s="318" t="e">
        <f>CONCATENATE(TIMETABLE!#REF!," ","[",TIMETABLE!#REF!," ","Students","]"," ",TIMETABLE!#REF!,":"," ",TIMETABLE!#REF!," ",TIMETABLE!#REF!)</f>
        <v>#REF!</v>
      </c>
      <c r="AE279" s="318" t="e">
        <f>CONCATENATE(TIMETABLE!#REF!," ","[",TIMETABLE!#REF!," ","Students","]"," ",TIMETABLE!#REF!,":"," ",TIMETABLE!#REF!," ",TIMETABLE!#REF!)</f>
        <v>#REF!</v>
      </c>
      <c r="AF279" s="495"/>
    </row>
    <row r="280" spans="3:32" ht="23.4" x14ac:dyDescent="0.45">
      <c r="C280" s="495"/>
      <c r="D280" s="243"/>
      <c r="E280" s="243"/>
      <c r="F280" s="243"/>
      <c r="G280" s="243"/>
      <c r="H280" s="243"/>
      <c r="I280" s="243"/>
      <c r="J280" s="243"/>
      <c r="K280" s="243"/>
      <c r="L280" s="243"/>
      <c r="M280" s="243"/>
      <c r="N280" s="243"/>
      <c r="O280" s="243"/>
      <c r="P280" s="243"/>
      <c r="Q280" s="243"/>
      <c r="R280" s="243"/>
      <c r="S280" s="243"/>
      <c r="T280" s="243"/>
      <c r="U280" s="243"/>
      <c r="V280" s="243"/>
      <c r="W280" s="243"/>
      <c r="X280" s="243"/>
      <c r="Y280" s="243"/>
      <c r="Z280" s="243"/>
      <c r="AA280" s="243"/>
      <c r="AB280" s="243"/>
      <c r="AC280" s="243"/>
      <c r="AD280" s="243"/>
      <c r="AE280" s="243"/>
      <c r="AF280" s="495"/>
    </row>
    <row r="281" spans="3:32" ht="23.4" x14ac:dyDescent="0.45">
      <c r="C281" s="495"/>
      <c r="D281" s="244"/>
      <c r="E281" s="244"/>
      <c r="F281" s="244"/>
      <c r="G281" s="244"/>
      <c r="H281" s="244"/>
      <c r="I281" s="244"/>
      <c r="J281" s="244"/>
      <c r="K281" s="244"/>
      <c r="L281" s="244"/>
      <c r="M281" s="244"/>
      <c r="N281" s="244"/>
      <c r="O281" s="244"/>
      <c r="P281" s="244"/>
      <c r="Q281" s="244"/>
      <c r="R281" s="244"/>
      <c r="S281" s="244"/>
      <c r="T281" s="244"/>
      <c r="U281" s="244"/>
      <c r="V281" s="244"/>
      <c r="W281" s="244"/>
      <c r="X281" s="244"/>
      <c r="Y281" s="244"/>
      <c r="Z281" s="244"/>
      <c r="AA281" s="244"/>
      <c r="AB281" s="244"/>
      <c r="AC281" s="244"/>
      <c r="AD281" s="244"/>
      <c r="AE281" s="244"/>
      <c r="AF281" s="495"/>
    </row>
    <row r="282" spans="3:32" ht="24" thickBot="1" x14ac:dyDescent="0.5">
      <c r="C282" s="496"/>
      <c r="D282" s="245"/>
      <c r="E282" s="318" t="e">
        <f>CONCATENATE(TIMETABLE!#REF!," ","[",TIMETABLE!#REF!," ","Students","]"," ",TIMETABLE!#REF!,":"," ",TIMETABLE!#REF!," ",TIMETABLE!#REF!)</f>
        <v>#REF!</v>
      </c>
      <c r="F282" s="318" t="e">
        <f>CONCATENATE(TIMETABLE!#REF!," ","[",TIMETABLE!#REF!," ","Students","]"," ",TIMETABLE!#REF!,":"," ",TIMETABLE!#REF!," ",TIMETABLE!#REF!)</f>
        <v>#REF!</v>
      </c>
      <c r="G282" s="318" t="e">
        <f>CONCATENATE(TIMETABLE!#REF!," ","[",TIMETABLE!#REF!," ","Students","]"," ",TIMETABLE!#REF!,":"," ",TIMETABLE!#REF!," ",TIMETABLE!#REF!)</f>
        <v>#REF!</v>
      </c>
      <c r="H282" s="318" t="e">
        <f>CONCATENATE(TIMETABLE!#REF!," ","[",TIMETABLE!#REF!," ","Students","]"," ",TIMETABLE!#REF!,":"," ",TIMETABLE!#REF!," ",TIMETABLE!#REF!)</f>
        <v>#REF!</v>
      </c>
      <c r="I282" s="318" t="e">
        <f>CONCATENATE(TIMETABLE!#REF!," ","[",TIMETABLE!#REF!," ","Students","]"," ",TIMETABLE!#REF!,":"," ",TIMETABLE!#REF!," ",TIMETABLE!#REF!)</f>
        <v>#REF!</v>
      </c>
      <c r="J282" s="318" t="e">
        <f>CONCATENATE(TIMETABLE!#REF!," ","[",TIMETABLE!#REF!," ","Students","]"," ",TIMETABLE!#REF!,":"," ",TIMETABLE!#REF!," ",TIMETABLE!#REF!)</f>
        <v>#REF!</v>
      </c>
      <c r="K282" s="318" t="e">
        <f>CONCATENATE(TIMETABLE!#REF!," ","[",TIMETABLE!#REF!," ","Students","]"," ",TIMETABLE!#REF!,":"," ",TIMETABLE!#REF!," ",TIMETABLE!#REF!)</f>
        <v>#REF!</v>
      </c>
      <c r="L282" s="318" t="str">
        <f>CONCATENATE(TIMETABLE!D$6," ","[",TIMETABLE!D$7," ","Students","]"," ",TIMETABLE!D161,":"," ",TIMETABLE!D163," ",TIMETABLE!D162)</f>
        <v xml:space="preserve">BSME/SEP2020/J-FT [Y2S1  (50) Students] :  </v>
      </c>
      <c r="M282" s="318" t="str">
        <f>CONCATENATE(TIMETABLE!E$6," ","[",TIMETABLE!E$7," ","Students","]"," ",TIMETABLE!E161,":"," ",TIMETABLE!E163," ",TIMETABLE!E162)</f>
        <v xml:space="preserve">BSME/AUG2021/J-FT [Y1S2  (55) Students] :  </v>
      </c>
      <c r="N282" s="318" t="e">
        <f>CONCATENATE(TIMETABLE!#REF!," ","[",TIMETABLE!#REF!," ","Students","]"," ",TIMETABLE!#REF!,":"," ",TIMETABLE!#REF!," ",TIMETABLE!#REF!)</f>
        <v>#REF!</v>
      </c>
      <c r="O282" s="318" t="e">
        <f>CONCATENATE(TIMETABLE!#REF!," ","[",TIMETABLE!#REF!," ","Students","]"," ",TIMETABLE!#REF!,":"," ",TIMETABLE!#REF!," ",TIMETABLE!#REF!)</f>
        <v>#REF!</v>
      </c>
      <c r="P282" s="318" t="str">
        <f>CONCATENATE(TIMETABLE!F$6," ","[",TIMETABLE!F$7," ","Students","]"," ",TIMETABLE!F161,":"," ",TIMETABLE!F163," ",TIMETABLE!F162)</f>
        <v xml:space="preserve">BTME/SEP2019/S-PT [Y3S1   (10) Students] :  </v>
      </c>
      <c r="Q282" s="318" t="str">
        <f>CONCATENATE(TIMETABLE!G$6," ","[",TIMETABLE!G$7," ","Students","]"," ",TIMETABLE!G161,":"," ",TIMETABLE!G163," ",TIMETABLE!G162)</f>
        <v xml:space="preserve">BTME/AUG2021/S-PT [Y2S2   (10) Students] :  </v>
      </c>
      <c r="R282" s="318" t="e">
        <f>CONCATENATE(TIMETABLE!#REF!," ","[",TIMETABLE!#REF!," ","Students","]"," ",TIMETABLE!#REF!,":"," ",TIMETABLE!#REF!," ",TIMETABLE!#REF!)</f>
        <v>#REF!</v>
      </c>
      <c r="S282" s="318" t="e">
        <f>CONCATENATE(TIMETABLE!#REF!," ","[",TIMETABLE!#REF!," ","Students","]"," ",TIMETABLE!#REF!,":"," ",TIMETABLE!#REF!," ",TIMETABLE!#REF!)</f>
        <v>#REF!</v>
      </c>
      <c r="T282" s="318" t="str">
        <f>CONCATENATE(TIMETABLE!J$6," ","[",TIMETABLE!J$7," ","Students","]"," ",TIMETABLE!J161,":"," ",TIMETABLE!J163," ",TIMETABLE!J162)</f>
        <v xml:space="preserve">BTME/AUG2021/J&amp;S-FT [Y1S1  (52) Students] :  </v>
      </c>
      <c r="U282" s="318" t="e">
        <f>CONCATENATE(TIMETABLE!#REF!," ","[",TIMETABLE!#REF!," ","Students","]"," ",TIMETABLE!#REF!,":"," ",TIMETABLE!#REF!," ",TIMETABLE!#REF!)</f>
        <v>#REF!</v>
      </c>
      <c r="V282" s="318" t="e">
        <f>CONCATENATE(TIMETABLE!#REF!," ","[",TIMETABLE!#REF!," ","Students","]"," ",TIMETABLE!#REF!,":"," ",TIMETABLE!#REF!," ",TIMETABLE!#REF!)</f>
        <v>#REF!</v>
      </c>
      <c r="W282" s="318" t="e">
        <f>CONCATENATE(TIMETABLE!#REF!," ","[",TIMETABLE!#REF!," ","Students","]"," ",TIMETABLE!#REF!,":"," ",TIMETABLE!#REF!," ",TIMETABLE!#REF!)</f>
        <v>#REF!</v>
      </c>
      <c r="X282" s="318" t="e">
        <f>CONCATENATE(TIMETABLE!#REF!," ","[",TIMETABLE!#REF!," ","Students","]"," ",TIMETABLE!#REF!,":"," ",TIMETABLE!#REF!," ",TIMETABLE!#REF!)</f>
        <v>#REF!</v>
      </c>
      <c r="Y282" s="318" t="e">
        <f>CONCATENATE(TIMETABLE!#REF!," ","[",TIMETABLE!#REF!," ","Students","]"," ",TIMETABLE!#REF!,":"," ",TIMETABLE!#REF!," ",TIMETABLE!#REF!)</f>
        <v>#REF!</v>
      </c>
      <c r="Z282" s="318" t="e">
        <f>CONCATENATE(TIMETABLE!#REF!," ","[",TIMETABLE!#REF!," ","Students","]"," ",TIMETABLE!#REF!,":"," ",TIMETABLE!#REF!," ",TIMETABLE!#REF!)</f>
        <v>#REF!</v>
      </c>
      <c r="AA282" s="318" t="e">
        <f>CONCATENATE(TIMETABLE!#REF!," ","[",TIMETABLE!#REF!," ","Students","]"," ",TIMETABLE!#REF!,":"," ",TIMETABLE!#REF!," ",TIMETABLE!#REF!)</f>
        <v>#REF!</v>
      </c>
      <c r="AB282" s="318" t="e">
        <f>CONCATENATE(TIMETABLE!#REF!," ","[",TIMETABLE!#REF!," ","Students","]"," ",TIMETABLE!#REF!,":"," ",TIMETABLE!#REF!," ",TIMETABLE!#REF!)</f>
        <v>#REF!</v>
      </c>
      <c r="AC282" s="318" t="str">
        <f>CONCATENATE(TIMETABLE!W$6," ","[",TIMETABLE!W$7," ","Students","]"," ",TIMETABLE!W161,":"," ",TIMETABLE!W163," ",TIMETABLE!W162)</f>
        <v xml:space="preserve">DMAE/SEP20201J&amp;S-FT [Y1S2   (60) Students] :  </v>
      </c>
      <c r="AD282" s="318" t="e">
        <f>CONCATENATE(TIMETABLE!#REF!," ","[",TIMETABLE!#REF!," ","Students","]"," ",TIMETABLE!#REF!,":"," ",TIMETABLE!#REF!," ",TIMETABLE!#REF!)</f>
        <v>#REF!</v>
      </c>
      <c r="AE282" s="318" t="e">
        <f>CONCATENATE(TIMETABLE!#REF!," ","[",TIMETABLE!#REF!," ","Students","]"," ",TIMETABLE!#REF!,":"," ",TIMETABLE!#REF!," ",TIMETABLE!#REF!)</f>
        <v>#REF!</v>
      </c>
      <c r="AF282" s="506"/>
    </row>
    <row r="283" spans="3:32" ht="15.6" thickTop="1" x14ac:dyDescent="0.25"/>
  </sheetData>
  <mergeCells count="14">
    <mergeCell ref="C244:C282"/>
    <mergeCell ref="AF244:AF282"/>
    <mergeCell ref="C127:C165"/>
    <mergeCell ref="AF127:AF165"/>
    <mergeCell ref="C166:C204"/>
    <mergeCell ref="AF166:AF204"/>
    <mergeCell ref="C205:C243"/>
    <mergeCell ref="AF205:AF243"/>
    <mergeCell ref="C10:C48"/>
    <mergeCell ref="AF10:AF48"/>
    <mergeCell ref="C49:C87"/>
    <mergeCell ref="AF49:AF87"/>
    <mergeCell ref="C88:C126"/>
    <mergeCell ref="AF88:AF126"/>
  </mergeCells>
  <conditionalFormatting sqref="E12:AE12">
    <cfRule type="duplicateValues" dxfId="202" priority="288" stopIfTrue="1"/>
  </conditionalFormatting>
  <conditionalFormatting sqref="E11:AE11">
    <cfRule type="duplicateValues" dxfId="201" priority="289" stopIfTrue="1"/>
  </conditionalFormatting>
  <conditionalFormatting sqref="E14:AE14">
    <cfRule type="duplicateValues" dxfId="200" priority="290" stopIfTrue="1"/>
  </conditionalFormatting>
  <conditionalFormatting sqref="E17:AE17">
    <cfRule type="duplicateValues" dxfId="199" priority="292" stopIfTrue="1"/>
  </conditionalFormatting>
  <conditionalFormatting sqref="E20:AE20">
    <cfRule type="duplicateValues" dxfId="198" priority="294" stopIfTrue="1"/>
  </conditionalFormatting>
  <conditionalFormatting sqref="E23:AE23">
    <cfRule type="duplicateValues" dxfId="197" priority="296" stopIfTrue="1"/>
  </conditionalFormatting>
  <conditionalFormatting sqref="E26:AE26">
    <cfRule type="duplicateValues" dxfId="196" priority="298" stopIfTrue="1"/>
  </conditionalFormatting>
  <conditionalFormatting sqref="E32:AE32">
    <cfRule type="duplicateValues" dxfId="195" priority="300" stopIfTrue="1"/>
  </conditionalFormatting>
  <conditionalFormatting sqref="E35:AE35">
    <cfRule type="duplicateValues" dxfId="194" priority="302" stopIfTrue="1"/>
  </conditionalFormatting>
  <conditionalFormatting sqref="E38:AE38">
    <cfRule type="duplicateValues" dxfId="193" priority="304" stopIfTrue="1"/>
  </conditionalFormatting>
  <conditionalFormatting sqref="E41:AE41">
    <cfRule type="duplicateValues" dxfId="192" priority="306" stopIfTrue="1"/>
  </conditionalFormatting>
  <conditionalFormatting sqref="E44:AE44">
    <cfRule type="duplicateValues" dxfId="191" priority="308" stopIfTrue="1"/>
  </conditionalFormatting>
  <conditionalFormatting sqref="E47:AE47">
    <cfRule type="duplicateValues" dxfId="190" priority="310" stopIfTrue="1"/>
  </conditionalFormatting>
  <conditionalFormatting sqref="E50:AE50">
    <cfRule type="duplicateValues" dxfId="189" priority="312" stopIfTrue="1"/>
  </conditionalFormatting>
  <conditionalFormatting sqref="E51:AE51">
    <cfRule type="duplicateValues" dxfId="188" priority="313" stopIfTrue="1"/>
  </conditionalFormatting>
  <conditionalFormatting sqref="E53:AE53">
    <cfRule type="duplicateValues" dxfId="187" priority="314" stopIfTrue="1"/>
  </conditionalFormatting>
  <conditionalFormatting sqref="E56:AE56">
    <cfRule type="duplicateValues" dxfId="186" priority="316" stopIfTrue="1"/>
    <cfRule type="duplicateValues" dxfId="185" priority="317" stopIfTrue="1"/>
  </conditionalFormatting>
  <conditionalFormatting sqref="E59:AE59">
    <cfRule type="duplicateValues" dxfId="184" priority="318" stopIfTrue="1"/>
    <cfRule type="duplicateValues" dxfId="183" priority="319" stopIfTrue="1"/>
  </conditionalFormatting>
  <conditionalFormatting sqref="E62:AE62">
    <cfRule type="duplicateValues" dxfId="182" priority="320" stopIfTrue="1"/>
    <cfRule type="duplicateValues" dxfId="181" priority="321" stopIfTrue="1"/>
  </conditionalFormatting>
  <conditionalFormatting sqref="E65:AE65">
    <cfRule type="duplicateValues" dxfId="180" priority="322" stopIfTrue="1"/>
    <cfRule type="duplicateValues" dxfId="179" priority="323" stopIfTrue="1"/>
  </conditionalFormatting>
  <conditionalFormatting sqref="E71:AE71">
    <cfRule type="duplicateValues" dxfId="178" priority="324" stopIfTrue="1"/>
    <cfRule type="duplicateValues" dxfId="177" priority="325" stopIfTrue="1"/>
  </conditionalFormatting>
  <conditionalFormatting sqref="E74:AE74">
    <cfRule type="duplicateValues" dxfId="176" priority="326" stopIfTrue="1"/>
    <cfRule type="duplicateValues" dxfId="175" priority="327" stopIfTrue="1"/>
  </conditionalFormatting>
  <conditionalFormatting sqref="E77:AE77">
    <cfRule type="duplicateValues" dxfId="174" priority="328" stopIfTrue="1"/>
    <cfRule type="duplicateValues" dxfId="173" priority="329" stopIfTrue="1"/>
  </conditionalFormatting>
  <conditionalFormatting sqref="E80:AE80">
    <cfRule type="duplicateValues" dxfId="172" priority="330" stopIfTrue="1"/>
    <cfRule type="duplicateValues" dxfId="171" priority="331" stopIfTrue="1"/>
  </conditionalFormatting>
  <conditionalFormatting sqref="E83:AE83">
    <cfRule type="duplicateValues" dxfId="170" priority="332" stopIfTrue="1"/>
    <cfRule type="duplicateValues" dxfId="169" priority="333" stopIfTrue="1"/>
  </conditionalFormatting>
  <conditionalFormatting sqref="E86:AE86">
    <cfRule type="duplicateValues" dxfId="168" priority="334" stopIfTrue="1"/>
    <cfRule type="duplicateValues" dxfId="167" priority="335" stopIfTrue="1"/>
  </conditionalFormatting>
  <conditionalFormatting sqref="E89:AE89">
    <cfRule type="duplicateValues" dxfId="166" priority="346" stopIfTrue="1"/>
  </conditionalFormatting>
  <conditionalFormatting sqref="E92:AE92">
    <cfRule type="duplicateValues" dxfId="165" priority="347" stopIfTrue="1"/>
  </conditionalFormatting>
  <conditionalFormatting sqref="E95:AE95">
    <cfRule type="duplicateValues" dxfId="164" priority="348" stopIfTrue="1"/>
  </conditionalFormatting>
  <conditionalFormatting sqref="E98:AE98">
    <cfRule type="duplicateValues" dxfId="163" priority="349" stopIfTrue="1"/>
  </conditionalFormatting>
  <conditionalFormatting sqref="E101:AE101">
    <cfRule type="duplicateValues" dxfId="162" priority="350" stopIfTrue="1"/>
  </conditionalFormatting>
  <conditionalFormatting sqref="E104:AE104">
    <cfRule type="duplicateValues" dxfId="161" priority="351" stopIfTrue="1"/>
  </conditionalFormatting>
  <conditionalFormatting sqref="E110:AE110">
    <cfRule type="duplicateValues" dxfId="160" priority="352" stopIfTrue="1"/>
  </conditionalFormatting>
  <conditionalFormatting sqref="E113:AE113">
    <cfRule type="duplicateValues" dxfId="159" priority="353" stopIfTrue="1"/>
  </conditionalFormatting>
  <conditionalFormatting sqref="E116:AE116">
    <cfRule type="duplicateValues" dxfId="158" priority="354" stopIfTrue="1"/>
  </conditionalFormatting>
  <conditionalFormatting sqref="E119:AE119">
    <cfRule type="duplicateValues" dxfId="157" priority="355" stopIfTrue="1"/>
  </conditionalFormatting>
  <conditionalFormatting sqref="E122:AE122">
    <cfRule type="duplicateValues" dxfId="156" priority="356" stopIfTrue="1"/>
  </conditionalFormatting>
  <conditionalFormatting sqref="E125:AE125">
    <cfRule type="duplicateValues" dxfId="155" priority="357" stopIfTrue="1"/>
  </conditionalFormatting>
  <conditionalFormatting sqref="E131:AE131">
    <cfRule type="duplicateValues" dxfId="154" priority="371" stopIfTrue="1"/>
  </conditionalFormatting>
  <conditionalFormatting sqref="E134:AE134">
    <cfRule type="duplicateValues" dxfId="153" priority="372" stopIfTrue="1"/>
  </conditionalFormatting>
  <conditionalFormatting sqref="E137:AE137">
    <cfRule type="duplicateValues" dxfId="152" priority="373" stopIfTrue="1"/>
  </conditionalFormatting>
  <conditionalFormatting sqref="E140:AE140">
    <cfRule type="duplicateValues" dxfId="151" priority="374" stopIfTrue="1"/>
  </conditionalFormatting>
  <conditionalFormatting sqref="E143:AE143">
    <cfRule type="duplicateValues" dxfId="150" priority="375" stopIfTrue="1"/>
  </conditionalFormatting>
  <conditionalFormatting sqref="E149:AE149">
    <cfRule type="duplicateValues" dxfId="149" priority="376" stopIfTrue="1"/>
  </conditionalFormatting>
  <conditionalFormatting sqref="E152:AE152">
    <cfRule type="duplicateValues" dxfId="148" priority="377" stopIfTrue="1"/>
  </conditionalFormatting>
  <conditionalFormatting sqref="E155:AE155">
    <cfRule type="duplicateValues" dxfId="147" priority="378" stopIfTrue="1"/>
  </conditionalFormatting>
  <conditionalFormatting sqref="E158:AE158">
    <cfRule type="duplicateValues" dxfId="146" priority="379" stopIfTrue="1"/>
  </conditionalFormatting>
  <conditionalFormatting sqref="E161:AE161">
    <cfRule type="duplicateValues" dxfId="145" priority="380" stopIfTrue="1"/>
  </conditionalFormatting>
  <conditionalFormatting sqref="E164:AE164">
    <cfRule type="duplicateValues" dxfId="144" priority="381" stopIfTrue="1"/>
  </conditionalFormatting>
  <conditionalFormatting sqref="E167:AE167">
    <cfRule type="duplicateValues" dxfId="143" priority="394" stopIfTrue="1"/>
  </conditionalFormatting>
  <conditionalFormatting sqref="E170:AE170">
    <cfRule type="duplicateValues" dxfId="142" priority="395" stopIfTrue="1"/>
  </conditionalFormatting>
  <conditionalFormatting sqref="E173:AE173">
    <cfRule type="duplicateValues" dxfId="141" priority="396" stopIfTrue="1"/>
  </conditionalFormatting>
  <conditionalFormatting sqref="E176:AE176">
    <cfRule type="duplicateValues" dxfId="140" priority="397" stopIfTrue="1"/>
  </conditionalFormatting>
  <conditionalFormatting sqref="E179:AE179">
    <cfRule type="duplicateValues" dxfId="139" priority="398" stopIfTrue="1"/>
  </conditionalFormatting>
  <conditionalFormatting sqref="E182:AE182">
    <cfRule type="duplicateValues" dxfId="138" priority="399" stopIfTrue="1"/>
  </conditionalFormatting>
  <conditionalFormatting sqref="E188:AE188">
    <cfRule type="duplicateValues" dxfId="137" priority="400" stopIfTrue="1"/>
  </conditionalFormatting>
  <conditionalFormatting sqref="E191:AE191">
    <cfRule type="duplicateValues" dxfId="136" priority="401" stopIfTrue="1"/>
  </conditionalFormatting>
  <conditionalFormatting sqref="E194:AE194">
    <cfRule type="duplicateValues" dxfId="135" priority="402" stopIfTrue="1"/>
  </conditionalFormatting>
  <conditionalFormatting sqref="E197:AE197">
    <cfRule type="duplicateValues" dxfId="134" priority="403" stopIfTrue="1"/>
  </conditionalFormatting>
  <conditionalFormatting sqref="E200:AE200">
    <cfRule type="duplicateValues" dxfId="133" priority="404" stopIfTrue="1"/>
  </conditionalFormatting>
  <conditionalFormatting sqref="E203:AE203">
    <cfRule type="duplicateValues" dxfId="132" priority="405" stopIfTrue="1"/>
  </conditionalFormatting>
  <conditionalFormatting sqref="E168:AE168">
    <cfRule type="duplicateValues" dxfId="131" priority="417" stopIfTrue="1"/>
  </conditionalFormatting>
  <conditionalFormatting sqref="E206:AE206">
    <cfRule type="duplicateValues" dxfId="130" priority="418" stopIfTrue="1"/>
  </conditionalFormatting>
  <conditionalFormatting sqref="E209:AE209">
    <cfRule type="duplicateValues" dxfId="129" priority="419" stopIfTrue="1"/>
  </conditionalFormatting>
  <conditionalFormatting sqref="E212:AE212">
    <cfRule type="duplicateValues" dxfId="128" priority="420" stopIfTrue="1"/>
  </conditionalFormatting>
  <conditionalFormatting sqref="E215:AE215">
    <cfRule type="duplicateValues" dxfId="127" priority="421" stopIfTrue="1"/>
  </conditionalFormatting>
  <conditionalFormatting sqref="E218:AE218">
    <cfRule type="duplicateValues" dxfId="126" priority="422" stopIfTrue="1"/>
  </conditionalFormatting>
  <conditionalFormatting sqref="E221:AE221">
    <cfRule type="duplicateValues" dxfId="125" priority="423" stopIfTrue="1"/>
  </conditionalFormatting>
  <conditionalFormatting sqref="E227:AE227">
    <cfRule type="duplicateValues" dxfId="124" priority="424" stopIfTrue="1"/>
  </conditionalFormatting>
  <conditionalFormatting sqref="E230:AE230">
    <cfRule type="duplicateValues" dxfId="123" priority="425" stopIfTrue="1"/>
  </conditionalFormatting>
  <conditionalFormatting sqref="E233:AE233">
    <cfRule type="duplicateValues" dxfId="122" priority="426" stopIfTrue="1"/>
  </conditionalFormatting>
  <conditionalFormatting sqref="E242:AE242">
    <cfRule type="duplicateValues" dxfId="121" priority="429" stopIfTrue="1"/>
  </conditionalFormatting>
  <conditionalFormatting sqref="E207:AE207">
    <cfRule type="duplicateValues" dxfId="120" priority="430" stopIfTrue="1"/>
  </conditionalFormatting>
  <conditionalFormatting sqref="E245:AE245">
    <cfRule type="duplicateValues" dxfId="119" priority="442" stopIfTrue="1"/>
  </conditionalFormatting>
  <conditionalFormatting sqref="E248:AE248">
    <cfRule type="duplicateValues" dxfId="118" priority="443" stopIfTrue="1"/>
  </conditionalFormatting>
  <conditionalFormatting sqref="E251:AE251">
    <cfRule type="duplicateValues" dxfId="117" priority="444" stopIfTrue="1"/>
  </conditionalFormatting>
  <conditionalFormatting sqref="E254:AE254">
    <cfRule type="duplicateValues" dxfId="116" priority="445" stopIfTrue="1"/>
  </conditionalFormatting>
  <conditionalFormatting sqref="E257:AE257">
    <cfRule type="duplicateValues" dxfId="115" priority="446" stopIfTrue="1"/>
  </conditionalFormatting>
  <conditionalFormatting sqref="E260:AE260">
    <cfRule type="duplicateValues" dxfId="114" priority="447" stopIfTrue="1"/>
  </conditionalFormatting>
  <conditionalFormatting sqref="E266:AE266">
    <cfRule type="duplicateValues" dxfId="113" priority="448" stopIfTrue="1"/>
  </conditionalFormatting>
  <conditionalFormatting sqref="E269:AE269">
    <cfRule type="duplicateValues" dxfId="112" priority="449" stopIfTrue="1"/>
  </conditionalFormatting>
  <conditionalFormatting sqref="E272:AE272">
    <cfRule type="duplicateValues" dxfId="111" priority="450" stopIfTrue="1"/>
  </conditionalFormatting>
  <conditionalFormatting sqref="E275:AE275">
    <cfRule type="duplicateValues" dxfId="110" priority="451" stopIfTrue="1"/>
  </conditionalFormatting>
  <conditionalFormatting sqref="E278:AE278">
    <cfRule type="duplicateValues" dxfId="109" priority="452" stopIfTrue="1"/>
  </conditionalFormatting>
  <conditionalFormatting sqref="E281:AE281">
    <cfRule type="duplicateValues" dxfId="108" priority="453" stopIfTrue="1"/>
  </conditionalFormatting>
  <conditionalFormatting sqref="E128:AE128">
    <cfRule type="duplicateValues" dxfId="107" priority="466" stopIfTrue="1"/>
  </conditionalFormatting>
  <conditionalFormatting sqref="E15:AE15">
    <cfRule type="duplicateValues" dxfId="106" priority="70" stopIfTrue="1"/>
  </conditionalFormatting>
  <conditionalFormatting sqref="E18:AE18">
    <cfRule type="duplicateValues" dxfId="105" priority="69" stopIfTrue="1"/>
  </conditionalFormatting>
  <conditionalFormatting sqref="E21:AE21">
    <cfRule type="duplicateValues" dxfId="104" priority="68" stopIfTrue="1"/>
  </conditionalFormatting>
  <conditionalFormatting sqref="E24:AE24">
    <cfRule type="duplicateValues" dxfId="103" priority="67" stopIfTrue="1"/>
  </conditionalFormatting>
  <conditionalFormatting sqref="E27:AE27">
    <cfRule type="duplicateValues" dxfId="102" priority="66" stopIfTrue="1"/>
  </conditionalFormatting>
  <conditionalFormatting sqref="E33:AE33">
    <cfRule type="duplicateValues" dxfId="101" priority="65" stopIfTrue="1"/>
  </conditionalFormatting>
  <conditionalFormatting sqref="E36:AE36">
    <cfRule type="duplicateValues" dxfId="100" priority="64" stopIfTrue="1"/>
  </conditionalFormatting>
  <conditionalFormatting sqref="E39:AE39">
    <cfRule type="duplicateValues" dxfId="99" priority="62" stopIfTrue="1"/>
  </conditionalFormatting>
  <conditionalFormatting sqref="E42:AE42">
    <cfRule type="duplicateValues" dxfId="98" priority="61" stopIfTrue="1"/>
  </conditionalFormatting>
  <conditionalFormatting sqref="E45:AE45">
    <cfRule type="duplicateValues" dxfId="97" priority="60" stopIfTrue="1"/>
  </conditionalFormatting>
  <conditionalFormatting sqref="E48:AE48">
    <cfRule type="duplicateValues" dxfId="96" priority="59" stopIfTrue="1"/>
  </conditionalFormatting>
  <conditionalFormatting sqref="E54:AE54">
    <cfRule type="duplicateValues" dxfId="95" priority="58" stopIfTrue="1"/>
  </conditionalFormatting>
  <conditionalFormatting sqref="E57:AE57">
    <cfRule type="duplicateValues" dxfId="94" priority="57" stopIfTrue="1"/>
  </conditionalFormatting>
  <conditionalFormatting sqref="E60:AE60">
    <cfRule type="duplicateValues" dxfId="93" priority="56" stopIfTrue="1"/>
  </conditionalFormatting>
  <conditionalFormatting sqref="E63:AE63">
    <cfRule type="duplicateValues" dxfId="92" priority="55" stopIfTrue="1"/>
  </conditionalFormatting>
  <conditionalFormatting sqref="E66:AE66">
    <cfRule type="duplicateValues" dxfId="91" priority="54" stopIfTrue="1"/>
  </conditionalFormatting>
  <conditionalFormatting sqref="E72:AE72">
    <cfRule type="duplicateValues" dxfId="90" priority="53" stopIfTrue="1"/>
  </conditionalFormatting>
  <conditionalFormatting sqref="E75:AE75">
    <cfRule type="duplicateValues" dxfId="89" priority="52" stopIfTrue="1"/>
  </conditionalFormatting>
  <conditionalFormatting sqref="E78:AE78">
    <cfRule type="duplicateValues" dxfId="88" priority="51" stopIfTrue="1"/>
  </conditionalFormatting>
  <conditionalFormatting sqref="E81:AE81">
    <cfRule type="duplicateValues" dxfId="87" priority="50" stopIfTrue="1"/>
  </conditionalFormatting>
  <conditionalFormatting sqref="E84:AE84">
    <cfRule type="duplicateValues" dxfId="86" priority="49" stopIfTrue="1"/>
  </conditionalFormatting>
  <conditionalFormatting sqref="E87:AE87">
    <cfRule type="duplicateValues" dxfId="85" priority="48" stopIfTrue="1"/>
  </conditionalFormatting>
  <conditionalFormatting sqref="E129:AE129">
    <cfRule type="duplicateValues" dxfId="84" priority="47" stopIfTrue="1"/>
  </conditionalFormatting>
  <conditionalFormatting sqref="E132:AE132">
    <cfRule type="duplicateValues" dxfId="83" priority="46" stopIfTrue="1"/>
  </conditionalFormatting>
  <conditionalFormatting sqref="E135:AE135">
    <cfRule type="duplicateValues" dxfId="82" priority="45" stopIfTrue="1"/>
  </conditionalFormatting>
  <conditionalFormatting sqref="E138:AE138">
    <cfRule type="duplicateValues" dxfId="81" priority="44" stopIfTrue="1"/>
  </conditionalFormatting>
  <conditionalFormatting sqref="E141:AE141">
    <cfRule type="duplicateValues" dxfId="80" priority="43" stopIfTrue="1"/>
  </conditionalFormatting>
  <conditionalFormatting sqref="E144:AE144">
    <cfRule type="duplicateValues" dxfId="79" priority="42" stopIfTrue="1"/>
  </conditionalFormatting>
  <conditionalFormatting sqref="E150:AE150">
    <cfRule type="duplicateValues" dxfId="78" priority="41" stopIfTrue="1"/>
  </conditionalFormatting>
  <conditionalFormatting sqref="E153:AE153">
    <cfRule type="duplicateValues" dxfId="77" priority="40" stopIfTrue="1"/>
  </conditionalFormatting>
  <conditionalFormatting sqref="E156:AE156">
    <cfRule type="duplicateValues" dxfId="76" priority="39" stopIfTrue="1"/>
  </conditionalFormatting>
  <conditionalFormatting sqref="E159:AE159">
    <cfRule type="duplicateValues" dxfId="75" priority="38" stopIfTrue="1"/>
  </conditionalFormatting>
  <conditionalFormatting sqref="E162:AE162">
    <cfRule type="duplicateValues" dxfId="74" priority="37" stopIfTrue="1"/>
  </conditionalFormatting>
  <conditionalFormatting sqref="E165:AE165">
    <cfRule type="duplicateValues" dxfId="73" priority="36" stopIfTrue="1"/>
  </conditionalFormatting>
  <conditionalFormatting sqref="E171:AE171">
    <cfRule type="duplicateValues" dxfId="72" priority="35" stopIfTrue="1"/>
  </conditionalFormatting>
  <conditionalFormatting sqref="E174:AE174">
    <cfRule type="duplicateValues" dxfId="71" priority="34" stopIfTrue="1"/>
  </conditionalFormatting>
  <conditionalFormatting sqref="E177:AE177">
    <cfRule type="duplicateValues" dxfId="70" priority="33" stopIfTrue="1"/>
  </conditionalFormatting>
  <conditionalFormatting sqref="E180:AE180">
    <cfRule type="duplicateValues" dxfId="69" priority="32" stopIfTrue="1"/>
  </conditionalFormatting>
  <conditionalFormatting sqref="E183:AE183">
    <cfRule type="duplicateValues" dxfId="68" priority="31" stopIfTrue="1"/>
  </conditionalFormatting>
  <conditionalFormatting sqref="E189:AE189">
    <cfRule type="duplicateValues" dxfId="67" priority="30" stopIfTrue="1"/>
  </conditionalFormatting>
  <conditionalFormatting sqref="E192:AE192">
    <cfRule type="duplicateValues" dxfId="66" priority="29" stopIfTrue="1"/>
  </conditionalFormatting>
  <conditionalFormatting sqref="E195:AE195">
    <cfRule type="duplicateValues" dxfId="65" priority="28" stopIfTrue="1"/>
  </conditionalFormatting>
  <conditionalFormatting sqref="E198:AE198">
    <cfRule type="duplicateValues" dxfId="64" priority="27" stopIfTrue="1"/>
  </conditionalFormatting>
  <conditionalFormatting sqref="E201:AE201">
    <cfRule type="duplicateValues" dxfId="63" priority="26" stopIfTrue="1"/>
  </conditionalFormatting>
  <conditionalFormatting sqref="E204:AE204">
    <cfRule type="duplicateValues" dxfId="62" priority="25" stopIfTrue="1"/>
  </conditionalFormatting>
  <conditionalFormatting sqref="E210:AE210">
    <cfRule type="duplicateValues" dxfId="61" priority="24" stopIfTrue="1"/>
  </conditionalFormatting>
  <conditionalFormatting sqref="E213:AE213">
    <cfRule type="duplicateValues" dxfId="60" priority="23" stopIfTrue="1"/>
  </conditionalFormatting>
  <conditionalFormatting sqref="E216:AE216">
    <cfRule type="duplicateValues" dxfId="59" priority="22" stopIfTrue="1"/>
  </conditionalFormatting>
  <conditionalFormatting sqref="E219:AE219">
    <cfRule type="duplicateValues" dxfId="58" priority="21" stopIfTrue="1"/>
  </conditionalFormatting>
  <conditionalFormatting sqref="E222:AE222">
    <cfRule type="duplicateValues" dxfId="57" priority="20" stopIfTrue="1"/>
  </conditionalFormatting>
  <conditionalFormatting sqref="E228:AE228">
    <cfRule type="duplicateValues" dxfId="56" priority="19" stopIfTrue="1"/>
  </conditionalFormatting>
  <conditionalFormatting sqref="E231:AE231">
    <cfRule type="duplicateValues" dxfId="55" priority="18" stopIfTrue="1"/>
  </conditionalFormatting>
  <conditionalFormatting sqref="E234:AE234">
    <cfRule type="duplicateValues" dxfId="54" priority="17" stopIfTrue="1"/>
  </conditionalFormatting>
  <conditionalFormatting sqref="E237:AE237">
    <cfRule type="duplicateValues" dxfId="53" priority="16" stopIfTrue="1"/>
  </conditionalFormatting>
  <conditionalFormatting sqref="E240:AE240">
    <cfRule type="duplicateValues" dxfId="52" priority="15" stopIfTrue="1"/>
  </conditionalFormatting>
  <conditionalFormatting sqref="E243:AE243">
    <cfRule type="duplicateValues" dxfId="51" priority="14" stopIfTrue="1"/>
  </conditionalFormatting>
  <conditionalFormatting sqref="E246:AE246">
    <cfRule type="duplicateValues" dxfId="50" priority="12" stopIfTrue="1"/>
  </conditionalFormatting>
  <conditionalFormatting sqref="E249:AE249">
    <cfRule type="duplicateValues" dxfId="49" priority="11" stopIfTrue="1"/>
  </conditionalFormatting>
  <conditionalFormatting sqref="E252:AE252">
    <cfRule type="duplicateValues" dxfId="48" priority="10" stopIfTrue="1"/>
  </conditionalFormatting>
  <conditionalFormatting sqref="E255:AE255">
    <cfRule type="duplicateValues" dxfId="47" priority="9" stopIfTrue="1"/>
  </conditionalFormatting>
  <conditionalFormatting sqref="E258:AE258">
    <cfRule type="duplicateValues" dxfId="46" priority="8" stopIfTrue="1"/>
  </conditionalFormatting>
  <conditionalFormatting sqref="E261:AE261">
    <cfRule type="duplicateValues" dxfId="45" priority="7" stopIfTrue="1"/>
  </conditionalFormatting>
  <conditionalFormatting sqref="E267:AE267">
    <cfRule type="duplicateValues" dxfId="44" priority="6" stopIfTrue="1"/>
  </conditionalFormatting>
  <conditionalFormatting sqref="E270:AE270">
    <cfRule type="duplicateValues" dxfId="43" priority="5" stopIfTrue="1"/>
  </conditionalFormatting>
  <conditionalFormatting sqref="E273:AE273">
    <cfRule type="duplicateValues" dxfId="42" priority="4" stopIfTrue="1"/>
  </conditionalFormatting>
  <conditionalFormatting sqref="E276:AE276">
    <cfRule type="duplicateValues" dxfId="41" priority="3" stopIfTrue="1"/>
  </conditionalFormatting>
  <conditionalFormatting sqref="E279:AE279">
    <cfRule type="duplicateValues" dxfId="40" priority="2" stopIfTrue="1"/>
  </conditionalFormatting>
  <conditionalFormatting sqref="E282:AE282">
    <cfRule type="duplicateValues" dxfId="39" priority="1" stopIfTrue="1"/>
  </conditionalFormatting>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101"/>
  <sheetViews>
    <sheetView topLeftCell="AD1" workbookViewId="0">
      <selection activeCell="AL4" sqref="AL4"/>
    </sheetView>
  </sheetViews>
  <sheetFormatPr defaultColWidth="10.08984375" defaultRowHeight="15" x14ac:dyDescent="0.25"/>
  <cols>
    <col min="1" max="28" width="10.08984375" style="400"/>
    <col min="29" max="29" width="10.08984375" style="392"/>
    <col min="30" max="30" width="10.90625" style="392" customWidth="1"/>
    <col min="31" max="31" width="10.08984375" style="392" customWidth="1"/>
    <col min="32" max="32" width="9.1796875" style="392" customWidth="1"/>
    <col min="33" max="33" width="12.6328125" style="392" customWidth="1"/>
    <col min="34" max="34" width="18.90625" style="392" customWidth="1"/>
    <col min="35" max="35" width="14.90625" style="392" customWidth="1"/>
    <col min="36" max="36" width="17.36328125" style="392" customWidth="1"/>
    <col min="37" max="37" width="16" style="392" customWidth="1"/>
    <col min="38" max="38" width="15.90625" style="392" customWidth="1"/>
    <col min="39" max="39" width="11.90625" style="392" customWidth="1"/>
    <col min="40" max="40" width="14.6328125" style="392" customWidth="1"/>
    <col min="41" max="41" width="14.54296875" style="392" customWidth="1"/>
    <col min="42" max="42" width="15.54296875" style="392" customWidth="1"/>
    <col min="43" max="43" width="11.6328125" style="392" customWidth="1"/>
    <col min="44" max="44" width="11.453125" style="392" customWidth="1"/>
    <col min="45" max="45" width="12.453125" style="392" customWidth="1"/>
    <col min="46" max="46" width="13.36328125" style="392" customWidth="1"/>
    <col min="47" max="47" width="11.6328125" style="392" customWidth="1"/>
    <col min="48" max="48" width="13.54296875" style="392" customWidth="1"/>
    <col min="49" max="49" width="11.90625" style="392" customWidth="1"/>
    <col min="50" max="50" width="13.1796875" style="392" customWidth="1"/>
    <col min="51" max="51" width="15.6328125" style="392" customWidth="1"/>
    <col min="52" max="52" width="15.54296875" style="392" bestFit="1" customWidth="1"/>
    <col min="53" max="53" width="16.6328125" style="392" bestFit="1" customWidth="1"/>
    <col min="54" max="54" width="15.54296875" style="392" bestFit="1" customWidth="1"/>
    <col min="55" max="55" width="16.54296875" style="392" customWidth="1"/>
    <col min="56" max="56" width="15.54296875" style="392" customWidth="1"/>
    <col min="57" max="57" width="14.453125" style="392" customWidth="1"/>
    <col min="58" max="58" width="17.54296875" style="392" customWidth="1"/>
    <col min="59" max="59" width="14.54296875" style="392" customWidth="1"/>
    <col min="60" max="60" width="15.453125" style="392" customWidth="1"/>
    <col min="61" max="61" width="14.1796875" style="392" customWidth="1"/>
    <col min="62" max="62" width="10.6328125" style="392" customWidth="1"/>
    <col min="63" max="63" width="15.90625" style="392" customWidth="1"/>
    <col min="64" max="64" width="10.08984375" style="392"/>
    <col min="65" max="16384" width="10.08984375" style="400"/>
  </cols>
  <sheetData>
    <row r="1" spans="1:64" x14ac:dyDescent="0.25">
      <c r="AC1" s="319"/>
      <c r="AD1" s="321" t="s">
        <v>25</v>
      </c>
      <c r="AE1" s="321" t="s">
        <v>28</v>
      </c>
      <c r="AF1" s="321" t="s">
        <v>21</v>
      </c>
      <c r="AG1" s="322" t="s">
        <v>24</v>
      </c>
      <c r="AH1" s="321" t="s">
        <v>19</v>
      </c>
      <c r="AI1" s="321" t="s">
        <v>29</v>
      </c>
      <c r="AJ1" s="321" t="s">
        <v>4</v>
      </c>
      <c r="AK1" s="323" t="s">
        <v>13</v>
      </c>
      <c r="AL1" s="321" t="s">
        <v>20</v>
      </c>
      <c r="AM1" s="321" t="s">
        <v>27</v>
      </c>
      <c r="AN1" s="321" t="s">
        <v>5</v>
      </c>
      <c r="AO1" s="324" t="s">
        <v>26</v>
      </c>
      <c r="AP1" s="321" t="s">
        <v>15</v>
      </c>
      <c r="AQ1" s="321" t="s">
        <v>6</v>
      </c>
      <c r="AR1" s="321" t="s">
        <v>14</v>
      </c>
      <c r="AS1" s="322" t="s">
        <v>46</v>
      </c>
      <c r="AT1" s="321" t="s">
        <v>16</v>
      </c>
      <c r="AU1" s="321" t="s">
        <v>18</v>
      </c>
      <c r="AV1" s="321" t="s">
        <v>17</v>
      </c>
      <c r="AW1" s="321" t="s">
        <v>23</v>
      </c>
      <c r="AX1" s="321" t="s">
        <v>76</v>
      </c>
      <c r="AY1" s="321" t="s">
        <v>178</v>
      </c>
      <c r="AZ1" s="321" t="s">
        <v>83</v>
      </c>
      <c r="BA1" s="321" t="s">
        <v>175</v>
      </c>
      <c r="BB1" s="321" t="s">
        <v>149</v>
      </c>
      <c r="BC1" s="321" t="s">
        <v>176</v>
      </c>
      <c r="BD1" s="321" t="s">
        <v>177</v>
      </c>
      <c r="BE1" s="321" t="s">
        <v>86</v>
      </c>
      <c r="BF1" s="321" t="s">
        <v>85</v>
      </c>
      <c r="BG1" s="321" t="s">
        <v>84</v>
      </c>
      <c r="BH1" s="321" t="s">
        <v>136</v>
      </c>
      <c r="BI1" s="321" t="s">
        <v>93</v>
      </c>
      <c r="BJ1" s="322" t="s">
        <v>87</v>
      </c>
      <c r="BK1" s="321" t="s">
        <v>92</v>
      </c>
      <c r="BL1" s="319"/>
    </row>
    <row r="2" spans="1:64" ht="15.6" thickBot="1" x14ac:dyDescent="0.3">
      <c r="AC2" s="319"/>
      <c r="AD2" s="326">
        <v>40</v>
      </c>
      <c r="AE2" s="326">
        <v>30</v>
      </c>
      <c r="AF2" s="326">
        <v>40</v>
      </c>
      <c r="AG2" s="327">
        <v>30</v>
      </c>
      <c r="AH2" s="326">
        <v>30</v>
      </c>
      <c r="AI2" s="326">
        <v>20</v>
      </c>
      <c r="AJ2" s="326">
        <v>40</v>
      </c>
      <c r="AK2" s="327">
        <v>35</v>
      </c>
      <c r="AL2" s="327">
        <v>40</v>
      </c>
      <c r="AM2" s="327">
        <v>35</v>
      </c>
      <c r="AN2" s="327">
        <v>70</v>
      </c>
      <c r="AO2" s="327">
        <v>35</v>
      </c>
      <c r="AP2" s="326">
        <v>20</v>
      </c>
      <c r="AQ2" s="326">
        <v>70</v>
      </c>
      <c r="AR2" s="326">
        <v>35</v>
      </c>
      <c r="AS2" s="327">
        <v>35</v>
      </c>
      <c r="AT2" s="326">
        <v>70</v>
      </c>
      <c r="AU2" s="326">
        <v>45</v>
      </c>
      <c r="AV2" s="326">
        <v>45</v>
      </c>
      <c r="AW2" s="326">
        <v>45</v>
      </c>
      <c r="AX2" s="326">
        <v>40</v>
      </c>
      <c r="AY2" s="326">
        <v>30</v>
      </c>
      <c r="AZ2" s="326">
        <v>80</v>
      </c>
      <c r="BA2" s="326">
        <v>80</v>
      </c>
      <c r="BB2" s="326"/>
      <c r="BC2" s="326">
        <v>80</v>
      </c>
      <c r="BD2" s="326">
        <v>20</v>
      </c>
      <c r="BE2" s="326">
        <v>80</v>
      </c>
      <c r="BF2" s="326">
        <v>80</v>
      </c>
      <c r="BG2" s="326">
        <v>60</v>
      </c>
      <c r="BH2" s="326">
        <v>60</v>
      </c>
      <c r="BI2" s="326">
        <v>60</v>
      </c>
      <c r="BJ2" s="327">
        <v>60</v>
      </c>
      <c r="BK2" s="326">
        <v>200</v>
      </c>
      <c r="BL2" s="319"/>
    </row>
    <row r="3" spans="1:64" ht="47.4" thickBot="1" x14ac:dyDescent="0.5">
      <c r="B3" s="401" t="str">
        <f>CONCATENATED!E7</f>
        <v>BSC9(H)</v>
      </c>
      <c r="C3" s="401" t="str">
        <f>CONCATENATED!F7</f>
        <v>BSC9(L)</v>
      </c>
      <c r="D3" s="401" t="str">
        <f>CONCATENATED!G7</f>
        <v>BSC9E(H)</v>
      </c>
      <c r="E3" s="401" t="str">
        <f>CONCATENATED!H7</f>
        <v>BSC 9E{L}</v>
      </c>
      <c r="F3" s="401" t="str">
        <f>CONCATENATED!I7</f>
        <v>BSC8(H)</v>
      </c>
      <c r="G3" s="401" t="str">
        <f>CONCATENATED!J7</f>
        <v>BSC8(L)</v>
      </c>
      <c r="H3" s="401" t="str">
        <f>CONCATENATED!K7</f>
        <v>BSC8E(H)</v>
      </c>
      <c r="I3" s="401" t="str">
        <f>CONCATENATED!L7</f>
        <v>BSC7(H)</v>
      </c>
      <c r="J3" s="401" t="str">
        <f>CONCATENATED!M7</f>
        <v>BSC7(L)</v>
      </c>
      <c r="K3" s="401" t="str">
        <f>CONCATENATED!N7</f>
        <v>BSC7E(H)</v>
      </c>
      <c r="L3" s="401" t="str">
        <f>CONCATENATED!O7</f>
        <v>BSC6A</v>
      </c>
      <c r="M3" s="401" t="str">
        <f>CONCATENATED!P7</f>
        <v>BSC5A</v>
      </c>
      <c r="N3" s="402" t="str">
        <f>CONCATENATED!Q7</f>
        <v>BSC3</v>
      </c>
      <c r="O3" s="402" t="str">
        <f>CONCATENATED!R7</f>
        <v>BSC1</v>
      </c>
      <c r="P3" s="402" t="str">
        <f>CONCATENATED!S7</f>
        <v>BTEC1</v>
      </c>
      <c r="Q3" s="402">
        <f>CONCATENATED!T7</f>
        <v>0</v>
      </c>
      <c r="R3" s="402" t="str">
        <f>CONCATENATED!U7</f>
        <v>DTIE6</v>
      </c>
      <c r="S3" s="402" t="str">
        <f>CONCATENATED!V7</f>
        <v>DICE6</v>
      </c>
      <c r="T3" s="402" t="str">
        <f>CONCATENATED!W7</f>
        <v>DICE6(BT)</v>
      </c>
      <c r="U3" s="403" t="str">
        <f>CONCATENATED!X7</f>
        <v>DICE5(BT)</v>
      </c>
      <c r="V3" s="403" t="str">
        <f>CONCATENATED!Y7</f>
        <v>DEPE5</v>
      </c>
      <c r="W3" s="403" t="str">
        <f>CONCATENATED!Z7</f>
        <v>DEPE4</v>
      </c>
      <c r="X3" s="404" t="str">
        <f>CONCATENATED!AA7</f>
        <v>DICE4</v>
      </c>
      <c r="Y3" s="403" t="str">
        <f>CONCATENATED!AB7</f>
        <v>DEEE2</v>
      </c>
      <c r="Z3" s="402" t="str">
        <f>CONCATENATED!AC7</f>
        <v>DEEE1</v>
      </c>
      <c r="AA3" s="401" t="str">
        <f>CONCATENATED!AD7</f>
        <v>CEPE2</v>
      </c>
      <c r="AB3" s="401" t="str">
        <f>CONCATENATED!AE7</f>
        <v>CEPE1</v>
      </c>
      <c r="AC3" s="319"/>
      <c r="AD3" s="328" t="s">
        <v>40</v>
      </c>
      <c r="AE3" s="328" t="s">
        <v>31</v>
      </c>
      <c r="AF3" s="328" t="s">
        <v>35</v>
      </c>
      <c r="AG3" s="329" t="s">
        <v>32</v>
      </c>
      <c r="AH3" s="328" t="s">
        <v>33</v>
      </c>
      <c r="AI3" s="328" t="s">
        <v>34</v>
      </c>
      <c r="AJ3" s="328" t="s">
        <v>36</v>
      </c>
      <c r="AK3" s="329" t="s">
        <v>37</v>
      </c>
      <c r="AL3" s="329" t="s">
        <v>38</v>
      </c>
      <c r="AM3" s="329" t="s">
        <v>39</v>
      </c>
      <c r="AN3" s="329" t="s">
        <v>41</v>
      </c>
      <c r="AO3" s="329" t="s">
        <v>42</v>
      </c>
      <c r="AP3" s="328" t="s">
        <v>43</v>
      </c>
      <c r="AQ3" s="328" t="s">
        <v>44</v>
      </c>
      <c r="AR3" s="328" t="s">
        <v>45</v>
      </c>
      <c r="AS3" s="329" t="s">
        <v>47</v>
      </c>
      <c r="AT3" s="328" t="s">
        <v>48</v>
      </c>
      <c r="AU3" s="328" t="s">
        <v>49</v>
      </c>
      <c r="AV3" s="328" t="s">
        <v>50</v>
      </c>
      <c r="AW3" s="328" t="s">
        <v>51</v>
      </c>
      <c r="AX3" s="328" t="s">
        <v>52</v>
      </c>
      <c r="AY3" s="328" t="s">
        <v>54</v>
      </c>
      <c r="AZ3" s="328" t="s">
        <v>55</v>
      </c>
      <c r="BA3" s="328" t="s">
        <v>56</v>
      </c>
      <c r="BB3" s="328"/>
      <c r="BC3" s="328" t="s">
        <v>58</v>
      </c>
      <c r="BD3" s="328" t="s">
        <v>179</v>
      </c>
      <c r="BE3" s="328" t="s">
        <v>137</v>
      </c>
      <c r="BF3" s="328" t="s">
        <v>137</v>
      </c>
      <c r="BG3" s="328" t="s">
        <v>137</v>
      </c>
      <c r="BH3" s="328" t="s">
        <v>137</v>
      </c>
      <c r="BI3" s="328" t="s">
        <v>137</v>
      </c>
      <c r="BJ3" s="329" t="s">
        <v>137</v>
      </c>
      <c r="BK3" s="328" t="s">
        <v>137</v>
      </c>
      <c r="BL3" s="330"/>
    </row>
    <row r="4" spans="1:64" ht="62.4" thickBot="1" x14ac:dyDescent="0.3">
      <c r="A4" s="400">
        <v>1</v>
      </c>
      <c r="B4" s="405" t="e">
        <f>CONCATENATED!E12</f>
        <v>#REF!</v>
      </c>
      <c r="C4" s="405" t="e">
        <f>CONCATENATED!F12</f>
        <v>#REF!</v>
      </c>
      <c r="D4" s="405" t="e">
        <f>CONCATENATED!G12</f>
        <v>#REF!</v>
      </c>
      <c r="E4" s="405" t="e">
        <f>CONCATENATED!H12</f>
        <v>#REF!</v>
      </c>
      <c r="F4" s="405" t="e">
        <f>CONCATENATED!I12</f>
        <v>#REF!</v>
      </c>
      <c r="G4" s="405" t="e">
        <f>CONCATENATED!J12</f>
        <v>#REF!</v>
      </c>
      <c r="H4" s="405" t="e">
        <f>CONCATENATED!K12</f>
        <v>#REF!</v>
      </c>
      <c r="I4" s="405" t="str">
        <f>CONCATENATED!L12</f>
        <v xml:space="preserve">BSME/SEP2020/J-FT [Y2S1  (50) Students] :  </v>
      </c>
      <c r="J4" s="405" t="str">
        <f>CONCATENATED!M12</f>
        <v>BSME/AUG2021/J-FT [Y1S2  (55) Students] APS 4102: DR. OMBOGA/LABAN PHY LAB</v>
      </c>
      <c r="K4" s="405" t="e">
        <f>CONCATENATED!N12</f>
        <v>#REF!</v>
      </c>
      <c r="L4" s="405" t="e">
        <f>CONCATENATED!O12</f>
        <v>#REF!</v>
      </c>
      <c r="M4" s="405" t="str">
        <f>CONCATENATED!P12</f>
        <v xml:space="preserve">BTME/SEP2019/S-PT [Y3S1   (10) Students] :  </v>
      </c>
      <c r="N4" s="405" t="str">
        <f>CONCATENATED!Q12</f>
        <v xml:space="preserve">BTME/AUG2021/S-PT [Y2S2   (10) Students] :  </v>
      </c>
      <c r="O4" s="405" t="e">
        <f>CONCATENATED!R12</f>
        <v>#REF!</v>
      </c>
      <c r="P4" s="405" t="e">
        <f>CONCATENATED!S12</f>
        <v>#REF!</v>
      </c>
      <c r="Q4" s="405" t="str">
        <f>CONCATENATED!T12</f>
        <v xml:space="preserve">BTME/AUG2021/J&amp;S-FT [Y1S1  (52) Students] :  </v>
      </c>
      <c r="R4" s="405" t="e">
        <f>CONCATENATED!U12</f>
        <v>#REF!</v>
      </c>
      <c r="S4" s="405" t="e">
        <f>CONCATENATED!V12</f>
        <v>#REF!</v>
      </c>
      <c r="T4" s="405" t="e">
        <f>CONCATENATED!W12</f>
        <v>#REF!</v>
      </c>
      <c r="U4" s="405" t="e">
        <f>CONCATENATED!X12</f>
        <v>#REF!</v>
      </c>
      <c r="V4" s="405" t="e">
        <f>CONCATENATED!Y12</f>
        <v>#REF!</v>
      </c>
      <c r="W4" s="405" t="e">
        <f>CONCATENATED!Z12</f>
        <v>#REF!</v>
      </c>
      <c r="X4" s="405" t="e">
        <f>CONCATENATED!AA12</f>
        <v>#REF!</v>
      </c>
      <c r="Y4" s="405" t="e">
        <f>CONCATENATED!AB12</f>
        <v>#REF!</v>
      </c>
      <c r="Z4" s="405" t="str">
        <f>CONCATENATED!AC12</f>
        <v xml:space="preserve">DMAE/SEP20201J&amp;S-FT [Y1S2   (60) Students] :  </v>
      </c>
      <c r="AA4" s="405" t="e">
        <f>CONCATENATED!AD12</f>
        <v>#REF!</v>
      </c>
      <c r="AB4" s="405" t="e">
        <f>CONCATENATED!AE12</f>
        <v>#REF!</v>
      </c>
      <c r="AC4" s="533" t="s">
        <v>180</v>
      </c>
      <c r="AD4" s="333" t="e">
        <f>MATCH("*EA005",$B4:$AB4,0)</f>
        <v>#N/A</v>
      </c>
      <c r="AE4" s="334" t="e">
        <f>MATCH("*EA006",$B4:$AB4,0)</f>
        <v>#N/A</v>
      </c>
      <c r="AF4" s="334" t="e">
        <f>MATCH("*EA009/10",$B4:$AB4,0)</f>
        <v>#N/A</v>
      </c>
      <c r="AG4" s="334" t="e">
        <f>MATCH("*EA012",$B4:$AB4,0)</f>
        <v>#N/A</v>
      </c>
      <c r="AH4" s="334" t="e">
        <f>MATCH("*EA015",$B4:$AB4,0)</f>
        <v>#N/A</v>
      </c>
      <c r="AI4" s="334" t="e">
        <f>MATCH("*EA104",$B4:$AB4,0)</f>
        <v>#N/A</v>
      </c>
      <c r="AJ4" s="335" t="e">
        <f>MATCH("*EA105",$B4:$AB4,0)</f>
        <v>#N/A</v>
      </c>
      <c r="AK4" s="335" t="e">
        <f>MATCH("*EA107",$B4:$AB4,0)</f>
        <v>#N/A</v>
      </c>
      <c r="AL4" s="335" t="e">
        <f>MATCH("*EA108",$B4:$AB4,0)</f>
        <v>#N/A</v>
      </c>
      <c r="AM4" s="334" t="e">
        <f>MATCH("*EB006",$B4:$AB4,0)</f>
        <v>#N/A</v>
      </c>
      <c r="AN4" s="334" t="e">
        <f>MATCH("*EB007",$B4:$AB4,0)</f>
        <v>#N/A</v>
      </c>
      <c r="AO4" s="334" t="e">
        <f>MATCH("*EB013",$B4:$AB4,0)</f>
        <v>#N/A</v>
      </c>
      <c r="AP4" s="336" t="e">
        <f>MATCH("*EB104",$B4:$AB4,0)</f>
        <v>#N/A</v>
      </c>
      <c r="AQ4" s="334" t="e">
        <f>MATCH("*EB105",$B4:$AB4,0)</f>
        <v>#N/A</v>
      </c>
      <c r="AR4" s="334" t="e">
        <f>MATCH("*EB107",$B4:$AB4,0)</f>
        <v>#N/A</v>
      </c>
      <c r="AS4" s="337" t="e">
        <f>MATCH("*EB109",$B4:$AB4,0)</f>
        <v>#N/A</v>
      </c>
      <c r="AT4" s="335" t="e">
        <f>MATCH("*EB110",$B4:$AB4,0)</f>
        <v>#N/A</v>
      </c>
      <c r="AU4" s="335" t="e">
        <f>MATCH("*MA111",$B4:$AB4,0)</f>
        <v>#N/A</v>
      </c>
      <c r="AV4" s="334" t="e">
        <f>MATCH("*MA209",$B4:$AB4,0)</f>
        <v>#N/A</v>
      </c>
      <c r="AW4" s="334" t="e">
        <f>MATCH("*MA212",$B4:$AB4,0)</f>
        <v>#N/A</v>
      </c>
      <c r="AX4" s="334" t="e">
        <f>MATCH("*D01",$B4:$AB4,0)</f>
        <v>#N/A</v>
      </c>
      <c r="AY4" s="334" t="e">
        <f>MATCH("*MECH. W/SHOP",$B4:$AB4,0)</f>
        <v>#N/A</v>
      </c>
      <c r="AZ4" s="334" t="e">
        <f>MATCH("*MECH. LAB",$B4:$AB4,0)</f>
        <v>#N/A</v>
      </c>
      <c r="BA4" s="334" t="e">
        <f>MATCH("*PHYSICS LAB",$B4:$AB4,0)</f>
        <v>#N/A</v>
      </c>
      <c r="BB4" s="334" t="e">
        <f>MATCH("*C/HALL",$B4:$AB4,0)</f>
        <v>#N/A</v>
      </c>
      <c r="BC4" s="334" t="e">
        <f>MATCH("*CHEMISTRY LAB",$B4:$AB4,0)</f>
        <v>#N/A</v>
      </c>
      <c r="BD4" s="334" t="e">
        <f>MATCH("*REFRIG.LAB",$B4:$AB4,0)</f>
        <v>#N/A</v>
      </c>
      <c r="BE4" s="334" t="e">
        <f>MATCH("*FET203",$B4:$AB4,0)</f>
        <v>#N/A</v>
      </c>
      <c r="BF4" s="334" t="e">
        <f>MATCH("*FET205",$B4:$AB4,0)</f>
        <v>#N/A</v>
      </c>
      <c r="BG4" s="334" t="e">
        <f>MATCH("*FET207",$B4:$AB4,0)</f>
        <v>#N/A</v>
      </c>
      <c r="BH4" s="334" t="e">
        <f>MATCH("*FET208",$B4:$AB4,0)</f>
        <v>#N/A</v>
      </c>
      <c r="BI4" s="334" t="e">
        <f>MATCH("*FET209",$B4:$AB4,0)</f>
        <v>#N/A</v>
      </c>
      <c r="BJ4" s="334" t="e">
        <f>MATCH("*FET210",$B4:$AB4,0)</f>
        <v>#N/A</v>
      </c>
      <c r="BK4" s="334" t="e">
        <f>MATCH("*FET316",$B4:$AB4,0)</f>
        <v>#N/A</v>
      </c>
      <c r="BL4" s="537" t="s">
        <v>180</v>
      </c>
    </row>
    <row r="5" spans="1:64" ht="15.6" thickBot="1" x14ac:dyDescent="0.3">
      <c r="A5" s="400">
        <v>2</v>
      </c>
      <c r="B5" s="405" t="e">
        <f>CONCATENATED!E15</f>
        <v>#REF!</v>
      </c>
      <c r="C5" s="405" t="e">
        <f>CONCATENATED!F15</f>
        <v>#REF!</v>
      </c>
      <c r="D5" s="405" t="e">
        <f>CONCATENATED!G15</f>
        <v>#REF!</v>
      </c>
      <c r="E5" s="405" t="e">
        <f>CONCATENATED!H15</f>
        <v>#REF!</v>
      </c>
      <c r="F5" s="405" t="e">
        <f>CONCATENATED!I15</f>
        <v>#REF!</v>
      </c>
      <c r="G5" s="405" t="e">
        <f>CONCATENATED!J15</f>
        <v>#REF!</v>
      </c>
      <c r="H5" s="405" t="e">
        <f>CONCATENATED!K15</f>
        <v>#REF!</v>
      </c>
      <c r="I5" s="405" t="e">
        <f>CONCATENATED!L15</f>
        <v>#REF!</v>
      </c>
      <c r="J5" s="405" t="e">
        <f>CONCATENATED!M15</f>
        <v>#REF!</v>
      </c>
      <c r="K5" s="405" t="e">
        <f>CONCATENATED!N15</f>
        <v>#REF!</v>
      </c>
      <c r="L5" s="405" t="e">
        <f>CONCATENATED!O15</f>
        <v>#REF!</v>
      </c>
      <c r="M5" s="405" t="e">
        <f>CONCATENATED!P15</f>
        <v>#REF!</v>
      </c>
      <c r="N5" s="405" t="e">
        <f>CONCATENATED!Q15</f>
        <v>#REF!</v>
      </c>
      <c r="O5" s="405" t="e">
        <f>CONCATENATED!R15</f>
        <v>#REF!</v>
      </c>
      <c r="P5" s="405" t="e">
        <f>CONCATENATED!S15</f>
        <v>#REF!</v>
      </c>
      <c r="Q5" s="405" t="e">
        <f>CONCATENATED!T15</f>
        <v>#REF!</v>
      </c>
      <c r="R5" s="405" t="e">
        <f>CONCATENATED!U15</f>
        <v>#REF!</v>
      </c>
      <c r="S5" s="405" t="e">
        <f>CONCATENATED!V15</f>
        <v>#REF!</v>
      </c>
      <c r="T5" s="405" t="e">
        <f>CONCATENATED!W15</f>
        <v>#REF!</v>
      </c>
      <c r="U5" s="405" t="e">
        <f>CONCATENATED!X15</f>
        <v>#REF!</v>
      </c>
      <c r="V5" s="405" t="e">
        <f>CONCATENATED!Y15</f>
        <v>#REF!</v>
      </c>
      <c r="W5" s="405" t="e">
        <f>CONCATENATED!Z15</f>
        <v>#REF!</v>
      </c>
      <c r="X5" s="405" t="e">
        <f>CONCATENATED!AA15</f>
        <v>#REF!</v>
      </c>
      <c r="Y5" s="405" t="e">
        <f>CONCATENATED!AB15</f>
        <v>#REF!</v>
      </c>
      <c r="Z5" s="405" t="e">
        <f>CONCATENATED!AC15</f>
        <v>#REF!</v>
      </c>
      <c r="AA5" s="405" t="e">
        <f>CONCATENATED!AD15</f>
        <v>#REF!</v>
      </c>
      <c r="AB5" s="405" t="e">
        <f>CONCATENATED!AE15</f>
        <v>#REF!</v>
      </c>
      <c r="AC5" s="534"/>
      <c r="AD5" s="333" t="e">
        <f>MATCH("*EA005",$B5:$AB5,0)</f>
        <v>#N/A</v>
      </c>
      <c r="AE5" s="334" t="e">
        <f>MATCH("*EA006",$B5:$AB5,0)</f>
        <v>#N/A</v>
      </c>
      <c r="AF5" s="334" t="e">
        <f t="shared" ref="AF5:AF68" si="0">MATCH("*EA009/10",$B5:$AB5,0)</f>
        <v>#N/A</v>
      </c>
      <c r="AG5" s="334" t="e">
        <f>MATCH("*EA012",$B5:$AB5,0)</f>
        <v>#N/A</v>
      </c>
      <c r="AH5" s="334" t="e">
        <f>MATCH("*EA015",$B5:$AB5,0)</f>
        <v>#N/A</v>
      </c>
      <c r="AI5" s="334" t="e">
        <f>MATCH("*EA104",$B5:$AB5,0)</f>
        <v>#N/A</v>
      </c>
      <c r="AJ5" s="335" t="e">
        <f>MATCH("*EA105",$B5:$AB5,0)</f>
        <v>#N/A</v>
      </c>
      <c r="AK5" s="335" t="e">
        <f>MATCH("*EA107",$B5:$AB5,0)</f>
        <v>#N/A</v>
      </c>
      <c r="AL5" s="335" t="e">
        <f>MATCH("*EA108",$B5:$AB5,0)</f>
        <v>#N/A</v>
      </c>
      <c r="AM5" s="334" t="e">
        <f>MATCH("*EB006",$B5:$AB5,0)</f>
        <v>#N/A</v>
      </c>
      <c r="AN5" s="334" t="e">
        <f>MATCH("*EB007",$B5:$AB5,0)</f>
        <v>#N/A</v>
      </c>
      <c r="AO5" s="334" t="e">
        <f>MATCH("*EB013",$B5:$AB5,0)</f>
        <v>#N/A</v>
      </c>
      <c r="AP5" s="335" t="e">
        <f>MATCH("*EB104",$B5:$AB5,0)</f>
        <v>#N/A</v>
      </c>
      <c r="AQ5" s="334" t="e">
        <f>MATCH("*EB105",$B5:$AB5,0)</f>
        <v>#N/A</v>
      </c>
      <c r="AR5" s="334" t="e">
        <f>MATCH("*EB107",$B5:$AB5,0)</f>
        <v>#N/A</v>
      </c>
      <c r="AS5" s="337" t="e">
        <f>MATCH("*EB109",$B5:$AB5,0)</f>
        <v>#N/A</v>
      </c>
      <c r="AT5" s="335" t="e">
        <f>MATCH("*EB110",$B5:$AB5,0)</f>
        <v>#N/A</v>
      </c>
      <c r="AU5" s="335" t="e">
        <f>MATCH("*MA111",$B5:$AB5,0)</f>
        <v>#N/A</v>
      </c>
      <c r="AV5" s="334" t="e">
        <f>MATCH("*MA209",$B5:$AB5,0)</f>
        <v>#N/A</v>
      </c>
      <c r="AW5" s="334" t="e">
        <f>MATCH("*MA212",$B5:$AB5,0)</f>
        <v>#N/A</v>
      </c>
      <c r="AX5" s="334" t="e">
        <f>MATCH("*D01",$B5:$AB5,0)</f>
        <v>#N/A</v>
      </c>
      <c r="AY5" s="334" t="e">
        <f>MATCH("*MECH. W/SHOP",$B5:$AB5,0)</f>
        <v>#N/A</v>
      </c>
      <c r="AZ5" s="334" t="e">
        <f>MATCH("*MECH. LAB",$B5:$AB5,0)</f>
        <v>#N/A</v>
      </c>
      <c r="BA5" s="334" t="e">
        <f>MATCH("*PHYSICS LAB",$B5:$AB5,0)</f>
        <v>#N/A</v>
      </c>
      <c r="BB5" s="334" t="e">
        <f>MATCH("*C/HALL",$B5:$AB5,0)</f>
        <v>#N/A</v>
      </c>
      <c r="BC5" s="334" t="e">
        <f>MATCH("*CHEMISTRY LAB",$B5:$AB5,0)</f>
        <v>#N/A</v>
      </c>
      <c r="BD5" s="334" t="e">
        <f>MATCH("*REFRIG.LAB",$B5:$AB5,0)</f>
        <v>#N/A</v>
      </c>
      <c r="BE5" s="334" t="e">
        <f>MATCH("*FET203",$B5:$AB5,0)</f>
        <v>#N/A</v>
      </c>
      <c r="BF5" s="334" t="e">
        <f>MATCH("*FET205",$B5:$AB5,0)</f>
        <v>#N/A</v>
      </c>
      <c r="BG5" s="334" t="e">
        <f>MATCH("*FET207",$B5:$AB5,0)</f>
        <v>#N/A</v>
      </c>
      <c r="BH5" s="334" t="e">
        <f>MATCH("*FET208",$B5:$AB5,0)</f>
        <v>#N/A</v>
      </c>
      <c r="BI5" s="334" t="e">
        <f>MATCH("*FET209",$B5:$AB5,0)</f>
        <v>#N/A</v>
      </c>
      <c r="BJ5" s="334" t="e">
        <f>MATCH("*FET210",$B5:$AB5,0)</f>
        <v>#N/A</v>
      </c>
      <c r="BK5" s="334" t="e">
        <f>MATCH("*FET316",$B5:$AB5,0)</f>
        <v>#N/A</v>
      </c>
      <c r="BL5" s="538"/>
    </row>
    <row r="6" spans="1:64" ht="15.6" thickBot="1" x14ac:dyDescent="0.3">
      <c r="A6" s="400">
        <v>3</v>
      </c>
      <c r="B6" s="405" t="e">
        <f>CONCATENATED!E18</f>
        <v>#REF!</v>
      </c>
      <c r="C6" s="405" t="e">
        <f>CONCATENATED!F18</f>
        <v>#REF!</v>
      </c>
      <c r="D6" s="405" t="e">
        <f>CONCATENATED!G18</f>
        <v>#REF!</v>
      </c>
      <c r="E6" s="405" t="e">
        <f>CONCATENATED!H18</f>
        <v>#REF!</v>
      </c>
      <c r="F6" s="405" t="e">
        <f>CONCATENATED!I18</f>
        <v>#REF!</v>
      </c>
      <c r="G6" s="405" t="e">
        <f>CONCATENATED!J18</f>
        <v>#REF!</v>
      </c>
      <c r="H6" s="405" t="e">
        <f>CONCATENATED!K18</f>
        <v>#REF!</v>
      </c>
      <c r="I6" s="405" t="e">
        <f>CONCATENATED!L18</f>
        <v>#REF!</v>
      </c>
      <c r="J6" s="405" t="e">
        <f>CONCATENATED!M18</f>
        <v>#REF!</v>
      </c>
      <c r="K6" s="405" t="e">
        <f>CONCATENATED!N18</f>
        <v>#REF!</v>
      </c>
      <c r="L6" s="405" t="e">
        <f>CONCATENATED!O18</f>
        <v>#REF!</v>
      </c>
      <c r="M6" s="405" t="e">
        <f>CONCATENATED!P18</f>
        <v>#REF!</v>
      </c>
      <c r="N6" s="405" t="e">
        <f>CONCATENATED!Q18</f>
        <v>#REF!</v>
      </c>
      <c r="O6" s="405" t="e">
        <f>CONCATENATED!R18</f>
        <v>#REF!</v>
      </c>
      <c r="P6" s="405" t="e">
        <f>CONCATENATED!S18</f>
        <v>#REF!</v>
      </c>
      <c r="Q6" s="405" t="e">
        <f>CONCATENATED!T18</f>
        <v>#REF!</v>
      </c>
      <c r="R6" s="405" t="e">
        <f>CONCATENATED!U18</f>
        <v>#REF!</v>
      </c>
      <c r="S6" s="405" t="e">
        <f>CONCATENATED!V18</f>
        <v>#REF!</v>
      </c>
      <c r="T6" s="405" t="e">
        <f>CONCATENATED!W18</f>
        <v>#REF!</v>
      </c>
      <c r="U6" s="405" t="e">
        <f>CONCATENATED!X18</f>
        <v>#REF!</v>
      </c>
      <c r="V6" s="405" t="e">
        <f>CONCATENATED!Y18</f>
        <v>#REF!</v>
      </c>
      <c r="W6" s="405" t="e">
        <f>CONCATENATED!Z18</f>
        <v>#REF!</v>
      </c>
      <c r="X6" s="405" t="e">
        <f>CONCATENATED!AA18</f>
        <v>#REF!</v>
      </c>
      <c r="Y6" s="405" t="e">
        <f>CONCATENATED!AB18</f>
        <v>#REF!</v>
      </c>
      <c r="Z6" s="405" t="e">
        <f>CONCATENATED!AC18</f>
        <v>#REF!</v>
      </c>
      <c r="AA6" s="405" t="e">
        <f>CONCATENATED!AD18</f>
        <v>#REF!</v>
      </c>
      <c r="AB6" s="405" t="e">
        <f>CONCATENATED!AE18</f>
        <v>#REF!</v>
      </c>
      <c r="AC6" s="534"/>
      <c r="AD6" s="333" t="e">
        <f t="shared" ref="AD6:AD69" si="1">MATCH("*EA005",$B6:$AB6,0)</f>
        <v>#N/A</v>
      </c>
      <c r="AE6" s="334" t="e">
        <f t="shared" ref="AE6:AE69" si="2">MATCH("*EA006",$B6:$AB6,0)</f>
        <v>#N/A</v>
      </c>
      <c r="AF6" s="334" t="e">
        <f t="shared" si="0"/>
        <v>#N/A</v>
      </c>
      <c r="AG6" s="334" t="e">
        <f t="shared" ref="AG6:AG69" si="3">MATCH("*EA012",$B6:$AB6,0)</f>
        <v>#N/A</v>
      </c>
      <c r="AH6" s="334" t="e">
        <f t="shared" ref="AH6:AH69" si="4">MATCH("*EA015",$B6:$AB6,0)</f>
        <v>#N/A</v>
      </c>
      <c r="AI6" s="334" t="e">
        <f t="shared" ref="AI6:AI69" si="5">MATCH("*EA104",$B6:$AB6,0)</f>
        <v>#N/A</v>
      </c>
      <c r="AJ6" s="335" t="e">
        <f t="shared" ref="AJ6:AJ69" si="6">MATCH("*EA105",$B6:$AB6,0)</f>
        <v>#N/A</v>
      </c>
      <c r="AK6" s="335" t="e">
        <f t="shared" ref="AK6:AK69" si="7">MATCH("*EA107",$B6:$AB6,0)</f>
        <v>#N/A</v>
      </c>
      <c r="AL6" s="335" t="e">
        <f t="shared" ref="AL6:AL69" si="8">MATCH("*EA108",$B6:$AB6,0)</f>
        <v>#N/A</v>
      </c>
      <c r="AM6" s="334" t="e">
        <f t="shared" ref="AM6:AM69" si="9">MATCH("*EB006",$B6:$AB6,0)</f>
        <v>#N/A</v>
      </c>
      <c r="AN6" s="334" t="e">
        <f t="shared" ref="AN6:AN69" si="10">MATCH("*EB007",$B6:$AB6,0)</f>
        <v>#N/A</v>
      </c>
      <c r="AO6" s="334" t="e">
        <f t="shared" ref="AO6:AO69" si="11">MATCH("*EB013",$B6:$AB6,0)</f>
        <v>#N/A</v>
      </c>
      <c r="AP6" s="335" t="e">
        <f t="shared" ref="AP6:AP69" si="12">MATCH("*EB104",$B6:$AB6,0)</f>
        <v>#N/A</v>
      </c>
      <c r="AQ6" s="334" t="e">
        <f t="shared" ref="AQ6:AQ69" si="13">MATCH("*EB105",$B6:$AB6,0)</f>
        <v>#N/A</v>
      </c>
      <c r="AR6" s="334" t="e">
        <f t="shared" ref="AR6:AR69" si="14">MATCH("*EB107",$B6:$AB6,0)</f>
        <v>#N/A</v>
      </c>
      <c r="AS6" s="337" t="e">
        <f t="shared" ref="AS6:AS69" si="15">MATCH("*EB109",$B6:$AB6,0)</f>
        <v>#N/A</v>
      </c>
      <c r="AT6" s="335" t="e">
        <f t="shared" ref="AT6:AT69" si="16">MATCH("*EB110",$B6:$AB6,0)</f>
        <v>#N/A</v>
      </c>
      <c r="AU6" s="335" t="e">
        <f t="shared" ref="AU6:AU69" si="17">MATCH("*MA111",$B6:$AB6,0)</f>
        <v>#N/A</v>
      </c>
      <c r="AV6" s="334" t="e">
        <f t="shared" ref="AV6:AV69" si="18">MATCH("*MA209",$B6:$AB6,0)</f>
        <v>#N/A</v>
      </c>
      <c r="AW6" s="334" t="e">
        <f t="shared" ref="AW6:AW69" si="19">MATCH("*MA212",$B6:$AB6,0)</f>
        <v>#N/A</v>
      </c>
      <c r="AX6" s="334" t="e">
        <f t="shared" ref="AX6:AX69" si="20">MATCH("*D01",$B6:$AB6,0)</f>
        <v>#N/A</v>
      </c>
      <c r="AY6" s="334" t="e">
        <f t="shared" ref="AY6:AY69" si="21">MATCH("*MECH. W/SHOP",$B6:$AB6,0)</f>
        <v>#N/A</v>
      </c>
      <c r="AZ6" s="334" t="e">
        <f t="shared" ref="AZ6:AZ69" si="22">MATCH("*MECH. LAB",$B6:$AB6,0)</f>
        <v>#N/A</v>
      </c>
      <c r="BA6" s="334" t="e">
        <f t="shared" ref="BA6:BA69" si="23">MATCH("*PHYSICS LAB",$B6:$AB6,0)</f>
        <v>#N/A</v>
      </c>
      <c r="BB6" s="334" t="e">
        <f t="shared" ref="BB6:BB69" si="24">MATCH("*C/HALL",$B6:$AB6,0)</f>
        <v>#N/A</v>
      </c>
      <c r="BC6" s="334" t="e">
        <f t="shared" ref="BC6:BC69" si="25">MATCH("*CHEMISTRY LAB",$B6:$AB6,0)</f>
        <v>#N/A</v>
      </c>
      <c r="BD6" s="334" t="e">
        <f t="shared" ref="BD6:BD69" si="26">MATCH("*REFRIG.LAB",$B6:$AB6,0)</f>
        <v>#N/A</v>
      </c>
      <c r="BE6" s="334" t="e">
        <f t="shared" ref="BE6:BE69" si="27">MATCH("*FET203",$B6:$AB6,0)</f>
        <v>#N/A</v>
      </c>
      <c r="BF6" s="334" t="e">
        <f t="shared" ref="BF6:BF69" si="28">MATCH("*FET205",$B6:$AB6,0)</f>
        <v>#N/A</v>
      </c>
      <c r="BG6" s="334" t="e">
        <f t="shared" ref="BG6:BG69" si="29">MATCH("*FET207",$B6:$AB6,0)</f>
        <v>#N/A</v>
      </c>
      <c r="BH6" s="334" t="e">
        <f t="shared" ref="BH6:BH69" si="30">MATCH("*FET208",$B6:$AB6,0)</f>
        <v>#N/A</v>
      </c>
      <c r="BI6" s="334" t="e">
        <f t="shared" ref="BI6:BI69" si="31">MATCH("*FET209",$B6:$AB6,0)</f>
        <v>#N/A</v>
      </c>
      <c r="BJ6" s="334" t="e">
        <f t="shared" ref="BJ6:BJ69" si="32">MATCH("*FET210",$B6:$AB6,0)</f>
        <v>#N/A</v>
      </c>
      <c r="BK6" s="334" t="e">
        <f t="shared" ref="BK6:BK69" si="33">MATCH("*FET316",$B6:$AB6,0)</f>
        <v>#N/A</v>
      </c>
      <c r="BL6" s="538"/>
    </row>
    <row r="7" spans="1:64" ht="52.2" thickBot="1" x14ac:dyDescent="0.3">
      <c r="A7" s="400">
        <v>4</v>
      </c>
      <c r="B7" s="405" t="e">
        <f>CONCATENATED!E21</f>
        <v>#REF!</v>
      </c>
      <c r="C7" s="405" t="e">
        <f>CONCATENATED!F21</f>
        <v>#REF!</v>
      </c>
      <c r="D7" s="405" t="e">
        <f>CONCATENATED!G21</f>
        <v>#REF!</v>
      </c>
      <c r="E7" s="405" t="e">
        <f>CONCATENATED!H21</f>
        <v>#REF!</v>
      </c>
      <c r="F7" s="405" t="e">
        <f>CONCATENATED!I21</f>
        <v>#REF!</v>
      </c>
      <c r="G7" s="405" t="e">
        <f>CONCATENATED!J21</f>
        <v>#REF!</v>
      </c>
      <c r="H7" s="405" t="e">
        <f>CONCATENATED!K21</f>
        <v>#REF!</v>
      </c>
      <c r="I7" s="405" t="str">
        <f>CONCATENATED!L21</f>
        <v xml:space="preserve">BSME/SEP2020/J-FT [Y2S1  (50) Students] :  </v>
      </c>
      <c r="J7" s="405" t="str">
        <f>CONCATENATED!M21</f>
        <v>BSME/AUG2021/J-FT [Y1S2  (55) Students] AMA 4103: MWAMUNGA FET108</v>
      </c>
      <c r="K7" s="405" t="e">
        <f>CONCATENATED!N21</f>
        <v>#REF!</v>
      </c>
      <c r="L7" s="405" t="e">
        <f>CONCATENATED!O21</f>
        <v>#REF!</v>
      </c>
      <c r="M7" s="405" t="str">
        <f>CONCATENATED!P21</f>
        <v xml:space="preserve">BTME/SEP2019/S-PT [Y3S1   (10) Students] :  </v>
      </c>
      <c r="N7" s="405" t="str">
        <f>CONCATENATED!Q21</f>
        <v xml:space="preserve">BTME/AUG2021/S-PT [Y2S2   (10) Students] :  </v>
      </c>
      <c r="O7" s="405" t="e">
        <f>CONCATENATED!R21</f>
        <v>#REF!</v>
      </c>
      <c r="P7" s="405" t="e">
        <f>CONCATENATED!S21</f>
        <v>#REF!</v>
      </c>
      <c r="Q7" s="405" t="str">
        <f>CONCATENATED!T21</f>
        <v xml:space="preserve">BTME/AUG2021/J&amp;S-FT [Y1S1  (52) Students] :  </v>
      </c>
      <c r="R7" s="405" t="e">
        <f>CONCATENATED!U21</f>
        <v>#REF!</v>
      </c>
      <c r="S7" s="405" t="e">
        <f>CONCATENATED!V21</f>
        <v>#REF!</v>
      </c>
      <c r="T7" s="405" t="e">
        <f>CONCATENATED!W21</f>
        <v>#REF!</v>
      </c>
      <c r="U7" s="405" t="e">
        <f>CONCATENATED!X21</f>
        <v>#REF!</v>
      </c>
      <c r="V7" s="405" t="e">
        <f>CONCATENATED!Y21</f>
        <v>#REF!</v>
      </c>
      <c r="W7" s="405" t="e">
        <f>CONCATENATED!Z21</f>
        <v>#REF!</v>
      </c>
      <c r="X7" s="405" t="e">
        <f>CONCATENATED!AA21</f>
        <v>#REF!</v>
      </c>
      <c r="Y7" s="405" t="e">
        <f>CONCATENATED!AB21</f>
        <v>#REF!</v>
      </c>
      <c r="Z7" s="405" t="str">
        <f>CONCATENATED!AC21</f>
        <v>DMAE/SEP20201J&amp;S-FT [Y1S2   (60) Students] EMR 2115: MUCHIRU SC/LAB</v>
      </c>
      <c r="AA7" s="405" t="e">
        <f>CONCATENATED!AD21</f>
        <v>#REF!</v>
      </c>
      <c r="AB7" s="405" t="e">
        <f>CONCATENATED!AE21</f>
        <v>#REF!</v>
      </c>
      <c r="AC7" s="535"/>
      <c r="AD7" s="333" t="e">
        <f t="shared" si="1"/>
        <v>#N/A</v>
      </c>
      <c r="AE7" s="334" t="e">
        <f t="shared" si="2"/>
        <v>#N/A</v>
      </c>
      <c r="AF7" s="334" t="e">
        <f t="shared" si="0"/>
        <v>#N/A</v>
      </c>
      <c r="AG7" s="334" t="e">
        <f t="shared" si="3"/>
        <v>#N/A</v>
      </c>
      <c r="AH7" s="334" t="e">
        <f t="shared" si="4"/>
        <v>#N/A</v>
      </c>
      <c r="AI7" s="334" t="e">
        <f t="shared" si="5"/>
        <v>#N/A</v>
      </c>
      <c r="AJ7" s="335" t="e">
        <f t="shared" si="6"/>
        <v>#N/A</v>
      </c>
      <c r="AK7" s="335" t="e">
        <f t="shared" si="7"/>
        <v>#N/A</v>
      </c>
      <c r="AL7" s="335" t="e">
        <f t="shared" si="8"/>
        <v>#N/A</v>
      </c>
      <c r="AM7" s="334" t="e">
        <f t="shared" si="9"/>
        <v>#N/A</v>
      </c>
      <c r="AN7" s="334" t="e">
        <f t="shared" si="10"/>
        <v>#N/A</v>
      </c>
      <c r="AO7" s="334" t="e">
        <f t="shared" si="11"/>
        <v>#N/A</v>
      </c>
      <c r="AP7" s="335" t="e">
        <f t="shared" si="12"/>
        <v>#N/A</v>
      </c>
      <c r="AQ7" s="334" t="e">
        <f t="shared" si="13"/>
        <v>#N/A</v>
      </c>
      <c r="AR7" s="334" t="e">
        <f t="shared" si="14"/>
        <v>#N/A</v>
      </c>
      <c r="AS7" s="337" t="e">
        <f t="shared" si="15"/>
        <v>#N/A</v>
      </c>
      <c r="AT7" s="335" t="e">
        <f t="shared" si="16"/>
        <v>#N/A</v>
      </c>
      <c r="AU7" s="335" t="e">
        <f t="shared" si="17"/>
        <v>#N/A</v>
      </c>
      <c r="AV7" s="334" t="e">
        <f t="shared" si="18"/>
        <v>#N/A</v>
      </c>
      <c r="AW7" s="335" t="e">
        <f t="shared" si="19"/>
        <v>#N/A</v>
      </c>
      <c r="AX7" s="334" t="e">
        <f t="shared" si="20"/>
        <v>#N/A</v>
      </c>
      <c r="AY7" s="334" t="e">
        <f t="shared" si="21"/>
        <v>#N/A</v>
      </c>
      <c r="AZ7" s="334" t="e">
        <f t="shared" si="22"/>
        <v>#N/A</v>
      </c>
      <c r="BA7" s="334" t="e">
        <f t="shared" si="23"/>
        <v>#N/A</v>
      </c>
      <c r="BB7" s="334" t="e">
        <f t="shared" si="24"/>
        <v>#N/A</v>
      </c>
      <c r="BC7" s="334" t="e">
        <f t="shared" si="25"/>
        <v>#N/A</v>
      </c>
      <c r="BD7" s="334" t="e">
        <f t="shared" si="26"/>
        <v>#N/A</v>
      </c>
      <c r="BE7" s="334" t="e">
        <f t="shared" si="27"/>
        <v>#N/A</v>
      </c>
      <c r="BF7" s="334" t="e">
        <f t="shared" si="28"/>
        <v>#N/A</v>
      </c>
      <c r="BG7" s="334" t="e">
        <f t="shared" si="29"/>
        <v>#N/A</v>
      </c>
      <c r="BH7" s="334" t="e">
        <f t="shared" si="30"/>
        <v>#N/A</v>
      </c>
      <c r="BI7" s="334" t="e">
        <f t="shared" si="31"/>
        <v>#N/A</v>
      </c>
      <c r="BJ7" s="334" t="e">
        <f t="shared" si="32"/>
        <v>#N/A</v>
      </c>
      <c r="BK7" s="334" t="e">
        <f t="shared" si="33"/>
        <v>#N/A</v>
      </c>
      <c r="BL7" s="538"/>
    </row>
    <row r="8" spans="1:64" ht="15.6" thickBot="1" x14ac:dyDescent="0.3">
      <c r="A8" s="400">
        <v>5</v>
      </c>
      <c r="B8" s="405" t="e">
        <f>CONCATENATED!E24</f>
        <v>#REF!</v>
      </c>
      <c r="C8" s="405" t="e">
        <f>CONCATENATED!F24</f>
        <v>#REF!</v>
      </c>
      <c r="D8" s="405" t="e">
        <f>CONCATENATED!G24</f>
        <v>#REF!</v>
      </c>
      <c r="E8" s="405" t="e">
        <f>CONCATENATED!H24</f>
        <v>#REF!</v>
      </c>
      <c r="F8" s="405" t="e">
        <f>CONCATENATED!I24</f>
        <v>#REF!</v>
      </c>
      <c r="G8" s="405" t="e">
        <f>CONCATENATED!J24</f>
        <v>#REF!</v>
      </c>
      <c r="H8" s="405" t="e">
        <f>CONCATENATED!K24</f>
        <v>#REF!</v>
      </c>
      <c r="I8" s="405" t="e">
        <f>CONCATENATED!L24</f>
        <v>#REF!</v>
      </c>
      <c r="J8" s="405" t="e">
        <f>CONCATENATED!M24</f>
        <v>#REF!</v>
      </c>
      <c r="K8" s="405" t="e">
        <f>CONCATENATED!N24</f>
        <v>#REF!</v>
      </c>
      <c r="L8" s="405" t="e">
        <f>CONCATENATED!O24</f>
        <v>#REF!</v>
      </c>
      <c r="M8" s="405" t="e">
        <f>CONCATENATED!P24</f>
        <v>#REF!</v>
      </c>
      <c r="N8" s="405" t="e">
        <f>CONCATENATED!Q24</f>
        <v>#REF!</v>
      </c>
      <c r="O8" s="405" t="e">
        <f>CONCATENATED!R24</f>
        <v>#REF!</v>
      </c>
      <c r="P8" s="405" t="e">
        <f>CONCATENATED!S24</f>
        <v>#REF!</v>
      </c>
      <c r="Q8" s="405" t="e">
        <f>CONCATENATED!T24</f>
        <v>#REF!</v>
      </c>
      <c r="R8" s="405" t="e">
        <f>CONCATENATED!U24</f>
        <v>#REF!</v>
      </c>
      <c r="S8" s="405" t="e">
        <f>CONCATENATED!V24</f>
        <v>#REF!</v>
      </c>
      <c r="T8" s="405" t="e">
        <f>CONCATENATED!W24</f>
        <v>#REF!</v>
      </c>
      <c r="U8" s="405" t="e">
        <f>CONCATENATED!X24</f>
        <v>#REF!</v>
      </c>
      <c r="V8" s="405" t="e">
        <f>CONCATENATED!Y24</f>
        <v>#REF!</v>
      </c>
      <c r="W8" s="405" t="e">
        <f>CONCATENATED!Z24</f>
        <v>#REF!</v>
      </c>
      <c r="X8" s="405" t="e">
        <f>CONCATENATED!AA24</f>
        <v>#REF!</v>
      </c>
      <c r="Y8" s="405" t="e">
        <f>CONCATENATED!AB24</f>
        <v>#REF!</v>
      </c>
      <c r="Z8" s="405" t="e">
        <f>CONCATENATED!AC24</f>
        <v>#REF!</v>
      </c>
      <c r="AA8" s="405" t="e">
        <f>CONCATENATED!AD24</f>
        <v>#REF!</v>
      </c>
      <c r="AB8" s="405" t="e">
        <f>CONCATENATED!AE24</f>
        <v>#REF!</v>
      </c>
      <c r="AC8" s="535"/>
      <c r="AD8" s="333" t="e">
        <f t="shared" si="1"/>
        <v>#N/A</v>
      </c>
      <c r="AE8" s="334" t="e">
        <f t="shared" si="2"/>
        <v>#N/A</v>
      </c>
      <c r="AF8" s="334" t="e">
        <f t="shared" si="0"/>
        <v>#N/A</v>
      </c>
      <c r="AG8" s="334" t="e">
        <f t="shared" si="3"/>
        <v>#N/A</v>
      </c>
      <c r="AH8" s="334" t="e">
        <f t="shared" si="4"/>
        <v>#N/A</v>
      </c>
      <c r="AI8" s="334" t="e">
        <f t="shared" si="5"/>
        <v>#N/A</v>
      </c>
      <c r="AJ8" s="335" t="e">
        <f t="shared" si="6"/>
        <v>#N/A</v>
      </c>
      <c r="AK8" s="335" t="e">
        <f t="shared" si="7"/>
        <v>#N/A</v>
      </c>
      <c r="AL8" s="335" t="e">
        <f t="shared" si="8"/>
        <v>#N/A</v>
      </c>
      <c r="AM8" s="334" t="e">
        <f t="shared" si="9"/>
        <v>#N/A</v>
      </c>
      <c r="AN8" s="334" t="e">
        <f t="shared" si="10"/>
        <v>#N/A</v>
      </c>
      <c r="AO8" s="334" t="e">
        <f t="shared" si="11"/>
        <v>#N/A</v>
      </c>
      <c r="AP8" s="335" t="e">
        <f t="shared" si="12"/>
        <v>#N/A</v>
      </c>
      <c r="AQ8" s="334" t="e">
        <f t="shared" si="13"/>
        <v>#N/A</v>
      </c>
      <c r="AR8" s="334" t="e">
        <f t="shared" si="14"/>
        <v>#N/A</v>
      </c>
      <c r="AS8" s="337" t="e">
        <f t="shared" si="15"/>
        <v>#N/A</v>
      </c>
      <c r="AT8" s="335" t="e">
        <f t="shared" si="16"/>
        <v>#N/A</v>
      </c>
      <c r="AU8" s="335" t="e">
        <f t="shared" si="17"/>
        <v>#N/A</v>
      </c>
      <c r="AV8" s="334" t="e">
        <f t="shared" si="18"/>
        <v>#N/A</v>
      </c>
      <c r="AW8" s="334" t="e">
        <f t="shared" si="19"/>
        <v>#N/A</v>
      </c>
      <c r="AX8" s="334" t="e">
        <f t="shared" si="20"/>
        <v>#N/A</v>
      </c>
      <c r="AY8" s="334" t="e">
        <f t="shared" si="21"/>
        <v>#N/A</v>
      </c>
      <c r="AZ8" s="334" t="e">
        <f t="shared" si="22"/>
        <v>#N/A</v>
      </c>
      <c r="BA8" s="334" t="e">
        <f t="shared" si="23"/>
        <v>#N/A</v>
      </c>
      <c r="BB8" s="334" t="e">
        <f t="shared" si="24"/>
        <v>#N/A</v>
      </c>
      <c r="BC8" s="334" t="e">
        <f t="shared" si="25"/>
        <v>#N/A</v>
      </c>
      <c r="BD8" s="334" t="e">
        <f t="shared" si="26"/>
        <v>#N/A</v>
      </c>
      <c r="BE8" s="334" t="e">
        <f t="shared" si="27"/>
        <v>#N/A</v>
      </c>
      <c r="BF8" s="334" t="e">
        <f t="shared" si="28"/>
        <v>#N/A</v>
      </c>
      <c r="BG8" s="334" t="e">
        <f t="shared" si="29"/>
        <v>#N/A</v>
      </c>
      <c r="BH8" s="334" t="e">
        <f t="shared" si="30"/>
        <v>#N/A</v>
      </c>
      <c r="BI8" s="334" t="e">
        <f t="shared" si="31"/>
        <v>#N/A</v>
      </c>
      <c r="BJ8" s="334" t="e">
        <f t="shared" si="32"/>
        <v>#N/A</v>
      </c>
      <c r="BK8" s="334" t="e">
        <f t="shared" si="33"/>
        <v>#N/A</v>
      </c>
      <c r="BL8" s="538"/>
    </row>
    <row r="9" spans="1:64" ht="15.6" thickBot="1" x14ac:dyDescent="0.3">
      <c r="A9" s="400">
        <v>6</v>
      </c>
      <c r="B9" s="405" t="e">
        <f>CONCATENATED!E27</f>
        <v>#REF!</v>
      </c>
      <c r="C9" s="405" t="e">
        <f>CONCATENATED!F27</f>
        <v>#REF!</v>
      </c>
      <c r="D9" s="405" t="e">
        <f>CONCATENATED!G27</f>
        <v>#REF!</v>
      </c>
      <c r="E9" s="405" t="e">
        <f>CONCATENATED!H27</f>
        <v>#REF!</v>
      </c>
      <c r="F9" s="405" t="e">
        <f>CONCATENATED!I27</f>
        <v>#REF!</v>
      </c>
      <c r="G9" s="405" t="e">
        <f>CONCATENATED!J27</f>
        <v>#REF!</v>
      </c>
      <c r="H9" s="405" t="e">
        <f>CONCATENATED!K27</f>
        <v>#REF!</v>
      </c>
      <c r="I9" s="405" t="e">
        <f>CONCATENATED!L27</f>
        <v>#REF!</v>
      </c>
      <c r="J9" s="405" t="e">
        <f>CONCATENATED!M27</f>
        <v>#REF!</v>
      </c>
      <c r="K9" s="405" t="e">
        <f>CONCATENATED!N27</f>
        <v>#REF!</v>
      </c>
      <c r="L9" s="405" t="e">
        <f>CONCATENATED!O27</f>
        <v>#REF!</v>
      </c>
      <c r="M9" s="405" t="e">
        <f>CONCATENATED!P27</f>
        <v>#REF!</v>
      </c>
      <c r="N9" s="405" t="e">
        <f>CONCATENATED!Q27</f>
        <v>#REF!</v>
      </c>
      <c r="O9" s="405" t="e">
        <f>CONCATENATED!R27</f>
        <v>#REF!</v>
      </c>
      <c r="P9" s="405" t="e">
        <f>CONCATENATED!S27</f>
        <v>#REF!</v>
      </c>
      <c r="Q9" s="405" t="e">
        <f>CONCATENATED!T27</f>
        <v>#REF!</v>
      </c>
      <c r="R9" s="405" t="e">
        <f>CONCATENATED!U27</f>
        <v>#REF!</v>
      </c>
      <c r="S9" s="405" t="e">
        <f>CONCATENATED!V27</f>
        <v>#REF!</v>
      </c>
      <c r="T9" s="405" t="e">
        <f>CONCATENATED!W27</f>
        <v>#REF!</v>
      </c>
      <c r="U9" s="405" t="e">
        <f>CONCATENATED!X27</f>
        <v>#REF!</v>
      </c>
      <c r="V9" s="405" t="e">
        <f>CONCATENATED!Y27</f>
        <v>#REF!</v>
      </c>
      <c r="W9" s="405" t="e">
        <f>CONCATENATED!Z27</f>
        <v>#REF!</v>
      </c>
      <c r="X9" s="405" t="e">
        <f>CONCATENATED!AA27</f>
        <v>#REF!</v>
      </c>
      <c r="Y9" s="405" t="e">
        <f>CONCATENATED!AB27</f>
        <v>#REF!</v>
      </c>
      <c r="Z9" s="405" t="e">
        <f>CONCATENATED!AC27</f>
        <v>#REF!</v>
      </c>
      <c r="AA9" s="405" t="e">
        <f>CONCATENATED!AD27</f>
        <v>#REF!</v>
      </c>
      <c r="AB9" s="405" t="e">
        <f>CONCATENATED!AE27</f>
        <v>#REF!</v>
      </c>
      <c r="AC9" s="535"/>
      <c r="AD9" s="333" t="e">
        <f t="shared" si="1"/>
        <v>#N/A</v>
      </c>
      <c r="AE9" s="334" t="e">
        <f t="shared" si="2"/>
        <v>#N/A</v>
      </c>
      <c r="AF9" s="334" t="e">
        <f t="shared" si="0"/>
        <v>#N/A</v>
      </c>
      <c r="AG9" s="334" t="e">
        <f t="shared" si="3"/>
        <v>#N/A</v>
      </c>
      <c r="AH9" s="334" t="e">
        <f t="shared" si="4"/>
        <v>#N/A</v>
      </c>
      <c r="AI9" s="334" t="e">
        <f t="shared" si="5"/>
        <v>#N/A</v>
      </c>
      <c r="AJ9" s="335" t="e">
        <f t="shared" si="6"/>
        <v>#N/A</v>
      </c>
      <c r="AK9" s="335" t="e">
        <f t="shared" si="7"/>
        <v>#N/A</v>
      </c>
      <c r="AL9" s="335" t="e">
        <f t="shared" si="8"/>
        <v>#N/A</v>
      </c>
      <c r="AM9" s="334" t="e">
        <f t="shared" si="9"/>
        <v>#N/A</v>
      </c>
      <c r="AN9" s="334" t="e">
        <f t="shared" si="10"/>
        <v>#N/A</v>
      </c>
      <c r="AO9" s="334" t="e">
        <f t="shared" si="11"/>
        <v>#N/A</v>
      </c>
      <c r="AP9" s="335" t="e">
        <f t="shared" si="12"/>
        <v>#N/A</v>
      </c>
      <c r="AQ9" s="334" t="e">
        <f t="shared" si="13"/>
        <v>#N/A</v>
      </c>
      <c r="AR9" s="334" t="e">
        <f t="shared" si="14"/>
        <v>#N/A</v>
      </c>
      <c r="AS9" s="337" t="e">
        <f t="shared" si="15"/>
        <v>#N/A</v>
      </c>
      <c r="AT9" s="335" t="e">
        <f t="shared" si="16"/>
        <v>#N/A</v>
      </c>
      <c r="AU9" s="335" t="e">
        <f t="shared" si="17"/>
        <v>#N/A</v>
      </c>
      <c r="AV9" s="334" t="e">
        <f t="shared" si="18"/>
        <v>#N/A</v>
      </c>
      <c r="AW9" s="334" t="e">
        <f t="shared" si="19"/>
        <v>#N/A</v>
      </c>
      <c r="AX9" s="334" t="e">
        <f t="shared" si="20"/>
        <v>#N/A</v>
      </c>
      <c r="AY9" s="334" t="e">
        <f t="shared" si="21"/>
        <v>#N/A</v>
      </c>
      <c r="AZ9" s="334" t="e">
        <f t="shared" si="22"/>
        <v>#N/A</v>
      </c>
      <c r="BA9" s="334" t="e">
        <f t="shared" si="23"/>
        <v>#N/A</v>
      </c>
      <c r="BB9" s="334" t="e">
        <f t="shared" si="24"/>
        <v>#N/A</v>
      </c>
      <c r="BC9" s="334" t="e">
        <f t="shared" si="25"/>
        <v>#N/A</v>
      </c>
      <c r="BD9" s="334" t="e">
        <f t="shared" si="26"/>
        <v>#N/A</v>
      </c>
      <c r="BE9" s="334" t="e">
        <f t="shared" si="27"/>
        <v>#N/A</v>
      </c>
      <c r="BF9" s="334" t="e">
        <f t="shared" si="28"/>
        <v>#N/A</v>
      </c>
      <c r="BG9" s="334" t="e">
        <f t="shared" si="29"/>
        <v>#N/A</v>
      </c>
      <c r="BH9" s="334" t="e">
        <f t="shared" si="30"/>
        <v>#N/A</v>
      </c>
      <c r="BI9" s="334" t="e">
        <f t="shared" si="31"/>
        <v>#N/A</v>
      </c>
      <c r="BJ9" s="334" t="e">
        <f t="shared" si="32"/>
        <v>#N/A</v>
      </c>
      <c r="BK9" s="334" t="e">
        <f t="shared" si="33"/>
        <v>#N/A</v>
      </c>
      <c r="BL9" s="538"/>
    </row>
    <row r="10" spans="1:64" s="406" customFormat="1" ht="31.2" thickBot="1" x14ac:dyDescent="0.25">
      <c r="A10" s="406">
        <v>7</v>
      </c>
      <c r="B10" s="407" t="e">
        <f>CONCATENATED!E30</f>
        <v>#REF!</v>
      </c>
      <c r="C10" s="407" t="e">
        <f>CONCATENATED!F30</f>
        <v>#REF!</v>
      </c>
      <c r="D10" s="407" t="e">
        <f>CONCATENATED!G30</f>
        <v>#REF!</v>
      </c>
      <c r="E10" s="407" t="e">
        <f>CONCATENATED!H30</f>
        <v>#REF!</v>
      </c>
      <c r="F10" s="407" t="e">
        <f>CONCATENATED!I30</f>
        <v>#REF!</v>
      </c>
      <c r="G10" s="407" t="e">
        <f>CONCATENATED!J30</f>
        <v>#REF!</v>
      </c>
      <c r="H10" s="407" t="e">
        <f>CONCATENATED!K30</f>
        <v>#REF!</v>
      </c>
      <c r="I10" s="407" t="str">
        <f>CONCATENATED!L30</f>
        <v xml:space="preserve">BSME/SEP2020/J-FT [Y2S1  (50) Students] :  </v>
      </c>
      <c r="J10" s="407" t="str">
        <f>CONCATENATED!M30</f>
        <v xml:space="preserve">BSME/AUG2021/J-FT [Y1S2  (55) Students] :  </v>
      </c>
      <c r="K10" s="407" t="e">
        <f>CONCATENATED!N30</f>
        <v>#REF!</v>
      </c>
      <c r="L10" s="407" t="e">
        <f>CONCATENATED!O30</f>
        <v>#REF!</v>
      </c>
      <c r="M10" s="407" t="str">
        <f>CONCATENATED!P30</f>
        <v xml:space="preserve">BTME/SEP2019/S-PT [Y3S1   (10) Students] :  </v>
      </c>
      <c r="N10" s="407" t="str">
        <f>CONCATENATED!Q30</f>
        <v xml:space="preserve">BTME/AUG2021/S-PT [Y2S2   (10) Students] :  </v>
      </c>
      <c r="O10" s="407" t="e">
        <f>CONCATENATED!R30</f>
        <v>#REF!</v>
      </c>
      <c r="P10" s="407" t="e">
        <f>CONCATENATED!S30</f>
        <v>#REF!</v>
      </c>
      <c r="Q10" s="407" t="str">
        <f>CONCATENATED!T30</f>
        <v xml:space="preserve">BTME/AUG2021/J&amp;S-FT [Y1S1  (52) Students] :  </v>
      </c>
      <c r="R10" s="407" t="e">
        <f>CONCATENATED!U30</f>
        <v>#REF!</v>
      </c>
      <c r="S10" s="407" t="e">
        <f>CONCATENATED!V30</f>
        <v>#REF!</v>
      </c>
      <c r="T10" s="407" t="e">
        <f>CONCATENATED!W30</f>
        <v>#REF!</v>
      </c>
      <c r="U10" s="407" t="e">
        <f>CONCATENATED!X30</f>
        <v>#REF!</v>
      </c>
      <c r="V10" s="407" t="e">
        <f>CONCATENATED!Y30</f>
        <v>#REF!</v>
      </c>
      <c r="W10" s="407" t="e">
        <f>CONCATENATED!Z30</f>
        <v>#REF!</v>
      </c>
      <c r="X10" s="407" t="e">
        <f>CONCATENATED!AA30</f>
        <v>#REF!</v>
      </c>
      <c r="Y10" s="407" t="e">
        <f>CONCATENATED!AB30</f>
        <v>#REF!</v>
      </c>
      <c r="Z10" s="407" t="str">
        <f>CONCATENATED!AC30</f>
        <v xml:space="preserve">DMAE/SEP20201J&amp;S-FT [Y1S2   (60) Students] :  </v>
      </c>
      <c r="AA10" s="407" t="e">
        <f>CONCATENATED!AD30</f>
        <v>#REF!</v>
      </c>
      <c r="AB10" s="407" t="e">
        <f>CONCATENATED!AE30</f>
        <v>#REF!</v>
      </c>
      <c r="AC10" s="534"/>
      <c r="AD10" s="339" t="e">
        <f t="shared" si="1"/>
        <v>#N/A</v>
      </c>
      <c r="AE10" s="339" t="e">
        <f t="shared" si="2"/>
        <v>#N/A</v>
      </c>
      <c r="AF10" s="339" t="e">
        <f t="shared" si="0"/>
        <v>#N/A</v>
      </c>
      <c r="AG10" s="339" t="e">
        <f t="shared" si="3"/>
        <v>#N/A</v>
      </c>
      <c r="AH10" s="339" t="e">
        <f t="shared" si="4"/>
        <v>#N/A</v>
      </c>
      <c r="AI10" s="339" t="e">
        <f t="shared" si="5"/>
        <v>#N/A</v>
      </c>
      <c r="AJ10" s="339" t="e">
        <f t="shared" si="6"/>
        <v>#N/A</v>
      </c>
      <c r="AK10" s="339" t="e">
        <f t="shared" si="7"/>
        <v>#N/A</v>
      </c>
      <c r="AL10" s="339" t="e">
        <f t="shared" si="8"/>
        <v>#N/A</v>
      </c>
      <c r="AM10" s="339" t="e">
        <f t="shared" si="9"/>
        <v>#N/A</v>
      </c>
      <c r="AN10" s="339" t="e">
        <f t="shared" si="10"/>
        <v>#N/A</v>
      </c>
      <c r="AO10" s="339" t="e">
        <f t="shared" si="11"/>
        <v>#N/A</v>
      </c>
      <c r="AP10" s="339" t="e">
        <f t="shared" si="12"/>
        <v>#N/A</v>
      </c>
      <c r="AQ10" s="339" t="e">
        <f t="shared" si="13"/>
        <v>#N/A</v>
      </c>
      <c r="AR10" s="339" t="e">
        <f t="shared" si="14"/>
        <v>#N/A</v>
      </c>
      <c r="AS10" s="339" t="e">
        <f t="shared" si="15"/>
        <v>#N/A</v>
      </c>
      <c r="AT10" s="339" t="e">
        <f t="shared" si="16"/>
        <v>#N/A</v>
      </c>
      <c r="AU10" s="339" t="e">
        <f t="shared" si="17"/>
        <v>#N/A</v>
      </c>
      <c r="AV10" s="339" t="e">
        <f t="shared" si="18"/>
        <v>#N/A</v>
      </c>
      <c r="AW10" s="339" t="e">
        <f t="shared" si="19"/>
        <v>#N/A</v>
      </c>
      <c r="AX10" s="339" t="e">
        <f t="shared" si="20"/>
        <v>#N/A</v>
      </c>
      <c r="AY10" s="339" t="e">
        <f t="shared" si="21"/>
        <v>#N/A</v>
      </c>
      <c r="AZ10" s="339" t="e">
        <f t="shared" si="22"/>
        <v>#N/A</v>
      </c>
      <c r="BA10" s="339" t="e">
        <f t="shared" si="23"/>
        <v>#N/A</v>
      </c>
      <c r="BB10" s="339" t="e">
        <f t="shared" si="24"/>
        <v>#N/A</v>
      </c>
      <c r="BC10" s="339" t="e">
        <f t="shared" si="25"/>
        <v>#N/A</v>
      </c>
      <c r="BD10" s="339" t="e">
        <f t="shared" si="26"/>
        <v>#N/A</v>
      </c>
      <c r="BE10" s="339" t="e">
        <f t="shared" si="27"/>
        <v>#N/A</v>
      </c>
      <c r="BF10" s="339" t="e">
        <f t="shared" si="28"/>
        <v>#N/A</v>
      </c>
      <c r="BG10" s="339" t="e">
        <f t="shared" si="29"/>
        <v>#N/A</v>
      </c>
      <c r="BH10" s="339" t="e">
        <f t="shared" si="30"/>
        <v>#N/A</v>
      </c>
      <c r="BI10" s="339" t="e">
        <f t="shared" si="31"/>
        <v>#N/A</v>
      </c>
      <c r="BJ10" s="339" t="e">
        <f t="shared" si="32"/>
        <v>#N/A</v>
      </c>
      <c r="BK10" s="339" t="e">
        <f t="shared" si="33"/>
        <v>#N/A</v>
      </c>
      <c r="BL10" s="538"/>
    </row>
    <row r="11" spans="1:64" ht="52.2" thickBot="1" x14ac:dyDescent="0.3">
      <c r="A11" s="400">
        <v>8</v>
      </c>
      <c r="B11" s="405" t="e">
        <f>CONCATENATED!E33</f>
        <v>#REF!</v>
      </c>
      <c r="C11" s="405" t="e">
        <f>CONCATENATED!F33</f>
        <v>#REF!</v>
      </c>
      <c r="D11" s="405" t="e">
        <f>CONCATENATED!G33</f>
        <v>#REF!</v>
      </c>
      <c r="E11" s="405" t="e">
        <f>CONCATENATED!H33</f>
        <v>#REF!</v>
      </c>
      <c r="F11" s="405" t="e">
        <f>CONCATENATED!I33</f>
        <v>#REF!</v>
      </c>
      <c r="G11" s="405" t="e">
        <f>CONCATENATED!J33</f>
        <v>#REF!</v>
      </c>
      <c r="H11" s="405" t="e">
        <f>CONCATENATED!K33</f>
        <v>#REF!</v>
      </c>
      <c r="I11" s="405" t="str">
        <f>CONCATENATED!L33</f>
        <v>BSME/SEP2020/J-FT [Y2S1  (50) Students] EMC 4213: WANGOMBE MB O2</v>
      </c>
      <c r="J11" s="405" t="str">
        <f>CONCATENATED!M33</f>
        <v xml:space="preserve">BSME/AUG2021/J-FT [Y1S2  (55) Students] :  </v>
      </c>
      <c r="K11" s="405" t="e">
        <f>CONCATENATED!N33</f>
        <v>#REF!</v>
      </c>
      <c r="L11" s="405" t="e">
        <f>CONCATENATED!O33</f>
        <v>#REF!</v>
      </c>
      <c r="M11" s="405" t="str">
        <f>CONCATENATED!P33</f>
        <v xml:space="preserve">BTME/SEP2019/S-PT [Y3S1   (10) Students] :  </v>
      </c>
      <c r="N11" s="405" t="str">
        <f>CONCATENATED!Q33</f>
        <v xml:space="preserve">BTME/AUG2021/S-PT [Y2S2   (10) Students] :  </v>
      </c>
      <c r="O11" s="405" t="e">
        <f>CONCATENATED!R33</f>
        <v>#REF!</v>
      </c>
      <c r="P11" s="405" t="e">
        <f>CONCATENATED!S33</f>
        <v>#REF!</v>
      </c>
      <c r="Q11" s="405" t="str">
        <f>CONCATENATED!T33</f>
        <v>BTME/AUG2021/J&amp;S-FT [Y1S1  (52) Students] TMC 4105: SWALAH/MWAFONDO LAB</v>
      </c>
      <c r="R11" s="405" t="e">
        <f>CONCATENATED!U33</f>
        <v>#REF!</v>
      </c>
      <c r="S11" s="405" t="e">
        <f>CONCATENATED!V33</f>
        <v>#REF!</v>
      </c>
      <c r="T11" s="405" t="e">
        <f>CONCATENATED!W33</f>
        <v>#REF!</v>
      </c>
      <c r="U11" s="405" t="e">
        <f>CONCATENATED!X33</f>
        <v>#REF!</v>
      </c>
      <c r="V11" s="405" t="e">
        <f>CONCATENATED!Y33</f>
        <v>#REF!</v>
      </c>
      <c r="W11" s="405" t="e">
        <f>CONCATENATED!Z33</f>
        <v>#REF!</v>
      </c>
      <c r="X11" s="405" t="e">
        <f>CONCATENATED!AA33</f>
        <v>#REF!</v>
      </c>
      <c r="Y11" s="405" t="e">
        <f>CONCATENATED!AB33</f>
        <v>#REF!</v>
      </c>
      <c r="Z11" s="405" t="str">
        <f>CONCATENATED!AC33</f>
        <v>DMAE/SEP20201J&amp;S-FT [Y1S2   (60) Students] EMR 2131: KIMATHI FET 108</v>
      </c>
      <c r="AA11" s="405" t="e">
        <f>CONCATENATED!AD33</f>
        <v>#REF!</v>
      </c>
      <c r="AB11" s="405" t="e">
        <f>CONCATENATED!AE33</f>
        <v>#REF!</v>
      </c>
      <c r="AC11" s="534"/>
      <c r="AD11" s="340" t="e">
        <f t="shared" si="1"/>
        <v>#N/A</v>
      </c>
      <c r="AE11" s="341" t="e">
        <f t="shared" si="2"/>
        <v>#N/A</v>
      </c>
      <c r="AF11" s="341" t="e">
        <f t="shared" si="0"/>
        <v>#N/A</v>
      </c>
      <c r="AG11" s="341" t="e">
        <f t="shared" si="3"/>
        <v>#N/A</v>
      </c>
      <c r="AH11" s="341" t="e">
        <f t="shared" si="4"/>
        <v>#N/A</v>
      </c>
      <c r="AI11" s="341" t="e">
        <f t="shared" si="5"/>
        <v>#N/A</v>
      </c>
      <c r="AJ11" s="341" t="e">
        <f t="shared" si="6"/>
        <v>#N/A</v>
      </c>
      <c r="AK11" s="341" t="e">
        <f t="shared" si="7"/>
        <v>#N/A</v>
      </c>
      <c r="AL11" s="341" t="e">
        <f t="shared" si="8"/>
        <v>#N/A</v>
      </c>
      <c r="AM11" s="341" t="e">
        <f t="shared" si="9"/>
        <v>#N/A</v>
      </c>
      <c r="AN11" s="341" t="e">
        <f t="shared" si="10"/>
        <v>#N/A</v>
      </c>
      <c r="AO11" s="341" t="e">
        <f t="shared" si="11"/>
        <v>#N/A</v>
      </c>
      <c r="AP11" s="341" t="e">
        <f t="shared" si="12"/>
        <v>#N/A</v>
      </c>
      <c r="AQ11" s="341" t="e">
        <f t="shared" si="13"/>
        <v>#N/A</v>
      </c>
      <c r="AR11" s="341" t="e">
        <f t="shared" si="14"/>
        <v>#N/A</v>
      </c>
      <c r="AS11" s="342" t="e">
        <f t="shared" si="15"/>
        <v>#N/A</v>
      </c>
      <c r="AT11" s="341" t="e">
        <f t="shared" si="16"/>
        <v>#N/A</v>
      </c>
      <c r="AU11" s="341" t="e">
        <f t="shared" si="17"/>
        <v>#N/A</v>
      </c>
      <c r="AV11" s="341" t="e">
        <f t="shared" si="18"/>
        <v>#N/A</v>
      </c>
      <c r="AW11" s="341" t="e">
        <f t="shared" si="19"/>
        <v>#N/A</v>
      </c>
      <c r="AX11" s="341" t="e">
        <f t="shared" si="20"/>
        <v>#N/A</v>
      </c>
      <c r="AY11" s="341" t="e">
        <f t="shared" si="21"/>
        <v>#N/A</v>
      </c>
      <c r="AZ11" s="341" t="e">
        <f t="shared" si="22"/>
        <v>#N/A</v>
      </c>
      <c r="BA11" s="341" t="e">
        <f t="shared" si="23"/>
        <v>#N/A</v>
      </c>
      <c r="BB11" s="341" t="e">
        <f t="shared" si="24"/>
        <v>#N/A</v>
      </c>
      <c r="BC11" s="341" t="e">
        <f t="shared" si="25"/>
        <v>#N/A</v>
      </c>
      <c r="BD11" s="341" t="e">
        <f t="shared" si="26"/>
        <v>#N/A</v>
      </c>
      <c r="BE11" s="341" t="e">
        <f t="shared" si="27"/>
        <v>#N/A</v>
      </c>
      <c r="BF11" s="341" t="e">
        <f t="shared" si="28"/>
        <v>#N/A</v>
      </c>
      <c r="BG11" s="341" t="e">
        <f t="shared" si="29"/>
        <v>#N/A</v>
      </c>
      <c r="BH11" s="341" t="e">
        <f t="shared" si="30"/>
        <v>#N/A</v>
      </c>
      <c r="BI11" s="341" t="e">
        <f t="shared" si="31"/>
        <v>#N/A</v>
      </c>
      <c r="BJ11" s="341" t="e">
        <f t="shared" si="32"/>
        <v>#N/A</v>
      </c>
      <c r="BK11" s="341" t="e">
        <f t="shared" si="33"/>
        <v>#N/A</v>
      </c>
      <c r="BL11" s="538"/>
    </row>
    <row r="12" spans="1:64" ht="15.6" thickBot="1" x14ac:dyDescent="0.3">
      <c r="A12" s="400">
        <v>9</v>
      </c>
      <c r="B12" s="405" t="e">
        <f>CONCATENATED!E36</f>
        <v>#REF!</v>
      </c>
      <c r="C12" s="405" t="e">
        <f>CONCATENATED!F36</f>
        <v>#REF!</v>
      </c>
      <c r="D12" s="405" t="e">
        <f>CONCATENATED!G36</f>
        <v>#REF!</v>
      </c>
      <c r="E12" s="405" t="e">
        <f>CONCATENATED!H36</f>
        <v>#REF!</v>
      </c>
      <c r="F12" s="405" t="e">
        <f>CONCATENATED!I36</f>
        <v>#REF!</v>
      </c>
      <c r="G12" s="405" t="e">
        <f>CONCATENATED!J36</f>
        <v>#REF!</v>
      </c>
      <c r="H12" s="405" t="e">
        <f>CONCATENATED!K36</f>
        <v>#REF!</v>
      </c>
      <c r="I12" s="405" t="e">
        <f>CONCATENATED!L36</f>
        <v>#REF!</v>
      </c>
      <c r="J12" s="405" t="e">
        <f>CONCATENATED!M36</f>
        <v>#REF!</v>
      </c>
      <c r="K12" s="405" t="e">
        <f>CONCATENATED!N36</f>
        <v>#REF!</v>
      </c>
      <c r="L12" s="405" t="e">
        <f>CONCATENATED!O36</f>
        <v>#REF!</v>
      </c>
      <c r="M12" s="405" t="e">
        <f>CONCATENATED!P36</f>
        <v>#REF!</v>
      </c>
      <c r="N12" s="405" t="e">
        <f>CONCATENATED!Q36</f>
        <v>#REF!</v>
      </c>
      <c r="O12" s="405" t="e">
        <f>CONCATENATED!R36</f>
        <v>#REF!</v>
      </c>
      <c r="P12" s="405" t="e">
        <f>CONCATENATED!S36</f>
        <v>#REF!</v>
      </c>
      <c r="Q12" s="405" t="e">
        <f>CONCATENATED!T36</f>
        <v>#REF!</v>
      </c>
      <c r="R12" s="405" t="e">
        <f>CONCATENATED!U36</f>
        <v>#REF!</v>
      </c>
      <c r="S12" s="405" t="e">
        <f>CONCATENATED!V36</f>
        <v>#REF!</v>
      </c>
      <c r="T12" s="405" t="e">
        <f>CONCATENATED!W36</f>
        <v>#REF!</v>
      </c>
      <c r="U12" s="405" t="e">
        <f>CONCATENATED!X36</f>
        <v>#REF!</v>
      </c>
      <c r="V12" s="405" t="e">
        <f>CONCATENATED!Y36</f>
        <v>#REF!</v>
      </c>
      <c r="W12" s="405" t="e">
        <f>CONCATENATED!Z36</f>
        <v>#REF!</v>
      </c>
      <c r="X12" s="405" t="e">
        <f>CONCATENATED!AA36</f>
        <v>#REF!</v>
      </c>
      <c r="Y12" s="405" t="e">
        <f>CONCATENATED!AB36</f>
        <v>#REF!</v>
      </c>
      <c r="Z12" s="405" t="e">
        <f>CONCATENATED!AC36</f>
        <v>#REF!</v>
      </c>
      <c r="AA12" s="405" t="e">
        <f>CONCATENATED!AD36</f>
        <v>#REF!</v>
      </c>
      <c r="AB12" s="405" t="e">
        <f>CONCATENATED!AE36</f>
        <v>#REF!</v>
      </c>
      <c r="AC12" s="534"/>
      <c r="AD12" s="343" t="e">
        <f t="shared" si="1"/>
        <v>#N/A</v>
      </c>
      <c r="AE12" s="335" t="e">
        <f t="shared" si="2"/>
        <v>#N/A</v>
      </c>
      <c r="AF12" s="335" t="e">
        <f t="shared" si="0"/>
        <v>#N/A</v>
      </c>
      <c r="AG12" s="335" t="e">
        <f t="shared" si="3"/>
        <v>#N/A</v>
      </c>
      <c r="AH12" s="335" t="e">
        <f t="shared" si="4"/>
        <v>#N/A</v>
      </c>
      <c r="AI12" s="335" t="e">
        <f t="shared" si="5"/>
        <v>#N/A</v>
      </c>
      <c r="AJ12" s="335" t="e">
        <f t="shared" si="6"/>
        <v>#N/A</v>
      </c>
      <c r="AK12" s="335" t="e">
        <f t="shared" si="7"/>
        <v>#N/A</v>
      </c>
      <c r="AL12" s="335" t="e">
        <f t="shared" si="8"/>
        <v>#N/A</v>
      </c>
      <c r="AM12" s="335" t="e">
        <f t="shared" si="9"/>
        <v>#N/A</v>
      </c>
      <c r="AN12" s="335" t="e">
        <f t="shared" si="10"/>
        <v>#N/A</v>
      </c>
      <c r="AO12" s="335" t="e">
        <f t="shared" si="11"/>
        <v>#N/A</v>
      </c>
      <c r="AP12" s="335" t="e">
        <f t="shared" si="12"/>
        <v>#N/A</v>
      </c>
      <c r="AQ12" s="335" t="e">
        <f t="shared" si="13"/>
        <v>#N/A</v>
      </c>
      <c r="AR12" s="335" t="e">
        <f t="shared" si="14"/>
        <v>#N/A</v>
      </c>
      <c r="AS12" s="344" t="e">
        <f t="shared" si="15"/>
        <v>#N/A</v>
      </c>
      <c r="AT12" s="335" t="e">
        <f t="shared" si="16"/>
        <v>#N/A</v>
      </c>
      <c r="AU12" s="335" t="e">
        <f t="shared" si="17"/>
        <v>#N/A</v>
      </c>
      <c r="AV12" s="335" t="e">
        <f t="shared" si="18"/>
        <v>#N/A</v>
      </c>
      <c r="AW12" s="335" t="e">
        <f t="shared" si="19"/>
        <v>#N/A</v>
      </c>
      <c r="AX12" s="335" t="e">
        <f t="shared" si="20"/>
        <v>#N/A</v>
      </c>
      <c r="AY12" s="335" t="e">
        <f t="shared" si="21"/>
        <v>#N/A</v>
      </c>
      <c r="AZ12" s="335" t="e">
        <f t="shared" si="22"/>
        <v>#N/A</v>
      </c>
      <c r="BA12" s="335" t="e">
        <f t="shared" si="23"/>
        <v>#N/A</v>
      </c>
      <c r="BB12" s="335" t="e">
        <f t="shared" si="24"/>
        <v>#N/A</v>
      </c>
      <c r="BC12" s="335" t="e">
        <f t="shared" si="25"/>
        <v>#N/A</v>
      </c>
      <c r="BD12" s="335" t="e">
        <f t="shared" si="26"/>
        <v>#N/A</v>
      </c>
      <c r="BE12" s="335" t="e">
        <f t="shared" si="27"/>
        <v>#N/A</v>
      </c>
      <c r="BF12" s="335" t="e">
        <f t="shared" si="28"/>
        <v>#N/A</v>
      </c>
      <c r="BG12" s="335" t="e">
        <f t="shared" si="29"/>
        <v>#N/A</v>
      </c>
      <c r="BH12" s="335" t="e">
        <f t="shared" si="30"/>
        <v>#N/A</v>
      </c>
      <c r="BI12" s="335" t="e">
        <f t="shared" si="31"/>
        <v>#N/A</v>
      </c>
      <c r="BJ12" s="335" t="e">
        <f t="shared" si="32"/>
        <v>#N/A</v>
      </c>
      <c r="BK12" s="335" t="e">
        <f t="shared" si="33"/>
        <v>#N/A</v>
      </c>
      <c r="BL12" s="538"/>
    </row>
    <row r="13" spans="1:64" ht="15.6" thickBot="1" x14ac:dyDescent="0.3">
      <c r="A13" s="400">
        <v>10</v>
      </c>
      <c r="B13" s="405" t="e">
        <f>CONCATENATED!E39</f>
        <v>#REF!</v>
      </c>
      <c r="C13" s="405" t="e">
        <f>CONCATENATED!F39</f>
        <v>#REF!</v>
      </c>
      <c r="D13" s="405" t="e">
        <f>CONCATENATED!G39</f>
        <v>#REF!</v>
      </c>
      <c r="E13" s="405" t="e">
        <f>CONCATENATED!H39</f>
        <v>#REF!</v>
      </c>
      <c r="F13" s="405" t="e">
        <f>CONCATENATED!I39</f>
        <v>#REF!</v>
      </c>
      <c r="G13" s="405" t="e">
        <f>CONCATENATED!J39</f>
        <v>#REF!</v>
      </c>
      <c r="H13" s="405" t="e">
        <f>CONCATENATED!K39</f>
        <v>#REF!</v>
      </c>
      <c r="I13" s="405" t="e">
        <f>CONCATENATED!L39</f>
        <v>#REF!</v>
      </c>
      <c r="J13" s="405" t="e">
        <f>CONCATENATED!M39</f>
        <v>#REF!</v>
      </c>
      <c r="K13" s="405" t="e">
        <f>CONCATENATED!N39</f>
        <v>#REF!</v>
      </c>
      <c r="L13" s="405" t="e">
        <f>CONCATENATED!O39</f>
        <v>#REF!</v>
      </c>
      <c r="M13" s="405" t="e">
        <f>CONCATENATED!P39</f>
        <v>#REF!</v>
      </c>
      <c r="N13" s="405" t="e">
        <f>CONCATENATED!Q39</f>
        <v>#REF!</v>
      </c>
      <c r="O13" s="405" t="e">
        <f>CONCATENATED!R39</f>
        <v>#REF!</v>
      </c>
      <c r="P13" s="405" t="e">
        <f>CONCATENATED!S39</f>
        <v>#REF!</v>
      </c>
      <c r="Q13" s="405" t="e">
        <f>CONCATENATED!T39</f>
        <v>#REF!</v>
      </c>
      <c r="R13" s="405" t="e">
        <f>CONCATENATED!U39</f>
        <v>#REF!</v>
      </c>
      <c r="S13" s="405" t="e">
        <f>CONCATENATED!V39</f>
        <v>#REF!</v>
      </c>
      <c r="T13" s="405" t="e">
        <f>CONCATENATED!W39</f>
        <v>#REF!</v>
      </c>
      <c r="U13" s="405" t="e">
        <f>CONCATENATED!X39</f>
        <v>#REF!</v>
      </c>
      <c r="V13" s="405" t="e">
        <f>CONCATENATED!Y39</f>
        <v>#REF!</v>
      </c>
      <c r="W13" s="405" t="e">
        <f>CONCATENATED!Z39</f>
        <v>#REF!</v>
      </c>
      <c r="X13" s="405" t="e">
        <f>CONCATENATED!AA39</f>
        <v>#REF!</v>
      </c>
      <c r="Y13" s="405" t="e">
        <f>CONCATENATED!AB39</f>
        <v>#REF!</v>
      </c>
      <c r="Z13" s="405" t="e">
        <f>CONCATENATED!AC39</f>
        <v>#REF!</v>
      </c>
      <c r="AA13" s="405" t="e">
        <f>CONCATENATED!AD39</f>
        <v>#REF!</v>
      </c>
      <c r="AB13" s="405" t="e">
        <f>CONCATENATED!AE39</f>
        <v>#REF!</v>
      </c>
      <c r="AC13" s="534"/>
      <c r="AD13" s="343" t="e">
        <f t="shared" si="1"/>
        <v>#N/A</v>
      </c>
      <c r="AE13" s="335" t="e">
        <f t="shared" si="2"/>
        <v>#N/A</v>
      </c>
      <c r="AF13" s="335" t="e">
        <f t="shared" si="0"/>
        <v>#N/A</v>
      </c>
      <c r="AG13" s="335" t="e">
        <f t="shared" si="3"/>
        <v>#N/A</v>
      </c>
      <c r="AH13" s="335" t="e">
        <f t="shared" si="4"/>
        <v>#N/A</v>
      </c>
      <c r="AI13" s="335" t="e">
        <f t="shared" si="5"/>
        <v>#N/A</v>
      </c>
      <c r="AJ13" s="335" t="e">
        <f t="shared" si="6"/>
        <v>#N/A</v>
      </c>
      <c r="AK13" s="335" t="e">
        <f t="shared" si="7"/>
        <v>#N/A</v>
      </c>
      <c r="AL13" s="335" t="e">
        <f t="shared" si="8"/>
        <v>#N/A</v>
      </c>
      <c r="AM13" s="335" t="e">
        <f t="shared" si="9"/>
        <v>#N/A</v>
      </c>
      <c r="AN13" s="335" t="e">
        <f t="shared" si="10"/>
        <v>#N/A</v>
      </c>
      <c r="AO13" s="335" t="e">
        <f t="shared" si="11"/>
        <v>#N/A</v>
      </c>
      <c r="AP13" s="335" t="e">
        <f t="shared" si="12"/>
        <v>#N/A</v>
      </c>
      <c r="AQ13" s="335" t="e">
        <f t="shared" si="13"/>
        <v>#N/A</v>
      </c>
      <c r="AR13" s="335" t="e">
        <f t="shared" si="14"/>
        <v>#N/A</v>
      </c>
      <c r="AS13" s="344" t="e">
        <f t="shared" si="15"/>
        <v>#N/A</v>
      </c>
      <c r="AT13" s="335" t="e">
        <f t="shared" si="16"/>
        <v>#N/A</v>
      </c>
      <c r="AU13" s="335" t="e">
        <f t="shared" si="17"/>
        <v>#N/A</v>
      </c>
      <c r="AV13" s="335" t="e">
        <f t="shared" si="18"/>
        <v>#N/A</v>
      </c>
      <c r="AW13" s="335" t="e">
        <f t="shared" si="19"/>
        <v>#N/A</v>
      </c>
      <c r="AX13" s="335" t="e">
        <f t="shared" si="20"/>
        <v>#N/A</v>
      </c>
      <c r="AY13" s="335" t="e">
        <f t="shared" si="21"/>
        <v>#N/A</v>
      </c>
      <c r="AZ13" s="335" t="e">
        <f t="shared" si="22"/>
        <v>#N/A</v>
      </c>
      <c r="BA13" s="335" t="e">
        <f t="shared" si="23"/>
        <v>#N/A</v>
      </c>
      <c r="BB13" s="335" t="e">
        <f t="shared" si="24"/>
        <v>#N/A</v>
      </c>
      <c r="BC13" s="335" t="e">
        <f t="shared" si="25"/>
        <v>#N/A</v>
      </c>
      <c r="BD13" s="335" t="e">
        <f t="shared" si="26"/>
        <v>#N/A</v>
      </c>
      <c r="BE13" s="335" t="e">
        <f t="shared" si="27"/>
        <v>#N/A</v>
      </c>
      <c r="BF13" s="335" t="e">
        <f t="shared" si="28"/>
        <v>#N/A</v>
      </c>
      <c r="BG13" s="335" t="e">
        <f t="shared" si="29"/>
        <v>#N/A</v>
      </c>
      <c r="BH13" s="335" t="e">
        <f t="shared" si="30"/>
        <v>#N/A</v>
      </c>
      <c r="BI13" s="335" t="e">
        <f t="shared" si="31"/>
        <v>#N/A</v>
      </c>
      <c r="BJ13" s="335" t="e">
        <f t="shared" si="32"/>
        <v>#N/A</v>
      </c>
      <c r="BK13" s="335" t="e">
        <f t="shared" si="33"/>
        <v>#N/A</v>
      </c>
      <c r="BL13" s="538"/>
    </row>
    <row r="14" spans="1:64" ht="15.6" thickBot="1" x14ac:dyDescent="0.3">
      <c r="A14" s="400">
        <v>11</v>
      </c>
      <c r="B14" s="405" t="e">
        <f>CONCATENATED!E42</f>
        <v>#REF!</v>
      </c>
      <c r="C14" s="405" t="e">
        <f>CONCATENATED!F42</f>
        <v>#REF!</v>
      </c>
      <c r="D14" s="405" t="e">
        <f>CONCATENATED!G42</f>
        <v>#REF!</v>
      </c>
      <c r="E14" s="405" t="e">
        <f>CONCATENATED!H42</f>
        <v>#REF!</v>
      </c>
      <c r="F14" s="405" t="e">
        <f>CONCATENATED!I42</f>
        <v>#REF!</v>
      </c>
      <c r="G14" s="405" t="e">
        <f>CONCATENATED!J42</f>
        <v>#REF!</v>
      </c>
      <c r="H14" s="405" t="e">
        <f>CONCATENATED!K42</f>
        <v>#REF!</v>
      </c>
      <c r="I14" s="405" t="e">
        <f>CONCATENATED!L42</f>
        <v>#REF!</v>
      </c>
      <c r="J14" s="405" t="e">
        <f>CONCATENATED!M42</f>
        <v>#REF!</v>
      </c>
      <c r="K14" s="405" t="e">
        <f>CONCATENATED!N42</f>
        <v>#REF!</v>
      </c>
      <c r="L14" s="405" t="e">
        <f>CONCATENATED!O42</f>
        <v>#REF!</v>
      </c>
      <c r="M14" s="405" t="e">
        <f>CONCATENATED!P42</f>
        <v>#REF!</v>
      </c>
      <c r="N14" s="405" t="e">
        <f>CONCATENATED!Q42</f>
        <v>#REF!</v>
      </c>
      <c r="O14" s="405" t="e">
        <f>CONCATENATED!R42</f>
        <v>#REF!</v>
      </c>
      <c r="P14" s="405" t="e">
        <f>CONCATENATED!S42</f>
        <v>#REF!</v>
      </c>
      <c r="Q14" s="405" t="e">
        <f>CONCATENATED!T42</f>
        <v>#REF!</v>
      </c>
      <c r="R14" s="405" t="e">
        <f>CONCATENATED!U42</f>
        <v>#REF!</v>
      </c>
      <c r="S14" s="405" t="e">
        <f>CONCATENATED!V42</f>
        <v>#REF!</v>
      </c>
      <c r="T14" s="405" t="e">
        <f>CONCATENATED!W42</f>
        <v>#REF!</v>
      </c>
      <c r="U14" s="405" t="e">
        <f>CONCATENATED!X42</f>
        <v>#REF!</v>
      </c>
      <c r="V14" s="405" t="e">
        <f>CONCATENATED!Y42</f>
        <v>#REF!</v>
      </c>
      <c r="W14" s="405" t="e">
        <f>CONCATENATED!Z42</f>
        <v>#REF!</v>
      </c>
      <c r="X14" s="405" t="e">
        <f>CONCATENATED!AA42</f>
        <v>#REF!</v>
      </c>
      <c r="Y14" s="405" t="e">
        <f>CONCATENATED!AB42</f>
        <v>#REF!</v>
      </c>
      <c r="Z14" s="405" t="e">
        <f>CONCATENATED!AC42</f>
        <v>#REF!</v>
      </c>
      <c r="AA14" s="405" t="e">
        <f>CONCATENATED!AD42</f>
        <v>#REF!</v>
      </c>
      <c r="AB14" s="405" t="e">
        <f>CONCATENATED!AE42</f>
        <v>#REF!</v>
      </c>
      <c r="AC14" s="535"/>
      <c r="AD14" s="343" t="e">
        <f t="shared" si="1"/>
        <v>#N/A</v>
      </c>
      <c r="AE14" s="335" t="e">
        <f t="shared" si="2"/>
        <v>#N/A</v>
      </c>
      <c r="AF14" s="335" t="e">
        <f t="shared" si="0"/>
        <v>#N/A</v>
      </c>
      <c r="AG14" s="335" t="e">
        <f t="shared" si="3"/>
        <v>#N/A</v>
      </c>
      <c r="AH14" s="335" t="e">
        <f t="shared" si="4"/>
        <v>#N/A</v>
      </c>
      <c r="AI14" s="335" t="e">
        <f t="shared" si="5"/>
        <v>#N/A</v>
      </c>
      <c r="AJ14" s="335" t="e">
        <f t="shared" si="6"/>
        <v>#N/A</v>
      </c>
      <c r="AK14" s="335" t="e">
        <f t="shared" si="7"/>
        <v>#N/A</v>
      </c>
      <c r="AL14" s="335" t="e">
        <f t="shared" si="8"/>
        <v>#N/A</v>
      </c>
      <c r="AM14" s="335" t="e">
        <f t="shared" si="9"/>
        <v>#N/A</v>
      </c>
      <c r="AN14" s="335" t="e">
        <f t="shared" si="10"/>
        <v>#N/A</v>
      </c>
      <c r="AO14" s="335" t="e">
        <f t="shared" si="11"/>
        <v>#N/A</v>
      </c>
      <c r="AP14" s="335" t="e">
        <f t="shared" si="12"/>
        <v>#N/A</v>
      </c>
      <c r="AQ14" s="335" t="e">
        <f t="shared" si="13"/>
        <v>#N/A</v>
      </c>
      <c r="AR14" s="335" t="e">
        <f t="shared" si="14"/>
        <v>#N/A</v>
      </c>
      <c r="AS14" s="344" t="e">
        <f t="shared" si="15"/>
        <v>#N/A</v>
      </c>
      <c r="AT14" s="335" t="e">
        <f t="shared" si="16"/>
        <v>#N/A</v>
      </c>
      <c r="AU14" s="335" t="e">
        <f t="shared" si="17"/>
        <v>#N/A</v>
      </c>
      <c r="AV14" s="335" t="e">
        <f t="shared" si="18"/>
        <v>#N/A</v>
      </c>
      <c r="AW14" s="335" t="e">
        <f t="shared" si="19"/>
        <v>#N/A</v>
      </c>
      <c r="AX14" s="335" t="e">
        <f t="shared" si="20"/>
        <v>#N/A</v>
      </c>
      <c r="AY14" s="335" t="e">
        <f t="shared" si="21"/>
        <v>#N/A</v>
      </c>
      <c r="AZ14" s="335" t="e">
        <f t="shared" si="22"/>
        <v>#N/A</v>
      </c>
      <c r="BA14" s="335" t="e">
        <f t="shared" si="23"/>
        <v>#N/A</v>
      </c>
      <c r="BB14" s="335" t="e">
        <f t="shared" si="24"/>
        <v>#N/A</v>
      </c>
      <c r="BC14" s="335" t="e">
        <f t="shared" si="25"/>
        <v>#N/A</v>
      </c>
      <c r="BD14" s="335" t="e">
        <f t="shared" si="26"/>
        <v>#N/A</v>
      </c>
      <c r="BE14" s="335" t="e">
        <f t="shared" si="27"/>
        <v>#N/A</v>
      </c>
      <c r="BF14" s="335" t="e">
        <f t="shared" si="28"/>
        <v>#N/A</v>
      </c>
      <c r="BG14" s="335" t="e">
        <f t="shared" si="29"/>
        <v>#N/A</v>
      </c>
      <c r="BH14" s="335" t="e">
        <f t="shared" si="30"/>
        <v>#N/A</v>
      </c>
      <c r="BI14" s="335" t="e">
        <f t="shared" si="31"/>
        <v>#N/A</v>
      </c>
      <c r="BJ14" s="335" t="e">
        <f t="shared" si="32"/>
        <v>#N/A</v>
      </c>
      <c r="BK14" s="335" t="e">
        <f t="shared" si="33"/>
        <v>#N/A</v>
      </c>
      <c r="BL14" s="538"/>
    </row>
    <row r="15" spans="1:64" ht="15.6" thickBot="1" x14ac:dyDescent="0.3">
      <c r="A15" s="400">
        <v>12</v>
      </c>
      <c r="B15" s="405" t="e">
        <f>CONCATENATED!E45</f>
        <v>#REF!</v>
      </c>
      <c r="C15" s="405" t="e">
        <f>CONCATENATED!F45</f>
        <v>#REF!</v>
      </c>
      <c r="D15" s="405" t="e">
        <f>CONCATENATED!G45</f>
        <v>#REF!</v>
      </c>
      <c r="E15" s="405" t="e">
        <f>CONCATENATED!H45</f>
        <v>#REF!</v>
      </c>
      <c r="F15" s="405" t="e">
        <f>CONCATENATED!I45</f>
        <v>#REF!</v>
      </c>
      <c r="G15" s="405" t="e">
        <f>CONCATENATED!J45</f>
        <v>#REF!</v>
      </c>
      <c r="H15" s="405" t="e">
        <f>CONCATENATED!K45</f>
        <v>#REF!</v>
      </c>
      <c r="I15" s="405" t="e">
        <f>CONCATENATED!L45</f>
        <v>#REF!</v>
      </c>
      <c r="J15" s="405" t="e">
        <f>CONCATENATED!M45</f>
        <v>#REF!</v>
      </c>
      <c r="K15" s="405" t="e">
        <f>CONCATENATED!N45</f>
        <v>#REF!</v>
      </c>
      <c r="L15" s="405" t="e">
        <f>CONCATENATED!O45</f>
        <v>#REF!</v>
      </c>
      <c r="M15" s="405" t="e">
        <f>CONCATENATED!P45</f>
        <v>#REF!</v>
      </c>
      <c r="N15" s="405" t="e">
        <f>CONCATENATED!Q45</f>
        <v>#REF!</v>
      </c>
      <c r="O15" s="405" t="e">
        <f>CONCATENATED!R45</f>
        <v>#REF!</v>
      </c>
      <c r="P15" s="405" t="e">
        <f>CONCATENATED!S45</f>
        <v>#REF!</v>
      </c>
      <c r="Q15" s="405" t="e">
        <f>CONCATENATED!T45</f>
        <v>#REF!</v>
      </c>
      <c r="R15" s="405" t="e">
        <f>CONCATENATED!U45</f>
        <v>#REF!</v>
      </c>
      <c r="S15" s="405" t="e">
        <f>CONCATENATED!V45</f>
        <v>#REF!</v>
      </c>
      <c r="T15" s="405" t="e">
        <f>CONCATENATED!W45</f>
        <v>#REF!</v>
      </c>
      <c r="U15" s="405" t="e">
        <f>CONCATENATED!X45</f>
        <v>#REF!</v>
      </c>
      <c r="V15" s="405" t="e">
        <f>CONCATENATED!Y45</f>
        <v>#REF!</v>
      </c>
      <c r="W15" s="405" t="e">
        <f>CONCATENATED!Z45</f>
        <v>#REF!</v>
      </c>
      <c r="X15" s="405" t="e">
        <f>CONCATENATED!AA45</f>
        <v>#REF!</v>
      </c>
      <c r="Y15" s="405" t="e">
        <f>CONCATENATED!AB45</f>
        <v>#REF!</v>
      </c>
      <c r="Z15" s="405" t="e">
        <f>CONCATENATED!AC45</f>
        <v>#REF!</v>
      </c>
      <c r="AA15" s="405" t="e">
        <f>CONCATENATED!AD45</f>
        <v>#REF!</v>
      </c>
      <c r="AB15" s="405" t="e">
        <f>CONCATENATED!AE45</f>
        <v>#REF!</v>
      </c>
      <c r="AC15" s="535"/>
      <c r="AD15" s="343" t="e">
        <f t="shared" si="1"/>
        <v>#N/A</v>
      </c>
      <c r="AE15" s="335" t="e">
        <f t="shared" si="2"/>
        <v>#N/A</v>
      </c>
      <c r="AF15" s="335" t="e">
        <f t="shared" si="0"/>
        <v>#N/A</v>
      </c>
      <c r="AG15" s="335" t="e">
        <f t="shared" si="3"/>
        <v>#N/A</v>
      </c>
      <c r="AH15" s="335" t="e">
        <f t="shared" si="4"/>
        <v>#N/A</v>
      </c>
      <c r="AI15" s="335" t="e">
        <f t="shared" si="5"/>
        <v>#N/A</v>
      </c>
      <c r="AJ15" s="335" t="e">
        <f t="shared" si="6"/>
        <v>#N/A</v>
      </c>
      <c r="AK15" s="335" t="e">
        <f t="shared" si="7"/>
        <v>#N/A</v>
      </c>
      <c r="AL15" s="335" t="e">
        <f t="shared" si="8"/>
        <v>#N/A</v>
      </c>
      <c r="AM15" s="335" t="e">
        <f t="shared" si="9"/>
        <v>#N/A</v>
      </c>
      <c r="AN15" s="335" t="e">
        <f t="shared" si="10"/>
        <v>#N/A</v>
      </c>
      <c r="AO15" s="335" t="e">
        <f t="shared" si="11"/>
        <v>#N/A</v>
      </c>
      <c r="AP15" s="335" t="e">
        <f t="shared" si="12"/>
        <v>#N/A</v>
      </c>
      <c r="AQ15" s="335" t="e">
        <f t="shared" si="13"/>
        <v>#N/A</v>
      </c>
      <c r="AR15" s="335" t="e">
        <f t="shared" si="14"/>
        <v>#N/A</v>
      </c>
      <c r="AS15" s="344" t="e">
        <f t="shared" si="15"/>
        <v>#N/A</v>
      </c>
      <c r="AT15" s="335" t="e">
        <f t="shared" si="16"/>
        <v>#N/A</v>
      </c>
      <c r="AU15" s="335" t="e">
        <f t="shared" si="17"/>
        <v>#N/A</v>
      </c>
      <c r="AV15" s="335" t="e">
        <f t="shared" si="18"/>
        <v>#N/A</v>
      </c>
      <c r="AW15" s="335" t="e">
        <f t="shared" si="19"/>
        <v>#N/A</v>
      </c>
      <c r="AX15" s="335" t="e">
        <f t="shared" si="20"/>
        <v>#N/A</v>
      </c>
      <c r="AY15" s="335" t="e">
        <f t="shared" si="21"/>
        <v>#N/A</v>
      </c>
      <c r="AZ15" s="335" t="e">
        <f t="shared" si="22"/>
        <v>#N/A</v>
      </c>
      <c r="BA15" s="335" t="e">
        <f t="shared" si="23"/>
        <v>#N/A</v>
      </c>
      <c r="BB15" s="335" t="e">
        <f t="shared" si="24"/>
        <v>#N/A</v>
      </c>
      <c r="BC15" s="335" t="e">
        <f t="shared" si="25"/>
        <v>#N/A</v>
      </c>
      <c r="BD15" s="335" t="e">
        <f t="shared" si="26"/>
        <v>#N/A</v>
      </c>
      <c r="BE15" s="335" t="e">
        <f t="shared" si="27"/>
        <v>#N/A</v>
      </c>
      <c r="BF15" s="335" t="e">
        <f t="shared" si="28"/>
        <v>#N/A</v>
      </c>
      <c r="BG15" s="335" t="e">
        <f t="shared" si="29"/>
        <v>#N/A</v>
      </c>
      <c r="BH15" s="335" t="e">
        <f t="shared" si="30"/>
        <v>#N/A</v>
      </c>
      <c r="BI15" s="335" t="e">
        <f t="shared" si="31"/>
        <v>#N/A</v>
      </c>
      <c r="BJ15" s="335" t="e">
        <f t="shared" si="32"/>
        <v>#N/A</v>
      </c>
      <c r="BK15" s="335" t="e">
        <f t="shared" si="33"/>
        <v>#N/A</v>
      </c>
      <c r="BL15" s="538"/>
    </row>
    <row r="16" spans="1:64" ht="52.2" thickBot="1" x14ac:dyDescent="0.3">
      <c r="A16" s="400">
        <v>13</v>
      </c>
      <c r="B16" s="405" t="e">
        <f>CONCATENATED!E48</f>
        <v>#REF!</v>
      </c>
      <c r="C16" s="405" t="e">
        <f>CONCATENATED!F48</f>
        <v>#REF!</v>
      </c>
      <c r="D16" s="405" t="e">
        <f>CONCATENATED!G48</f>
        <v>#REF!</v>
      </c>
      <c r="E16" s="405" t="e">
        <f>CONCATENATED!H48</f>
        <v>#REF!</v>
      </c>
      <c r="F16" s="405" t="e">
        <f>CONCATENATED!I48</f>
        <v>#REF!</v>
      </c>
      <c r="G16" s="405" t="e">
        <f>CONCATENATED!J48</f>
        <v>#REF!</v>
      </c>
      <c r="H16" s="405" t="e">
        <f>CONCATENATED!K48</f>
        <v>#REF!</v>
      </c>
      <c r="I16" s="405" t="str">
        <f>CONCATENATED!L48</f>
        <v xml:space="preserve">BSME/SEP2020/J-FT [Y2S1  (50) Students] :  </v>
      </c>
      <c r="J16" s="405" t="str">
        <f>CONCATENATED!M48</f>
        <v xml:space="preserve">BSME/AUG2021/J-FT [Y1S2  (55) Students] :  </v>
      </c>
      <c r="K16" s="405" t="e">
        <f>CONCATENATED!N48</f>
        <v>#REF!</v>
      </c>
      <c r="L16" s="405" t="e">
        <f>CONCATENATED!O48</f>
        <v>#REF!</v>
      </c>
      <c r="M16" s="405" t="str">
        <f>CONCATENATED!P48</f>
        <v>BTME/SEP2019/S-PT [Y3S1   (10) Students] TMC 4311: NYAMU.. FET 109</v>
      </c>
      <c r="N16" s="405" t="str">
        <f>CONCATENATED!Q48</f>
        <v>BTME/AUG2021/S-PT [Y2S2   (10) Students] TMC 4225: MUNIALO CH</v>
      </c>
      <c r="O16" s="405" t="e">
        <f>CONCATENATED!R48</f>
        <v>#REF!</v>
      </c>
      <c r="P16" s="405" t="e">
        <f>CONCATENATED!S48</f>
        <v>#REF!</v>
      </c>
      <c r="Q16" s="405" t="str">
        <f>CONCATENATED!T48</f>
        <v xml:space="preserve">BTME/AUG2021/J&amp;S-FT [Y1S1  (52) Students] :  </v>
      </c>
      <c r="R16" s="405" t="e">
        <f>CONCATENATED!U48</f>
        <v>#REF!</v>
      </c>
      <c r="S16" s="405" t="e">
        <f>CONCATENATED!V48</f>
        <v>#REF!</v>
      </c>
      <c r="T16" s="405" t="e">
        <f>CONCATENATED!W48</f>
        <v>#REF!</v>
      </c>
      <c r="U16" s="405" t="e">
        <f>CONCATENATED!X48</f>
        <v>#REF!</v>
      </c>
      <c r="V16" s="405" t="e">
        <f>CONCATENATED!Y48</f>
        <v>#REF!</v>
      </c>
      <c r="W16" s="405" t="e">
        <f>CONCATENATED!Z48</f>
        <v>#REF!</v>
      </c>
      <c r="X16" s="405" t="e">
        <f>CONCATENATED!AA48</f>
        <v>#REF!</v>
      </c>
      <c r="Y16" s="405" t="e">
        <f>CONCATENATED!AB48</f>
        <v>#REF!</v>
      </c>
      <c r="Z16" s="405" t="str">
        <f>CONCATENATED!AC48</f>
        <v xml:space="preserve">DMAE/SEP20201J&amp;S-FT [Y1S2   (60) Students] :  </v>
      </c>
      <c r="AA16" s="405" t="e">
        <f>CONCATENATED!AD48</f>
        <v>#REF!</v>
      </c>
      <c r="AB16" s="405" t="e">
        <f>CONCATENATED!AE48</f>
        <v>#REF!</v>
      </c>
      <c r="AC16" s="536"/>
      <c r="AD16" s="346" t="e">
        <f t="shared" si="1"/>
        <v>#N/A</v>
      </c>
      <c r="AE16" s="347" t="e">
        <f t="shared" si="2"/>
        <v>#N/A</v>
      </c>
      <c r="AF16" s="347" t="e">
        <f t="shared" si="0"/>
        <v>#N/A</v>
      </c>
      <c r="AG16" s="347" t="e">
        <f t="shared" si="3"/>
        <v>#N/A</v>
      </c>
      <c r="AH16" s="347" t="e">
        <f t="shared" si="4"/>
        <v>#N/A</v>
      </c>
      <c r="AI16" s="347" t="e">
        <f t="shared" si="5"/>
        <v>#N/A</v>
      </c>
      <c r="AJ16" s="347" t="e">
        <f t="shared" si="6"/>
        <v>#N/A</v>
      </c>
      <c r="AK16" s="347" t="e">
        <f t="shared" si="7"/>
        <v>#N/A</v>
      </c>
      <c r="AL16" s="347" t="e">
        <f t="shared" si="8"/>
        <v>#N/A</v>
      </c>
      <c r="AM16" s="347" t="e">
        <f t="shared" si="9"/>
        <v>#N/A</v>
      </c>
      <c r="AN16" s="347" t="e">
        <f t="shared" si="10"/>
        <v>#N/A</v>
      </c>
      <c r="AO16" s="347" t="e">
        <f t="shared" si="11"/>
        <v>#N/A</v>
      </c>
      <c r="AP16" s="347" t="e">
        <f t="shared" si="12"/>
        <v>#N/A</v>
      </c>
      <c r="AQ16" s="347" t="e">
        <f t="shared" si="13"/>
        <v>#N/A</v>
      </c>
      <c r="AR16" s="347" t="e">
        <f t="shared" si="14"/>
        <v>#N/A</v>
      </c>
      <c r="AS16" s="348" t="e">
        <f t="shared" si="15"/>
        <v>#N/A</v>
      </c>
      <c r="AT16" s="347" t="e">
        <f t="shared" si="16"/>
        <v>#N/A</v>
      </c>
      <c r="AU16" s="347" t="e">
        <f t="shared" si="17"/>
        <v>#N/A</v>
      </c>
      <c r="AV16" s="347" t="e">
        <f t="shared" si="18"/>
        <v>#N/A</v>
      </c>
      <c r="AW16" s="347" t="e">
        <f t="shared" si="19"/>
        <v>#N/A</v>
      </c>
      <c r="AX16" s="347" t="e">
        <f t="shared" si="20"/>
        <v>#N/A</v>
      </c>
      <c r="AY16" s="347" t="e">
        <f t="shared" si="21"/>
        <v>#N/A</v>
      </c>
      <c r="AZ16" s="347" t="e">
        <f t="shared" si="22"/>
        <v>#N/A</v>
      </c>
      <c r="BA16" s="347" t="e">
        <f t="shared" si="23"/>
        <v>#N/A</v>
      </c>
      <c r="BB16" s="347" t="e">
        <f t="shared" si="24"/>
        <v>#N/A</v>
      </c>
      <c r="BC16" s="347" t="e">
        <f t="shared" si="25"/>
        <v>#N/A</v>
      </c>
      <c r="BD16" s="347" t="e">
        <f t="shared" si="26"/>
        <v>#N/A</v>
      </c>
      <c r="BE16" s="347" t="e">
        <f t="shared" si="27"/>
        <v>#N/A</v>
      </c>
      <c r="BF16" s="347" t="e">
        <f t="shared" si="28"/>
        <v>#N/A</v>
      </c>
      <c r="BG16" s="347" t="e">
        <f t="shared" si="29"/>
        <v>#N/A</v>
      </c>
      <c r="BH16" s="347" t="e">
        <f t="shared" si="30"/>
        <v>#N/A</v>
      </c>
      <c r="BI16" s="347" t="e">
        <f t="shared" si="31"/>
        <v>#N/A</v>
      </c>
      <c r="BJ16" s="347" t="e">
        <f t="shared" si="32"/>
        <v>#N/A</v>
      </c>
      <c r="BK16" s="347" t="e">
        <f t="shared" si="33"/>
        <v>#N/A</v>
      </c>
      <c r="BL16" s="539"/>
    </row>
    <row r="17" spans="1:64" ht="15.6" thickBot="1" x14ac:dyDescent="0.3">
      <c r="B17" s="405"/>
      <c r="C17" s="405"/>
      <c r="D17" s="405"/>
      <c r="E17" s="405"/>
      <c r="F17" s="405"/>
      <c r="G17" s="405"/>
      <c r="H17" s="405"/>
      <c r="I17" s="405"/>
      <c r="J17" s="405"/>
      <c r="K17" s="405"/>
      <c r="L17" s="405"/>
      <c r="M17" s="405"/>
      <c r="N17" s="405"/>
      <c r="O17" s="405"/>
      <c r="P17" s="405"/>
      <c r="Q17" s="405"/>
      <c r="R17" s="405"/>
      <c r="S17" s="405"/>
      <c r="T17" s="405"/>
      <c r="U17" s="405"/>
      <c r="V17" s="405"/>
      <c r="W17" s="405"/>
      <c r="X17" s="405"/>
      <c r="Y17" s="405"/>
      <c r="Z17" s="405"/>
      <c r="AA17" s="405"/>
      <c r="AB17" s="405"/>
      <c r="AC17" s="350"/>
      <c r="AD17" s="321" t="e">
        <f t="shared" si="1"/>
        <v>#N/A</v>
      </c>
      <c r="AE17" s="321" t="e">
        <f t="shared" si="2"/>
        <v>#N/A</v>
      </c>
      <c r="AF17" s="321" t="e">
        <f t="shared" si="0"/>
        <v>#N/A</v>
      </c>
      <c r="AG17" s="322" t="e">
        <f t="shared" si="3"/>
        <v>#N/A</v>
      </c>
      <c r="AH17" s="321" t="e">
        <f t="shared" si="4"/>
        <v>#N/A</v>
      </c>
      <c r="AI17" s="321" t="e">
        <f t="shared" si="5"/>
        <v>#N/A</v>
      </c>
      <c r="AJ17" s="321" t="e">
        <f t="shared" si="6"/>
        <v>#N/A</v>
      </c>
      <c r="AK17" s="323" t="e">
        <f t="shared" si="7"/>
        <v>#N/A</v>
      </c>
      <c r="AL17" s="321" t="e">
        <f t="shared" si="8"/>
        <v>#N/A</v>
      </c>
      <c r="AM17" s="321" t="e">
        <f t="shared" si="9"/>
        <v>#N/A</v>
      </c>
      <c r="AN17" s="321" t="e">
        <f t="shared" si="10"/>
        <v>#N/A</v>
      </c>
      <c r="AO17" s="324" t="e">
        <f t="shared" si="11"/>
        <v>#N/A</v>
      </c>
      <c r="AP17" s="321" t="e">
        <f t="shared" si="12"/>
        <v>#N/A</v>
      </c>
      <c r="AQ17" s="321" t="e">
        <f t="shared" si="13"/>
        <v>#N/A</v>
      </c>
      <c r="AR17" s="321" t="e">
        <f t="shared" si="14"/>
        <v>#N/A</v>
      </c>
      <c r="AS17" s="322" t="e">
        <f t="shared" si="15"/>
        <v>#N/A</v>
      </c>
      <c r="AT17" s="321" t="e">
        <f t="shared" si="16"/>
        <v>#N/A</v>
      </c>
      <c r="AU17" s="321" t="e">
        <f t="shared" si="17"/>
        <v>#N/A</v>
      </c>
      <c r="AV17" s="321" t="e">
        <f t="shared" si="18"/>
        <v>#N/A</v>
      </c>
      <c r="AW17" s="321" t="e">
        <f t="shared" si="19"/>
        <v>#N/A</v>
      </c>
      <c r="AX17" s="321" t="e">
        <f t="shared" si="20"/>
        <v>#N/A</v>
      </c>
      <c r="AY17" s="321" t="e">
        <f t="shared" si="21"/>
        <v>#N/A</v>
      </c>
      <c r="AZ17" s="321" t="e">
        <f t="shared" si="22"/>
        <v>#N/A</v>
      </c>
      <c r="BA17" s="321" t="e">
        <f t="shared" si="23"/>
        <v>#N/A</v>
      </c>
      <c r="BB17" s="321" t="e">
        <f t="shared" si="24"/>
        <v>#N/A</v>
      </c>
      <c r="BC17" s="321" t="e">
        <f t="shared" si="25"/>
        <v>#N/A</v>
      </c>
      <c r="BD17" s="321" t="e">
        <f t="shared" si="26"/>
        <v>#N/A</v>
      </c>
      <c r="BE17" s="321" t="e">
        <f t="shared" si="27"/>
        <v>#N/A</v>
      </c>
      <c r="BF17" s="321" t="e">
        <f t="shared" si="28"/>
        <v>#N/A</v>
      </c>
      <c r="BG17" s="321" t="e">
        <f t="shared" si="29"/>
        <v>#N/A</v>
      </c>
      <c r="BH17" s="321" t="e">
        <f t="shared" si="30"/>
        <v>#N/A</v>
      </c>
      <c r="BI17" s="321" t="e">
        <f t="shared" si="31"/>
        <v>#N/A</v>
      </c>
      <c r="BJ17" s="322" t="e">
        <f t="shared" si="32"/>
        <v>#N/A</v>
      </c>
      <c r="BK17" s="321" t="e">
        <f t="shared" si="33"/>
        <v>#N/A</v>
      </c>
      <c r="BL17" s="349"/>
    </row>
    <row r="18" spans="1:64" ht="62.4" thickBot="1" x14ac:dyDescent="0.3">
      <c r="A18" s="400">
        <v>14</v>
      </c>
      <c r="B18" s="408" t="e">
        <f>CONCATENATED!E51</f>
        <v>#REF!</v>
      </c>
      <c r="C18" s="408" t="e">
        <f>CONCATENATED!F51</f>
        <v>#REF!</v>
      </c>
      <c r="D18" s="408" t="e">
        <f>CONCATENATED!G51</f>
        <v>#REF!</v>
      </c>
      <c r="E18" s="408" t="e">
        <f>CONCATENATED!H51</f>
        <v>#REF!</v>
      </c>
      <c r="F18" s="408" t="e">
        <f>CONCATENATED!I51</f>
        <v>#REF!</v>
      </c>
      <c r="G18" s="408" t="e">
        <f>CONCATENATED!J51</f>
        <v>#REF!</v>
      </c>
      <c r="H18" s="408" t="e">
        <f>CONCATENATED!K51</f>
        <v>#REF!</v>
      </c>
      <c r="I18" s="408" t="e">
        <f>CONCATENATED!L51</f>
        <v>#REF!</v>
      </c>
      <c r="J18" s="408" t="str">
        <f>CONCATENATED!M51</f>
        <v>BSME/AUG2021/J-FT [Y1S2  (55) Students] APS 4102: DR. OMBOGA MB 13A</v>
      </c>
      <c r="K18" s="408" t="e">
        <f>CONCATENATED!N51</f>
        <v>#REF!</v>
      </c>
      <c r="L18" s="408" t="e">
        <f>CONCATENATED!O51</f>
        <v>#REF!</v>
      </c>
      <c r="M18" s="408" t="str">
        <f>CONCATENATED!P51</f>
        <v xml:space="preserve">BTME/SEP2019/S-PT [Y3S1   (10) Students] :  </v>
      </c>
      <c r="N18" s="408" t="str">
        <f>CONCATENATED!Q51</f>
        <v xml:space="preserve">BTME/AUG2021/S-PT [Y2S2   (10) Students] :  </v>
      </c>
      <c r="O18" s="408" t="e">
        <f>CONCATENATED!R51</f>
        <v>#REF!</v>
      </c>
      <c r="P18" s="408" t="e">
        <f>CONCATENATED!S51</f>
        <v>#REF!</v>
      </c>
      <c r="Q18" s="408" t="e">
        <f>CONCATENATED!T51</f>
        <v>#REF!</v>
      </c>
      <c r="R18" s="408" t="e">
        <f>CONCATENATED!U51</f>
        <v>#REF!</v>
      </c>
      <c r="S18" s="408" t="e">
        <f>CONCATENATED!V51</f>
        <v>#REF!</v>
      </c>
      <c r="T18" s="408" t="e">
        <f>CONCATENATED!W51</f>
        <v>#REF!</v>
      </c>
      <c r="U18" s="408" t="e">
        <f>CONCATENATED!X51</f>
        <v>#REF!</v>
      </c>
      <c r="V18" s="408" t="e">
        <f>CONCATENATED!Y51</f>
        <v>#REF!</v>
      </c>
      <c r="W18" s="408" t="e">
        <f>CONCATENATED!Z51</f>
        <v>#REF!</v>
      </c>
      <c r="X18" s="408" t="e">
        <f>CONCATENATED!AA51</f>
        <v>#REF!</v>
      </c>
      <c r="Y18" s="408" t="e">
        <f>CONCATENATED!AB51</f>
        <v>#REF!</v>
      </c>
      <c r="Z18" s="408" t="str">
        <f>CONCATENATED!AC51</f>
        <v>DMAE/SEP20201J&amp;S-FT [Y1S2   (60) Students] EMR 2131: KIMATHI/MUTUKU MV/WSHOP</v>
      </c>
      <c r="AA18" s="408" t="e">
        <f>CONCATENATED!AD51</f>
        <v>#REF!</v>
      </c>
      <c r="AB18" s="408" t="e">
        <f>CONCATENATED!AE51</f>
        <v>#REF!</v>
      </c>
      <c r="AC18" s="540" t="s">
        <v>181</v>
      </c>
      <c r="AD18" s="352" t="e">
        <f t="shared" si="1"/>
        <v>#N/A</v>
      </c>
      <c r="AE18" s="353" t="e">
        <f t="shared" si="2"/>
        <v>#N/A</v>
      </c>
      <c r="AF18" s="353" t="e">
        <f t="shared" si="0"/>
        <v>#N/A</v>
      </c>
      <c r="AG18" s="353" t="e">
        <f t="shared" si="3"/>
        <v>#N/A</v>
      </c>
      <c r="AH18" s="353" t="e">
        <f t="shared" si="4"/>
        <v>#N/A</v>
      </c>
      <c r="AI18" s="353" t="e">
        <f t="shared" si="5"/>
        <v>#N/A</v>
      </c>
      <c r="AJ18" s="353" t="e">
        <f t="shared" si="6"/>
        <v>#N/A</v>
      </c>
      <c r="AK18" s="353" t="e">
        <f t="shared" si="7"/>
        <v>#N/A</v>
      </c>
      <c r="AL18" s="353" t="e">
        <f t="shared" si="8"/>
        <v>#N/A</v>
      </c>
      <c r="AM18" s="353" t="e">
        <f t="shared" si="9"/>
        <v>#N/A</v>
      </c>
      <c r="AN18" s="353" t="e">
        <f t="shared" si="10"/>
        <v>#N/A</v>
      </c>
      <c r="AO18" s="353" t="e">
        <f t="shared" si="11"/>
        <v>#N/A</v>
      </c>
      <c r="AP18" s="353" t="e">
        <f t="shared" si="12"/>
        <v>#N/A</v>
      </c>
      <c r="AQ18" s="353" t="e">
        <f t="shared" si="13"/>
        <v>#N/A</v>
      </c>
      <c r="AR18" s="353" t="e">
        <f t="shared" si="14"/>
        <v>#N/A</v>
      </c>
      <c r="AS18" s="354" t="e">
        <f t="shared" si="15"/>
        <v>#N/A</v>
      </c>
      <c r="AT18" s="353" t="e">
        <f t="shared" si="16"/>
        <v>#N/A</v>
      </c>
      <c r="AU18" s="353" t="e">
        <f t="shared" si="17"/>
        <v>#N/A</v>
      </c>
      <c r="AV18" s="353" t="e">
        <f t="shared" si="18"/>
        <v>#N/A</v>
      </c>
      <c r="AW18" s="353" t="e">
        <f t="shared" si="19"/>
        <v>#N/A</v>
      </c>
      <c r="AX18" s="353" t="e">
        <f t="shared" si="20"/>
        <v>#N/A</v>
      </c>
      <c r="AY18" s="353" t="e">
        <f t="shared" si="21"/>
        <v>#N/A</v>
      </c>
      <c r="AZ18" s="353" t="e">
        <f t="shared" si="22"/>
        <v>#N/A</v>
      </c>
      <c r="BA18" s="353" t="e">
        <f t="shared" si="23"/>
        <v>#N/A</v>
      </c>
      <c r="BB18" s="353" t="e">
        <f t="shared" si="24"/>
        <v>#N/A</v>
      </c>
      <c r="BC18" s="353" t="e">
        <f t="shared" si="25"/>
        <v>#N/A</v>
      </c>
      <c r="BD18" s="353" t="e">
        <f t="shared" si="26"/>
        <v>#N/A</v>
      </c>
      <c r="BE18" s="353" t="e">
        <f t="shared" si="27"/>
        <v>#N/A</v>
      </c>
      <c r="BF18" s="353" t="e">
        <f t="shared" si="28"/>
        <v>#N/A</v>
      </c>
      <c r="BG18" s="353" t="e">
        <f t="shared" si="29"/>
        <v>#N/A</v>
      </c>
      <c r="BH18" s="353" t="e">
        <f t="shared" si="30"/>
        <v>#N/A</v>
      </c>
      <c r="BI18" s="353" t="e">
        <f t="shared" si="31"/>
        <v>#N/A</v>
      </c>
      <c r="BJ18" s="353" t="e">
        <f t="shared" si="32"/>
        <v>#N/A</v>
      </c>
      <c r="BK18" s="353" t="e">
        <f t="shared" si="33"/>
        <v>#N/A</v>
      </c>
      <c r="BL18" s="540" t="s">
        <v>181</v>
      </c>
    </row>
    <row r="19" spans="1:64" ht="15.6" thickBot="1" x14ac:dyDescent="0.3">
      <c r="A19" s="400">
        <v>15</v>
      </c>
      <c r="B19" s="408" t="e">
        <f>CONCATENATED!E54</f>
        <v>#REF!</v>
      </c>
      <c r="C19" s="408" t="e">
        <f>CONCATENATED!F54</f>
        <v>#REF!</v>
      </c>
      <c r="D19" s="408" t="e">
        <f>CONCATENATED!G54</f>
        <v>#REF!</v>
      </c>
      <c r="E19" s="408" t="e">
        <f>CONCATENATED!H54</f>
        <v>#REF!</v>
      </c>
      <c r="F19" s="408" t="e">
        <f>CONCATENATED!I54</f>
        <v>#REF!</v>
      </c>
      <c r="G19" s="408" t="e">
        <f>CONCATENATED!J54</f>
        <v>#REF!</v>
      </c>
      <c r="H19" s="408" t="e">
        <f>CONCATENATED!K54</f>
        <v>#REF!</v>
      </c>
      <c r="I19" s="408" t="e">
        <f>CONCATENATED!L54</f>
        <v>#REF!</v>
      </c>
      <c r="J19" s="408" t="e">
        <f>CONCATENATED!M54</f>
        <v>#REF!</v>
      </c>
      <c r="K19" s="408" t="e">
        <f>CONCATENATED!N54</f>
        <v>#REF!</v>
      </c>
      <c r="L19" s="408" t="e">
        <f>CONCATENATED!O54</f>
        <v>#REF!</v>
      </c>
      <c r="M19" s="408" t="e">
        <f>CONCATENATED!P54</f>
        <v>#REF!</v>
      </c>
      <c r="N19" s="408" t="e">
        <f>CONCATENATED!Q54</f>
        <v>#REF!</v>
      </c>
      <c r="O19" s="408" t="e">
        <f>CONCATENATED!R54</f>
        <v>#REF!</v>
      </c>
      <c r="P19" s="408" t="e">
        <f>CONCATENATED!S54</f>
        <v>#REF!</v>
      </c>
      <c r="Q19" s="408" t="e">
        <f>CONCATENATED!T54</f>
        <v>#REF!</v>
      </c>
      <c r="R19" s="408" t="e">
        <f>CONCATENATED!U54</f>
        <v>#REF!</v>
      </c>
      <c r="S19" s="408" t="e">
        <f>CONCATENATED!V54</f>
        <v>#REF!</v>
      </c>
      <c r="T19" s="408" t="e">
        <f>CONCATENATED!W54</f>
        <v>#REF!</v>
      </c>
      <c r="U19" s="408" t="e">
        <f>CONCATENATED!X54</f>
        <v>#REF!</v>
      </c>
      <c r="V19" s="408" t="e">
        <f>CONCATENATED!Y54</f>
        <v>#REF!</v>
      </c>
      <c r="W19" s="408" t="e">
        <f>CONCATENATED!Z54</f>
        <v>#REF!</v>
      </c>
      <c r="X19" s="408" t="e">
        <f>CONCATENATED!AA54</f>
        <v>#REF!</v>
      </c>
      <c r="Y19" s="408" t="e">
        <f>CONCATENATED!AB54</f>
        <v>#REF!</v>
      </c>
      <c r="Z19" s="408" t="e">
        <f>CONCATENATED!AC54</f>
        <v>#REF!</v>
      </c>
      <c r="AA19" s="408" t="e">
        <f>CONCATENATED!AD54</f>
        <v>#REF!</v>
      </c>
      <c r="AB19" s="408" t="e">
        <f>CONCATENATED!AE54</f>
        <v>#REF!</v>
      </c>
      <c r="AC19" s="535"/>
      <c r="AD19" s="355" t="e">
        <f t="shared" si="1"/>
        <v>#N/A</v>
      </c>
      <c r="AE19" s="356" t="e">
        <f t="shared" si="2"/>
        <v>#N/A</v>
      </c>
      <c r="AF19" s="356" t="e">
        <f t="shared" si="0"/>
        <v>#N/A</v>
      </c>
      <c r="AG19" s="356" t="e">
        <f t="shared" si="3"/>
        <v>#N/A</v>
      </c>
      <c r="AH19" s="356" t="e">
        <f t="shared" si="4"/>
        <v>#N/A</v>
      </c>
      <c r="AI19" s="356" t="e">
        <f t="shared" si="5"/>
        <v>#N/A</v>
      </c>
      <c r="AJ19" s="356" t="e">
        <f t="shared" si="6"/>
        <v>#N/A</v>
      </c>
      <c r="AK19" s="356" t="e">
        <f t="shared" si="7"/>
        <v>#N/A</v>
      </c>
      <c r="AL19" s="356" t="e">
        <f t="shared" si="8"/>
        <v>#N/A</v>
      </c>
      <c r="AM19" s="356" t="e">
        <f t="shared" si="9"/>
        <v>#N/A</v>
      </c>
      <c r="AN19" s="356" t="e">
        <f t="shared" si="10"/>
        <v>#N/A</v>
      </c>
      <c r="AO19" s="356" t="e">
        <f t="shared" si="11"/>
        <v>#N/A</v>
      </c>
      <c r="AP19" s="356" t="e">
        <f t="shared" si="12"/>
        <v>#N/A</v>
      </c>
      <c r="AQ19" s="356" t="e">
        <f t="shared" si="13"/>
        <v>#N/A</v>
      </c>
      <c r="AR19" s="356" t="e">
        <f t="shared" si="14"/>
        <v>#N/A</v>
      </c>
      <c r="AS19" s="357" t="e">
        <f t="shared" si="15"/>
        <v>#N/A</v>
      </c>
      <c r="AT19" s="356" t="e">
        <f t="shared" si="16"/>
        <v>#N/A</v>
      </c>
      <c r="AU19" s="356" t="e">
        <f t="shared" si="17"/>
        <v>#N/A</v>
      </c>
      <c r="AV19" s="356" t="e">
        <f t="shared" si="18"/>
        <v>#N/A</v>
      </c>
      <c r="AW19" s="356" t="e">
        <f t="shared" si="19"/>
        <v>#N/A</v>
      </c>
      <c r="AX19" s="356" t="e">
        <f t="shared" si="20"/>
        <v>#N/A</v>
      </c>
      <c r="AY19" s="356" t="e">
        <f t="shared" si="21"/>
        <v>#N/A</v>
      </c>
      <c r="AZ19" s="356" t="e">
        <f t="shared" si="22"/>
        <v>#N/A</v>
      </c>
      <c r="BA19" s="356" t="e">
        <f t="shared" si="23"/>
        <v>#N/A</v>
      </c>
      <c r="BB19" s="356" t="e">
        <f t="shared" si="24"/>
        <v>#N/A</v>
      </c>
      <c r="BC19" s="356" t="e">
        <f t="shared" si="25"/>
        <v>#N/A</v>
      </c>
      <c r="BD19" s="356" t="e">
        <f t="shared" si="26"/>
        <v>#N/A</v>
      </c>
      <c r="BE19" s="356" t="e">
        <f t="shared" si="27"/>
        <v>#N/A</v>
      </c>
      <c r="BF19" s="356" t="e">
        <f t="shared" si="28"/>
        <v>#N/A</v>
      </c>
      <c r="BG19" s="356" t="e">
        <f t="shared" si="29"/>
        <v>#N/A</v>
      </c>
      <c r="BH19" s="356" t="e">
        <f t="shared" si="30"/>
        <v>#N/A</v>
      </c>
      <c r="BI19" s="356" t="e">
        <f t="shared" si="31"/>
        <v>#N/A</v>
      </c>
      <c r="BJ19" s="356" t="e">
        <f t="shared" si="32"/>
        <v>#N/A</v>
      </c>
      <c r="BK19" s="356" t="e">
        <f t="shared" si="33"/>
        <v>#N/A</v>
      </c>
      <c r="BL19" s="535"/>
    </row>
    <row r="20" spans="1:64" ht="15.6" thickBot="1" x14ac:dyDescent="0.3">
      <c r="A20" s="400">
        <v>16</v>
      </c>
      <c r="B20" s="408" t="e">
        <f>CONCATENATED!E57</f>
        <v>#REF!</v>
      </c>
      <c r="C20" s="408" t="e">
        <f>CONCATENATED!F57</f>
        <v>#REF!</v>
      </c>
      <c r="D20" s="408" t="e">
        <f>CONCATENATED!G57</f>
        <v>#REF!</v>
      </c>
      <c r="E20" s="408" t="e">
        <f>CONCATENATED!H57</f>
        <v>#REF!</v>
      </c>
      <c r="F20" s="408" t="e">
        <f>CONCATENATED!I57</f>
        <v>#REF!</v>
      </c>
      <c r="G20" s="408" t="e">
        <f>CONCATENATED!J57</f>
        <v>#REF!</v>
      </c>
      <c r="H20" s="408" t="e">
        <f>CONCATENATED!K57</f>
        <v>#REF!</v>
      </c>
      <c r="I20" s="408" t="e">
        <f>CONCATENATED!L57</f>
        <v>#REF!</v>
      </c>
      <c r="J20" s="408" t="e">
        <f>CONCATENATED!M57</f>
        <v>#REF!</v>
      </c>
      <c r="K20" s="408" t="e">
        <f>CONCATENATED!N57</f>
        <v>#REF!</v>
      </c>
      <c r="L20" s="408" t="e">
        <f>CONCATENATED!O57</f>
        <v>#REF!</v>
      </c>
      <c r="M20" s="408" t="e">
        <f>CONCATENATED!P57</f>
        <v>#REF!</v>
      </c>
      <c r="N20" s="408" t="e">
        <f>CONCATENATED!Q57</f>
        <v>#REF!</v>
      </c>
      <c r="O20" s="408" t="e">
        <f>CONCATENATED!R57</f>
        <v>#REF!</v>
      </c>
      <c r="P20" s="408" t="e">
        <f>CONCATENATED!S57</f>
        <v>#REF!</v>
      </c>
      <c r="Q20" s="408" t="e">
        <f>CONCATENATED!T57</f>
        <v>#REF!</v>
      </c>
      <c r="R20" s="408" t="e">
        <f>CONCATENATED!U57</f>
        <v>#REF!</v>
      </c>
      <c r="S20" s="408" t="e">
        <f>CONCATENATED!V57</f>
        <v>#REF!</v>
      </c>
      <c r="T20" s="408" t="e">
        <f>CONCATENATED!W57</f>
        <v>#REF!</v>
      </c>
      <c r="U20" s="408" t="e">
        <f>CONCATENATED!X57</f>
        <v>#REF!</v>
      </c>
      <c r="V20" s="408" t="e">
        <f>CONCATENATED!Y57</f>
        <v>#REF!</v>
      </c>
      <c r="W20" s="408" t="e">
        <f>CONCATENATED!Z57</f>
        <v>#REF!</v>
      </c>
      <c r="X20" s="408" t="e">
        <f>CONCATENATED!AA57</f>
        <v>#REF!</v>
      </c>
      <c r="Y20" s="408" t="e">
        <f>CONCATENATED!AB57</f>
        <v>#REF!</v>
      </c>
      <c r="Z20" s="408" t="e">
        <f>CONCATENATED!AC57</f>
        <v>#REF!</v>
      </c>
      <c r="AA20" s="408" t="e">
        <f>CONCATENATED!AD57</f>
        <v>#REF!</v>
      </c>
      <c r="AB20" s="408" t="e">
        <f>CONCATENATED!AE57</f>
        <v>#REF!</v>
      </c>
      <c r="AC20" s="535"/>
      <c r="AD20" s="355" t="e">
        <f t="shared" si="1"/>
        <v>#N/A</v>
      </c>
      <c r="AE20" s="356" t="e">
        <f t="shared" si="2"/>
        <v>#N/A</v>
      </c>
      <c r="AF20" s="356" t="e">
        <f t="shared" si="0"/>
        <v>#N/A</v>
      </c>
      <c r="AG20" s="356" t="e">
        <f t="shared" si="3"/>
        <v>#N/A</v>
      </c>
      <c r="AH20" s="356" t="e">
        <f t="shared" si="4"/>
        <v>#N/A</v>
      </c>
      <c r="AI20" s="356" t="e">
        <f t="shared" si="5"/>
        <v>#N/A</v>
      </c>
      <c r="AJ20" s="356" t="e">
        <f t="shared" si="6"/>
        <v>#N/A</v>
      </c>
      <c r="AK20" s="356" t="e">
        <f t="shared" si="7"/>
        <v>#N/A</v>
      </c>
      <c r="AL20" s="356" t="e">
        <f t="shared" si="8"/>
        <v>#N/A</v>
      </c>
      <c r="AM20" s="356" t="e">
        <f t="shared" si="9"/>
        <v>#N/A</v>
      </c>
      <c r="AN20" s="356" t="e">
        <f t="shared" si="10"/>
        <v>#N/A</v>
      </c>
      <c r="AO20" s="356" t="e">
        <f t="shared" si="11"/>
        <v>#N/A</v>
      </c>
      <c r="AP20" s="356" t="e">
        <f t="shared" si="12"/>
        <v>#N/A</v>
      </c>
      <c r="AQ20" s="356" t="e">
        <f t="shared" si="13"/>
        <v>#N/A</v>
      </c>
      <c r="AR20" s="356" t="e">
        <f t="shared" si="14"/>
        <v>#N/A</v>
      </c>
      <c r="AS20" s="357" t="e">
        <f t="shared" si="15"/>
        <v>#N/A</v>
      </c>
      <c r="AT20" s="356" t="e">
        <f t="shared" si="16"/>
        <v>#N/A</v>
      </c>
      <c r="AU20" s="356" t="e">
        <f t="shared" si="17"/>
        <v>#N/A</v>
      </c>
      <c r="AV20" s="356" t="e">
        <f t="shared" si="18"/>
        <v>#N/A</v>
      </c>
      <c r="AW20" s="356" t="e">
        <f t="shared" si="19"/>
        <v>#N/A</v>
      </c>
      <c r="AX20" s="356" t="e">
        <f t="shared" si="20"/>
        <v>#N/A</v>
      </c>
      <c r="AY20" s="356" t="e">
        <f t="shared" si="21"/>
        <v>#N/A</v>
      </c>
      <c r="AZ20" s="356" t="e">
        <f t="shared" si="22"/>
        <v>#N/A</v>
      </c>
      <c r="BA20" s="356" t="e">
        <f t="shared" si="23"/>
        <v>#N/A</v>
      </c>
      <c r="BB20" s="356" t="e">
        <f t="shared" si="24"/>
        <v>#N/A</v>
      </c>
      <c r="BC20" s="356" t="e">
        <f t="shared" si="25"/>
        <v>#N/A</v>
      </c>
      <c r="BD20" s="356" t="e">
        <f t="shared" si="26"/>
        <v>#N/A</v>
      </c>
      <c r="BE20" s="356" t="e">
        <f t="shared" si="27"/>
        <v>#N/A</v>
      </c>
      <c r="BF20" s="356" t="e">
        <f t="shared" si="28"/>
        <v>#N/A</v>
      </c>
      <c r="BG20" s="356" t="e">
        <f t="shared" si="29"/>
        <v>#N/A</v>
      </c>
      <c r="BH20" s="356" t="e">
        <f t="shared" si="30"/>
        <v>#N/A</v>
      </c>
      <c r="BI20" s="356" t="e">
        <f t="shared" si="31"/>
        <v>#N/A</v>
      </c>
      <c r="BJ20" s="356" t="e">
        <f t="shared" si="32"/>
        <v>#N/A</v>
      </c>
      <c r="BK20" s="356" t="e">
        <f t="shared" si="33"/>
        <v>#N/A</v>
      </c>
      <c r="BL20" s="535"/>
    </row>
    <row r="21" spans="1:64" ht="52.2" thickBot="1" x14ac:dyDescent="0.3">
      <c r="A21" s="400">
        <v>17</v>
      </c>
      <c r="B21" s="408" t="e">
        <f>CONCATENATED!E60</f>
        <v>#REF!</v>
      </c>
      <c r="C21" s="408" t="e">
        <f>CONCATENATED!F60</f>
        <v>#REF!</v>
      </c>
      <c r="D21" s="408" t="e">
        <f>CONCATENATED!G60</f>
        <v>#REF!</v>
      </c>
      <c r="E21" s="408" t="e">
        <f>CONCATENATED!H60</f>
        <v>#REF!</v>
      </c>
      <c r="F21" s="408" t="e">
        <f>CONCATENATED!I60</f>
        <v>#REF!</v>
      </c>
      <c r="G21" s="408" t="e">
        <f>CONCATENATED!J60</f>
        <v>#REF!</v>
      </c>
      <c r="H21" s="408" t="e">
        <f>CONCATENATED!K60</f>
        <v>#REF!</v>
      </c>
      <c r="I21" s="408" t="str">
        <f>CONCATENATED!L60</f>
        <v>BSME/SEP2020/J-FT [Y2S1  (50) Students] AMA 4203: KARAKACHA FET108</v>
      </c>
      <c r="J21" s="408" t="str">
        <f>CONCATENATED!M60</f>
        <v>BSME/AUG2021/J-FT [Y1S2  (55) Students] EMC 4122: BENSON FET 107</v>
      </c>
      <c r="K21" s="408" t="e">
        <f>CONCATENATED!N60</f>
        <v>#REF!</v>
      </c>
      <c r="L21" s="408" t="e">
        <f>CONCATENATED!O60</f>
        <v>#REF!</v>
      </c>
      <c r="M21" s="408" t="str">
        <f>CONCATENATED!P60</f>
        <v xml:space="preserve">BTME/SEP2019/S-PT [Y3S1   (10) Students] :  </v>
      </c>
      <c r="N21" s="408" t="str">
        <f>CONCATENATED!Q60</f>
        <v xml:space="preserve">BTME/AUG2021/S-PT [Y2S2   (10) Students] :  </v>
      </c>
      <c r="O21" s="408" t="e">
        <f>CONCATENATED!R60</f>
        <v>#REF!</v>
      </c>
      <c r="P21" s="408" t="e">
        <f>CONCATENATED!S60</f>
        <v>#REF!</v>
      </c>
      <c r="Q21" s="408" t="str">
        <f>CONCATENATED!T60</f>
        <v>BTME/AUG2021/J&amp;S-FT [Y1S1  (52) Students] CCI 4101: DR,MVURYA FET 316</v>
      </c>
      <c r="R21" s="408" t="e">
        <f>CONCATENATED!U60</f>
        <v>#REF!</v>
      </c>
      <c r="S21" s="408" t="e">
        <f>CONCATENATED!V60</f>
        <v>#REF!</v>
      </c>
      <c r="T21" s="408" t="e">
        <f>CONCATENATED!W60</f>
        <v>#REF!</v>
      </c>
      <c r="U21" s="408" t="e">
        <f>CONCATENATED!X60</f>
        <v>#REF!</v>
      </c>
      <c r="V21" s="408" t="e">
        <f>CONCATENATED!Y60</f>
        <v>#REF!</v>
      </c>
      <c r="W21" s="408" t="e">
        <f>CONCATENATED!Z60</f>
        <v>#REF!</v>
      </c>
      <c r="X21" s="408" t="e">
        <f>CONCATENATED!AA60</f>
        <v>#REF!</v>
      </c>
      <c r="Y21" s="408" t="e">
        <f>CONCATENATED!AB60</f>
        <v>#REF!</v>
      </c>
      <c r="Z21" s="408" t="str">
        <f>CONCATENATED!AC60</f>
        <v>DMAE/SEP20201J&amp;S-FT [Y1S2   (60) Students] EMR 2129: ALBEITY WT 2</v>
      </c>
      <c r="AA21" s="408" t="e">
        <f>CONCATENATED!AD60</f>
        <v>#REF!</v>
      </c>
      <c r="AB21" s="408" t="e">
        <f>CONCATENATED!AE60</f>
        <v>#REF!</v>
      </c>
      <c r="AC21" s="535"/>
      <c r="AD21" s="355" t="e">
        <f t="shared" si="1"/>
        <v>#N/A</v>
      </c>
      <c r="AE21" s="356" t="e">
        <f t="shared" si="2"/>
        <v>#N/A</v>
      </c>
      <c r="AF21" s="356" t="e">
        <f t="shared" si="0"/>
        <v>#N/A</v>
      </c>
      <c r="AG21" s="356" t="e">
        <f t="shared" si="3"/>
        <v>#N/A</v>
      </c>
      <c r="AH21" s="356" t="e">
        <f t="shared" si="4"/>
        <v>#N/A</v>
      </c>
      <c r="AI21" s="356" t="e">
        <f t="shared" si="5"/>
        <v>#N/A</v>
      </c>
      <c r="AJ21" s="356" t="e">
        <f t="shared" si="6"/>
        <v>#N/A</v>
      </c>
      <c r="AK21" s="356" t="e">
        <f t="shared" si="7"/>
        <v>#N/A</v>
      </c>
      <c r="AL21" s="356" t="e">
        <f t="shared" si="8"/>
        <v>#N/A</v>
      </c>
      <c r="AM21" s="356" t="e">
        <f t="shared" si="9"/>
        <v>#N/A</v>
      </c>
      <c r="AN21" s="356" t="e">
        <f t="shared" si="10"/>
        <v>#N/A</v>
      </c>
      <c r="AO21" s="356" t="e">
        <f t="shared" si="11"/>
        <v>#N/A</v>
      </c>
      <c r="AP21" s="356" t="e">
        <f t="shared" si="12"/>
        <v>#N/A</v>
      </c>
      <c r="AQ21" s="356" t="e">
        <f t="shared" si="13"/>
        <v>#N/A</v>
      </c>
      <c r="AR21" s="356" t="e">
        <f t="shared" si="14"/>
        <v>#N/A</v>
      </c>
      <c r="AS21" s="357" t="e">
        <f t="shared" si="15"/>
        <v>#N/A</v>
      </c>
      <c r="AT21" s="356" t="e">
        <f t="shared" si="16"/>
        <v>#N/A</v>
      </c>
      <c r="AU21" s="356" t="e">
        <f t="shared" si="17"/>
        <v>#N/A</v>
      </c>
      <c r="AV21" s="356" t="e">
        <f t="shared" si="18"/>
        <v>#N/A</v>
      </c>
      <c r="AW21" s="356" t="e">
        <f t="shared" si="19"/>
        <v>#N/A</v>
      </c>
      <c r="AX21" s="356" t="e">
        <f t="shared" si="20"/>
        <v>#N/A</v>
      </c>
      <c r="AY21" s="356" t="e">
        <f t="shared" si="21"/>
        <v>#N/A</v>
      </c>
      <c r="AZ21" s="356" t="e">
        <f t="shared" si="22"/>
        <v>#N/A</v>
      </c>
      <c r="BA21" s="356" t="e">
        <f t="shared" si="23"/>
        <v>#N/A</v>
      </c>
      <c r="BB21" s="356" t="e">
        <f t="shared" si="24"/>
        <v>#N/A</v>
      </c>
      <c r="BC21" s="356" t="e">
        <f t="shared" si="25"/>
        <v>#N/A</v>
      </c>
      <c r="BD21" s="356" t="e">
        <f t="shared" si="26"/>
        <v>#N/A</v>
      </c>
      <c r="BE21" s="356" t="e">
        <f t="shared" si="27"/>
        <v>#N/A</v>
      </c>
      <c r="BF21" s="356" t="e">
        <f t="shared" si="28"/>
        <v>#N/A</v>
      </c>
      <c r="BG21" s="356" t="e">
        <f t="shared" si="29"/>
        <v>#N/A</v>
      </c>
      <c r="BH21" s="356" t="e">
        <f t="shared" si="30"/>
        <v>#N/A</v>
      </c>
      <c r="BI21" s="356" t="e">
        <f t="shared" si="31"/>
        <v>#N/A</v>
      </c>
      <c r="BJ21" s="356" t="e">
        <f t="shared" si="32"/>
        <v>#N/A</v>
      </c>
      <c r="BK21" s="356" t="e">
        <f t="shared" si="33"/>
        <v>#N/A</v>
      </c>
      <c r="BL21" s="535"/>
    </row>
    <row r="22" spans="1:64" ht="15.6" thickBot="1" x14ac:dyDescent="0.3">
      <c r="A22" s="400">
        <v>18</v>
      </c>
      <c r="B22" s="408" t="e">
        <f>CONCATENATED!E63</f>
        <v>#REF!</v>
      </c>
      <c r="C22" s="408" t="e">
        <f>CONCATENATED!F63</f>
        <v>#REF!</v>
      </c>
      <c r="D22" s="408" t="e">
        <f>CONCATENATED!G63</f>
        <v>#REF!</v>
      </c>
      <c r="E22" s="408" t="e">
        <f>CONCATENATED!H63</f>
        <v>#REF!</v>
      </c>
      <c r="F22" s="408" t="e">
        <f>CONCATENATED!I63</f>
        <v>#REF!</v>
      </c>
      <c r="G22" s="408" t="e">
        <f>CONCATENATED!J63</f>
        <v>#REF!</v>
      </c>
      <c r="H22" s="408" t="e">
        <f>CONCATENATED!K63</f>
        <v>#REF!</v>
      </c>
      <c r="I22" s="408" t="e">
        <f>CONCATENATED!L63</f>
        <v>#REF!</v>
      </c>
      <c r="J22" s="408" t="e">
        <f>CONCATENATED!M63</f>
        <v>#REF!</v>
      </c>
      <c r="K22" s="408" t="e">
        <f>CONCATENATED!N63</f>
        <v>#REF!</v>
      </c>
      <c r="L22" s="408" t="e">
        <f>CONCATENATED!O63</f>
        <v>#REF!</v>
      </c>
      <c r="M22" s="408" t="e">
        <f>CONCATENATED!P63</f>
        <v>#REF!</v>
      </c>
      <c r="N22" s="408" t="e">
        <f>CONCATENATED!Q63</f>
        <v>#REF!</v>
      </c>
      <c r="O22" s="408" t="e">
        <f>CONCATENATED!R63</f>
        <v>#REF!</v>
      </c>
      <c r="P22" s="408" t="e">
        <f>CONCATENATED!S63</f>
        <v>#REF!</v>
      </c>
      <c r="Q22" s="408" t="e">
        <f>CONCATENATED!T63</f>
        <v>#REF!</v>
      </c>
      <c r="R22" s="408" t="e">
        <f>CONCATENATED!U63</f>
        <v>#REF!</v>
      </c>
      <c r="S22" s="408" t="e">
        <f>CONCATENATED!V63</f>
        <v>#REF!</v>
      </c>
      <c r="T22" s="408" t="e">
        <f>CONCATENATED!W63</f>
        <v>#REF!</v>
      </c>
      <c r="U22" s="408" t="e">
        <f>CONCATENATED!X63</f>
        <v>#REF!</v>
      </c>
      <c r="V22" s="408" t="e">
        <f>CONCATENATED!Y63</f>
        <v>#REF!</v>
      </c>
      <c r="W22" s="408" t="e">
        <f>CONCATENATED!Z63</f>
        <v>#REF!</v>
      </c>
      <c r="X22" s="408" t="e">
        <f>CONCATENATED!AA63</f>
        <v>#REF!</v>
      </c>
      <c r="Y22" s="408" t="e">
        <f>CONCATENATED!AB63</f>
        <v>#REF!</v>
      </c>
      <c r="Z22" s="408" t="e">
        <f>CONCATENATED!AC63</f>
        <v>#REF!</v>
      </c>
      <c r="AA22" s="408" t="e">
        <f>CONCATENATED!AD63</f>
        <v>#REF!</v>
      </c>
      <c r="AB22" s="408" t="e">
        <f>CONCATENATED!AE63</f>
        <v>#REF!</v>
      </c>
      <c r="AC22" s="535"/>
      <c r="AD22" s="355" t="e">
        <f t="shared" si="1"/>
        <v>#N/A</v>
      </c>
      <c r="AE22" s="356" t="e">
        <f t="shared" si="2"/>
        <v>#N/A</v>
      </c>
      <c r="AF22" s="356" t="e">
        <f t="shared" si="0"/>
        <v>#N/A</v>
      </c>
      <c r="AG22" s="356" t="e">
        <f t="shared" si="3"/>
        <v>#N/A</v>
      </c>
      <c r="AH22" s="356" t="e">
        <f t="shared" si="4"/>
        <v>#N/A</v>
      </c>
      <c r="AI22" s="356" t="e">
        <f t="shared" si="5"/>
        <v>#N/A</v>
      </c>
      <c r="AJ22" s="356" t="e">
        <f t="shared" si="6"/>
        <v>#N/A</v>
      </c>
      <c r="AK22" s="356" t="e">
        <f t="shared" si="7"/>
        <v>#N/A</v>
      </c>
      <c r="AL22" s="356" t="e">
        <f t="shared" si="8"/>
        <v>#N/A</v>
      </c>
      <c r="AM22" s="356" t="e">
        <f t="shared" si="9"/>
        <v>#N/A</v>
      </c>
      <c r="AN22" s="356" t="e">
        <f t="shared" si="10"/>
        <v>#N/A</v>
      </c>
      <c r="AO22" s="356" t="e">
        <f t="shared" si="11"/>
        <v>#N/A</v>
      </c>
      <c r="AP22" s="356" t="e">
        <f t="shared" si="12"/>
        <v>#N/A</v>
      </c>
      <c r="AQ22" s="356" t="e">
        <f t="shared" si="13"/>
        <v>#N/A</v>
      </c>
      <c r="AR22" s="356" t="e">
        <f t="shared" si="14"/>
        <v>#N/A</v>
      </c>
      <c r="AS22" s="357" t="e">
        <f t="shared" si="15"/>
        <v>#N/A</v>
      </c>
      <c r="AT22" s="356" t="e">
        <f t="shared" si="16"/>
        <v>#N/A</v>
      </c>
      <c r="AU22" s="356" t="e">
        <f t="shared" si="17"/>
        <v>#N/A</v>
      </c>
      <c r="AV22" s="356" t="e">
        <f t="shared" si="18"/>
        <v>#N/A</v>
      </c>
      <c r="AW22" s="356" t="e">
        <f t="shared" si="19"/>
        <v>#N/A</v>
      </c>
      <c r="AX22" s="356" t="e">
        <f t="shared" si="20"/>
        <v>#N/A</v>
      </c>
      <c r="AY22" s="356" t="e">
        <f t="shared" si="21"/>
        <v>#N/A</v>
      </c>
      <c r="AZ22" s="356" t="e">
        <f t="shared" si="22"/>
        <v>#N/A</v>
      </c>
      <c r="BA22" s="356" t="e">
        <f t="shared" si="23"/>
        <v>#N/A</v>
      </c>
      <c r="BB22" s="356" t="e">
        <f t="shared" si="24"/>
        <v>#N/A</v>
      </c>
      <c r="BC22" s="356" t="e">
        <f t="shared" si="25"/>
        <v>#N/A</v>
      </c>
      <c r="BD22" s="356" t="e">
        <f t="shared" si="26"/>
        <v>#N/A</v>
      </c>
      <c r="BE22" s="356" t="e">
        <f t="shared" si="27"/>
        <v>#N/A</v>
      </c>
      <c r="BF22" s="356" t="e">
        <f t="shared" si="28"/>
        <v>#N/A</v>
      </c>
      <c r="BG22" s="356" t="e">
        <f t="shared" si="29"/>
        <v>#N/A</v>
      </c>
      <c r="BH22" s="356" t="e">
        <f t="shared" si="30"/>
        <v>#N/A</v>
      </c>
      <c r="BI22" s="356" t="e">
        <f t="shared" si="31"/>
        <v>#N/A</v>
      </c>
      <c r="BJ22" s="356" t="e">
        <f t="shared" si="32"/>
        <v>#N/A</v>
      </c>
      <c r="BK22" s="356" t="e">
        <f t="shared" si="33"/>
        <v>#N/A</v>
      </c>
      <c r="BL22" s="535"/>
    </row>
    <row r="23" spans="1:64" s="406" customFormat="1" ht="15.6" thickBot="1" x14ac:dyDescent="0.3">
      <c r="A23" s="400">
        <v>19</v>
      </c>
      <c r="B23" s="408" t="e">
        <f>CONCATENATED!E66</f>
        <v>#REF!</v>
      </c>
      <c r="C23" s="408" t="e">
        <f>CONCATENATED!F66</f>
        <v>#REF!</v>
      </c>
      <c r="D23" s="408" t="e">
        <f>CONCATENATED!G66</f>
        <v>#REF!</v>
      </c>
      <c r="E23" s="408" t="e">
        <f>CONCATENATED!H66</f>
        <v>#REF!</v>
      </c>
      <c r="F23" s="408" t="e">
        <f>CONCATENATED!I66</f>
        <v>#REF!</v>
      </c>
      <c r="G23" s="408" t="e">
        <f>CONCATENATED!J66</f>
        <v>#REF!</v>
      </c>
      <c r="H23" s="408" t="e">
        <f>CONCATENATED!K66</f>
        <v>#REF!</v>
      </c>
      <c r="I23" s="408" t="e">
        <f>CONCATENATED!L66</f>
        <v>#REF!</v>
      </c>
      <c r="J23" s="408" t="e">
        <f>CONCATENATED!M66</f>
        <v>#REF!</v>
      </c>
      <c r="K23" s="408" t="e">
        <f>CONCATENATED!N66</f>
        <v>#REF!</v>
      </c>
      <c r="L23" s="408" t="e">
        <f>CONCATENATED!O66</f>
        <v>#REF!</v>
      </c>
      <c r="M23" s="408" t="e">
        <f>CONCATENATED!P66</f>
        <v>#REF!</v>
      </c>
      <c r="N23" s="408" t="e">
        <f>CONCATENATED!Q66</f>
        <v>#REF!</v>
      </c>
      <c r="O23" s="408" t="e">
        <f>CONCATENATED!R66</f>
        <v>#REF!</v>
      </c>
      <c r="P23" s="408" t="e">
        <f>CONCATENATED!S66</f>
        <v>#REF!</v>
      </c>
      <c r="Q23" s="408" t="e">
        <f>CONCATENATED!T66</f>
        <v>#REF!</v>
      </c>
      <c r="R23" s="408" t="e">
        <f>CONCATENATED!U66</f>
        <v>#REF!</v>
      </c>
      <c r="S23" s="408" t="e">
        <f>CONCATENATED!V66</f>
        <v>#REF!</v>
      </c>
      <c r="T23" s="408" t="e">
        <f>CONCATENATED!W66</f>
        <v>#REF!</v>
      </c>
      <c r="U23" s="408" t="e">
        <f>CONCATENATED!X66</f>
        <v>#REF!</v>
      </c>
      <c r="V23" s="408" t="e">
        <f>CONCATENATED!Y66</f>
        <v>#REF!</v>
      </c>
      <c r="W23" s="408" t="e">
        <f>CONCATENATED!Z66</f>
        <v>#REF!</v>
      </c>
      <c r="X23" s="408" t="e">
        <f>CONCATENATED!AA66</f>
        <v>#REF!</v>
      </c>
      <c r="Y23" s="408" t="e">
        <f>CONCATENATED!AB66</f>
        <v>#REF!</v>
      </c>
      <c r="Z23" s="408" t="e">
        <f>CONCATENATED!AC66</f>
        <v>#REF!</v>
      </c>
      <c r="AA23" s="408" t="e">
        <f>CONCATENATED!AD66</f>
        <v>#REF!</v>
      </c>
      <c r="AB23" s="408" t="e">
        <f>CONCATENATED!AE66</f>
        <v>#REF!</v>
      </c>
      <c r="AC23" s="535"/>
      <c r="AD23" s="358" t="e">
        <f t="shared" si="1"/>
        <v>#N/A</v>
      </c>
      <c r="AE23" s="358" t="e">
        <f t="shared" si="2"/>
        <v>#N/A</v>
      </c>
      <c r="AF23" s="358" t="e">
        <f t="shared" si="0"/>
        <v>#N/A</v>
      </c>
      <c r="AG23" s="358" t="e">
        <f t="shared" si="3"/>
        <v>#N/A</v>
      </c>
      <c r="AH23" s="358" t="e">
        <f t="shared" si="4"/>
        <v>#N/A</v>
      </c>
      <c r="AI23" s="358" t="e">
        <f t="shared" si="5"/>
        <v>#N/A</v>
      </c>
      <c r="AJ23" s="358" t="e">
        <f t="shared" si="6"/>
        <v>#N/A</v>
      </c>
      <c r="AK23" s="358" t="e">
        <f t="shared" si="7"/>
        <v>#N/A</v>
      </c>
      <c r="AL23" s="358" t="e">
        <f t="shared" si="8"/>
        <v>#N/A</v>
      </c>
      <c r="AM23" s="358" t="e">
        <f t="shared" si="9"/>
        <v>#N/A</v>
      </c>
      <c r="AN23" s="358" t="e">
        <f t="shared" si="10"/>
        <v>#N/A</v>
      </c>
      <c r="AO23" s="358" t="e">
        <f t="shared" si="11"/>
        <v>#N/A</v>
      </c>
      <c r="AP23" s="358" t="e">
        <f t="shared" si="12"/>
        <v>#N/A</v>
      </c>
      <c r="AQ23" s="358" t="e">
        <f t="shared" si="13"/>
        <v>#N/A</v>
      </c>
      <c r="AR23" s="358" t="e">
        <f t="shared" si="14"/>
        <v>#N/A</v>
      </c>
      <c r="AS23" s="359" t="e">
        <f t="shared" si="15"/>
        <v>#N/A</v>
      </c>
      <c r="AT23" s="358" t="e">
        <f t="shared" si="16"/>
        <v>#N/A</v>
      </c>
      <c r="AU23" s="358" t="e">
        <f t="shared" si="17"/>
        <v>#N/A</v>
      </c>
      <c r="AV23" s="358" t="e">
        <f t="shared" si="18"/>
        <v>#N/A</v>
      </c>
      <c r="AW23" s="358" t="e">
        <f t="shared" si="19"/>
        <v>#N/A</v>
      </c>
      <c r="AX23" s="358" t="e">
        <f t="shared" si="20"/>
        <v>#N/A</v>
      </c>
      <c r="AY23" s="358" t="e">
        <f t="shared" si="21"/>
        <v>#N/A</v>
      </c>
      <c r="AZ23" s="358" t="e">
        <f t="shared" si="22"/>
        <v>#N/A</v>
      </c>
      <c r="BA23" s="358" t="e">
        <f t="shared" si="23"/>
        <v>#N/A</v>
      </c>
      <c r="BB23" s="358" t="e">
        <f t="shared" si="24"/>
        <v>#N/A</v>
      </c>
      <c r="BC23" s="358" t="e">
        <f t="shared" si="25"/>
        <v>#N/A</v>
      </c>
      <c r="BD23" s="358" t="e">
        <f t="shared" si="26"/>
        <v>#N/A</v>
      </c>
      <c r="BE23" s="358" t="e">
        <f t="shared" si="27"/>
        <v>#N/A</v>
      </c>
      <c r="BF23" s="358" t="e">
        <f t="shared" si="28"/>
        <v>#N/A</v>
      </c>
      <c r="BG23" s="358" t="e">
        <f t="shared" si="29"/>
        <v>#N/A</v>
      </c>
      <c r="BH23" s="358" t="e">
        <f t="shared" si="30"/>
        <v>#N/A</v>
      </c>
      <c r="BI23" s="358" t="e">
        <f t="shared" si="31"/>
        <v>#N/A</v>
      </c>
      <c r="BJ23" s="358" t="e">
        <f t="shared" si="32"/>
        <v>#N/A</v>
      </c>
      <c r="BK23" s="358" t="e">
        <f t="shared" si="33"/>
        <v>#N/A</v>
      </c>
      <c r="BL23" s="535"/>
    </row>
    <row r="24" spans="1:64" ht="31.8" thickBot="1" x14ac:dyDescent="0.3">
      <c r="A24" s="406">
        <v>20</v>
      </c>
      <c r="B24" s="407" t="e">
        <f>CONCATENATED!E69</f>
        <v>#REF!</v>
      </c>
      <c r="C24" s="407" t="e">
        <f>CONCATENATED!F69</f>
        <v>#REF!</v>
      </c>
      <c r="D24" s="407" t="e">
        <f>CONCATENATED!G69</f>
        <v>#REF!</v>
      </c>
      <c r="E24" s="407" t="e">
        <f>CONCATENATED!H69</f>
        <v>#REF!</v>
      </c>
      <c r="F24" s="407" t="e">
        <f>CONCATENATED!I69</f>
        <v>#REF!</v>
      </c>
      <c r="G24" s="407" t="e">
        <f>CONCATENATED!J69</f>
        <v>#REF!</v>
      </c>
      <c r="H24" s="407" t="e">
        <f>CONCATENATED!K69</f>
        <v>#REF!</v>
      </c>
      <c r="I24" s="407" t="str">
        <f>CONCATENATED!L69</f>
        <v xml:space="preserve">BSME/SEP2020/J-FT [Y2S1  (50) Students] :  </v>
      </c>
      <c r="J24" s="407" t="str">
        <f>CONCATENATED!M69</f>
        <v xml:space="preserve">BSME/AUG2021/J-FT [Y1S2  (55) Students] :  </v>
      </c>
      <c r="K24" s="407" t="e">
        <f>CONCATENATED!N69</f>
        <v>#REF!</v>
      </c>
      <c r="L24" s="407" t="e">
        <f>CONCATENATED!O69</f>
        <v>#REF!</v>
      </c>
      <c r="M24" s="407" t="str">
        <f>CONCATENATED!P69</f>
        <v xml:space="preserve">BTME/SEP2019/S-PT [Y3S1   (10) Students] :  </v>
      </c>
      <c r="N24" s="407" t="str">
        <f>CONCATENATED!Q69</f>
        <v xml:space="preserve">BTME/AUG2021/S-PT [Y2S2   (10) Students] :  </v>
      </c>
      <c r="O24" s="407" t="e">
        <f>CONCATENATED!R69</f>
        <v>#REF!</v>
      </c>
      <c r="P24" s="407" t="e">
        <f>CONCATENATED!S69</f>
        <v>#REF!</v>
      </c>
      <c r="Q24" s="407" t="str">
        <f>CONCATENATED!T69</f>
        <v xml:space="preserve">BTME/AUG2021/J&amp;S-FT [Y1S1  (52) Students] :  </v>
      </c>
      <c r="R24" s="407" t="e">
        <f>CONCATENATED!U69</f>
        <v>#REF!</v>
      </c>
      <c r="S24" s="407" t="e">
        <f>CONCATENATED!V69</f>
        <v>#REF!</v>
      </c>
      <c r="T24" s="407" t="e">
        <f>CONCATENATED!W69</f>
        <v>#REF!</v>
      </c>
      <c r="U24" s="407" t="e">
        <f>CONCATENATED!X69</f>
        <v>#REF!</v>
      </c>
      <c r="V24" s="407" t="e">
        <f>CONCATENATED!Y69</f>
        <v>#REF!</v>
      </c>
      <c r="W24" s="407" t="e">
        <f>CONCATENATED!Z69</f>
        <v>#REF!</v>
      </c>
      <c r="X24" s="407" t="e">
        <f>CONCATENATED!AA69</f>
        <v>#REF!</v>
      </c>
      <c r="Y24" s="407" t="e">
        <f>CONCATENATED!AB69</f>
        <v>#REF!</v>
      </c>
      <c r="Z24" s="407" t="str">
        <f>CONCATENATED!AC69</f>
        <v xml:space="preserve">DMAE/SEP20201J&amp;S-FT [Y1S2   (60) Students] :  </v>
      </c>
      <c r="AA24" s="407" t="e">
        <f>CONCATENATED!AD69</f>
        <v>#REF!</v>
      </c>
      <c r="AB24" s="407" t="e">
        <f>CONCATENATED!AE69</f>
        <v>#REF!</v>
      </c>
      <c r="AC24" s="534"/>
      <c r="AD24" s="360" t="e">
        <f t="shared" si="1"/>
        <v>#N/A</v>
      </c>
      <c r="AE24" s="360" t="e">
        <f t="shared" si="2"/>
        <v>#N/A</v>
      </c>
      <c r="AF24" s="360" t="e">
        <f t="shared" si="0"/>
        <v>#N/A</v>
      </c>
      <c r="AG24" s="360" t="e">
        <f t="shared" si="3"/>
        <v>#N/A</v>
      </c>
      <c r="AH24" s="360" t="e">
        <f t="shared" si="4"/>
        <v>#N/A</v>
      </c>
      <c r="AI24" s="360" t="e">
        <f t="shared" si="5"/>
        <v>#N/A</v>
      </c>
      <c r="AJ24" s="360" t="e">
        <f t="shared" si="6"/>
        <v>#N/A</v>
      </c>
      <c r="AK24" s="360" t="e">
        <f t="shared" si="7"/>
        <v>#N/A</v>
      </c>
      <c r="AL24" s="360" t="e">
        <f t="shared" si="8"/>
        <v>#N/A</v>
      </c>
      <c r="AM24" s="360" t="e">
        <f t="shared" si="9"/>
        <v>#N/A</v>
      </c>
      <c r="AN24" s="360" t="e">
        <f t="shared" si="10"/>
        <v>#N/A</v>
      </c>
      <c r="AO24" s="360" t="e">
        <f t="shared" si="11"/>
        <v>#N/A</v>
      </c>
      <c r="AP24" s="360" t="e">
        <f t="shared" si="12"/>
        <v>#N/A</v>
      </c>
      <c r="AQ24" s="360" t="e">
        <f t="shared" si="13"/>
        <v>#N/A</v>
      </c>
      <c r="AR24" s="360" t="e">
        <f t="shared" si="14"/>
        <v>#N/A</v>
      </c>
      <c r="AS24" s="360" t="e">
        <f t="shared" si="15"/>
        <v>#N/A</v>
      </c>
      <c r="AT24" s="360" t="e">
        <f t="shared" si="16"/>
        <v>#N/A</v>
      </c>
      <c r="AU24" s="360" t="e">
        <f t="shared" si="17"/>
        <v>#N/A</v>
      </c>
      <c r="AV24" s="360" t="e">
        <f t="shared" si="18"/>
        <v>#N/A</v>
      </c>
      <c r="AW24" s="360" t="e">
        <f t="shared" si="19"/>
        <v>#N/A</v>
      </c>
      <c r="AX24" s="360" t="e">
        <f t="shared" si="20"/>
        <v>#N/A</v>
      </c>
      <c r="AY24" s="360" t="e">
        <f t="shared" si="21"/>
        <v>#N/A</v>
      </c>
      <c r="AZ24" s="360" t="e">
        <f t="shared" si="22"/>
        <v>#N/A</v>
      </c>
      <c r="BA24" s="360" t="e">
        <f t="shared" si="23"/>
        <v>#N/A</v>
      </c>
      <c r="BB24" s="360" t="e">
        <f t="shared" si="24"/>
        <v>#N/A</v>
      </c>
      <c r="BC24" s="360" t="e">
        <f t="shared" si="25"/>
        <v>#N/A</v>
      </c>
      <c r="BD24" s="360" t="e">
        <f t="shared" si="26"/>
        <v>#N/A</v>
      </c>
      <c r="BE24" s="360" t="e">
        <f t="shared" si="27"/>
        <v>#N/A</v>
      </c>
      <c r="BF24" s="360" t="e">
        <f t="shared" si="28"/>
        <v>#N/A</v>
      </c>
      <c r="BG24" s="360" t="e">
        <f t="shared" si="29"/>
        <v>#N/A</v>
      </c>
      <c r="BH24" s="360" t="e">
        <f t="shared" si="30"/>
        <v>#N/A</v>
      </c>
      <c r="BI24" s="360" t="e">
        <f t="shared" si="31"/>
        <v>#N/A</v>
      </c>
      <c r="BJ24" s="360" t="e">
        <f t="shared" si="32"/>
        <v>#N/A</v>
      </c>
      <c r="BK24" s="360" t="e">
        <f t="shared" si="33"/>
        <v>#N/A</v>
      </c>
      <c r="BL24" s="541"/>
    </row>
    <row r="25" spans="1:64" ht="52.2" thickBot="1" x14ac:dyDescent="0.3">
      <c r="A25" s="400">
        <v>21</v>
      </c>
      <c r="B25" s="408" t="e">
        <f>CONCATENATED!E72</f>
        <v>#REF!</v>
      </c>
      <c r="C25" s="408" t="e">
        <f>CONCATENATED!F72</f>
        <v>#REF!</v>
      </c>
      <c r="D25" s="408" t="e">
        <f>CONCATENATED!G72</f>
        <v>#REF!</v>
      </c>
      <c r="E25" s="408" t="e">
        <f>CONCATENATED!H72</f>
        <v>#REF!</v>
      </c>
      <c r="F25" s="408" t="e">
        <f>CONCATENATED!I72</f>
        <v>#REF!</v>
      </c>
      <c r="G25" s="408" t="e">
        <f>CONCATENATED!J72</f>
        <v>#REF!</v>
      </c>
      <c r="H25" s="408" t="e">
        <f>CONCATENATED!K72</f>
        <v>#REF!</v>
      </c>
      <c r="I25" s="408" t="e">
        <f>CONCATENATED!L72</f>
        <v>#REF!</v>
      </c>
      <c r="J25" s="408" t="str">
        <f>CONCATENATED!M72</f>
        <v xml:space="preserve">BSME/AUG2021/J-FT [Y1S2  (55) Students] :  </v>
      </c>
      <c r="K25" s="408" t="e">
        <f>CONCATENATED!N72</f>
        <v>#REF!</v>
      </c>
      <c r="L25" s="408" t="e">
        <f>CONCATENATED!O72</f>
        <v>#REF!</v>
      </c>
      <c r="M25" s="408" t="str">
        <f>CONCATENATED!P72</f>
        <v xml:space="preserve">BTME/SEP2019/S-PT [Y3S1   (10) Students] :  </v>
      </c>
      <c r="N25" s="408" t="str">
        <f>CONCATENATED!Q72</f>
        <v xml:space="preserve">BTME/AUG2021/S-PT [Y2S2   (10) Students] :  </v>
      </c>
      <c r="O25" s="408" t="e">
        <f>CONCATENATED!R72</f>
        <v>#REF!</v>
      </c>
      <c r="P25" s="408" t="e">
        <f>CONCATENATED!S72</f>
        <v>#REF!</v>
      </c>
      <c r="Q25" s="408" t="str">
        <f>CONCATENATED!T72</f>
        <v xml:space="preserve">BTME/AUG2021/J&amp;S-FT [Y1S1  (52) Students] :  </v>
      </c>
      <c r="R25" s="408" t="e">
        <f>CONCATENATED!U72</f>
        <v>#REF!</v>
      </c>
      <c r="S25" s="408" t="e">
        <f>CONCATENATED!V72</f>
        <v>#REF!</v>
      </c>
      <c r="T25" s="408" t="e">
        <f>CONCATENATED!W72</f>
        <v>#REF!</v>
      </c>
      <c r="U25" s="408" t="e">
        <f>CONCATENATED!X72</f>
        <v>#REF!</v>
      </c>
      <c r="V25" s="408" t="e">
        <f>CONCATENATED!Y72</f>
        <v>#REF!</v>
      </c>
      <c r="W25" s="408" t="e">
        <f>CONCATENATED!Z72</f>
        <v>#REF!</v>
      </c>
      <c r="X25" s="408" t="e">
        <f>CONCATENATED!AA72</f>
        <v>#REF!</v>
      </c>
      <c r="Y25" s="408" t="e">
        <f>CONCATENATED!AB72</f>
        <v>#REF!</v>
      </c>
      <c r="Z25" s="408" t="str">
        <f>CONCATENATED!AC72</f>
        <v>DMAE/SEP20201J&amp;S-FT [Y1S2   (60) Students] EMR 2120: ABDILLAHI MB 01</v>
      </c>
      <c r="AA25" s="408" t="e">
        <f>CONCATENATED!AD72</f>
        <v>#REF!</v>
      </c>
      <c r="AB25" s="408" t="e">
        <f>CONCATENATED!AE72</f>
        <v>#REF!</v>
      </c>
      <c r="AC25" s="535"/>
      <c r="AD25" s="352" t="e">
        <f t="shared" si="1"/>
        <v>#N/A</v>
      </c>
      <c r="AE25" s="353" t="e">
        <f t="shared" si="2"/>
        <v>#N/A</v>
      </c>
      <c r="AF25" s="353" t="e">
        <f t="shared" si="0"/>
        <v>#N/A</v>
      </c>
      <c r="AG25" s="353" t="e">
        <f t="shared" si="3"/>
        <v>#N/A</v>
      </c>
      <c r="AH25" s="353" t="e">
        <f t="shared" si="4"/>
        <v>#N/A</v>
      </c>
      <c r="AI25" s="353" t="e">
        <f t="shared" si="5"/>
        <v>#N/A</v>
      </c>
      <c r="AJ25" s="353" t="e">
        <f t="shared" si="6"/>
        <v>#N/A</v>
      </c>
      <c r="AK25" s="353" t="e">
        <f t="shared" si="7"/>
        <v>#N/A</v>
      </c>
      <c r="AL25" s="353" t="e">
        <f t="shared" si="8"/>
        <v>#N/A</v>
      </c>
      <c r="AM25" s="353" t="e">
        <f t="shared" si="9"/>
        <v>#N/A</v>
      </c>
      <c r="AN25" s="353" t="e">
        <f t="shared" si="10"/>
        <v>#N/A</v>
      </c>
      <c r="AO25" s="353" t="e">
        <f t="shared" si="11"/>
        <v>#N/A</v>
      </c>
      <c r="AP25" s="353" t="e">
        <f t="shared" si="12"/>
        <v>#N/A</v>
      </c>
      <c r="AQ25" s="353" t="e">
        <f t="shared" si="13"/>
        <v>#N/A</v>
      </c>
      <c r="AR25" s="353" t="e">
        <f t="shared" si="14"/>
        <v>#N/A</v>
      </c>
      <c r="AS25" s="354" t="e">
        <f t="shared" si="15"/>
        <v>#N/A</v>
      </c>
      <c r="AT25" s="353" t="e">
        <f t="shared" si="16"/>
        <v>#N/A</v>
      </c>
      <c r="AU25" s="353" t="e">
        <f t="shared" si="17"/>
        <v>#N/A</v>
      </c>
      <c r="AV25" s="353" t="e">
        <f t="shared" si="18"/>
        <v>#N/A</v>
      </c>
      <c r="AW25" s="353" t="e">
        <f t="shared" si="19"/>
        <v>#N/A</v>
      </c>
      <c r="AX25" s="353" t="e">
        <f t="shared" si="20"/>
        <v>#N/A</v>
      </c>
      <c r="AY25" s="353" t="e">
        <f t="shared" si="21"/>
        <v>#N/A</v>
      </c>
      <c r="AZ25" s="353" t="e">
        <f t="shared" si="22"/>
        <v>#N/A</v>
      </c>
      <c r="BA25" s="353" t="e">
        <f t="shared" si="23"/>
        <v>#N/A</v>
      </c>
      <c r="BB25" s="353" t="e">
        <f t="shared" si="24"/>
        <v>#N/A</v>
      </c>
      <c r="BC25" s="353" t="e">
        <f t="shared" si="25"/>
        <v>#N/A</v>
      </c>
      <c r="BD25" s="353" t="e">
        <f t="shared" si="26"/>
        <v>#N/A</v>
      </c>
      <c r="BE25" s="353" t="e">
        <f t="shared" si="27"/>
        <v>#N/A</v>
      </c>
      <c r="BF25" s="353" t="e">
        <f t="shared" si="28"/>
        <v>#N/A</v>
      </c>
      <c r="BG25" s="353" t="e">
        <f t="shared" si="29"/>
        <v>#N/A</v>
      </c>
      <c r="BH25" s="353" t="e">
        <f t="shared" si="30"/>
        <v>#N/A</v>
      </c>
      <c r="BI25" s="353" t="e">
        <f t="shared" si="31"/>
        <v>#N/A</v>
      </c>
      <c r="BJ25" s="353" t="e">
        <f t="shared" si="32"/>
        <v>#N/A</v>
      </c>
      <c r="BK25" s="353" t="e">
        <f t="shared" si="33"/>
        <v>#N/A</v>
      </c>
      <c r="BL25" s="535"/>
    </row>
    <row r="26" spans="1:64" ht="15.6" thickBot="1" x14ac:dyDescent="0.3">
      <c r="A26" s="400">
        <v>22</v>
      </c>
      <c r="B26" s="408" t="e">
        <f>CONCATENATED!E75</f>
        <v>#REF!</v>
      </c>
      <c r="C26" s="408" t="e">
        <f>CONCATENATED!F75</f>
        <v>#REF!</v>
      </c>
      <c r="D26" s="408" t="e">
        <f>CONCATENATED!G75</f>
        <v>#REF!</v>
      </c>
      <c r="E26" s="408" t="e">
        <f>CONCATENATED!H75</f>
        <v>#REF!</v>
      </c>
      <c r="F26" s="408" t="e">
        <f>CONCATENATED!I75</f>
        <v>#REF!</v>
      </c>
      <c r="G26" s="408" t="e">
        <f>CONCATENATED!J75</f>
        <v>#REF!</v>
      </c>
      <c r="H26" s="408" t="e">
        <f>CONCATENATED!K75</f>
        <v>#REF!</v>
      </c>
      <c r="I26" s="408" t="e">
        <f>CONCATENATED!L75</f>
        <v>#REF!</v>
      </c>
      <c r="J26" s="408" t="e">
        <f>CONCATENATED!M75</f>
        <v>#REF!</v>
      </c>
      <c r="K26" s="408" t="e">
        <f>CONCATENATED!N75</f>
        <v>#REF!</v>
      </c>
      <c r="L26" s="408" t="e">
        <f>CONCATENATED!O75</f>
        <v>#REF!</v>
      </c>
      <c r="M26" s="408" t="e">
        <f>CONCATENATED!P75</f>
        <v>#REF!</v>
      </c>
      <c r="N26" s="408" t="e">
        <f>CONCATENATED!Q75</f>
        <v>#REF!</v>
      </c>
      <c r="O26" s="408" t="e">
        <f>CONCATENATED!R75</f>
        <v>#REF!</v>
      </c>
      <c r="P26" s="408" t="e">
        <f>CONCATENATED!S75</f>
        <v>#REF!</v>
      </c>
      <c r="Q26" s="408" t="e">
        <f>CONCATENATED!T75</f>
        <v>#REF!</v>
      </c>
      <c r="R26" s="408" t="e">
        <f>CONCATENATED!U75</f>
        <v>#REF!</v>
      </c>
      <c r="S26" s="408" t="e">
        <f>CONCATENATED!V75</f>
        <v>#REF!</v>
      </c>
      <c r="T26" s="408" t="e">
        <f>CONCATENATED!W75</f>
        <v>#REF!</v>
      </c>
      <c r="U26" s="408" t="e">
        <f>CONCATENATED!X75</f>
        <v>#REF!</v>
      </c>
      <c r="V26" s="408" t="e">
        <f>CONCATENATED!Y75</f>
        <v>#REF!</v>
      </c>
      <c r="W26" s="408" t="e">
        <f>CONCATENATED!Z75</f>
        <v>#REF!</v>
      </c>
      <c r="X26" s="408" t="e">
        <f>CONCATENATED!AA75</f>
        <v>#REF!</v>
      </c>
      <c r="Y26" s="408" t="e">
        <f>CONCATENATED!AB75</f>
        <v>#REF!</v>
      </c>
      <c r="Z26" s="408" t="e">
        <f>CONCATENATED!AC75</f>
        <v>#REF!</v>
      </c>
      <c r="AA26" s="408" t="e">
        <f>CONCATENATED!AD75</f>
        <v>#REF!</v>
      </c>
      <c r="AB26" s="408" t="e">
        <f>CONCATENATED!AE75</f>
        <v>#REF!</v>
      </c>
      <c r="AC26" s="535"/>
      <c r="AD26" s="355" t="e">
        <f t="shared" si="1"/>
        <v>#N/A</v>
      </c>
      <c r="AE26" s="356" t="e">
        <f t="shared" si="2"/>
        <v>#N/A</v>
      </c>
      <c r="AF26" s="356" t="e">
        <f t="shared" si="0"/>
        <v>#N/A</v>
      </c>
      <c r="AG26" s="356" t="e">
        <f t="shared" si="3"/>
        <v>#N/A</v>
      </c>
      <c r="AH26" s="356" t="e">
        <f t="shared" si="4"/>
        <v>#N/A</v>
      </c>
      <c r="AI26" s="356" t="e">
        <f t="shared" si="5"/>
        <v>#N/A</v>
      </c>
      <c r="AJ26" s="356" t="e">
        <f t="shared" si="6"/>
        <v>#N/A</v>
      </c>
      <c r="AK26" s="356" t="e">
        <f t="shared" si="7"/>
        <v>#N/A</v>
      </c>
      <c r="AL26" s="356" t="e">
        <f t="shared" si="8"/>
        <v>#N/A</v>
      </c>
      <c r="AM26" s="356" t="e">
        <f t="shared" si="9"/>
        <v>#N/A</v>
      </c>
      <c r="AN26" s="356" t="e">
        <f t="shared" si="10"/>
        <v>#N/A</v>
      </c>
      <c r="AO26" s="356" t="e">
        <f t="shared" si="11"/>
        <v>#N/A</v>
      </c>
      <c r="AP26" s="356" t="e">
        <f t="shared" si="12"/>
        <v>#N/A</v>
      </c>
      <c r="AQ26" s="356" t="e">
        <f t="shared" si="13"/>
        <v>#N/A</v>
      </c>
      <c r="AR26" s="356" t="e">
        <f t="shared" si="14"/>
        <v>#N/A</v>
      </c>
      <c r="AS26" s="357" t="e">
        <f t="shared" si="15"/>
        <v>#N/A</v>
      </c>
      <c r="AT26" s="356" t="e">
        <f t="shared" si="16"/>
        <v>#N/A</v>
      </c>
      <c r="AU26" s="356" t="e">
        <f t="shared" si="17"/>
        <v>#N/A</v>
      </c>
      <c r="AV26" s="356" t="e">
        <f t="shared" si="18"/>
        <v>#N/A</v>
      </c>
      <c r="AW26" s="356" t="e">
        <f t="shared" si="19"/>
        <v>#N/A</v>
      </c>
      <c r="AX26" s="356" t="e">
        <f t="shared" si="20"/>
        <v>#N/A</v>
      </c>
      <c r="AY26" s="356" t="e">
        <f t="shared" si="21"/>
        <v>#N/A</v>
      </c>
      <c r="AZ26" s="356" t="e">
        <f t="shared" si="22"/>
        <v>#N/A</v>
      </c>
      <c r="BA26" s="356" t="e">
        <f t="shared" si="23"/>
        <v>#N/A</v>
      </c>
      <c r="BB26" s="356" t="e">
        <f t="shared" si="24"/>
        <v>#N/A</v>
      </c>
      <c r="BC26" s="356" t="e">
        <f t="shared" si="25"/>
        <v>#N/A</v>
      </c>
      <c r="BD26" s="356" t="e">
        <f t="shared" si="26"/>
        <v>#N/A</v>
      </c>
      <c r="BE26" s="356" t="e">
        <f t="shared" si="27"/>
        <v>#N/A</v>
      </c>
      <c r="BF26" s="356" t="e">
        <f t="shared" si="28"/>
        <v>#N/A</v>
      </c>
      <c r="BG26" s="356" t="e">
        <f t="shared" si="29"/>
        <v>#N/A</v>
      </c>
      <c r="BH26" s="356" t="e">
        <f t="shared" si="30"/>
        <v>#N/A</v>
      </c>
      <c r="BI26" s="356" t="e">
        <f t="shared" si="31"/>
        <v>#N/A</v>
      </c>
      <c r="BJ26" s="356" t="e">
        <f t="shared" si="32"/>
        <v>#N/A</v>
      </c>
      <c r="BK26" s="356" t="e">
        <f t="shared" si="33"/>
        <v>#N/A</v>
      </c>
      <c r="BL26" s="535"/>
    </row>
    <row r="27" spans="1:64" ht="15.6" thickBot="1" x14ac:dyDescent="0.3">
      <c r="A27" s="400">
        <v>23</v>
      </c>
      <c r="B27" s="408" t="e">
        <f>CONCATENATED!E78</f>
        <v>#REF!</v>
      </c>
      <c r="C27" s="408" t="e">
        <f>CONCATENATED!F78</f>
        <v>#REF!</v>
      </c>
      <c r="D27" s="408" t="e">
        <f>CONCATENATED!G78</f>
        <v>#REF!</v>
      </c>
      <c r="E27" s="408" t="e">
        <f>CONCATENATED!H78</f>
        <v>#REF!</v>
      </c>
      <c r="F27" s="408" t="e">
        <f>CONCATENATED!I78</f>
        <v>#REF!</v>
      </c>
      <c r="G27" s="408" t="e">
        <f>CONCATENATED!J78</f>
        <v>#REF!</v>
      </c>
      <c r="H27" s="408" t="e">
        <f>CONCATENATED!K78</f>
        <v>#REF!</v>
      </c>
      <c r="I27" s="408" t="e">
        <f>CONCATENATED!L78</f>
        <v>#REF!</v>
      </c>
      <c r="J27" s="408" t="e">
        <f>CONCATENATED!M78</f>
        <v>#REF!</v>
      </c>
      <c r="K27" s="408" t="e">
        <f>CONCATENATED!N78</f>
        <v>#REF!</v>
      </c>
      <c r="L27" s="408" t="e">
        <f>CONCATENATED!O78</f>
        <v>#REF!</v>
      </c>
      <c r="M27" s="408" t="e">
        <f>CONCATENATED!P78</f>
        <v>#REF!</v>
      </c>
      <c r="N27" s="408" t="e">
        <f>CONCATENATED!Q78</f>
        <v>#REF!</v>
      </c>
      <c r="O27" s="408" t="e">
        <f>CONCATENATED!R78</f>
        <v>#REF!</v>
      </c>
      <c r="P27" s="408" t="e">
        <f>CONCATENATED!S78</f>
        <v>#REF!</v>
      </c>
      <c r="Q27" s="408" t="e">
        <f>CONCATENATED!T78</f>
        <v>#REF!</v>
      </c>
      <c r="R27" s="408" t="e">
        <f>CONCATENATED!U78</f>
        <v>#REF!</v>
      </c>
      <c r="S27" s="408" t="e">
        <f>CONCATENATED!V78</f>
        <v>#REF!</v>
      </c>
      <c r="T27" s="408" t="e">
        <f>CONCATENATED!W78</f>
        <v>#REF!</v>
      </c>
      <c r="U27" s="408" t="e">
        <f>CONCATENATED!X78</f>
        <v>#REF!</v>
      </c>
      <c r="V27" s="408" t="e">
        <f>CONCATENATED!Y78</f>
        <v>#REF!</v>
      </c>
      <c r="W27" s="408" t="e">
        <f>CONCATENATED!Z78</f>
        <v>#REF!</v>
      </c>
      <c r="X27" s="408" t="e">
        <f>CONCATENATED!AA78</f>
        <v>#REF!</v>
      </c>
      <c r="Y27" s="408" t="e">
        <f>CONCATENATED!AB78</f>
        <v>#REF!</v>
      </c>
      <c r="Z27" s="408" t="e">
        <f>CONCATENATED!AC78</f>
        <v>#REF!</v>
      </c>
      <c r="AA27" s="408" t="e">
        <f>CONCATENATED!AD78</f>
        <v>#REF!</v>
      </c>
      <c r="AB27" s="408" t="e">
        <f>CONCATENATED!AE78</f>
        <v>#REF!</v>
      </c>
      <c r="AC27" s="535"/>
      <c r="AD27" s="355" t="e">
        <f t="shared" si="1"/>
        <v>#N/A</v>
      </c>
      <c r="AE27" s="356" t="e">
        <f t="shared" si="2"/>
        <v>#N/A</v>
      </c>
      <c r="AF27" s="356" t="e">
        <f t="shared" si="0"/>
        <v>#N/A</v>
      </c>
      <c r="AG27" s="356" t="e">
        <f t="shared" si="3"/>
        <v>#N/A</v>
      </c>
      <c r="AH27" s="356" t="e">
        <f t="shared" si="4"/>
        <v>#N/A</v>
      </c>
      <c r="AI27" s="356" t="e">
        <f t="shared" si="5"/>
        <v>#N/A</v>
      </c>
      <c r="AJ27" s="356" t="e">
        <f t="shared" si="6"/>
        <v>#N/A</v>
      </c>
      <c r="AK27" s="356" t="e">
        <f t="shared" si="7"/>
        <v>#N/A</v>
      </c>
      <c r="AL27" s="356" t="e">
        <f t="shared" si="8"/>
        <v>#N/A</v>
      </c>
      <c r="AM27" s="356" t="e">
        <f t="shared" si="9"/>
        <v>#N/A</v>
      </c>
      <c r="AN27" s="356" t="e">
        <f t="shared" si="10"/>
        <v>#N/A</v>
      </c>
      <c r="AO27" s="356" t="e">
        <f t="shared" si="11"/>
        <v>#N/A</v>
      </c>
      <c r="AP27" s="356" t="e">
        <f t="shared" si="12"/>
        <v>#N/A</v>
      </c>
      <c r="AQ27" s="356" t="e">
        <f t="shared" si="13"/>
        <v>#N/A</v>
      </c>
      <c r="AR27" s="356" t="e">
        <f t="shared" si="14"/>
        <v>#N/A</v>
      </c>
      <c r="AS27" s="357" t="e">
        <f t="shared" si="15"/>
        <v>#N/A</v>
      </c>
      <c r="AT27" s="356" t="e">
        <f t="shared" si="16"/>
        <v>#N/A</v>
      </c>
      <c r="AU27" s="356" t="e">
        <f t="shared" si="17"/>
        <v>#N/A</v>
      </c>
      <c r="AV27" s="356" t="e">
        <f t="shared" si="18"/>
        <v>#N/A</v>
      </c>
      <c r="AW27" s="356" t="e">
        <f t="shared" si="19"/>
        <v>#N/A</v>
      </c>
      <c r="AX27" s="356" t="e">
        <f t="shared" si="20"/>
        <v>#N/A</v>
      </c>
      <c r="AY27" s="356" t="e">
        <f t="shared" si="21"/>
        <v>#N/A</v>
      </c>
      <c r="AZ27" s="356" t="e">
        <f t="shared" si="22"/>
        <v>#N/A</v>
      </c>
      <c r="BA27" s="356" t="e">
        <f t="shared" si="23"/>
        <v>#N/A</v>
      </c>
      <c r="BB27" s="356" t="e">
        <f t="shared" si="24"/>
        <v>#N/A</v>
      </c>
      <c r="BC27" s="356" t="e">
        <f t="shared" si="25"/>
        <v>#N/A</v>
      </c>
      <c r="BD27" s="356" t="e">
        <f t="shared" si="26"/>
        <v>#N/A</v>
      </c>
      <c r="BE27" s="356" t="e">
        <f t="shared" si="27"/>
        <v>#N/A</v>
      </c>
      <c r="BF27" s="356" t="e">
        <f t="shared" si="28"/>
        <v>#N/A</v>
      </c>
      <c r="BG27" s="356" t="e">
        <f t="shared" si="29"/>
        <v>#N/A</v>
      </c>
      <c r="BH27" s="356" t="e">
        <f t="shared" si="30"/>
        <v>#N/A</v>
      </c>
      <c r="BI27" s="356" t="e">
        <f t="shared" si="31"/>
        <v>#N/A</v>
      </c>
      <c r="BJ27" s="356" t="e">
        <f t="shared" si="32"/>
        <v>#N/A</v>
      </c>
      <c r="BK27" s="356" t="e">
        <f t="shared" si="33"/>
        <v>#N/A</v>
      </c>
      <c r="BL27" s="535"/>
    </row>
    <row r="28" spans="1:64" ht="52.2" thickBot="1" x14ac:dyDescent="0.3">
      <c r="A28" s="400">
        <v>24</v>
      </c>
      <c r="B28" s="408" t="e">
        <f>CONCATENATED!E81</f>
        <v>#REF!</v>
      </c>
      <c r="C28" s="408" t="e">
        <f>CONCATENATED!F81</f>
        <v>#REF!</v>
      </c>
      <c r="D28" s="408" t="e">
        <f>CONCATENATED!G81</f>
        <v>#REF!</v>
      </c>
      <c r="E28" s="408" t="e">
        <f>CONCATENATED!H81</f>
        <v>#REF!</v>
      </c>
      <c r="F28" s="408" t="e">
        <f>CONCATENATED!I81</f>
        <v>#REF!</v>
      </c>
      <c r="G28" s="408" t="e">
        <f>CONCATENATED!J81</f>
        <v>#REF!</v>
      </c>
      <c r="H28" s="408" t="e">
        <f>CONCATENATED!K81</f>
        <v>#REF!</v>
      </c>
      <c r="I28" s="408" t="str">
        <f>CONCATENATED!L81</f>
        <v xml:space="preserve">BSME/SEP2020/J-FT [Y2S1  (50) Students] :  </v>
      </c>
      <c r="J28" s="408" t="str">
        <f>CONCATENATED!M81</f>
        <v xml:space="preserve">BSME/AUG2021/J-FT [Y1S2  (55) Students] :  </v>
      </c>
      <c r="K28" s="408" t="e">
        <f>CONCATENATED!N81</f>
        <v>#REF!</v>
      </c>
      <c r="L28" s="408" t="e">
        <f>CONCATENATED!O81</f>
        <v>#REF!</v>
      </c>
      <c r="M28" s="408" t="str">
        <f>CONCATENATED!P81</f>
        <v>BTME/SEP2019/S-PT [Y3S1   (10) Students] TMC 4317: MUNIALO FET 109</v>
      </c>
      <c r="N28" s="408" t="str">
        <f>CONCATENATED!Q81</f>
        <v>BTME/AUG2021/S-PT [Y2S2   (10) Students] AMA 4203: KARAKACHA FET 109</v>
      </c>
      <c r="O28" s="408" t="e">
        <f>CONCATENATED!R81</f>
        <v>#REF!</v>
      </c>
      <c r="P28" s="408" t="e">
        <f>CONCATENATED!S81</f>
        <v>#REF!</v>
      </c>
      <c r="Q28" s="408" t="e">
        <f>CONCATENATED!T81</f>
        <v>#REF!</v>
      </c>
      <c r="R28" s="408" t="e">
        <f>CONCATENATED!U81</f>
        <v>#REF!</v>
      </c>
      <c r="S28" s="408" t="e">
        <f>CONCATENATED!V81</f>
        <v>#REF!</v>
      </c>
      <c r="T28" s="408" t="e">
        <f>CONCATENATED!W81</f>
        <v>#REF!</v>
      </c>
      <c r="U28" s="408" t="e">
        <f>CONCATENATED!X81</f>
        <v>#REF!</v>
      </c>
      <c r="V28" s="408" t="e">
        <f>CONCATENATED!Y81</f>
        <v>#REF!</v>
      </c>
      <c r="W28" s="408" t="e">
        <f>CONCATENATED!Z81</f>
        <v>#REF!</v>
      </c>
      <c r="X28" s="408" t="e">
        <f>CONCATENATED!AA81</f>
        <v>#REF!</v>
      </c>
      <c r="Y28" s="408" t="e">
        <f>CONCATENATED!AB81</f>
        <v>#REF!</v>
      </c>
      <c r="Z28" s="408" t="str">
        <f>CONCATENATED!AC81</f>
        <v xml:space="preserve">DMAE/SEP20201J&amp;S-FT [Y1S2   (60) Students] :  </v>
      </c>
      <c r="AA28" s="408" t="e">
        <f>CONCATENATED!AD81</f>
        <v>#REF!</v>
      </c>
      <c r="AB28" s="408" t="e">
        <f>CONCATENATED!AE81</f>
        <v>#REF!</v>
      </c>
      <c r="AC28" s="535"/>
      <c r="AD28" s="355" t="e">
        <f t="shared" si="1"/>
        <v>#N/A</v>
      </c>
      <c r="AE28" s="356" t="e">
        <f t="shared" si="2"/>
        <v>#N/A</v>
      </c>
      <c r="AF28" s="356" t="e">
        <f t="shared" si="0"/>
        <v>#N/A</v>
      </c>
      <c r="AG28" s="356" t="e">
        <f t="shared" si="3"/>
        <v>#N/A</v>
      </c>
      <c r="AH28" s="356" t="e">
        <f t="shared" si="4"/>
        <v>#N/A</v>
      </c>
      <c r="AI28" s="356" t="e">
        <f t="shared" si="5"/>
        <v>#N/A</v>
      </c>
      <c r="AJ28" s="356" t="e">
        <f t="shared" si="6"/>
        <v>#N/A</v>
      </c>
      <c r="AK28" s="356" t="e">
        <f t="shared" si="7"/>
        <v>#N/A</v>
      </c>
      <c r="AL28" s="356" t="e">
        <f t="shared" si="8"/>
        <v>#N/A</v>
      </c>
      <c r="AM28" s="356" t="e">
        <f t="shared" si="9"/>
        <v>#N/A</v>
      </c>
      <c r="AN28" s="356" t="e">
        <f t="shared" si="10"/>
        <v>#N/A</v>
      </c>
      <c r="AO28" s="356" t="e">
        <f t="shared" si="11"/>
        <v>#N/A</v>
      </c>
      <c r="AP28" s="356" t="e">
        <f t="shared" si="12"/>
        <v>#N/A</v>
      </c>
      <c r="AQ28" s="356" t="e">
        <f t="shared" si="13"/>
        <v>#N/A</v>
      </c>
      <c r="AR28" s="356" t="e">
        <f t="shared" si="14"/>
        <v>#N/A</v>
      </c>
      <c r="AS28" s="357" t="e">
        <f t="shared" si="15"/>
        <v>#N/A</v>
      </c>
      <c r="AT28" s="356" t="e">
        <f t="shared" si="16"/>
        <v>#N/A</v>
      </c>
      <c r="AU28" s="356" t="e">
        <f t="shared" si="17"/>
        <v>#N/A</v>
      </c>
      <c r="AV28" s="356" t="e">
        <f t="shared" si="18"/>
        <v>#N/A</v>
      </c>
      <c r="AW28" s="356" t="e">
        <f t="shared" si="19"/>
        <v>#N/A</v>
      </c>
      <c r="AX28" s="356" t="e">
        <f t="shared" si="20"/>
        <v>#N/A</v>
      </c>
      <c r="AY28" s="356" t="e">
        <f t="shared" si="21"/>
        <v>#N/A</v>
      </c>
      <c r="AZ28" s="356" t="e">
        <f t="shared" si="22"/>
        <v>#N/A</v>
      </c>
      <c r="BA28" s="356" t="e">
        <f t="shared" si="23"/>
        <v>#N/A</v>
      </c>
      <c r="BB28" s="356" t="e">
        <f t="shared" si="24"/>
        <v>#N/A</v>
      </c>
      <c r="BC28" s="356" t="e">
        <f t="shared" si="25"/>
        <v>#N/A</v>
      </c>
      <c r="BD28" s="356" t="e">
        <f t="shared" si="26"/>
        <v>#N/A</v>
      </c>
      <c r="BE28" s="356" t="e">
        <f t="shared" si="27"/>
        <v>#N/A</v>
      </c>
      <c r="BF28" s="356" t="e">
        <f t="shared" si="28"/>
        <v>#N/A</v>
      </c>
      <c r="BG28" s="356" t="e">
        <f t="shared" si="29"/>
        <v>#N/A</v>
      </c>
      <c r="BH28" s="356" t="e">
        <f t="shared" si="30"/>
        <v>#N/A</v>
      </c>
      <c r="BI28" s="356" t="e">
        <f t="shared" si="31"/>
        <v>#N/A</v>
      </c>
      <c r="BJ28" s="356" t="e">
        <f t="shared" si="32"/>
        <v>#N/A</v>
      </c>
      <c r="BK28" s="356" t="e">
        <f t="shared" si="33"/>
        <v>#N/A</v>
      </c>
      <c r="BL28" s="535"/>
    </row>
    <row r="29" spans="1:64" ht="15.6" thickBot="1" x14ac:dyDescent="0.3">
      <c r="A29" s="400">
        <v>25</v>
      </c>
      <c r="B29" s="408" t="e">
        <f>CONCATENATED!E84</f>
        <v>#REF!</v>
      </c>
      <c r="C29" s="408" t="e">
        <f>CONCATENATED!F84</f>
        <v>#REF!</v>
      </c>
      <c r="D29" s="408" t="e">
        <f>CONCATENATED!G84</f>
        <v>#REF!</v>
      </c>
      <c r="E29" s="408" t="e">
        <f>CONCATENATED!H84</f>
        <v>#REF!</v>
      </c>
      <c r="F29" s="408" t="e">
        <f>CONCATENATED!I84</f>
        <v>#REF!</v>
      </c>
      <c r="G29" s="408" t="e">
        <f>CONCATENATED!J84</f>
        <v>#REF!</v>
      </c>
      <c r="H29" s="408" t="e">
        <f>CONCATENATED!K84</f>
        <v>#REF!</v>
      </c>
      <c r="I29" s="408" t="e">
        <f>CONCATENATED!L84</f>
        <v>#REF!</v>
      </c>
      <c r="J29" s="408" t="e">
        <f>CONCATENATED!M84</f>
        <v>#REF!</v>
      </c>
      <c r="K29" s="408" t="e">
        <f>CONCATENATED!N84</f>
        <v>#REF!</v>
      </c>
      <c r="L29" s="408" t="e">
        <f>CONCATENATED!O84</f>
        <v>#REF!</v>
      </c>
      <c r="M29" s="408" t="e">
        <f>CONCATENATED!P84</f>
        <v>#REF!</v>
      </c>
      <c r="N29" s="408" t="e">
        <f>CONCATENATED!Q84</f>
        <v>#REF!</v>
      </c>
      <c r="O29" s="408" t="e">
        <f>CONCATENATED!R84</f>
        <v>#REF!</v>
      </c>
      <c r="P29" s="408" t="e">
        <f>CONCATENATED!S84</f>
        <v>#REF!</v>
      </c>
      <c r="Q29" s="408" t="e">
        <f>CONCATENATED!T84</f>
        <v>#REF!</v>
      </c>
      <c r="R29" s="408" t="e">
        <f>CONCATENATED!U84</f>
        <v>#REF!</v>
      </c>
      <c r="S29" s="408" t="e">
        <f>CONCATENATED!V84</f>
        <v>#REF!</v>
      </c>
      <c r="T29" s="408" t="e">
        <f>CONCATENATED!W84</f>
        <v>#REF!</v>
      </c>
      <c r="U29" s="408" t="e">
        <f>CONCATENATED!X84</f>
        <v>#REF!</v>
      </c>
      <c r="V29" s="408" t="e">
        <f>CONCATENATED!Y84</f>
        <v>#REF!</v>
      </c>
      <c r="W29" s="408" t="e">
        <f>CONCATENATED!Z84</f>
        <v>#REF!</v>
      </c>
      <c r="X29" s="408" t="e">
        <f>CONCATENATED!AA84</f>
        <v>#REF!</v>
      </c>
      <c r="Y29" s="408" t="e">
        <f>CONCATENATED!AB84</f>
        <v>#REF!</v>
      </c>
      <c r="Z29" s="408" t="e">
        <f>CONCATENATED!AC84</f>
        <v>#REF!</v>
      </c>
      <c r="AA29" s="408" t="e">
        <f>CONCATENATED!AD84</f>
        <v>#REF!</v>
      </c>
      <c r="AB29" s="408" t="e">
        <f>CONCATENATED!AE84</f>
        <v>#REF!</v>
      </c>
      <c r="AC29" s="535"/>
      <c r="AD29" s="355" t="e">
        <f t="shared" si="1"/>
        <v>#N/A</v>
      </c>
      <c r="AE29" s="356" t="e">
        <f t="shared" si="2"/>
        <v>#N/A</v>
      </c>
      <c r="AF29" s="356" t="e">
        <f t="shared" si="0"/>
        <v>#N/A</v>
      </c>
      <c r="AG29" s="356" t="e">
        <f t="shared" si="3"/>
        <v>#N/A</v>
      </c>
      <c r="AH29" s="356" t="e">
        <f t="shared" si="4"/>
        <v>#N/A</v>
      </c>
      <c r="AI29" s="356" t="e">
        <f t="shared" si="5"/>
        <v>#N/A</v>
      </c>
      <c r="AJ29" s="356" t="e">
        <f t="shared" si="6"/>
        <v>#N/A</v>
      </c>
      <c r="AK29" s="356" t="e">
        <f t="shared" si="7"/>
        <v>#N/A</v>
      </c>
      <c r="AL29" s="356" t="e">
        <f t="shared" si="8"/>
        <v>#N/A</v>
      </c>
      <c r="AM29" s="356" t="e">
        <f t="shared" si="9"/>
        <v>#N/A</v>
      </c>
      <c r="AN29" s="356" t="e">
        <f t="shared" si="10"/>
        <v>#N/A</v>
      </c>
      <c r="AO29" s="356" t="e">
        <f t="shared" si="11"/>
        <v>#N/A</v>
      </c>
      <c r="AP29" s="356" t="e">
        <f t="shared" si="12"/>
        <v>#N/A</v>
      </c>
      <c r="AQ29" s="356" t="e">
        <f t="shared" si="13"/>
        <v>#N/A</v>
      </c>
      <c r="AR29" s="356" t="e">
        <f t="shared" si="14"/>
        <v>#N/A</v>
      </c>
      <c r="AS29" s="357" t="e">
        <f t="shared" si="15"/>
        <v>#N/A</v>
      </c>
      <c r="AT29" s="356" t="e">
        <f t="shared" si="16"/>
        <v>#N/A</v>
      </c>
      <c r="AU29" s="356" t="e">
        <f t="shared" si="17"/>
        <v>#N/A</v>
      </c>
      <c r="AV29" s="356" t="e">
        <f t="shared" si="18"/>
        <v>#N/A</v>
      </c>
      <c r="AW29" s="356" t="e">
        <f t="shared" si="19"/>
        <v>#N/A</v>
      </c>
      <c r="AX29" s="356" t="e">
        <f t="shared" si="20"/>
        <v>#N/A</v>
      </c>
      <c r="AY29" s="356" t="e">
        <f t="shared" si="21"/>
        <v>#N/A</v>
      </c>
      <c r="AZ29" s="356" t="e">
        <f t="shared" si="22"/>
        <v>#N/A</v>
      </c>
      <c r="BA29" s="356" t="e">
        <f t="shared" si="23"/>
        <v>#N/A</v>
      </c>
      <c r="BB29" s="356" t="e">
        <f t="shared" si="24"/>
        <v>#N/A</v>
      </c>
      <c r="BC29" s="356" t="e">
        <f t="shared" si="25"/>
        <v>#N/A</v>
      </c>
      <c r="BD29" s="356" t="e">
        <f t="shared" si="26"/>
        <v>#N/A</v>
      </c>
      <c r="BE29" s="356" t="e">
        <f t="shared" si="27"/>
        <v>#N/A</v>
      </c>
      <c r="BF29" s="356" t="e">
        <f t="shared" si="28"/>
        <v>#N/A</v>
      </c>
      <c r="BG29" s="356" t="e">
        <f t="shared" si="29"/>
        <v>#N/A</v>
      </c>
      <c r="BH29" s="356" t="e">
        <f t="shared" si="30"/>
        <v>#N/A</v>
      </c>
      <c r="BI29" s="356" t="e">
        <f t="shared" si="31"/>
        <v>#N/A</v>
      </c>
      <c r="BJ29" s="356" t="e">
        <f t="shared" si="32"/>
        <v>#N/A</v>
      </c>
      <c r="BK29" s="356" t="e">
        <f t="shared" si="33"/>
        <v>#N/A</v>
      </c>
      <c r="BL29" s="535"/>
    </row>
    <row r="30" spans="1:64" ht="15.6" thickBot="1" x14ac:dyDescent="0.3">
      <c r="A30" s="400">
        <v>26</v>
      </c>
      <c r="B30" s="408" t="e">
        <f>CONCATENATED!E87</f>
        <v>#REF!</v>
      </c>
      <c r="C30" s="408" t="e">
        <f>CONCATENATED!F87</f>
        <v>#REF!</v>
      </c>
      <c r="D30" s="408" t="e">
        <f>CONCATENATED!G87</f>
        <v>#REF!</v>
      </c>
      <c r="E30" s="408" t="e">
        <f>CONCATENATED!H87</f>
        <v>#REF!</v>
      </c>
      <c r="F30" s="408" t="e">
        <f>CONCATENATED!I87</f>
        <v>#REF!</v>
      </c>
      <c r="G30" s="408" t="e">
        <f>CONCATENATED!J87</f>
        <v>#REF!</v>
      </c>
      <c r="H30" s="408" t="e">
        <f>CONCATENATED!K87</f>
        <v>#REF!</v>
      </c>
      <c r="I30" s="408" t="e">
        <f>CONCATENATED!L87</f>
        <v>#REF!</v>
      </c>
      <c r="J30" s="408" t="e">
        <f>CONCATENATED!M87</f>
        <v>#REF!</v>
      </c>
      <c r="K30" s="408" t="e">
        <f>CONCATENATED!N87</f>
        <v>#REF!</v>
      </c>
      <c r="L30" s="408" t="e">
        <f>CONCATENATED!O87</f>
        <v>#REF!</v>
      </c>
      <c r="M30" s="408" t="e">
        <f>CONCATENATED!P87</f>
        <v>#REF!</v>
      </c>
      <c r="N30" s="408" t="e">
        <f>CONCATENATED!Q87</f>
        <v>#REF!</v>
      </c>
      <c r="O30" s="408" t="e">
        <f>CONCATENATED!R87</f>
        <v>#REF!</v>
      </c>
      <c r="P30" s="408" t="e">
        <f>CONCATENATED!S87</f>
        <v>#REF!</v>
      </c>
      <c r="Q30" s="408" t="e">
        <f>CONCATENATED!T87</f>
        <v>#REF!</v>
      </c>
      <c r="R30" s="408" t="e">
        <f>CONCATENATED!U87</f>
        <v>#REF!</v>
      </c>
      <c r="S30" s="408" t="e">
        <f>CONCATENATED!V87</f>
        <v>#REF!</v>
      </c>
      <c r="T30" s="408" t="e">
        <f>CONCATENATED!W87</f>
        <v>#REF!</v>
      </c>
      <c r="U30" s="408" t="e">
        <f>CONCATENATED!X87</f>
        <v>#REF!</v>
      </c>
      <c r="V30" s="408" t="e">
        <f>CONCATENATED!Y87</f>
        <v>#REF!</v>
      </c>
      <c r="W30" s="408" t="e">
        <f>CONCATENATED!Z87</f>
        <v>#REF!</v>
      </c>
      <c r="X30" s="408" t="e">
        <f>CONCATENATED!AA87</f>
        <v>#REF!</v>
      </c>
      <c r="Y30" s="408" t="e">
        <f>CONCATENATED!AB87</f>
        <v>#REF!</v>
      </c>
      <c r="Z30" s="408" t="e">
        <f>CONCATENATED!AC87</f>
        <v>#REF!</v>
      </c>
      <c r="AA30" s="408" t="e">
        <f>CONCATENATED!AD87</f>
        <v>#REF!</v>
      </c>
      <c r="AB30" s="408" t="e">
        <f>CONCATENATED!AE87</f>
        <v>#REF!</v>
      </c>
      <c r="AC30" s="536"/>
      <c r="AD30" s="361" t="e">
        <f t="shared" si="1"/>
        <v>#N/A</v>
      </c>
      <c r="AE30" s="362" t="e">
        <f t="shared" si="2"/>
        <v>#N/A</v>
      </c>
      <c r="AF30" s="362" t="e">
        <f t="shared" si="0"/>
        <v>#N/A</v>
      </c>
      <c r="AG30" s="362" t="e">
        <f t="shared" si="3"/>
        <v>#N/A</v>
      </c>
      <c r="AH30" s="362" t="e">
        <f t="shared" si="4"/>
        <v>#N/A</v>
      </c>
      <c r="AI30" s="362" t="e">
        <f t="shared" si="5"/>
        <v>#N/A</v>
      </c>
      <c r="AJ30" s="362" t="e">
        <f t="shared" si="6"/>
        <v>#N/A</v>
      </c>
      <c r="AK30" s="362" t="e">
        <f t="shared" si="7"/>
        <v>#N/A</v>
      </c>
      <c r="AL30" s="362" t="e">
        <f t="shared" si="8"/>
        <v>#N/A</v>
      </c>
      <c r="AM30" s="362" t="e">
        <f t="shared" si="9"/>
        <v>#N/A</v>
      </c>
      <c r="AN30" s="362" t="e">
        <f t="shared" si="10"/>
        <v>#N/A</v>
      </c>
      <c r="AO30" s="362" t="e">
        <f t="shared" si="11"/>
        <v>#N/A</v>
      </c>
      <c r="AP30" s="362" t="e">
        <f t="shared" si="12"/>
        <v>#N/A</v>
      </c>
      <c r="AQ30" s="362" t="e">
        <f t="shared" si="13"/>
        <v>#N/A</v>
      </c>
      <c r="AR30" s="362" t="e">
        <f t="shared" si="14"/>
        <v>#N/A</v>
      </c>
      <c r="AS30" s="363" t="e">
        <f t="shared" si="15"/>
        <v>#N/A</v>
      </c>
      <c r="AT30" s="362" t="e">
        <f t="shared" si="16"/>
        <v>#N/A</v>
      </c>
      <c r="AU30" s="362" t="e">
        <f t="shared" si="17"/>
        <v>#N/A</v>
      </c>
      <c r="AV30" s="362" t="e">
        <f t="shared" si="18"/>
        <v>#N/A</v>
      </c>
      <c r="AW30" s="362" t="e">
        <f t="shared" si="19"/>
        <v>#N/A</v>
      </c>
      <c r="AX30" s="362" t="e">
        <f t="shared" si="20"/>
        <v>#N/A</v>
      </c>
      <c r="AY30" s="362" t="e">
        <f t="shared" si="21"/>
        <v>#N/A</v>
      </c>
      <c r="AZ30" s="362" t="e">
        <f t="shared" si="22"/>
        <v>#N/A</v>
      </c>
      <c r="BA30" s="362" t="e">
        <f t="shared" si="23"/>
        <v>#N/A</v>
      </c>
      <c r="BB30" s="362" t="e">
        <f t="shared" si="24"/>
        <v>#N/A</v>
      </c>
      <c r="BC30" s="362" t="e">
        <f t="shared" si="25"/>
        <v>#N/A</v>
      </c>
      <c r="BD30" s="362" t="e">
        <f t="shared" si="26"/>
        <v>#N/A</v>
      </c>
      <c r="BE30" s="362" t="e">
        <f t="shared" si="27"/>
        <v>#N/A</v>
      </c>
      <c r="BF30" s="362" t="e">
        <f t="shared" si="28"/>
        <v>#N/A</v>
      </c>
      <c r="BG30" s="362" t="e">
        <f t="shared" si="29"/>
        <v>#N/A</v>
      </c>
      <c r="BH30" s="362" t="e">
        <f t="shared" si="30"/>
        <v>#N/A</v>
      </c>
      <c r="BI30" s="362" t="e">
        <f t="shared" si="31"/>
        <v>#N/A</v>
      </c>
      <c r="BJ30" s="362" t="e">
        <f t="shared" si="32"/>
        <v>#N/A</v>
      </c>
      <c r="BK30" s="362" t="e">
        <f t="shared" si="33"/>
        <v>#N/A</v>
      </c>
      <c r="BL30" s="536"/>
    </row>
    <row r="31" spans="1:64" ht="15.6" thickBot="1" x14ac:dyDescent="0.3">
      <c r="B31" s="408"/>
      <c r="C31" s="408"/>
      <c r="D31" s="408"/>
      <c r="E31" s="408"/>
      <c r="F31" s="408"/>
      <c r="G31" s="408"/>
      <c r="H31" s="408"/>
      <c r="I31" s="408"/>
      <c r="J31" s="408"/>
      <c r="K31" s="408"/>
      <c r="L31" s="408"/>
      <c r="M31" s="408"/>
      <c r="N31" s="408"/>
      <c r="O31" s="408"/>
      <c r="P31" s="408"/>
      <c r="Q31" s="408"/>
      <c r="R31" s="408"/>
      <c r="S31" s="408"/>
      <c r="T31" s="408"/>
      <c r="U31" s="408"/>
      <c r="V31" s="408"/>
      <c r="W31" s="408"/>
      <c r="X31" s="408"/>
      <c r="Y31" s="408"/>
      <c r="Z31" s="408"/>
      <c r="AA31" s="408"/>
      <c r="AB31" s="408"/>
      <c r="AC31" s="365"/>
      <c r="AD31" s="321" t="e">
        <f t="shared" si="1"/>
        <v>#N/A</v>
      </c>
      <c r="AE31" s="321" t="e">
        <f t="shared" si="2"/>
        <v>#N/A</v>
      </c>
      <c r="AF31" s="321" t="e">
        <f t="shared" si="0"/>
        <v>#N/A</v>
      </c>
      <c r="AG31" s="322" t="e">
        <f t="shared" si="3"/>
        <v>#N/A</v>
      </c>
      <c r="AH31" s="321" t="e">
        <f t="shared" si="4"/>
        <v>#N/A</v>
      </c>
      <c r="AI31" s="321" t="e">
        <f t="shared" si="5"/>
        <v>#N/A</v>
      </c>
      <c r="AJ31" s="321" t="e">
        <f t="shared" si="6"/>
        <v>#N/A</v>
      </c>
      <c r="AK31" s="323" t="e">
        <f t="shared" si="7"/>
        <v>#N/A</v>
      </c>
      <c r="AL31" s="321" t="e">
        <f t="shared" si="8"/>
        <v>#N/A</v>
      </c>
      <c r="AM31" s="321" t="e">
        <f t="shared" si="9"/>
        <v>#N/A</v>
      </c>
      <c r="AN31" s="321" t="e">
        <f t="shared" si="10"/>
        <v>#N/A</v>
      </c>
      <c r="AO31" s="324" t="e">
        <f t="shared" si="11"/>
        <v>#N/A</v>
      </c>
      <c r="AP31" s="321" t="e">
        <f t="shared" si="12"/>
        <v>#N/A</v>
      </c>
      <c r="AQ31" s="321" t="e">
        <f t="shared" si="13"/>
        <v>#N/A</v>
      </c>
      <c r="AR31" s="321" t="e">
        <f t="shared" si="14"/>
        <v>#N/A</v>
      </c>
      <c r="AS31" s="322" t="e">
        <f t="shared" si="15"/>
        <v>#N/A</v>
      </c>
      <c r="AT31" s="321" t="e">
        <f t="shared" si="16"/>
        <v>#N/A</v>
      </c>
      <c r="AU31" s="321" t="e">
        <f t="shared" si="17"/>
        <v>#N/A</v>
      </c>
      <c r="AV31" s="321" t="e">
        <f t="shared" si="18"/>
        <v>#N/A</v>
      </c>
      <c r="AW31" s="321" t="e">
        <f t="shared" si="19"/>
        <v>#N/A</v>
      </c>
      <c r="AX31" s="321" t="e">
        <f t="shared" si="20"/>
        <v>#N/A</v>
      </c>
      <c r="AY31" s="321" t="e">
        <f t="shared" si="21"/>
        <v>#N/A</v>
      </c>
      <c r="AZ31" s="321" t="e">
        <f t="shared" si="22"/>
        <v>#N/A</v>
      </c>
      <c r="BA31" s="321" t="e">
        <f t="shared" si="23"/>
        <v>#N/A</v>
      </c>
      <c r="BB31" s="321" t="e">
        <f t="shared" si="24"/>
        <v>#N/A</v>
      </c>
      <c r="BC31" s="321" t="e">
        <f t="shared" si="25"/>
        <v>#N/A</v>
      </c>
      <c r="BD31" s="321" t="e">
        <f t="shared" si="26"/>
        <v>#N/A</v>
      </c>
      <c r="BE31" s="321" t="e">
        <f t="shared" si="27"/>
        <v>#N/A</v>
      </c>
      <c r="BF31" s="321" t="e">
        <f t="shared" si="28"/>
        <v>#N/A</v>
      </c>
      <c r="BG31" s="321" t="e">
        <f t="shared" si="29"/>
        <v>#N/A</v>
      </c>
      <c r="BH31" s="321" t="e">
        <f t="shared" si="30"/>
        <v>#N/A</v>
      </c>
      <c r="BI31" s="321" t="e">
        <f t="shared" si="31"/>
        <v>#N/A</v>
      </c>
      <c r="BJ31" s="322" t="e">
        <f t="shared" si="32"/>
        <v>#N/A</v>
      </c>
      <c r="BK31" s="321" t="e">
        <f t="shared" si="33"/>
        <v>#N/A</v>
      </c>
      <c r="BL31" s="364"/>
    </row>
    <row r="32" spans="1:64" ht="62.4" thickBot="1" x14ac:dyDescent="0.3">
      <c r="A32" s="400">
        <v>27</v>
      </c>
      <c r="B32" s="409" t="e">
        <f>CONCATENATED!E90</f>
        <v>#REF!</v>
      </c>
      <c r="C32" s="409" t="e">
        <f>CONCATENATED!F90</f>
        <v>#REF!</v>
      </c>
      <c r="D32" s="409" t="e">
        <f>CONCATENATED!G90</f>
        <v>#REF!</v>
      </c>
      <c r="E32" s="409" t="e">
        <f>CONCATENATED!H90</f>
        <v>#REF!</v>
      </c>
      <c r="F32" s="409" t="e">
        <f>CONCATENATED!I90</f>
        <v>#REF!</v>
      </c>
      <c r="G32" s="409" t="e">
        <f>CONCATENATED!J90</f>
        <v>#REF!</v>
      </c>
      <c r="H32" s="409" t="e">
        <f>CONCATENATED!K90</f>
        <v>#REF!</v>
      </c>
      <c r="I32" s="409" t="str">
        <f>CONCATENATED!L90</f>
        <v>BSME/SEP2020/J-FT [Y2S1  (50) Students] BEN 4401: BUYA ONLINE</v>
      </c>
      <c r="J32" s="409" t="str">
        <f>CONCATENATED!M90</f>
        <v xml:space="preserve">BSME/AUG2021/J-FT [Y1S2  (55) Students] :  </v>
      </c>
      <c r="K32" s="409" t="e">
        <f>CONCATENATED!N90</f>
        <v>#REF!</v>
      </c>
      <c r="L32" s="409" t="e">
        <f>CONCATENATED!O90</f>
        <v>#REF!</v>
      </c>
      <c r="M32" s="409" t="str">
        <f>CONCATENATED!P90</f>
        <v xml:space="preserve">BTME/SEP2019/S-PT [Y3S1   (10) Students] :  </v>
      </c>
      <c r="N32" s="409" t="str">
        <f>CONCATENATED!Q90</f>
        <v xml:space="preserve">BTME/AUG2021/S-PT [Y2S2   (10) Students] :  </v>
      </c>
      <c r="O32" s="409" t="e">
        <f>CONCATENATED!R90</f>
        <v>#REF!</v>
      </c>
      <c r="P32" s="409" t="e">
        <f>CONCATENATED!S90</f>
        <v>#REF!</v>
      </c>
      <c r="Q32" s="409" t="str">
        <f>CONCATENATED!T90</f>
        <v>BTME/AUG2021/J&amp;S-FT [Y1S1  (52) Students] BEN 4401: BUYA. ONLINE.</v>
      </c>
      <c r="R32" s="409" t="e">
        <f>CONCATENATED!U90</f>
        <v>#REF!</v>
      </c>
      <c r="S32" s="409" t="e">
        <f>CONCATENATED!V90</f>
        <v>#REF!</v>
      </c>
      <c r="T32" s="409" t="e">
        <f>CONCATENATED!W90</f>
        <v>#REF!</v>
      </c>
      <c r="U32" s="409" t="e">
        <f>CONCATENATED!X90</f>
        <v>#REF!</v>
      </c>
      <c r="V32" s="409" t="e">
        <f>CONCATENATED!Y90</f>
        <v>#REF!</v>
      </c>
      <c r="W32" s="409" t="e">
        <f>CONCATENATED!Z90</f>
        <v>#REF!</v>
      </c>
      <c r="X32" s="409" t="e">
        <f>CONCATENATED!AA90</f>
        <v>#REF!</v>
      </c>
      <c r="Y32" s="409" t="e">
        <f>CONCATENATED!AB90</f>
        <v>#REF!</v>
      </c>
      <c r="Z32" s="409" t="str">
        <f>CONCATENATED!AC90</f>
        <v>DMAE/SEP20201J&amp;S-FT [Y1S2   (60) Students] EMR 2129: ALBEITY /MUSAU ELEC LAB.</v>
      </c>
      <c r="AA32" s="409" t="e">
        <f>CONCATENATED!AD90</f>
        <v>#REF!</v>
      </c>
      <c r="AB32" s="409" t="e">
        <f>CONCATENATED!AE90</f>
        <v>#REF!</v>
      </c>
      <c r="AC32" s="540" t="s">
        <v>182</v>
      </c>
      <c r="AD32" s="366" t="e">
        <f t="shared" si="1"/>
        <v>#N/A</v>
      </c>
      <c r="AE32" s="367" t="e">
        <f t="shared" si="2"/>
        <v>#N/A</v>
      </c>
      <c r="AF32" s="367" t="e">
        <f t="shared" si="0"/>
        <v>#N/A</v>
      </c>
      <c r="AG32" s="367" t="e">
        <f t="shared" si="3"/>
        <v>#N/A</v>
      </c>
      <c r="AH32" s="367" t="e">
        <f t="shared" si="4"/>
        <v>#N/A</v>
      </c>
      <c r="AI32" s="367" t="e">
        <f t="shared" si="5"/>
        <v>#N/A</v>
      </c>
      <c r="AJ32" s="367" t="e">
        <f t="shared" si="6"/>
        <v>#N/A</v>
      </c>
      <c r="AK32" s="367" t="e">
        <f t="shared" si="7"/>
        <v>#N/A</v>
      </c>
      <c r="AL32" s="367" t="e">
        <f t="shared" si="8"/>
        <v>#N/A</v>
      </c>
      <c r="AM32" s="367" t="e">
        <f t="shared" si="9"/>
        <v>#N/A</v>
      </c>
      <c r="AN32" s="367" t="e">
        <f t="shared" si="10"/>
        <v>#N/A</v>
      </c>
      <c r="AO32" s="367" t="e">
        <f t="shared" si="11"/>
        <v>#N/A</v>
      </c>
      <c r="AP32" s="367" t="e">
        <f t="shared" si="12"/>
        <v>#N/A</v>
      </c>
      <c r="AQ32" s="367" t="e">
        <f t="shared" si="13"/>
        <v>#N/A</v>
      </c>
      <c r="AR32" s="367" t="e">
        <f t="shared" si="14"/>
        <v>#N/A</v>
      </c>
      <c r="AS32" s="368" t="e">
        <f t="shared" si="15"/>
        <v>#N/A</v>
      </c>
      <c r="AT32" s="367" t="e">
        <f t="shared" si="16"/>
        <v>#N/A</v>
      </c>
      <c r="AU32" s="367" t="e">
        <f t="shared" si="17"/>
        <v>#N/A</v>
      </c>
      <c r="AV32" s="367" t="e">
        <f t="shared" si="18"/>
        <v>#N/A</v>
      </c>
      <c r="AW32" s="367" t="e">
        <f t="shared" si="19"/>
        <v>#N/A</v>
      </c>
      <c r="AX32" s="367" t="e">
        <f t="shared" si="20"/>
        <v>#N/A</v>
      </c>
      <c r="AY32" s="367" t="e">
        <f t="shared" si="21"/>
        <v>#N/A</v>
      </c>
      <c r="AZ32" s="367" t="e">
        <f t="shared" si="22"/>
        <v>#N/A</v>
      </c>
      <c r="BA32" s="367" t="e">
        <f t="shared" si="23"/>
        <v>#N/A</v>
      </c>
      <c r="BB32" s="367" t="e">
        <f t="shared" si="24"/>
        <v>#N/A</v>
      </c>
      <c r="BC32" s="367" t="e">
        <f t="shared" si="25"/>
        <v>#N/A</v>
      </c>
      <c r="BD32" s="367" t="e">
        <f t="shared" si="26"/>
        <v>#N/A</v>
      </c>
      <c r="BE32" s="367" t="e">
        <f t="shared" si="27"/>
        <v>#N/A</v>
      </c>
      <c r="BF32" s="367" t="e">
        <f t="shared" si="28"/>
        <v>#N/A</v>
      </c>
      <c r="BG32" s="367" t="e">
        <f t="shared" si="29"/>
        <v>#N/A</v>
      </c>
      <c r="BH32" s="367" t="e">
        <f t="shared" si="30"/>
        <v>#N/A</v>
      </c>
      <c r="BI32" s="367" t="e">
        <f t="shared" si="31"/>
        <v>#N/A</v>
      </c>
      <c r="BJ32" s="367" t="e">
        <f t="shared" si="32"/>
        <v>#N/A</v>
      </c>
      <c r="BK32" s="367" t="e">
        <f t="shared" si="33"/>
        <v>#N/A</v>
      </c>
      <c r="BL32" s="540" t="s">
        <v>182</v>
      </c>
    </row>
    <row r="33" spans="1:64" ht="15.6" thickBot="1" x14ac:dyDescent="0.3">
      <c r="A33" s="400">
        <v>28</v>
      </c>
      <c r="B33" s="409" t="e">
        <f>CONCATENATED!E93</f>
        <v>#REF!</v>
      </c>
      <c r="C33" s="409" t="e">
        <f>CONCATENATED!F93</f>
        <v>#REF!</v>
      </c>
      <c r="D33" s="409" t="e">
        <f>CONCATENATED!G93</f>
        <v>#REF!</v>
      </c>
      <c r="E33" s="409" t="e">
        <f>CONCATENATED!H93</f>
        <v>#REF!</v>
      </c>
      <c r="F33" s="409" t="e">
        <f>CONCATENATED!I93</f>
        <v>#REF!</v>
      </c>
      <c r="G33" s="409" t="e">
        <f>CONCATENATED!J93</f>
        <v>#REF!</v>
      </c>
      <c r="H33" s="409" t="e">
        <f>CONCATENATED!K93</f>
        <v>#REF!</v>
      </c>
      <c r="I33" s="409" t="e">
        <f>CONCATENATED!L93</f>
        <v>#REF!</v>
      </c>
      <c r="J33" s="409" t="e">
        <f>CONCATENATED!M93</f>
        <v>#REF!</v>
      </c>
      <c r="K33" s="409" t="e">
        <f>CONCATENATED!N93</f>
        <v>#REF!</v>
      </c>
      <c r="L33" s="409" t="e">
        <f>CONCATENATED!O93</f>
        <v>#REF!</v>
      </c>
      <c r="M33" s="409" t="e">
        <f>CONCATENATED!P93</f>
        <v>#REF!</v>
      </c>
      <c r="N33" s="409" t="e">
        <f>CONCATENATED!Q93</f>
        <v>#REF!</v>
      </c>
      <c r="O33" s="409" t="e">
        <f>CONCATENATED!R93</f>
        <v>#REF!</v>
      </c>
      <c r="P33" s="409" t="e">
        <f>CONCATENATED!S93</f>
        <v>#REF!</v>
      </c>
      <c r="Q33" s="409" t="e">
        <f>CONCATENATED!T93</f>
        <v>#REF!</v>
      </c>
      <c r="R33" s="409" t="e">
        <f>CONCATENATED!U93</f>
        <v>#REF!</v>
      </c>
      <c r="S33" s="409" t="e">
        <f>CONCATENATED!V93</f>
        <v>#REF!</v>
      </c>
      <c r="T33" s="409" t="e">
        <f>CONCATENATED!W93</f>
        <v>#REF!</v>
      </c>
      <c r="U33" s="409" t="e">
        <f>CONCATENATED!X93</f>
        <v>#REF!</v>
      </c>
      <c r="V33" s="409" t="e">
        <f>CONCATENATED!Y93</f>
        <v>#REF!</v>
      </c>
      <c r="W33" s="409" t="e">
        <f>CONCATENATED!Z93</f>
        <v>#REF!</v>
      </c>
      <c r="X33" s="409" t="e">
        <f>CONCATENATED!AA93</f>
        <v>#REF!</v>
      </c>
      <c r="Y33" s="409" t="e">
        <f>CONCATENATED!AB93</f>
        <v>#REF!</v>
      </c>
      <c r="Z33" s="409" t="e">
        <f>CONCATENATED!AC93</f>
        <v>#REF!</v>
      </c>
      <c r="AA33" s="409" t="e">
        <f>CONCATENATED!AD93</f>
        <v>#REF!</v>
      </c>
      <c r="AB33" s="409" t="e">
        <f>CONCATENATED!AE93</f>
        <v>#REF!</v>
      </c>
      <c r="AC33" s="535"/>
      <c r="AD33" s="369" t="e">
        <f t="shared" si="1"/>
        <v>#N/A</v>
      </c>
      <c r="AE33" s="370" t="e">
        <f t="shared" si="2"/>
        <v>#N/A</v>
      </c>
      <c r="AF33" s="370" t="e">
        <f t="shared" si="0"/>
        <v>#N/A</v>
      </c>
      <c r="AG33" s="370" t="e">
        <f t="shared" si="3"/>
        <v>#N/A</v>
      </c>
      <c r="AH33" s="370" t="e">
        <f t="shared" si="4"/>
        <v>#N/A</v>
      </c>
      <c r="AI33" s="370" t="e">
        <f t="shared" si="5"/>
        <v>#N/A</v>
      </c>
      <c r="AJ33" s="370" t="e">
        <f t="shared" si="6"/>
        <v>#N/A</v>
      </c>
      <c r="AK33" s="370" t="e">
        <f t="shared" si="7"/>
        <v>#N/A</v>
      </c>
      <c r="AL33" s="370" t="e">
        <f t="shared" si="8"/>
        <v>#N/A</v>
      </c>
      <c r="AM33" s="370" t="e">
        <f t="shared" si="9"/>
        <v>#N/A</v>
      </c>
      <c r="AN33" s="370" t="e">
        <f t="shared" si="10"/>
        <v>#N/A</v>
      </c>
      <c r="AO33" s="370" t="e">
        <f t="shared" si="11"/>
        <v>#N/A</v>
      </c>
      <c r="AP33" s="370" t="e">
        <f t="shared" si="12"/>
        <v>#N/A</v>
      </c>
      <c r="AQ33" s="370" t="e">
        <f t="shared" si="13"/>
        <v>#N/A</v>
      </c>
      <c r="AR33" s="370" t="e">
        <f t="shared" si="14"/>
        <v>#N/A</v>
      </c>
      <c r="AS33" s="371" t="e">
        <f t="shared" si="15"/>
        <v>#N/A</v>
      </c>
      <c r="AT33" s="370" t="e">
        <f t="shared" si="16"/>
        <v>#N/A</v>
      </c>
      <c r="AU33" s="370" t="e">
        <f t="shared" si="17"/>
        <v>#N/A</v>
      </c>
      <c r="AV33" s="370" t="e">
        <f t="shared" si="18"/>
        <v>#N/A</v>
      </c>
      <c r="AW33" s="370" t="e">
        <f t="shared" si="19"/>
        <v>#N/A</v>
      </c>
      <c r="AX33" s="370" t="e">
        <f t="shared" si="20"/>
        <v>#N/A</v>
      </c>
      <c r="AY33" s="370" t="e">
        <f t="shared" si="21"/>
        <v>#N/A</v>
      </c>
      <c r="AZ33" s="370" t="e">
        <f t="shared" si="22"/>
        <v>#N/A</v>
      </c>
      <c r="BA33" s="370" t="e">
        <f t="shared" si="23"/>
        <v>#N/A</v>
      </c>
      <c r="BB33" s="370" t="e">
        <f t="shared" si="24"/>
        <v>#N/A</v>
      </c>
      <c r="BC33" s="370" t="e">
        <f t="shared" si="25"/>
        <v>#N/A</v>
      </c>
      <c r="BD33" s="370" t="e">
        <f t="shared" si="26"/>
        <v>#N/A</v>
      </c>
      <c r="BE33" s="370" t="e">
        <f t="shared" si="27"/>
        <v>#N/A</v>
      </c>
      <c r="BF33" s="370" t="e">
        <f t="shared" si="28"/>
        <v>#N/A</v>
      </c>
      <c r="BG33" s="370" t="e">
        <f t="shared" si="29"/>
        <v>#N/A</v>
      </c>
      <c r="BH33" s="370" t="e">
        <f t="shared" si="30"/>
        <v>#N/A</v>
      </c>
      <c r="BI33" s="370" t="e">
        <f t="shared" si="31"/>
        <v>#N/A</v>
      </c>
      <c r="BJ33" s="370" t="e">
        <f t="shared" si="32"/>
        <v>#N/A</v>
      </c>
      <c r="BK33" s="370" t="e">
        <f t="shared" si="33"/>
        <v>#N/A</v>
      </c>
      <c r="BL33" s="535"/>
    </row>
    <row r="34" spans="1:64" ht="15.6" thickBot="1" x14ac:dyDescent="0.3">
      <c r="A34" s="400">
        <v>29</v>
      </c>
      <c r="B34" s="409" t="e">
        <f>CONCATENATED!E96</f>
        <v>#REF!</v>
      </c>
      <c r="C34" s="409" t="e">
        <f>CONCATENATED!F96</f>
        <v>#REF!</v>
      </c>
      <c r="D34" s="409" t="e">
        <f>CONCATENATED!G96</f>
        <v>#REF!</v>
      </c>
      <c r="E34" s="409" t="e">
        <f>CONCATENATED!H96</f>
        <v>#REF!</v>
      </c>
      <c r="F34" s="409" t="e">
        <f>CONCATENATED!I96</f>
        <v>#REF!</v>
      </c>
      <c r="G34" s="409" t="e">
        <f>CONCATENATED!J96</f>
        <v>#REF!</v>
      </c>
      <c r="H34" s="409" t="e">
        <f>CONCATENATED!K96</f>
        <v>#REF!</v>
      </c>
      <c r="I34" s="409" t="e">
        <f>CONCATENATED!L96</f>
        <v>#REF!</v>
      </c>
      <c r="J34" s="409" t="e">
        <f>CONCATENATED!M96</f>
        <v>#REF!</v>
      </c>
      <c r="K34" s="409" t="e">
        <f>CONCATENATED!N96</f>
        <v>#REF!</v>
      </c>
      <c r="L34" s="409" t="e">
        <f>CONCATENATED!O96</f>
        <v>#REF!</v>
      </c>
      <c r="M34" s="409" t="e">
        <f>CONCATENATED!P96</f>
        <v>#REF!</v>
      </c>
      <c r="N34" s="409" t="e">
        <f>CONCATENATED!Q96</f>
        <v>#REF!</v>
      </c>
      <c r="O34" s="409" t="e">
        <f>CONCATENATED!R96</f>
        <v>#REF!</v>
      </c>
      <c r="P34" s="409" t="e">
        <f>CONCATENATED!S96</f>
        <v>#REF!</v>
      </c>
      <c r="Q34" s="409" t="e">
        <f>CONCATENATED!T96</f>
        <v>#REF!</v>
      </c>
      <c r="R34" s="409" t="e">
        <f>CONCATENATED!U96</f>
        <v>#REF!</v>
      </c>
      <c r="S34" s="409" t="e">
        <f>CONCATENATED!V96</f>
        <v>#REF!</v>
      </c>
      <c r="T34" s="409" t="e">
        <f>CONCATENATED!W96</f>
        <v>#REF!</v>
      </c>
      <c r="U34" s="409" t="e">
        <f>CONCATENATED!X96</f>
        <v>#REF!</v>
      </c>
      <c r="V34" s="409" t="e">
        <f>CONCATENATED!Y96</f>
        <v>#REF!</v>
      </c>
      <c r="W34" s="409" t="e">
        <f>CONCATENATED!Z96</f>
        <v>#REF!</v>
      </c>
      <c r="X34" s="409" t="e">
        <f>CONCATENATED!AA96</f>
        <v>#REF!</v>
      </c>
      <c r="Y34" s="409" t="e">
        <f>CONCATENATED!AB96</f>
        <v>#REF!</v>
      </c>
      <c r="Z34" s="409" t="e">
        <f>CONCATENATED!AC96</f>
        <v>#REF!</v>
      </c>
      <c r="AA34" s="409" t="e">
        <f>CONCATENATED!AD96</f>
        <v>#REF!</v>
      </c>
      <c r="AB34" s="409" t="e">
        <f>CONCATENATED!AE96</f>
        <v>#REF!</v>
      </c>
      <c r="AC34" s="535"/>
      <c r="AD34" s="369" t="e">
        <f t="shared" si="1"/>
        <v>#N/A</v>
      </c>
      <c r="AE34" s="370" t="e">
        <f t="shared" si="2"/>
        <v>#N/A</v>
      </c>
      <c r="AF34" s="370" t="e">
        <f t="shared" si="0"/>
        <v>#N/A</v>
      </c>
      <c r="AG34" s="370" t="e">
        <f t="shared" si="3"/>
        <v>#N/A</v>
      </c>
      <c r="AH34" s="370" t="e">
        <f t="shared" si="4"/>
        <v>#N/A</v>
      </c>
      <c r="AI34" s="370" t="e">
        <f t="shared" si="5"/>
        <v>#N/A</v>
      </c>
      <c r="AJ34" s="370" t="e">
        <f t="shared" si="6"/>
        <v>#N/A</v>
      </c>
      <c r="AK34" s="370" t="e">
        <f t="shared" si="7"/>
        <v>#N/A</v>
      </c>
      <c r="AL34" s="370" t="e">
        <f t="shared" si="8"/>
        <v>#N/A</v>
      </c>
      <c r="AM34" s="370" t="e">
        <f t="shared" si="9"/>
        <v>#N/A</v>
      </c>
      <c r="AN34" s="370" t="e">
        <f t="shared" si="10"/>
        <v>#N/A</v>
      </c>
      <c r="AO34" s="370" t="e">
        <f t="shared" si="11"/>
        <v>#N/A</v>
      </c>
      <c r="AP34" s="370" t="e">
        <f t="shared" si="12"/>
        <v>#N/A</v>
      </c>
      <c r="AQ34" s="370" t="e">
        <f t="shared" si="13"/>
        <v>#N/A</v>
      </c>
      <c r="AR34" s="370" t="e">
        <f t="shared" si="14"/>
        <v>#N/A</v>
      </c>
      <c r="AS34" s="371" t="e">
        <f t="shared" si="15"/>
        <v>#N/A</v>
      </c>
      <c r="AT34" s="370" t="e">
        <f t="shared" si="16"/>
        <v>#N/A</v>
      </c>
      <c r="AU34" s="370" t="e">
        <f t="shared" si="17"/>
        <v>#N/A</v>
      </c>
      <c r="AV34" s="370" t="e">
        <f t="shared" si="18"/>
        <v>#N/A</v>
      </c>
      <c r="AW34" s="370" t="e">
        <f t="shared" si="19"/>
        <v>#N/A</v>
      </c>
      <c r="AX34" s="370" t="e">
        <f t="shared" si="20"/>
        <v>#N/A</v>
      </c>
      <c r="AY34" s="370" t="e">
        <f t="shared" si="21"/>
        <v>#N/A</v>
      </c>
      <c r="AZ34" s="370" t="e">
        <f t="shared" si="22"/>
        <v>#N/A</v>
      </c>
      <c r="BA34" s="370" t="e">
        <f t="shared" si="23"/>
        <v>#N/A</v>
      </c>
      <c r="BB34" s="370" t="e">
        <f t="shared" si="24"/>
        <v>#N/A</v>
      </c>
      <c r="BC34" s="370" t="e">
        <f t="shared" si="25"/>
        <v>#N/A</v>
      </c>
      <c r="BD34" s="370" t="e">
        <f t="shared" si="26"/>
        <v>#N/A</v>
      </c>
      <c r="BE34" s="370" t="e">
        <f t="shared" si="27"/>
        <v>#N/A</v>
      </c>
      <c r="BF34" s="370" t="e">
        <f t="shared" si="28"/>
        <v>#N/A</v>
      </c>
      <c r="BG34" s="370" t="e">
        <f t="shared" si="29"/>
        <v>#N/A</v>
      </c>
      <c r="BH34" s="370" t="e">
        <f t="shared" si="30"/>
        <v>#N/A</v>
      </c>
      <c r="BI34" s="370" t="e">
        <f t="shared" si="31"/>
        <v>#N/A</v>
      </c>
      <c r="BJ34" s="370" t="e">
        <f t="shared" si="32"/>
        <v>#N/A</v>
      </c>
      <c r="BK34" s="370" t="e">
        <f t="shared" si="33"/>
        <v>#N/A</v>
      </c>
      <c r="BL34" s="535"/>
    </row>
    <row r="35" spans="1:64" ht="52.2" thickBot="1" x14ac:dyDescent="0.3">
      <c r="A35" s="400">
        <v>30</v>
      </c>
      <c r="B35" s="409" t="e">
        <f>CONCATENATED!E99</f>
        <v>#REF!</v>
      </c>
      <c r="C35" s="409" t="e">
        <f>CONCATENATED!F99</f>
        <v>#REF!</v>
      </c>
      <c r="D35" s="409" t="e">
        <f>CONCATENATED!G99</f>
        <v>#REF!</v>
      </c>
      <c r="E35" s="409" t="e">
        <f>CONCATENATED!H99</f>
        <v>#REF!</v>
      </c>
      <c r="F35" s="409" t="e">
        <f>CONCATENATED!I99</f>
        <v>#REF!</v>
      </c>
      <c r="G35" s="409" t="e">
        <f>CONCATENATED!J99</f>
        <v>#REF!</v>
      </c>
      <c r="H35" s="409" t="e">
        <f>CONCATENATED!K99</f>
        <v>#REF!</v>
      </c>
      <c r="I35" s="409" t="str">
        <f>CONCATENATED!L99</f>
        <v xml:space="preserve">BSME/SEP2020/J-FT [Y2S1  (50) Students] :  </v>
      </c>
      <c r="J35" s="409" t="str">
        <f>CONCATENATED!M99</f>
        <v>BSME/AUG2021/J-FT [Y1S2  (55) Students] EIT 4101: COD COMPUTING MB 13</v>
      </c>
      <c r="K35" s="409" t="e">
        <f>CONCATENATED!N99</f>
        <v>#REF!</v>
      </c>
      <c r="L35" s="409" t="e">
        <f>CONCATENATED!O99</f>
        <v>#REF!</v>
      </c>
      <c r="M35" s="409" t="str">
        <f>CONCATENATED!P99</f>
        <v>BTME/SEP2019/S-PT [Y3S1   (10) Students] TMC 4315: AHMED FET 109</v>
      </c>
      <c r="N35" s="409" t="str">
        <f>CONCATENATED!Q99</f>
        <v xml:space="preserve">BTME/AUG2021/S-PT [Y2S2   (10) Students] :  </v>
      </c>
      <c r="O35" s="409" t="e">
        <f>CONCATENATED!R99</f>
        <v>#REF!</v>
      </c>
      <c r="P35" s="409" t="e">
        <f>CONCATENATED!S99</f>
        <v>#REF!</v>
      </c>
      <c r="Q35" s="409" t="str">
        <f>CONCATENATED!T99</f>
        <v>BTME/AUG2021/J&amp;S-FT [Y1S1  (52) Students] TMC 4104: WANGOMBE CH</v>
      </c>
      <c r="R35" s="409" t="e">
        <f>CONCATENATED!U99</f>
        <v>#REF!</v>
      </c>
      <c r="S35" s="409" t="e">
        <f>CONCATENATED!V99</f>
        <v>#REF!</v>
      </c>
      <c r="T35" s="409" t="e">
        <f>CONCATENATED!W99</f>
        <v>#REF!</v>
      </c>
      <c r="U35" s="409" t="e">
        <f>CONCATENATED!X99</f>
        <v>#REF!</v>
      </c>
      <c r="V35" s="409" t="e">
        <f>CONCATENATED!Y99</f>
        <v>#REF!</v>
      </c>
      <c r="W35" s="409" t="e">
        <f>CONCATENATED!Z99</f>
        <v>#REF!</v>
      </c>
      <c r="X35" s="409" t="e">
        <f>CONCATENATED!AA99</f>
        <v>#REF!</v>
      </c>
      <c r="Y35" s="409" t="e">
        <f>CONCATENATED!AB99</f>
        <v>#REF!</v>
      </c>
      <c r="Z35" s="409" t="str">
        <f>CONCATENATED!AC99</f>
        <v>DMAE/SEP20201J&amp;S-FT [Y1S2   (60) Students] EMR 2122: GIKARO MB 03.</v>
      </c>
      <c r="AA35" s="409" t="e">
        <f>CONCATENATED!AD99</f>
        <v>#REF!</v>
      </c>
      <c r="AB35" s="409" t="e">
        <f>CONCATENATED!AE99</f>
        <v>#REF!</v>
      </c>
      <c r="AC35" s="535"/>
      <c r="AD35" s="369" t="e">
        <f t="shared" si="1"/>
        <v>#N/A</v>
      </c>
      <c r="AE35" s="370" t="e">
        <f t="shared" si="2"/>
        <v>#N/A</v>
      </c>
      <c r="AF35" s="370" t="e">
        <f t="shared" si="0"/>
        <v>#N/A</v>
      </c>
      <c r="AG35" s="370" t="e">
        <f t="shared" si="3"/>
        <v>#N/A</v>
      </c>
      <c r="AH35" s="370" t="e">
        <f t="shared" si="4"/>
        <v>#N/A</v>
      </c>
      <c r="AI35" s="370" t="e">
        <f t="shared" si="5"/>
        <v>#N/A</v>
      </c>
      <c r="AJ35" s="370" t="e">
        <f t="shared" si="6"/>
        <v>#N/A</v>
      </c>
      <c r="AK35" s="370" t="e">
        <f t="shared" si="7"/>
        <v>#N/A</v>
      </c>
      <c r="AL35" s="370" t="e">
        <f t="shared" si="8"/>
        <v>#N/A</v>
      </c>
      <c r="AM35" s="370" t="e">
        <f t="shared" si="9"/>
        <v>#N/A</v>
      </c>
      <c r="AN35" s="370" t="e">
        <f t="shared" si="10"/>
        <v>#N/A</v>
      </c>
      <c r="AO35" s="370" t="e">
        <f t="shared" si="11"/>
        <v>#N/A</v>
      </c>
      <c r="AP35" s="370" t="e">
        <f t="shared" si="12"/>
        <v>#N/A</v>
      </c>
      <c r="AQ35" s="370" t="e">
        <f t="shared" si="13"/>
        <v>#N/A</v>
      </c>
      <c r="AR35" s="370" t="e">
        <f t="shared" si="14"/>
        <v>#N/A</v>
      </c>
      <c r="AS35" s="371" t="e">
        <f t="shared" si="15"/>
        <v>#N/A</v>
      </c>
      <c r="AT35" s="370" t="e">
        <f t="shared" si="16"/>
        <v>#N/A</v>
      </c>
      <c r="AU35" s="370" t="e">
        <f t="shared" si="17"/>
        <v>#N/A</v>
      </c>
      <c r="AV35" s="370" t="e">
        <f t="shared" si="18"/>
        <v>#N/A</v>
      </c>
      <c r="AW35" s="370" t="e">
        <f t="shared" si="19"/>
        <v>#N/A</v>
      </c>
      <c r="AX35" s="370" t="e">
        <f t="shared" si="20"/>
        <v>#N/A</v>
      </c>
      <c r="AY35" s="370" t="e">
        <f t="shared" si="21"/>
        <v>#N/A</v>
      </c>
      <c r="AZ35" s="370" t="e">
        <f t="shared" si="22"/>
        <v>#N/A</v>
      </c>
      <c r="BA35" s="370" t="e">
        <f t="shared" si="23"/>
        <v>#N/A</v>
      </c>
      <c r="BB35" s="370" t="e">
        <f t="shared" si="24"/>
        <v>#N/A</v>
      </c>
      <c r="BC35" s="370" t="e">
        <f t="shared" si="25"/>
        <v>#N/A</v>
      </c>
      <c r="BD35" s="370" t="e">
        <f t="shared" si="26"/>
        <v>#N/A</v>
      </c>
      <c r="BE35" s="370" t="e">
        <f t="shared" si="27"/>
        <v>#N/A</v>
      </c>
      <c r="BF35" s="370" t="e">
        <f t="shared" si="28"/>
        <v>#N/A</v>
      </c>
      <c r="BG35" s="370" t="e">
        <f t="shared" si="29"/>
        <v>#N/A</v>
      </c>
      <c r="BH35" s="370" t="e">
        <f t="shared" si="30"/>
        <v>#N/A</v>
      </c>
      <c r="BI35" s="370" t="e">
        <f t="shared" si="31"/>
        <v>#N/A</v>
      </c>
      <c r="BJ35" s="370" t="e">
        <f t="shared" si="32"/>
        <v>#N/A</v>
      </c>
      <c r="BK35" s="370" t="e">
        <f t="shared" si="33"/>
        <v>#N/A</v>
      </c>
      <c r="BL35" s="535"/>
    </row>
    <row r="36" spans="1:64" s="406" customFormat="1" ht="15.6" thickBot="1" x14ac:dyDescent="0.3">
      <c r="A36" s="400">
        <v>31</v>
      </c>
      <c r="B36" s="409" t="e">
        <f>CONCATENATED!E102</f>
        <v>#REF!</v>
      </c>
      <c r="C36" s="409" t="e">
        <f>CONCATENATED!F102</f>
        <v>#REF!</v>
      </c>
      <c r="D36" s="409" t="e">
        <f>CONCATENATED!G102</f>
        <v>#REF!</v>
      </c>
      <c r="E36" s="409" t="e">
        <f>CONCATENATED!H102</f>
        <v>#REF!</v>
      </c>
      <c r="F36" s="409" t="e">
        <f>CONCATENATED!I102</f>
        <v>#REF!</v>
      </c>
      <c r="G36" s="409" t="e">
        <f>CONCATENATED!J102</f>
        <v>#REF!</v>
      </c>
      <c r="H36" s="409" t="e">
        <f>CONCATENATED!K102</f>
        <v>#REF!</v>
      </c>
      <c r="I36" s="409" t="e">
        <f>CONCATENATED!L102</f>
        <v>#REF!</v>
      </c>
      <c r="J36" s="409" t="e">
        <f>CONCATENATED!M102</f>
        <v>#REF!</v>
      </c>
      <c r="K36" s="409" t="e">
        <f>CONCATENATED!N102</f>
        <v>#REF!</v>
      </c>
      <c r="L36" s="409" t="e">
        <f>CONCATENATED!O102</f>
        <v>#REF!</v>
      </c>
      <c r="M36" s="409" t="e">
        <f>CONCATENATED!P102</f>
        <v>#REF!</v>
      </c>
      <c r="N36" s="409" t="e">
        <f>CONCATENATED!Q102</f>
        <v>#REF!</v>
      </c>
      <c r="O36" s="409" t="e">
        <f>CONCATENATED!R102</f>
        <v>#REF!</v>
      </c>
      <c r="P36" s="409" t="e">
        <f>CONCATENATED!S102</f>
        <v>#REF!</v>
      </c>
      <c r="Q36" s="409" t="e">
        <f>CONCATENATED!T102</f>
        <v>#REF!</v>
      </c>
      <c r="R36" s="409" t="e">
        <f>CONCATENATED!U102</f>
        <v>#REF!</v>
      </c>
      <c r="S36" s="409" t="e">
        <f>CONCATENATED!V102</f>
        <v>#REF!</v>
      </c>
      <c r="T36" s="409" t="e">
        <f>CONCATENATED!W102</f>
        <v>#REF!</v>
      </c>
      <c r="U36" s="409" t="e">
        <f>CONCATENATED!X102</f>
        <v>#REF!</v>
      </c>
      <c r="V36" s="409" t="e">
        <f>CONCATENATED!Y102</f>
        <v>#REF!</v>
      </c>
      <c r="W36" s="409" t="e">
        <f>CONCATENATED!Z102</f>
        <v>#REF!</v>
      </c>
      <c r="X36" s="409" t="e">
        <f>CONCATENATED!AA102</f>
        <v>#REF!</v>
      </c>
      <c r="Y36" s="409" t="e">
        <f>CONCATENATED!AB102</f>
        <v>#REF!</v>
      </c>
      <c r="Z36" s="409" t="e">
        <f>CONCATENATED!AC102</f>
        <v>#REF!</v>
      </c>
      <c r="AA36" s="409" t="e">
        <f>CONCATENATED!AD102</f>
        <v>#REF!</v>
      </c>
      <c r="AB36" s="409" t="e">
        <f>CONCATENATED!AE102</f>
        <v>#REF!</v>
      </c>
      <c r="AC36" s="535"/>
      <c r="AD36" s="369" t="e">
        <f t="shared" si="1"/>
        <v>#N/A</v>
      </c>
      <c r="AE36" s="370" t="e">
        <f t="shared" si="2"/>
        <v>#N/A</v>
      </c>
      <c r="AF36" s="370" t="e">
        <f t="shared" si="0"/>
        <v>#N/A</v>
      </c>
      <c r="AG36" s="370" t="e">
        <f t="shared" si="3"/>
        <v>#N/A</v>
      </c>
      <c r="AH36" s="370" t="e">
        <f t="shared" si="4"/>
        <v>#N/A</v>
      </c>
      <c r="AI36" s="370" t="e">
        <f t="shared" si="5"/>
        <v>#N/A</v>
      </c>
      <c r="AJ36" s="370" t="e">
        <f t="shared" si="6"/>
        <v>#N/A</v>
      </c>
      <c r="AK36" s="370" t="e">
        <f t="shared" si="7"/>
        <v>#N/A</v>
      </c>
      <c r="AL36" s="370" t="e">
        <f t="shared" si="8"/>
        <v>#N/A</v>
      </c>
      <c r="AM36" s="370" t="e">
        <f t="shared" si="9"/>
        <v>#N/A</v>
      </c>
      <c r="AN36" s="370" t="e">
        <f t="shared" si="10"/>
        <v>#N/A</v>
      </c>
      <c r="AO36" s="370" t="e">
        <f t="shared" si="11"/>
        <v>#N/A</v>
      </c>
      <c r="AP36" s="370" t="e">
        <f t="shared" si="12"/>
        <v>#N/A</v>
      </c>
      <c r="AQ36" s="370" t="e">
        <f t="shared" si="13"/>
        <v>#N/A</v>
      </c>
      <c r="AR36" s="370" t="e">
        <f t="shared" si="14"/>
        <v>#N/A</v>
      </c>
      <c r="AS36" s="371" t="e">
        <f t="shared" si="15"/>
        <v>#N/A</v>
      </c>
      <c r="AT36" s="370" t="e">
        <f t="shared" si="16"/>
        <v>#N/A</v>
      </c>
      <c r="AU36" s="370" t="e">
        <f t="shared" si="17"/>
        <v>#N/A</v>
      </c>
      <c r="AV36" s="370" t="e">
        <f t="shared" si="18"/>
        <v>#N/A</v>
      </c>
      <c r="AW36" s="370" t="e">
        <f t="shared" si="19"/>
        <v>#N/A</v>
      </c>
      <c r="AX36" s="370" t="e">
        <f t="shared" si="20"/>
        <v>#N/A</v>
      </c>
      <c r="AY36" s="370" t="e">
        <f t="shared" si="21"/>
        <v>#N/A</v>
      </c>
      <c r="AZ36" s="370" t="e">
        <f t="shared" si="22"/>
        <v>#N/A</v>
      </c>
      <c r="BA36" s="370" t="e">
        <f t="shared" si="23"/>
        <v>#N/A</v>
      </c>
      <c r="BB36" s="370" t="e">
        <f t="shared" si="24"/>
        <v>#N/A</v>
      </c>
      <c r="BC36" s="370" t="e">
        <f t="shared" si="25"/>
        <v>#N/A</v>
      </c>
      <c r="BD36" s="370" t="e">
        <f t="shared" si="26"/>
        <v>#N/A</v>
      </c>
      <c r="BE36" s="370" t="e">
        <f t="shared" si="27"/>
        <v>#N/A</v>
      </c>
      <c r="BF36" s="370" t="e">
        <f t="shared" si="28"/>
        <v>#N/A</v>
      </c>
      <c r="BG36" s="370" t="e">
        <f t="shared" si="29"/>
        <v>#N/A</v>
      </c>
      <c r="BH36" s="370" t="e">
        <f t="shared" si="30"/>
        <v>#N/A</v>
      </c>
      <c r="BI36" s="370" t="e">
        <f t="shared" si="31"/>
        <v>#N/A</v>
      </c>
      <c r="BJ36" s="370" t="e">
        <f t="shared" si="32"/>
        <v>#N/A</v>
      </c>
      <c r="BK36" s="370" t="e">
        <f t="shared" si="33"/>
        <v>#N/A</v>
      </c>
      <c r="BL36" s="535"/>
    </row>
    <row r="37" spans="1:64" ht="15.6" thickBot="1" x14ac:dyDescent="0.3">
      <c r="A37" s="400">
        <v>32</v>
      </c>
      <c r="B37" s="409" t="e">
        <f>CONCATENATED!E105</f>
        <v>#REF!</v>
      </c>
      <c r="C37" s="409" t="e">
        <f>CONCATENATED!F105</f>
        <v>#REF!</v>
      </c>
      <c r="D37" s="409" t="e">
        <f>CONCATENATED!G105</f>
        <v>#REF!</v>
      </c>
      <c r="E37" s="409" t="e">
        <f>CONCATENATED!H105</f>
        <v>#REF!</v>
      </c>
      <c r="F37" s="409" t="e">
        <f>CONCATENATED!I105</f>
        <v>#REF!</v>
      </c>
      <c r="G37" s="409" t="e">
        <f>CONCATENATED!J105</f>
        <v>#REF!</v>
      </c>
      <c r="H37" s="409" t="e">
        <f>CONCATENATED!K105</f>
        <v>#REF!</v>
      </c>
      <c r="I37" s="409" t="e">
        <f>CONCATENATED!L105</f>
        <v>#REF!</v>
      </c>
      <c r="J37" s="409" t="e">
        <f>CONCATENATED!M105</f>
        <v>#REF!</v>
      </c>
      <c r="K37" s="409" t="e">
        <f>CONCATENATED!N105</f>
        <v>#REF!</v>
      </c>
      <c r="L37" s="409" t="e">
        <f>CONCATENATED!O105</f>
        <v>#REF!</v>
      </c>
      <c r="M37" s="409" t="e">
        <f>CONCATENATED!P105</f>
        <v>#REF!</v>
      </c>
      <c r="N37" s="409" t="e">
        <f>CONCATENATED!Q105</f>
        <v>#REF!</v>
      </c>
      <c r="O37" s="409" t="e">
        <f>CONCATENATED!R105</f>
        <v>#REF!</v>
      </c>
      <c r="P37" s="409" t="e">
        <f>CONCATENATED!S105</f>
        <v>#REF!</v>
      </c>
      <c r="Q37" s="409" t="e">
        <f>CONCATENATED!T105</f>
        <v>#REF!</v>
      </c>
      <c r="R37" s="409" t="e">
        <f>CONCATENATED!U105</f>
        <v>#REF!</v>
      </c>
      <c r="S37" s="409" t="e">
        <f>CONCATENATED!V105</f>
        <v>#REF!</v>
      </c>
      <c r="T37" s="409" t="e">
        <f>CONCATENATED!W105</f>
        <v>#REF!</v>
      </c>
      <c r="U37" s="409" t="e">
        <f>CONCATENATED!X105</f>
        <v>#REF!</v>
      </c>
      <c r="V37" s="409" t="e">
        <f>CONCATENATED!Y105</f>
        <v>#REF!</v>
      </c>
      <c r="W37" s="409" t="e">
        <f>CONCATENATED!Z105</f>
        <v>#REF!</v>
      </c>
      <c r="X37" s="409" t="e">
        <f>CONCATENATED!AA105</f>
        <v>#REF!</v>
      </c>
      <c r="Y37" s="409" t="e">
        <f>CONCATENATED!AB105</f>
        <v>#REF!</v>
      </c>
      <c r="Z37" s="409" t="e">
        <f>CONCATENATED!AC105</f>
        <v>#REF!</v>
      </c>
      <c r="AA37" s="409" t="e">
        <f>CONCATENATED!AD105</f>
        <v>#REF!</v>
      </c>
      <c r="AB37" s="409" t="e">
        <f>CONCATENATED!AE105</f>
        <v>#REF!</v>
      </c>
      <c r="AC37" s="535"/>
      <c r="AD37" s="372" t="e">
        <f t="shared" si="1"/>
        <v>#N/A</v>
      </c>
      <c r="AE37" s="373" t="e">
        <f t="shared" si="2"/>
        <v>#N/A</v>
      </c>
      <c r="AF37" s="373" t="e">
        <f t="shared" si="0"/>
        <v>#N/A</v>
      </c>
      <c r="AG37" s="373" t="e">
        <f t="shared" si="3"/>
        <v>#N/A</v>
      </c>
      <c r="AH37" s="373" t="e">
        <f t="shared" si="4"/>
        <v>#N/A</v>
      </c>
      <c r="AI37" s="373" t="e">
        <f t="shared" si="5"/>
        <v>#N/A</v>
      </c>
      <c r="AJ37" s="373" t="e">
        <f t="shared" si="6"/>
        <v>#N/A</v>
      </c>
      <c r="AK37" s="373" t="e">
        <f t="shared" si="7"/>
        <v>#N/A</v>
      </c>
      <c r="AL37" s="373" t="e">
        <f t="shared" si="8"/>
        <v>#N/A</v>
      </c>
      <c r="AM37" s="373" t="e">
        <f t="shared" si="9"/>
        <v>#N/A</v>
      </c>
      <c r="AN37" s="373" t="e">
        <f t="shared" si="10"/>
        <v>#N/A</v>
      </c>
      <c r="AO37" s="373" t="e">
        <f t="shared" si="11"/>
        <v>#N/A</v>
      </c>
      <c r="AP37" s="373" t="e">
        <f t="shared" si="12"/>
        <v>#N/A</v>
      </c>
      <c r="AQ37" s="373" t="e">
        <f t="shared" si="13"/>
        <v>#N/A</v>
      </c>
      <c r="AR37" s="373" t="e">
        <f t="shared" si="14"/>
        <v>#N/A</v>
      </c>
      <c r="AS37" s="374" t="e">
        <f t="shared" si="15"/>
        <v>#N/A</v>
      </c>
      <c r="AT37" s="373" t="e">
        <f t="shared" si="16"/>
        <v>#N/A</v>
      </c>
      <c r="AU37" s="373" t="e">
        <f t="shared" si="17"/>
        <v>#N/A</v>
      </c>
      <c r="AV37" s="373" t="e">
        <f t="shared" si="18"/>
        <v>#N/A</v>
      </c>
      <c r="AW37" s="373" t="e">
        <f t="shared" si="19"/>
        <v>#N/A</v>
      </c>
      <c r="AX37" s="373" t="e">
        <f t="shared" si="20"/>
        <v>#N/A</v>
      </c>
      <c r="AY37" s="373" t="e">
        <f t="shared" si="21"/>
        <v>#N/A</v>
      </c>
      <c r="AZ37" s="373" t="e">
        <f t="shared" si="22"/>
        <v>#N/A</v>
      </c>
      <c r="BA37" s="373" t="e">
        <f t="shared" si="23"/>
        <v>#N/A</v>
      </c>
      <c r="BB37" s="373" t="e">
        <f t="shared" si="24"/>
        <v>#N/A</v>
      </c>
      <c r="BC37" s="373" t="e">
        <f t="shared" si="25"/>
        <v>#N/A</v>
      </c>
      <c r="BD37" s="373" t="e">
        <f t="shared" si="26"/>
        <v>#N/A</v>
      </c>
      <c r="BE37" s="373" t="e">
        <f t="shared" si="27"/>
        <v>#N/A</v>
      </c>
      <c r="BF37" s="373" t="e">
        <f t="shared" si="28"/>
        <v>#N/A</v>
      </c>
      <c r="BG37" s="373" t="e">
        <f t="shared" si="29"/>
        <v>#N/A</v>
      </c>
      <c r="BH37" s="373" t="e">
        <f t="shared" si="30"/>
        <v>#N/A</v>
      </c>
      <c r="BI37" s="373" t="e">
        <f t="shared" si="31"/>
        <v>#N/A</v>
      </c>
      <c r="BJ37" s="373" t="e">
        <f t="shared" si="32"/>
        <v>#N/A</v>
      </c>
      <c r="BK37" s="373" t="e">
        <f t="shared" si="33"/>
        <v>#N/A</v>
      </c>
      <c r="BL37" s="535"/>
    </row>
    <row r="38" spans="1:64" ht="31.8" thickBot="1" x14ac:dyDescent="0.3">
      <c r="A38" s="406">
        <v>33</v>
      </c>
      <c r="B38" s="410" t="e">
        <f>CONCATENATED!E108</f>
        <v>#REF!</v>
      </c>
      <c r="C38" s="410" t="e">
        <f>CONCATENATED!F108</f>
        <v>#REF!</v>
      </c>
      <c r="D38" s="410" t="e">
        <f>CONCATENATED!G108</f>
        <v>#REF!</v>
      </c>
      <c r="E38" s="410" t="e">
        <f>CONCATENATED!H108</f>
        <v>#REF!</v>
      </c>
      <c r="F38" s="410" t="e">
        <f>CONCATENATED!I108</f>
        <v>#REF!</v>
      </c>
      <c r="G38" s="410" t="e">
        <f>CONCATENATED!J108</f>
        <v>#REF!</v>
      </c>
      <c r="H38" s="410" t="e">
        <f>CONCATENATED!K108</f>
        <v>#REF!</v>
      </c>
      <c r="I38" s="410" t="str">
        <f>CONCATENATED!L108</f>
        <v xml:space="preserve">BSME/SEP2020/J-FT [Y2S1  (50) Students] :  </v>
      </c>
      <c r="J38" s="410" t="str">
        <f>CONCATENATED!M108</f>
        <v xml:space="preserve">BSME/AUG2021/J-FT [Y1S2  (55) Students] :  </v>
      </c>
      <c r="K38" s="410" t="e">
        <f>CONCATENATED!N108</f>
        <v>#REF!</v>
      </c>
      <c r="L38" s="410" t="e">
        <f>CONCATENATED!O108</f>
        <v>#REF!</v>
      </c>
      <c r="M38" s="410" t="str">
        <f>CONCATENATED!P108</f>
        <v xml:space="preserve">BTME/SEP2019/S-PT [Y3S1   (10) Students] :  </v>
      </c>
      <c r="N38" s="410" t="str">
        <f>CONCATENATED!Q108</f>
        <v xml:space="preserve">BTME/AUG2021/S-PT [Y2S2   (10) Students] :  </v>
      </c>
      <c r="O38" s="410" t="e">
        <f>CONCATENATED!R108</f>
        <v>#REF!</v>
      </c>
      <c r="P38" s="410" t="e">
        <f>CONCATENATED!S108</f>
        <v>#REF!</v>
      </c>
      <c r="Q38" s="410" t="str">
        <f>CONCATENATED!T108</f>
        <v xml:space="preserve">BTME/AUG2021/J&amp;S-FT [Y1S1  (52) Students] :  </v>
      </c>
      <c r="R38" s="410" t="e">
        <f>CONCATENATED!U108</f>
        <v>#REF!</v>
      </c>
      <c r="S38" s="410" t="e">
        <f>CONCATENATED!V108</f>
        <v>#REF!</v>
      </c>
      <c r="T38" s="410" t="e">
        <f>CONCATENATED!W108</f>
        <v>#REF!</v>
      </c>
      <c r="U38" s="410" t="e">
        <f>CONCATENATED!X108</f>
        <v>#REF!</v>
      </c>
      <c r="V38" s="410" t="e">
        <f>CONCATENATED!Y108</f>
        <v>#REF!</v>
      </c>
      <c r="W38" s="410" t="e">
        <f>CONCATENATED!Z108</f>
        <v>#REF!</v>
      </c>
      <c r="X38" s="410" t="e">
        <f>CONCATENATED!AA108</f>
        <v>#REF!</v>
      </c>
      <c r="Y38" s="410" t="e">
        <f>CONCATENATED!AB108</f>
        <v>#REF!</v>
      </c>
      <c r="Z38" s="410" t="str">
        <f>CONCATENATED!AC108</f>
        <v xml:space="preserve">DMAE/SEP20201J&amp;S-FT [Y1S2   (60) Students] :  </v>
      </c>
      <c r="AA38" s="410" t="e">
        <f>CONCATENATED!AD108</f>
        <v>#REF!</v>
      </c>
      <c r="AB38" s="410" t="e">
        <f>CONCATENATED!AE108</f>
        <v>#REF!</v>
      </c>
      <c r="AC38" s="534"/>
      <c r="AD38" s="339" t="e">
        <f t="shared" si="1"/>
        <v>#N/A</v>
      </c>
      <c r="AE38" s="339" t="e">
        <f t="shared" si="2"/>
        <v>#N/A</v>
      </c>
      <c r="AF38" s="339" t="e">
        <f t="shared" si="0"/>
        <v>#N/A</v>
      </c>
      <c r="AG38" s="339" t="e">
        <f t="shared" si="3"/>
        <v>#N/A</v>
      </c>
      <c r="AH38" s="339" t="e">
        <f t="shared" si="4"/>
        <v>#N/A</v>
      </c>
      <c r="AI38" s="339" t="e">
        <f t="shared" si="5"/>
        <v>#N/A</v>
      </c>
      <c r="AJ38" s="339" t="e">
        <f t="shared" si="6"/>
        <v>#N/A</v>
      </c>
      <c r="AK38" s="339" t="e">
        <f t="shared" si="7"/>
        <v>#N/A</v>
      </c>
      <c r="AL38" s="339" t="e">
        <f t="shared" si="8"/>
        <v>#N/A</v>
      </c>
      <c r="AM38" s="339" t="e">
        <f t="shared" si="9"/>
        <v>#N/A</v>
      </c>
      <c r="AN38" s="339" t="e">
        <f t="shared" si="10"/>
        <v>#N/A</v>
      </c>
      <c r="AO38" s="339" t="e">
        <f t="shared" si="11"/>
        <v>#N/A</v>
      </c>
      <c r="AP38" s="339" t="e">
        <f t="shared" si="12"/>
        <v>#N/A</v>
      </c>
      <c r="AQ38" s="339" t="e">
        <f t="shared" si="13"/>
        <v>#N/A</v>
      </c>
      <c r="AR38" s="339" t="e">
        <f t="shared" si="14"/>
        <v>#N/A</v>
      </c>
      <c r="AS38" s="339" t="e">
        <f t="shared" si="15"/>
        <v>#N/A</v>
      </c>
      <c r="AT38" s="339" t="e">
        <f t="shared" si="16"/>
        <v>#N/A</v>
      </c>
      <c r="AU38" s="339" t="e">
        <f t="shared" si="17"/>
        <v>#N/A</v>
      </c>
      <c r="AV38" s="339" t="e">
        <f t="shared" si="18"/>
        <v>#N/A</v>
      </c>
      <c r="AW38" s="339" t="e">
        <f t="shared" si="19"/>
        <v>#N/A</v>
      </c>
      <c r="AX38" s="339" t="e">
        <f t="shared" si="20"/>
        <v>#N/A</v>
      </c>
      <c r="AY38" s="339" t="e">
        <f t="shared" si="21"/>
        <v>#N/A</v>
      </c>
      <c r="AZ38" s="339" t="e">
        <f t="shared" si="22"/>
        <v>#N/A</v>
      </c>
      <c r="BA38" s="339" t="e">
        <f t="shared" si="23"/>
        <v>#N/A</v>
      </c>
      <c r="BB38" s="339" t="e">
        <f t="shared" si="24"/>
        <v>#N/A</v>
      </c>
      <c r="BC38" s="339" t="e">
        <f t="shared" si="25"/>
        <v>#N/A</v>
      </c>
      <c r="BD38" s="339" t="e">
        <f t="shared" si="26"/>
        <v>#N/A</v>
      </c>
      <c r="BE38" s="339" t="e">
        <f t="shared" si="27"/>
        <v>#N/A</v>
      </c>
      <c r="BF38" s="339" t="e">
        <f t="shared" si="28"/>
        <v>#N/A</v>
      </c>
      <c r="BG38" s="339" t="e">
        <f t="shared" si="29"/>
        <v>#N/A</v>
      </c>
      <c r="BH38" s="339" t="e">
        <f t="shared" si="30"/>
        <v>#N/A</v>
      </c>
      <c r="BI38" s="339" t="e">
        <f t="shared" si="31"/>
        <v>#N/A</v>
      </c>
      <c r="BJ38" s="339" t="e">
        <f t="shared" si="32"/>
        <v>#N/A</v>
      </c>
      <c r="BK38" s="339" t="e">
        <f t="shared" si="33"/>
        <v>#N/A</v>
      </c>
      <c r="BL38" s="541"/>
    </row>
    <row r="39" spans="1:64" ht="62.4" thickBot="1" x14ac:dyDescent="0.3">
      <c r="A39" s="400">
        <v>34</v>
      </c>
      <c r="B39" s="409" t="e">
        <f>CONCATENATED!E111</f>
        <v>#REF!</v>
      </c>
      <c r="C39" s="409" t="e">
        <f>CONCATENATED!F111</f>
        <v>#REF!</v>
      </c>
      <c r="D39" s="409" t="e">
        <f>CONCATENATED!G111</f>
        <v>#REF!</v>
      </c>
      <c r="E39" s="409" t="e">
        <f>CONCATENATED!H111</f>
        <v>#REF!</v>
      </c>
      <c r="F39" s="409" t="e">
        <f>CONCATENATED!I111</f>
        <v>#REF!</v>
      </c>
      <c r="G39" s="409" t="e">
        <f>CONCATENATED!J111</f>
        <v>#REF!</v>
      </c>
      <c r="H39" s="409" t="e">
        <f>CONCATENATED!K111</f>
        <v>#REF!</v>
      </c>
      <c r="I39" s="409" t="str">
        <f>CONCATENATED!L111</f>
        <v>BSME/SEP2020/J-FT [Y2S1  (50) Students] EMC 4212: MBOTHU FET 107</v>
      </c>
      <c r="J39" s="409" t="str">
        <f>CONCATENATED!M111</f>
        <v xml:space="preserve">BSME/AUG2021/J-FT [Y1S2  (55) Students] :  </v>
      </c>
      <c r="K39" s="409" t="e">
        <f>CONCATENATED!N111</f>
        <v>#REF!</v>
      </c>
      <c r="L39" s="409" t="e">
        <f>CONCATENATED!O111</f>
        <v>#REF!</v>
      </c>
      <c r="M39" s="409" t="str">
        <f>CONCATENATED!P111</f>
        <v xml:space="preserve">BTME/SEP2019/S-PT [Y3S1   (10) Students] :  </v>
      </c>
      <c r="N39" s="409" t="str">
        <f>CONCATENATED!Q111</f>
        <v xml:space="preserve">BTME/AUG2021/S-PT [Y2S2   (10) Students] :  </v>
      </c>
      <c r="O39" s="409" t="e">
        <f>CONCATENATED!R111</f>
        <v>#REF!</v>
      </c>
      <c r="P39" s="409" t="e">
        <f>CONCATENATED!S111</f>
        <v>#REF!</v>
      </c>
      <c r="Q39" s="409" t="str">
        <f>CONCATENATED!T111</f>
        <v xml:space="preserve">BTME/AUG2021/J&amp;S-FT [Y1S1  (52) Students] :  </v>
      </c>
      <c r="R39" s="409" t="e">
        <f>CONCATENATED!U111</f>
        <v>#REF!</v>
      </c>
      <c r="S39" s="409" t="e">
        <f>CONCATENATED!V111</f>
        <v>#REF!</v>
      </c>
      <c r="T39" s="409" t="e">
        <f>CONCATENATED!W111</f>
        <v>#REF!</v>
      </c>
      <c r="U39" s="409" t="e">
        <f>CONCATENATED!X111</f>
        <v>#REF!</v>
      </c>
      <c r="V39" s="409" t="e">
        <f>CONCATENATED!Y111</f>
        <v>#REF!</v>
      </c>
      <c r="W39" s="409" t="e">
        <f>CONCATENATED!Z111</f>
        <v>#REF!</v>
      </c>
      <c r="X39" s="409" t="e">
        <f>CONCATENATED!AA111</f>
        <v>#REF!</v>
      </c>
      <c r="Y39" s="409" t="e">
        <f>CONCATENATED!AB111</f>
        <v>#REF!</v>
      </c>
      <c r="Z39" s="409" t="str">
        <f>CONCATENATED!AC111</f>
        <v>DMAE/SEP20201J&amp;S-FT [Y1S2   (60) Students] EMR 2116: MAKONDE DO3</v>
      </c>
      <c r="AA39" s="409" t="e">
        <f>CONCATENATED!AD111</f>
        <v>#REF!</v>
      </c>
      <c r="AB39" s="409" t="e">
        <f>CONCATENATED!AE111</f>
        <v>#REF!</v>
      </c>
      <c r="AC39" s="535"/>
      <c r="AD39" s="366" t="e">
        <f t="shared" si="1"/>
        <v>#N/A</v>
      </c>
      <c r="AE39" s="367" t="e">
        <f t="shared" si="2"/>
        <v>#N/A</v>
      </c>
      <c r="AF39" s="367" t="e">
        <f t="shared" si="0"/>
        <v>#N/A</v>
      </c>
      <c r="AG39" s="367" t="e">
        <f t="shared" si="3"/>
        <v>#N/A</v>
      </c>
      <c r="AH39" s="367" t="e">
        <f t="shared" si="4"/>
        <v>#N/A</v>
      </c>
      <c r="AI39" s="367" t="e">
        <f t="shared" si="5"/>
        <v>#N/A</v>
      </c>
      <c r="AJ39" s="367" t="e">
        <f t="shared" si="6"/>
        <v>#N/A</v>
      </c>
      <c r="AK39" s="367" t="e">
        <f t="shared" si="7"/>
        <v>#N/A</v>
      </c>
      <c r="AL39" s="367" t="e">
        <f t="shared" si="8"/>
        <v>#N/A</v>
      </c>
      <c r="AM39" s="367" t="e">
        <f t="shared" si="9"/>
        <v>#N/A</v>
      </c>
      <c r="AN39" s="367" t="e">
        <f t="shared" si="10"/>
        <v>#N/A</v>
      </c>
      <c r="AO39" s="367" t="e">
        <f t="shared" si="11"/>
        <v>#N/A</v>
      </c>
      <c r="AP39" s="367" t="e">
        <f t="shared" si="12"/>
        <v>#N/A</v>
      </c>
      <c r="AQ39" s="367" t="e">
        <f t="shared" si="13"/>
        <v>#N/A</v>
      </c>
      <c r="AR39" s="367" t="e">
        <f t="shared" si="14"/>
        <v>#N/A</v>
      </c>
      <c r="AS39" s="368" t="e">
        <f t="shared" si="15"/>
        <v>#N/A</v>
      </c>
      <c r="AT39" s="367" t="e">
        <f t="shared" si="16"/>
        <v>#N/A</v>
      </c>
      <c r="AU39" s="367" t="e">
        <f t="shared" si="17"/>
        <v>#N/A</v>
      </c>
      <c r="AV39" s="367" t="e">
        <f t="shared" si="18"/>
        <v>#N/A</v>
      </c>
      <c r="AW39" s="367" t="e">
        <f t="shared" si="19"/>
        <v>#N/A</v>
      </c>
      <c r="AX39" s="367" t="e">
        <f t="shared" si="20"/>
        <v>#N/A</v>
      </c>
      <c r="AY39" s="367" t="e">
        <f t="shared" si="21"/>
        <v>#N/A</v>
      </c>
      <c r="AZ39" s="367" t="e">
        <f t="shared" si="22"/>
        <v>#N/A</v>
      </c>
      <c r="BA39" s="367" t="e">
        <f t="shared" si="23"/>
        <v>#N/A</v>
      </c>
      <c r="BB39" s="367" t="e">
        <f t="shared" si="24"/>
        <v>#N/A</v>
      </c>
      <c r="BC39" s="367" t="e">
        <f t="shared" si="25"/>
        <v>#N/A</v>
      </c>
      <c r="BD39" s="367" t="e">
        <f t="shared" si="26"/>
        <v>#N/A</v>
      </c>
      <c r="BE39" s="367" t="e">
        <f t="shared" si="27"/>
        <v>#N/A</v>
      </c>
      <c r="BF39" s="367" t="e">
        <f t="shared" si="28"/>
        <v>#N/A</v>
      </c>
      <c r="BG39" s="367" t="e">
        <f t="shared" si="29"/>
        <v>#N/A</v>
      </c>
      <c r="BH39" s="367" t="e">
        <f t="shared" si="30"/>
        <v>#N/A</v>
      </c>
      <c r="BI39" s="367" t="e">
        <f t="shared" si="31"/>
        <v>#N/A</v>
      </c>
      <c r="BJ39" s="367" t="e">
        <f t="shared" si="32"/>
        <v>#N/A</v>
      </c>
      <c r="BK39" s="367" t="e">
        <f t="shared" si="33"/>
        <v>#N/A</v>
      </c>
      <c r="BL39" s="535"/>
    </row>
    <row r="40" spans="1:64" ht="15.6" thickBot="1" x14ac:dyDescent="0.3">
      <c r="A40" s="400">
        <v>35</v>
      </c>
      <c r="B40" s="409" t="e">
        <f>CONCATENATED!E114</f>
        <v>#REF!</v>
      </c>
      <c r="C40" s="409" t="e">
        <f>CONCATENATED!F114</f>
        <v>#REF!</v>
      </c>
      <c r="D40" s="409" t="e">
        <f>CONCATENATED!G114</f>
        <v>#REF!</v>
      </c>
      <c r="E40" s="409" t="e">
        <f>CONCATENATED!H114</f>
        <v>#REF!</v>
      </c>
      <c r="F40" s="409" t="e">
        <f>CONCATENATED!I114</f>
        <v>#REF!</v>
      </c>
      <c r="G40" s="409" t="e">
        <f>CONCATENATED!J114</f>
        <v>#REF!</v>
      </c>
      <c r="H40" s="409" t="e">
        <f>CONCATENATED!K114</f>
        <v>#REF!</v>
      </c>
      <c r="I40" s="409" t="e">
        <f>CONCATENATED!L114</f>
        <v>#REF!</v>
      </c>
      <c r="J40" s="409" t="e">
        <f>CONCATENATED!M114</f>
        <v>#REF!</v>
      </c>
      <c r="K40" s="409" t="e">
        <f>CONCATENATED!N114</f>
        <v>#REF!</v>
      </c>
      <c r="L40" s="409" t="e">
        <f>CONCATENATED!O114</f>
        <v>#REF!</v>
      </c>
      <c r="M40" s="409" t="e">
        <f>CONCATENATED!P114</f>
        <v>#REF!</v>
      </c>
      <c r="N40" s="409" t="e">
        <f>CONCATENATED!Q114</f>
        <v>#REF!</v>
      </c>
      <c r="O40" s="409" t="e">
        <f>CONCATENATED!R114</f>
        <v>#REF!</v>
      </c>
      <c r="P40" s="409" t="e">
        <f>CONCATENATED!S114</f>
        <v>#REF!</v>
      </c>
      <c r="Q40" s="409" t="e">
        <f>CONCATENATED!T114</f>
        <v>#REF!</v>
      </c>
      <c r="R40" s="409" t="e">
        <f>CONCATENATED!U114</f>
        <v>#REF!</v>
      </c>
      <c r="S40" s="409" t="e">
        <f>CONCATENATED!V114</f>
        <v>#REF!</v>
      </c>
      <c r="T40" s="409" t="e">
        <f>CONCATENATED!W114</f>
        <v>#REF!</v>
      </c>
      <c r="U40" s="409" t="e">
        <f>CONCATENATED!X114</f>
        <v>#REF!</v>
      </c>
      <c r="V40" s="409" t="e">
        <f>CONCATENATED!Y114</f>
        <v>#REF!</v>
      </c>
      <c r="W40" s="409" t="e">
        <f>CONCATENATED!Z114</f>
        <v>#REF!</v>
      </c>
      <c r="X40" s="409" t="e">
        <f>CONCATENATED!AA114</f>
        <v>#REF!</v>
      </c>
      <c r="Y40" s="409" t="e">
        <f>CONCATENATED!AB114</f>
        <v>#REF!</v>
      </c>
      <c r="Z40" s="409" t="e">
        <f>CONCATENATED!AC114</f>
        <v>#REF!</v>
      </c>
      <c r="AA40" s="409" t="e">
        <f>CONCATENATED!AD114</f>
        <v>#REF!</v>
      </c>
      <c r="AB40" s="409" t="e">
        <f>CONCATENATED!AE114</f>
        <v>#REF!</v>
      </c>
      <c r="AC40" s="535"/>
      <c r="AD40" s="369" t="e">
        <f t="shared" si="1"/>
        <v>#N/A</v>
      </c>
      <c r="AE40" s="370" t="e">
        <f t="shared" si="2"/>
        <v>#N/A</v>
      </c>
      <c r="AF40" s="370" t="e">
        <f t="shared" si="0"/>
        <v>#N/A</v>
      </c>
      <c r="AG40" s="370" t="e">
        <f t="shared" si="3"/>
        <v>#N/A</v>
      </c>
      <c r="AH40" s="370" t="e">
        <f t="shared" si="4"/>
        <v>#N/A</v>
      </c>
      <c r="AI40" s="370" t="e">
        <f t="shared" si="5"/>
        <v>#N/A</v>
      </c>
      <c r="AJ40" s="370" t="e">
        <f t="shared" si="6"/>
        <v>#N/A</v>
      </c>
      <c r="AK40" s="370" t="e">
        <f t="shared" si="7"/>
        <v>#N/A</v>
      </c>
      <c r="AL40" s="370" t="e">
        <f t="shared" si="8"/>
        <v>#N/A</v>
      </c>
      <c r="AM40" s="370" t="e">
        <f t="shared" si="9"/>
        <v>#N/A</v>
      </c>
      <c r="AN40" s="370" t="e">
        <f t="shared" si="10"/>
        <v>#N/A</v>
      </c>
      <c r="AO40" s="370" t="e">
        <f t="shared" si="11"/>
        <v>#N/A</v>
      </c>
      <c r="AP40" s="370" t="e">
        <f t="shared" si="12"/>
        <v>#N/A</v>
      </c>
      <c r="AQ40" s="370" t="e">
        <f t="shared" si="13"/>
        <v>#N/A</v>
      </c>
      <c r="AR40" s="370" t="e">
        <f t="shared" si="14"/>
        <v>#N/A</v>
      </c>
      <c r="AS40" s="371" t="e">
        <f t="shared" si="15"/>
        <v>#N/A</v>
      </c>
      <c r="AT40" s="370" t="e">
        <f t="shared" si="16"/>
        <v>#N/A</v>
      </c>
      <c r="AU40" s="370" t="e">
        <f t="shared" si="17"/>
        <v>#N/A</v>
      </c>
      <c r="AV40" s="370" t="e">
        <f t="shared" si="18"/>
        <v>#N/A</v>
      </c>
      <c r="AW40" s="370" t="e">
        <f t="shared" si="19"/>
        <v>#N/A</v>
      </c>
      <c r="AX40" s="370" t="e">
        <f t="shared" si="20"/>
        <v>#N/A</v>
      </c>
      <c r="AY40" s="370" t="e">
        <f t="shared" si="21"/>
        <v>#N/A</v>
      </c>
      <c r="AZ40" s="370" t="e">
        <f t="shared" si="22"/>
        <v>#N/A</v>
      </c>
      <c r="BA40" s="370" t="e">
        <f t="shared" si="23"/>
        <v>#N/A</v>
      </c>
      <c r="BB40" s="370" t="e">
        <f t="shared" si="24"/>
        <v>#N/A</v>
      </c>
      <c r="BC40" s="370" t="e">
        <f t="shared" si="25"/>
        <v>#N/A</v>
      </c>
      <c r="BD40" s="370" t="e">
        <f t="shared" si="26"/>
        <v>#N/A</v>
      </c>
      <c r="BE40" s="370" t="e">
        <f t="shared" si="27"/>
        <v>#N/A</v>
      </c>
      <c r="BF40" s="370" t="e">
        <f t="shared" si="28"/>
        <v>#N/A</v>
      </c>
      <c r="BG40" s="370" t="e">
        <f t="shared" si="29"/>
        <v>#N/A</v>
      </c>
      <c r="BH40" s="370" t="e">
        <f t="shared" si="30"/>
        <v>#N/A</v>
      </c>
      <c r="BI40" s="370" t="e">
        <f t="shared" si="31"/>
        <v>#N/A</v>
      </c>
      <c r="BJ40" s="370" t="e">
        <f t="shared" si="32"/>
        <v>#N/A</v>
      </c>
      <c r="BK40" s="370" t="e">
        <f t="shared" si="33"/>
        <v>#N/A</v>
      </c>
      <c r="BL40" s="535"/>
    </row>
    <row r="41" spans="1:64" ht="15.6" thickBot="1" x14ac:dyDescent="0.3">
      <c r="A41" s="400">
        <v>36</v>
      </c>
      <c r="B41" s="409" t="e">
        <f>CONCATENATED!E117</f>
        <v>#REF!</v>
      </c>
      <c r="C41" s="409" t="e">
        <f>CONCATENATED!F117</f>
        <v>#REF!</v>
      </c>
      <c r="D41" s="409" t="e">
        <f>CONCATENATED!G117</f>
        <v>#REF!</v>
      </c>
      <c r="E41" s="409" t="e">
        <f>CONCATENATED!H117</f>
        <v>#REF!</v>
      </c>
      <c r="F41" s="409" t="e">
        <f>CONCATENATED!I117</f>
        <v>#REF!</v>
      </c>
      <c r="G41" s="409" t="e">
        <f>CONCATENATED!J117</f>
        <v>#REF!</v>
      </c>
      <c r="H41" s="409" t="e">
        <f>CONCATENATED!K117</f>
        <v>#REF!</v>
      </c>
      <c r="I41" s="409" t="e">
        <f>CONCATENATED!L117</f>
        <v>#REF!</v>
      </c>
      <c r="J41" s="409" t="e">
        <f>CONCATENATED!M117</f>
        <v>#REF!</v>
      </c>
      <c r="K41" s="409" t="e">
        <f>CONCATENATED!N117</f>
        <v>#REF!</v>
      </c>
      <c r="L41" s="409" t="e">
        <f>CONCATENATED!O117</f>
        <v>#REF!</v>
      </c>
      <c r="M41" s="409" t="e">
        <f>CONCATENATED!P117</f>
        <v>#REF!</v>
      </c>
      <c r="N41" s="409" t="e">
        <f>CONCATENATED!Q117</f>
        <v>#REF!</v>
      </c>
      <c r="O41" s="409" t="e">
        <f>CONCATENATED!R117</f>
        <v>#REF!</v>
      </c>
      <c r="P41" s="409" t="e">
        <f>CONCATENATED!S117</f>
        <v>#REF!</v>
      </c>
      <c r="Q41" s="409" t="e">
        <f>CONCATENATED!T117</f>
        <v>#REF!</v>
      </c>
      <c r="R41" s="409" t="e">
        <f>CONCATENATED!U117</f>
        <v>#REF!</v>
      </c>
      <c r="S41" s="409" t="e">
        <f>CONCATENATED!V117</f>
        <v>#REF!</v>
      </c>
      <c r="T41" s="409" t="e">
        <f>CONCATENATED!W117</f>
        <v>#REF!</v>
      </c>
      <c r="U41" s="409" t="e">
        <f>CONCATENATED!X117</f>
        <v>#REF!</v>
      </c>
      <c r="V41" s="409" t="e">
        <f>CONCATENATED!Y117</f>
        <v>#REF!</v>
      </c>
      <c r="W41" s="409" t="e">
        <f>CONCATENATED!Z117</f>
        <v>#REF!</v>
      </c>
      <c r="X41" s="409" t="e">
        <f>CONCATENATED!AA117</f>
        <v>#REF!</v>
      </c>
      <c r="Y41" s="409" t="e">
        <f>CONCATENATED!AB117</f>
        <v>#REF!</v>
      </c>
      <c r="Z41" s="409" t="e">
        <f>CONCATENATED!AC117</f>
        <v>#REF!</v>
      </c>
      <c r="AA41" s="409" t="e">
        <f>CONCATENATED!AD117</f>
        <v>#REF!</v>
      </c>
      <c r="AB41" s="409" t="e">
        <f>CONCATENATED!AE117</f>
        <v>#REF!</v>
      </c>
      <c r="AC41" s="535"/>
      <c r="AD41" s="369" t="e">
        <f t="shared" si="1"/>
        <v>#N/A</v>
      </c>
      <c r="AE41" s="370" t="e">
        <f t="shared" si="2"/>
        <v>#N/A</v>
      </c>
      <c r="AF41" s="370" t="e">
        <f t="shared" si="0"/>
        <v>#N/A</v>
      </c>
      <c r="AG41" s="370" t="e">
        <f t="shared" si="3"/>
        <v>#N/A</v>
      </c>
      <c r="AH41" s="370" t="e">
        <f t="shared" si="4"/>
        <v>#N/A</v>
      </c>
      <c r="AI41" s="370" t="e">
        <f t="shared" si="5"/>
        <v>#N/A</v>
      </c>
      <c r="AJ41" s="370" t="e">
        <f t="shared" si="6"/>
        <v>#N/A</v>
      </c>
      <c r="AK41" s="370" t="e">
        <f t="shared" si="7"/>
        <v>#N/A</v>
      </c>
      <c r="AL41" s="370" t="e">
        <f t="shared" si="8"/>
        <v>#N/A</v>
      </c>
      <c r="AM41" s="370" t="e">
        <f t="shared" si="9"/>
        <v>#N/A</v>
      </c>
      <c r="AN41" s="370" t="e">
        <f t="shared" si="10"/>
        <v>#N/A</v>
      </c>
      <c r="AO41" s="370" t="e">
        <f t="shared" si="11"/>
        <v>#N/A</v>
      </c>
      <c r="AP41" s="370" t="e">
        <f t="shared" si="12"/>
        <v>#N/A</v>
      </c>
      <c r="AQ41" s="370" t="e">
        <f t="shared" si="13"/>
        <v>#N/A</v>
      </c>
      <c r="AR41" s="370" t="e">
        <f t="shared" si="14"/>
        <v>#N/A</v>
      </c>
      <c r="AS41" s="371" t="e">
        <f t="shared" si="15"/>
        <v>#N/A</v>
      </c>
      <c r="AT41" s="370" t="e">
        <f t="shared" si="16"/>
        <v>#N/A</v>
      </c>
      <c r="AU41" s="370" t="e">
        <f t="shared" si="17"/>
        <v>#N/A</v>
      </c>
      <c r="AV41" s="370" t="e">
        <f t="shared" si="18"/>
        <v>#N/A</v>
      </c>
      <c r="AW41" s="370" t="e">
        <f t="shared" si="19"/>
        <v>#N/A</v>
      </c>
      <c r="AX41" s="370" t="e">
        <f t="shared" si="20"/>
        <v>#N/A</v>
      </c>
      <c r="AY41" s="370" t="e">
        <f t="shared" si="21"/>
        <v>#N/A</v>
      </c>
      <c r="AZ41" s="370" t="e">
        <f t="shared" si="22"/>
        <v>#N/A</v>
      </c>
      <c r="BA41" s="370" t="e">
        <f t="shared" si="23"/>
        <v>#N/A</v>
      </c>
      <c r="BB41" s="370" t="e">
        <f t="shared" si="24"/>
        <v>#N/A</v>
      </c>
      <c r="BC41" s="370" t="e">
        <f t="shared" si="25"/>
        <v>#N/A</v>
      </c>
      <c r="BD41" s="370" t="e">
        <f t="shared" si="26"/>
        <v>#N/A</v>
      </c>
      <c r="BE41" s="370" t="e">
        <f t="shared" si="27"/>
        <v>#N/A</v>
      </c>
      <c r="BF41" s="370" t="e">
        <f t="shared" si="28"/>
        <v>#N/A</v>
      </c>
      <c r="BG41" s="370" t="e">
        <f t="shared" si="29"/>
        <v>#N/A</v>
      </c>
      <c r="BH41" s="370" t="e">
        <f t="shared" si="30"/>
        <v>#N/A</v>
      </c>
      <c r="BI41" s="370" t="e">
        <f t="shared" si="31"/>
        <v>#N/A</v>
      </c>
      <c r="BJ41" s="370" t="e">
        <f t="shared" si="32"/>
        <v>#N/A</v>
      </c>
      <c r="BK41" s="370" t="e">
        <f t="shared" si="33"/>
        <v>#N/A</v>
      </c>
      <c r="BL41" s="535"/>
    </row>
    <row r="42" spans="1:64" ht="52.2" thickBot="1" x14ac:dyDescent="0.3">
      <c r="A42" s="400">
        <v>37</v>
      </c>
      <c r="B42" s="409" t="e">
        <f>CONCATENATED!E120</f>
        <v>#REF!</v>
      </c>
      <c r="C42" s="409" t="e">
        <f>CONCATENATED!F120</f>
        <v>#REF!</v>
      </c>
      <c r="D42" s="409" t="e">
        <f>CONCATENATED!G120</f>
        <v>#REF!</v>
      </c>
      <c r="E42" s="409" t="e">
        <f>CONCATENATED!H120</f>
        <v>#REF!</v>
      </c>
      <c r="F42" s="409" t="e">
        <f>CONCATENATED!I120</f>
        <v>#REF!</v>
      </c>
      <c r="G42" s="409" t="e">
        <f>CONCATENATED!J120</f>
        <v>#REF!</v>
      </c>
      <c r="H42" s="409" t="e">
        <f>CONCATENATED!K120</f>
        <v>#REF!</v>
      </c>
      <c r="I42" s="409" t="str">
        <f>CONCATENATED!L120</f>
        <v xml:space="preserve">BSME/SEP2020/J-FT [Y2S1  (50) Students] :  </v>
      </c>
      <c r="J42" s="409" t="str">
        <f>CONCATENATED!M120</f>
        <v xml:space="preserve">BSME/AUG2021/J-FT [Y1S2  (55) Students] :  </v>
      </c>
      <c r="K42" s="409" t="e">
        <f>CONCATENATED!N120</f>
        <v>#REF!</v>
      </c>
      <c r="L42" s="409" t="e">
        <f>CONCATENATED!O120</f>
        <v>#REF!</v>
      </c>
      <c r="M42" s="409" t="str">
        <f>CONCATENATED!P120</f>
        <v xml:space="preserve">BTME/SEP2019/S-PT [Y3S1   (10) Students] :  </v>
      </c>
      <c r="N42" s="409" t="str">
        <f>CONCATENATED!Q120</f>
        <v>BTME/AUG2021/S-PT [Y2S2   (10) Students] BFI 4204: COD BUSINESS FET 109</v>
      </c>
      <c r="O42" s="409" t="e">
        <f>CONCATENATED!R120</f>
        <v>#REF!</v>
      </c>
      <c r="P42" s="409" t="e">
        <f>CONCATENATED!S120</f>
        <v>#REF!</v>
      </c>
      <c r="Q42" s="409" t="str">
        <f>CONCATENATED!T120</f>
        <v xml:space="preserve">BTME/AUG2021/J&amp;S-FT [Y1S1  (52) Students] :  </v>
      </c>
      <c r="R42" s="409" t="e">
        <f>CONCATENATED!U120</f>
        <v>#REF!</v>
      </c>
      <c r="S42" s="409" t="e">
        <f>CONCATENATED!V120</f>
        <v>#REF!</v>
      </c>
      <c r="T42" s="409" t="e">
        <f>CONCATENATED!W120</f>
        <v>#REF!</v>
      </c>
      <c r="U42" s="409" t="e">
        <f>CONCATENATED!X120</f>
        <v>#REF!</v>
      </c>
      <c r="V42" s="409" t="e">
        <f>CONCATENATED!Y120</f>
        <v>#REF!</v>
      </c>
      <c r="W42" s="409" t="e">
        <f>CONCATENATED!Z120</f>
        <v>#REF!</v>
      </c>
      <c r="X42" s="409" t="e">
        <f>CONCATENATED!AA120</f>
        <v>#REF!</v>
      </c>
      <c r="Y42" s="409" t="e">
        <f>CONCATENATED!AB120</f>
        <v>#REF!</v>
      </c>
      <c r="Z42" s="409" t="str">
        <f>CONCATENATED!AC120</f>
        <v xml:space="preserve">DMAE/SEP20201J&amp;S-FT [Y1S2   (60) Students] :  </v>
      </c>
      <c r="AA42" s="409" t="e">
        <f>CONCATENATED!AD120</f>
        <v>#REF!</v>
      </c>
      <c r="AB42" s="409" t="e">
        <f>CONCATENATED!AE120</f>
        <v>#REF!</v>
      </c>
      <c r="AC42" s="535"/>
      <c r="AD42" s="369" t="e">
        <f t="shared" si="1"/>
        <v>#N/A</v>
      </c>
      <c r="AE42" s="370" t="e">
        <f t="shared" si="2"/>
        <v>#N/A</v>
      </c>
      <c r="AF42" s="370" t="e">
        <f t="shared" si="0"/>
        <v>#N/A</v>
      </c>
      <c r="AG42" s="370" t="e">
        <f t="shared" si="3"/>
        <v>#N/A</v>
      </c>
      <c r="AH42" s="370" t="e">
        <f t="shared" si="4"/>
        <v>#N/A</v>
      </c>
      <c r="AI42" s="370" t="e">
        <f t="shared" si="5"/>
        <v>#N/A</v>
      </c>
      <c r="AJ42" s="370" t="e">
        <f t="shared" si="6"/>
        <v>#N/A</v>
      </c>
      <c r="AK42" s="370" t="e">
        <f t="shared" si="7"/>
        <v>#N/A</v>
      </c>
      <c r="AL42" s="370" t="e">
        <f t="shared" si="8"/>
        <v>#N/A</v>
      </c>
      <c r="AM42" s="370" t="e">
        <f t="shared" si="9"/>
        <v>#N/A</v>
      </c>
      <c r="AN42" s="370" t="e">
        <f t="shared" si="10"/>
        <v>#N/A</v>
      </c>
      <c r="AO42" s="370" t="e">
        <f t="shared" si="11"/>
        <v>#N/A</v>
      </c>
      <c r="AP42" s="370" t="e">
        <f t="shared" si="12"/>
        <v>#N/A</v>
      </c>
      <c r="AQ42" s="370" t="e">
        <f t="shared" si="13"/>
        <v>#N/A</v>
      </c>
      <c r="AR42" s="370" t="e">
        <f t="shared" si="14"/>
        <v>#N/A</v>
      </c>
      <c r="AS42" s="371" t="e">
        <f t="shared" si="15"/>
        <v>#N/A</v>
      </c>
      <c r="AT42" s="370" t="e">
        <f t="shared" si="16"/>
        <v>#N/A</v>
      </c>
      <c r="AU42" s="370" t="e">
        <f t="shared" si="17"/>
        <v>#N/A</v>
      </c>
      <c r="AV42" s="370" t="e">
        <f t="shared" si="18"/>
        <v>#N/A</v>
      </c>
      <c r="AW42" s="370" t="e">
        <f t="shared" si="19"/>
        <v>#N/A</v>
      </c>
      <c r="AX42" s="370" t="e">
        <f t="shared" si="20"/>
        <v>#N/A</v>
      </c>
      <c r="AY42" s="370" t="e">
        <f t="shared" si="21"/>
        <v>#N/A</v>
      </c>
      <c r="AZ42" s="370" t="e">
        <f t="shared" si="22"/>
        <v>#N/A</v>
      </c>
      <c r="BA42" s="370" t="e">
        <f t="shared" si="23"/>
        <v>#N/A</v>
      </c>
      <c r="BB42" s="370" t="e">
        <f t="shared" si="24"/>
        <v>#N/A</v>
      </c>
      <c r="BC42" s="370" t="e">
        <f t="shared" si="25"/>
        <v>#N/A</v>
      </c>
      <c r="BD42" s="370" t="e">
        <f t="shared" si="26"/>
        <v>#N/A</v>
      </c>
      <c r="BE42" s="370" t="e">
        <f t="shared" si="27"/>
        <v>#N/A</v>
      </c>
      <c r="BF42" s="370" t="e">
        <f t="shared" si="28"/>
        <v>#N/A</v>
      </c>
      <c r="BG42" s="370" t="e">
        <f t="shared" si="29"/>
        <v>#N/A</v>
      </c>
      <c r="BH42" s="370" t="e">
        <f t="shared" si="30"/>
        <v>#N/A</v>
      </c>
      <c r="BI42" s="370" t="e">
        <f t="shared" si="31"/>
        <v>#N/A</v>
      </c>
      <c r="BJ42" s="370" t="e">
        <f t="shared" si="32"/>
        <v>#N/A</v>
      </c>
      <c r="BK42" s="370" t="e">
        <f t="shared" si="33"/>
        <v>#N/A</v>
      </c>
      <c r="BL42" s="535"/>
    </row>
    <row r="43" spans="1:64" ht="15.6" thickBot="1" x14ac:dyDescent="0.3">
      <c r="A43" s="400">
        <v>38</v>
      </c>
      <c r="B43" s="409" t="e">
        <f>CONCATENATED!E123</f>
        <v>#REF!</v>
      </c>
      <c r="C43" s="409" t="e">
        <f>CONCATENATED!F123</f>
        <v>#REF!</v>
      </c>
      <c r="D43" s="409" t="e">
        <f>CONCATENATED!G123</f>
        <v>#REF!</v>
      </c>
      <c r="E43" s="409" t="e">
        <f>CONCATENATED!H123</f>
        <v>#REF!</v>
      </c>
      <c r="F43" s="409" t="e">
        <f>CONCATENATED!I123</f>
        <v>#REF!</v>
      </c>
      <c r="G43" s="409" t="e">
        <f>CONCATENATED!J123</f>
        <v>#REF!</v>
      </c>
      <c r="H43" s="409" t="e">
        <f>CONCATENATED!K123</f>
        <v>#REF!</v>
      </c>
      <c r="I43" s="409" t="e">
        <f>CONCATENATED!L123</f>
        <v>#REF!</v>
      </c>
      <c r="J43" s="409" t="e">
        <f>CONCATENATED!M123</f>
        <v>#REF!</v>
      </c>
      <c r="K43" s="409" t="e">
        <f>CONCATENATED!N123</f>
        <v>#REF!</v>
      </c>
      <c r="L43" s="409" t="e">
        <f>CONCATENATED!O123</f>
        <v>#REF!</v>
      </c>
      <c r="M43" s="409" t="e">
        <f>CONCATENATED!P123</f>
        <v>#REF!</v>
      </c>
      <c r="N43" s="409" t="e">
        <f>CONCATENATED!Q123</f>
        <v>#REF!</v>
      </c>
      <c r="O43" s="409" t="e">
        <f>CONCATENATED!R123</f>
        <v>#REF!</v>
      </c>
      <c r="P43" s="409" t="e">
        <f>CONCATENATED!S123</f>
        <v>#REF!</v>
      </c>
      <c r="Q43" s="409" t="e">
        <f>CONCATENATED!T123</f>
        <v>#REF!</v>
      </c>
      <c r="R43" s="409" t="e">
        <f>CONCATENATED!U123</f>
        <v>#REF!</v>
      </c>
      <c r="S43" s="409" t="e">
        <f>CONCATENATED!V123</f>
        <v>#REF!</v>
      </c>
      <c r="T43" s="409" t="e">
        <f>CONCATENATED!W123</f>
        <v>#REF!</v>
      </c>
      <c r="U43" s="409" t="e">
        <f>CONCATENATED!X123</f>
        <v>#REF!</v>
      </c>
      <c r="V43" s="409" t="e">
        <f>CONCATENATED!Y123</f>
        <v>#REF!</v>
      </c>
      <c r="W43" s="409" t="e">
        <f>CONCATENATED!Z123</f>
        <v>#REF!</v>
      </c>
      <c r="X43" s="409" t="e">
        <f>CONCATENATED!AA123</f>
        <v>#REF!</v>
      </c>
      <c r="Y43" s="409" t="e">
        <f>CONCATENATED!AB123</f>
        <v>#REF!</v>
      </c>
      <c r="Z43" s="409" t="e">
        <f>CONCATENATED!AC123</f>
        <v>#REF!</v>
      </c>
      <c r="AA43" s="409" t="e">
        <f>CONCATENATED!AD123</f>
        <v>#REF!</v>
      </c>
      <c r="AB43" s="409" t="e">
        <f>CONCATENATED!AE123</f>
        <v>#REF!</v>
      </c>
      <c r="AC43" s="535"/>
      <c r="AD43" s="369" t="e">
        <f t="shared" si="1"/>
        <v>#N/A</v>
      </c>
      <c r="AE43" s="370" t="e">
        <f t="shared" si="2"/>
        <v>#N/A</v>
      </c>
      <c r="AF43" s="370" t="e">
        <f t="shared" si="0"/>
        <v>#N/A</v>
      </c>
      <c r="AG43" s="370" t="e">
        <f t="shared" si="3"/>
        <v>#N/A</v>
      </c>
      <c r="AH43" s="370" t="e">
        <f t="shared" si="4"/>
        <v>#N/A</v>
      </c>
      <c r="AI43" s="370" t="e">
        <f t="shared" si="5"/>
        <v>#N/A</v>
      </c>
      <c r="AJ43" s="370" t="e">
        <f t="shared" si="6"/>
        <v>#N/A</v>
      </c>
      <c r="AK43" s="370" t="e">
        <f t="shared" si="7"/>
        <v>#N/A</v>
      </c>
      <c r="AL43" s="370" t="e">
        <f t="shared" si="8"/>
        <v>#N/A</v>
      </c>
      <c r="AM43" s="370" t="e">
        <f t="shared" si="9"/>
        <v>#N/A</v>
      </c>
      <c r="AN43" s="370" t="e">
        <f t="shared" si="10"/>
        <v>#N/A</v>
      </c>
      <c r="AO43" s="370" t="e">
        <f t="shared" si="11"/>
        <v>#N/A</v>
      </c>
      <c r="AP43" s="370" t="e">
        <f t="shared" si="12"/>
        <v>#N/A</v>
      </c>
      <c r="AQ43" s="370" t="e">
        <f t="shared" si="13"/>
        <v>#N/A</v>
      </c>
      <c r="AR43" s="370" t="e">
        <f t="shared" si="14"/>
        <v>#N/A</v>
      </c>
      <c r="AS43" s="371" t="e">
        <f t="shared" si="15"/>
        <v>#N/A</v>
      </c>
      <c r="AT43" s="370" t="e">
        <f t="shared" si="16"/>
        <v>#N/A</v>
      </c>
      <c r="AU43" s="370" t="e">
        <f t="shared" si="17"/>
        <v>#N/A</v>
      </c>
      <c r="AV43" s="370" t="e">
        <f t="shared" si="18"/>
        <v>#N/A</v>
      </c>
      <c r="AW43" s="370" t="e">
        <f t="shared" si="19"/>
        <v>#N/A</v>
      </c>
      <c r="AX43" s="370" t="e">
        <f t="shared" si="20"/>
        <v>#N/A</v>
      </c>
      <c r="AY43" s="370" t="e">
        <f t="shared" si="21"/>
        <v>#N/A</v>
      </c>
      <c r="AZ43" s="370" t="e">
        <f t="shared" si="22"/>
        <v>#N/A</v>
      </c>
      <c r="BA43" s="370" t="e">
        <f t="shared" si="23"/>
        <v>#N/A</v>
      </c>
      <c r="BB43" s="370" t="e">
        <f t="shared" si="24"/>
        <v>#N/A</v>
      </c>
      <c r="BC43" s="370" t="e">
        <f t="shared" si="25"/>
        <v>#N/A</v>
      </c>
      <c r="BD43" s="370" t="e">
        <f t="shared" si="26"/>
        <v>#N/A</v>
      </c>
      <c r="BE43" s="370" t="e">
        <f t="shared" si="27"/>
        <v>#N/A</v>
      </c>
      <c r="BF43" s="370" t="e">
        <f t="shared" si="28"/>
        <v>#N/A</v>
      </c>
      <c r="BG43" s="370" t="e">
        <f t="shared" si="29"/>
        <v>#N/A</v>
      </c>
      <c r="BH43" s="370" t="e">
        <f t="shared" si="30"/>
        <v>#N/A</v>
      </c>
      <c r="BI43" s="370" t="e">
        <f t="shared" si="31"/>
        <v>#N/A</v>
      </c>
      <c r="BJ43" s="370" t="e">
        <f t="shared" si="32"/>
        <v>#N/A</v>
      </c>
      <c r="BK43" s="370" t="e">
        <f t="shared" si="33"/>
        <v>#N/A</v>
      </c>
      <c r="BL43" s="535"/>
    </row>
    <row r="44" spans="1:64" ht="15.6" thickBot="1" x14ac:dyDescent="0.3">
      <c r="A44" s="400">
        <v>39</v>
      </c>
      <c r="B44" s="409" t="e">
        <f>CONCATENATED!E126</f>
        <v>#REF!</v>
      </c>
      <c r="C44" s="409" t="e">
        <f>CONCATENATED!F126</f>
        <v>#REF!</v>
      </c>
      <c r="D44" s="409" t="e">
        <f>CONCATENATED!G126</f>
        <v>#REF!</v>
      </c>
      <c r="E44" s="409" t="e">
        <f>CONCATENATED!H126</f>
        <v>#REF!</v>
      </c>
      <c r="F44" s="409" t="e">
        <f>CONCATENATED!I126</f>
        <v>#REF!</v>
      </c>
      <c r="G44" s="409" t="e">
        <f>CONCATENATED!J126</f>
        <v>#REF!</v>
      </c>
      <c r="H44" s="409" t="e">
        <f>CONCATENATED!K126</f>
        <v>#REF!</v>
      </c>
      <c r="I44" s="409" t="e">
        <f>CONCATENATED!L126</f>
        <v>#REF!</v>
      </c>
      <c r="J44" s="409" t="e">
        <f>CONCATENATED!M126</f>
        <v>#REF!</v>
      </c>
      <c r="K44" s="409" t="e">
        <f>CONCATENATED!N126</f>
        <v>#REF!</v>
      </c>
      <c r="L44" s="409" t="e">
        <f>CONCATENATED!O126</f>
        <v>#REF!</v>
      </c>
      <c r="M44" s="409" t="e">
        <f>CONCATENATED!P126</f>
        <v>#REF!</v>
      </c>
      <c r="N44" s="409" t="e">
        <f>CONCATENATED!Q126</f>
        <v>#REF!</v>
      </c>
      <c r="O44" s="409" t="e">
        <f>CONCATENATED!R126</f>
        <v>#REF!</v>
      </c>
      <c r="P44" s="409" t="e">
        <f>CONCATENATED!S126</f>
        <v>#REF!</v>
      </c>
      <c r="Q44" s="409" t="e">
        <f>CONCATENATED!T126</f>
        <v>#REF!</v>
      </c>
      <c r="R44" s="409" t="e">
        <f>CONCATENATED!U126</f>
        <v>#REF!</v>
      </c>
      <c r="S44" s="409" t="e">
        <f>CONCATENATED!V126</f>
        <v>#REF!</v>
      </c>
      <c r="T44" s="409" t="e">
        <f>CONCATENATED!W126</f>
        <v>#REF!</v>
      </c>
      <c r="U44" s="409" t="e">
        <f>CONCATENATED!X126</f>
        <v>#REF!</v>
      </c>
      <c r="V44" s="409" t="e">
        <f>CONCATENATED!Y126</f>
        <v>#REF!</v>
      </c>
      <c r="W44" s="409" t="e">
        <f>CONCATENATED!Z126</f>
        <v>#REF!</v>
      </c>
      <c r="X44" s="409" t="e">
        <f>CONCATENATED!AA126</f>
        <v>#REF!</v>
      </c>
      <c r="Y44" s="409" t="e">
        <f>CONCATENATED!AB126</f>
        <v>#REF!</v>
      </c>
      <c r="Z44" s="409" t="e">
        <f>CONCATENATED!AC126</f>
        <v>#REF!</v>
      </c>
      <c r="AA44" s="409" t="e">
        <f>CONCATENATED!AD126</f>
        <v>#REF!</v>
      </c>
      <c r="AB44" s="409" t="e">
        <f>CONCATENATED!AE126</f>
        <v>#REF!</v>
      </c>
      <c r="AC44" s="536"/>
      <c r="AD44" s="369" t="e">
        <f t="shared" si="1"/>
        <v>#N/A</v>
      </c>
      <c r="AE44" s="370" t="e">
        <f t="shared" si="2"/>
        <v>#N/A</v>
      </c>
      <c r="AF44" s="370" t="e">
        <f t="shared" si="0"/>
        <v>#N/A</v>
      </c>
      <c r="AG44" s="370" t="e">
        <f t="shared" si="3"/>
        <v>#N/A</v>
      </c>
      <c r="AH44" s="370" t="e">
        <f t="shared" si="4"/>
        <v>#N/A</v>
      </c>
      <c r="AI44" s="370" t="e">
        <f t="shared" si="5"/>
        <v>#N/A</v>
      </c>
      <c r="AJ44" s="370" t="e">
        <f t="shared" si="6"/>
        <v>#N/A</v>
      </c>
      <c r="AK44" s="370" t="e">
        <f t="shared" si="7"/>
        <v>#N/A</v>
      </c>
      <c r="AL44" s="370" t="e">
        <f t="shared" si="8"/>
        <v>#N/A</v>
      </c>
      <c r="AM44" s="370" t="e">
        <f t="shared" si="9"/>
        <v>#N/A</v>
      </c>
      <c r="AN44" s="370" t="e">
        <f t="shared" si="10"/>
        <v>#N/A</v>
      </c>
      <c r="AO44" s="370" t="e">
        <f t="shared" si="11"/>
        <v>#N/A</v>
      </c>
      <c r="AP44" s="370" t="e">
        <f t="shared" si="12"/>
        <v>#N/A</v>
      </c>
      <c r="AQ44" s="370" t="e">
        <f t="shared" si="13"/>
        <v>#N/A</v>
      </c>
      <c r="AR44" s="370" t="e">
        <f t="shared" si="14"/>
        <v>#N/A</v>
      </c>
      <c r="AS44" s="371" t="e">
        <f t="shared" si="15"/>
        <v>#N/A</v>
      </c>
      <c r="AT44" s="370" t="e">
        <f t="shared" si="16"/>
        <v>#N/A</v>
      </c>
      <c r="AU44" s="370" t="e">
        <f t="shared" si="17"/>
        <v>#N/A</v>
      </c>
      <c r="AV44" s="370" t="e">
        <f t="shared" si="18"/>
        <v>#N/A</v>
      </c>
      <c r="AW44" s="370" t="e">
        <f t="shared" si="19"/>
        <v>#N/A</v>
      </c>
      <c r="AX44" s="370" t="e">
        <f t="shared" si="20"/>
        <v>#N/A</v>
      </c>
      <c r="AY44" s="370" t="e">
        <f t="shared" si="21"/>
        <v>#N/A</v>
      </c>
      <c r="AZ44" s="370" t="e">
        <f t="shared" si="22"/>
        <v>#N/A</v>
      </c>
      <c r="BA44" s="370" t="e">
        <f t="shared" si="23"/>
        <v>#N/A</v>
      </c>
      <c r="BB44" s="370" t="e">
        <f t="shared" si="24"/>
        <v>#N/A</v>
      </c>
      <c r="BC44" s="370" t="e">
        <f t="shared" si="25"/>
        <v>#N/A</v>
      </c>
      <c r="BD44" s="370" t="e">
        <f t="shared" si="26"/>
        <v>#N/A</v>
      </c>
      <c r="BE44" s="370" t="e">
        <f t="shared" si="27"/>
        <v>#N/A</v>
      </c>
      <c r="BF44" s="370" t="e">
        <f t="shared" si="28"/>
        <v>#N/A</v>
      </c>
      <c r="BG44" s="370" t="e">
        <f t="shared" si="29"/>
        <v>#N/A</v>
      </c>
      <c r="BH44" s="370" t="e">
        <f t="shared" si="30"/>
        <v>#N/A</v>
      </c>
      <c r="BI44" s="370" t="e">
        <f t="shared" si="31"/>
        <v>#N/A</v>
      </c>
      <c r="BJ44" s="370" t="e">
        <f t="shared" si="32"/>
        <v>#N/A</v>
      </c>
      <c r="BK44" s="370" t="e">
        <f t="shared" si="33"/>
        <v>#N/A</v>
      </c>
      <c r="BL44" s="536"/>
    </row>
    <row r="45" spans="1:64" ht="15.6" thickBot="1" x14ac:dyDescent="0.3">
      <c r="A45" s="400">
        <v>40</v>
      </c>
      <c r="B45" s="409"/>
      <c r="C45" s="409"/>
      <c r="D45" s="409"/>
      <c r="E45" s="409"/>
      <c r="F45" s="409"/>
      <c r="G45" s="409"/>
      <c r="H45" s="409"/>
      <c r="I45" s="409"/>
      <c r="J45" s="409"/>
      <c r="K45" s="409"/>
      <c r="L45" s="409"/>
      <c r="M45" s="409"/>
      <c r="N45" s="409"/>
      <c r="O45" s="409"/>
      <c r="P45" s="409"/>
      <c r="Q45" s="409"/>
      <c r="R45" s="409"/>
      <c r="S45" s="409"/>
      <c r="T45" s="409"/>
      <c r="U45" s="409"/>
      <c r="V45" s="409"/>
      <c r="W45" s="409"/>
      <c r="X45" s="409"/>
      <c r="Y45" s="409"/>
      <c r="Z45" s="409"/>
      <c r="AA45" s="409"/>
      <c r="AB45" s="409"/>
      <c r="AC45" s="349"/>
      <c r="AD45" s="321" t="e">
        <f t="shared" si="1"/>
        <v>#N/A</v>
      </c>
      <c r="AE45" s="321" t="e">
        <f t="shared" si="2"/>
        <v>#N/A</v>
      </c>
      <c r="AF45" s="321" t="e">
        <f t="shared" si="0"/>
        <v>#N/A</v>
      </c>
      <c r="AG45" s="322" t="e">
        <f t="shared" si="3"/>
        <v>#N/A</v>
      </c>
      <c r="AH45" s="321" t="e">
        <f t="shared" si="4"/>
        <v>#N/A</v>
      </c>
      <c r="AI45" s="321" t="e">
        <f t="shared" si="5"/>
        <v>#N/A</v>
      </c>
      <c r="AJ45" s="321" t="e">
        <f t="shared" si="6"/>
        <v>#N/A</v>
      </c>
      <c r="AK45" s="323" t="e">
        <f t="shared" si="7"/>
        <v>#N/A</v>
      </c>
      <c r="AL45" s="321" t="e">
        <f t="shared" si="8"/>
        <v>#N/A</v>
      </c>
      <c r="AM45" s="321" t="e">
        <f t="shared" si="9"/>
        <v>#N/A</v>
      </c>
      <c r="AN45" s="321" t="e">
        <f t="shared" si="10"/>
        <v>#N/A</v>
      </c>
      <c r="AO45" s="324" t="e">
        <f t="shared" si="11"/>
        <v>#N/A</v>
      </c>
      <c r="AP45" s="321" t="e">
        <f t="shared" si="12"/>
        <v>#N/A</v>
      </c>
      <c r="AQ45" s="321" t="e">
        <f t="shared" si="13"/>
        <v>#N/A</v>
      </c>
      <c r="AR45" s="321" t="e">
        <f t="shared" si="14"/>
        <v>#N/A</v>
      </c>
      <c r="AS45" s="322" t="e">
        <f t="shared" si="15"/>
        <v>#N/A</v>
      </c>
      <c r="AT45" s="321" t="e">
        <f t="shared" si="16"/>
        <v>#N/A</v>
      </c>
      <c r="AU45" s="321" t="e">
        <f t="shared" si="17"/>
        <v>#N/A</v>
      </c>
      <c r="AV45" s="321" t="e">
        <f t="shared" si="18"/>
        <v>#N/A</v>
      </c>
      <c r="AW45" s="321" t="e">
        <f t="shared" si="19"/>
        <v>#N/A</v>
      </c>
      <c r="AX45" s="321" t="e">
        <f t="shared" si="20"/>
        <v>#N/A</v>
      </c>
      <c r="AY45" s="321" t="e">
        <f t="shared" si="21"/>
        <v>#N/A</v>
      </c>
      <c r="AZ45" s="321" t="e">
        <f t="shared" si="22"/>
        <v>#N/A</v>
      </c>
      <c r="BA45" s="321" t="e">
        <f t="shared" si="23"/>
        <v>#N/A</v>
      </c>
      <c r="BB45" s="321" t="e">
        <f t="shared" si="24"/>
        <v>#N/A</v>
      </c>
      <c r="BC45" s="321" t="e">
        <f t="shared" si="25"/>
        <v>#N/A</v>
      </c>
      <c r="BD45" s="321" t="e">
        <f t="shared" si="26"/>
        <v>#N/A</v>
      </c>
      <c r="BE45" s="321" t="e">
        <f t="shared" si="27"/>
        <v>#N/A</v>
      </c>
      <c r="BF45" s="321" t="e">
        <f t="shared" si="28"/>
        <v>#N/A</v>
      </c>
      <c r="BG45" s="321" t="e">
        <f t="shared" si="29"/>
        <v>#N/A</v>
      </c>
      <c r="BH45" s="321" t="e">
        <f t="shared" si="30"/>
        <v>#N/A</v>
      </c>
      <c r="BI45" s="321" t="e">
        <f t="shared" si="31"/>
        <v>#N/A</v>
      </c>
      <c r="BJ45" s="322" t="e">
        <f t="shared" si="32"/>
        <v>#N/A</v>
      </c>
      <c r="BK45" s="321" t="e">
        <f t="shared" si="33"/>
        <v>#N/A</v>
      </c>
      <c r="BL45" s="349"/>
    </row>
    <row r="46" spans="1:64" ht="62.4" thickBot="1" x14ac:dyDescent="0.3">
      <c r="A46" s="400">
        <v>41</v>
      </c>
      <c r="B46" s="408" t="e">
        <f>CONCATENATED!E129</f>
        <v>#REF!</v>
      </c>
      <c r="C46" s="408" t="e">
        <f>CONCATENATED!F129</f>
        <v>#REF!</v>
      </c>
      <c r="D46" s="408" t="e">
        <f>CONCATENATED!G129</f>
        <v>#REF!</v>
      </c>
      <c r="E46" s="408" t="e">
        <f>CONCATENATED!H129</f>
        <v>#REF!</v>
      </c>
      <c r="F46" s="408" t="e">
        <f>CONCATENATED!I129</f>
        <v>#REF!</v>
      </c>
      <c r="G46" s="408" t="e">
        <f>CONCATENATED!J129</f>
        <v>#REF!</v>
      </c>
      <c r="H46" s="408" t="e">
        <f>CONCATENATED!K129</f>
        <v>#REF!</v>
      </c>
      <c r="I46" s="408" t="str">
        <f>CONCATENATED!L129</f>
        <v>BSME/SEP2020/J-FT [Y2S1  (50) Students] EIT 4102: COD ICI LAB A</v>
      </c>
      <c r="J46" s="408" t="str">
        <f>CONCATENATED!M129</f>
        <v>BSME/AUG2021/J-FT [Y1S2  (55) Students] BMG 4102: DR. MWADZOGO, FET 316</v>
      </c>
      <c r="K46" s="408" t="e">
        <f>CONCATENATED!N129</f>
        <v>#REF!</v>
      </c>
      <c r="L46" s="408" t="e">
        <f>CONCATENATED!O129</f>
        <v>#REF!</v>
      </c>
      <c r="M46" s="408" t="str">
        <f>CONCATENATED!P129</f>
        <v xml:space="preserve">BTME/SEP2019/S-PT [Y3S1   (10) Students] :  </v>
      </c>
      <c r="N46" s="408" t="str">
        <f>CONCATENATED!Q129</f>
        <v xml:space="preserve">BTME/AUG2021/S-PT [Y2S2   (10) Students] :  </v>
      </c>
      <c r="O46" s="408" t="e">
        <f>CONCATENATED!R129</f>
        <v>#REF!</v>
      </c>
      <c r="P46" s="408" t="e">
        <f>CONCATENATED!S129</f>
        <v>#REF!</v>
      </c>
      <c r="Q46" s="408" t="str">
        <f>CONCATENATED!T129</f>
        <v>BTME/AUG2021/J&amp;S-FT [Y1S1  (52) Students] TMC 4211: MBOTHU MB 13</v>
      </c>
      <c r="R46" s="408" t="e">
        <f>CONCATENATED!U129</f>
        <v>#REF!</v>
      </c>
      <c r="S46" s="408" t="e">
        <f>CONCATENATED!V129</f>
        <v>#REF!</v>
      </c>
      <c r="T46" s="408" t="e">
        <f>CONCATENATED!W129</f>
        <v>#REF!</v>
      </c>
      <c r="U46" s="408" t="e">
        <f>CONCATENATED!X129</f>
        <v>#REF!</v>
      </c>
      <c r="V46" s="408" t="e">
        <f>CONCATENATED!Y129</f>
        <v>#REF!</v>
      </c>
      <c r="W46" s="408" t="e">
        <f>CONCATENATED!Z129</f>
        <v>#REF!</v>
      </c>
      <c r="X46" s="408" t="e">
        <f>CONCATENATED!AA129</f>
        <v>#REF!</v>
      </c>
      <c r="Y46" s="408" t="e">
        <f>CONCATENATED!AB129</f>
        <v>#REF!</v>
      </c>
      <c r="Z46" s="408" t="str">
        <f>CONCATENATED!AC129</f>
        <v xml:space="preserve">DMAE/SEP20201J&amp;S-FT [Y1S2   (60) Students] :  </v>
      </c>
      <c r="AA46" s="408" t="e">
        <f>CONCATENATED!AD129</f>
        <v>#REF!</v>
      </c>
      <c r="AB46" s="408" t="e">
        <f>CONCATENATED!AE129</f>
        <v>#REF!</v>
      </c>
      <c r="AC46" s="540" t="s">
        <v>183</v>
      </c>
      <c r="AD46" s="352" t="e">
        <f t="shared" si="1"/>
        <v>#N/A</v>
      </c>
      <c r="AE46" s="353" t="e">
        <f t="shared" si="2"/>
        <v>#N/A</v>
      </c>
      <c r="AF46" s="353" t="e">
        <f t="shared" si="0"/>
        <v>#N/A</v>
      </c>
      <c r="AG46" s="353" t="e">
        <f t="shared" si="3"/>
        <v>#N/A</v>
      </c>
      <c r="AH46" s="353" t="e">
        <f t="shared" si="4"/>
        <v>#N/A</v>
      </c>
      <c r="AI46" s="353" t="e">
        <f t="shared" si="5"/>
        <v>#N/A</v>
      </c>
      <c r="AJ46" s="353" t="e">
        <f t="shared" si="6"/>
        <v>#N/A</v>
      </c>
      <c r="AK46" s="353" t="e">
        <f t="shared" si="7"/>
        <v>#N/A</v>
      </c>
      <c r="AL46" s="353" t="e">
        <f t="shared" si="8"/>
        <v>#N/A</v>
      </c>
      <c r="AM46" s="353" t="e">
        <f t="shared" si="9"/>
        <v>#N/A</v>
      </c>
      <c r="AN46" s="353" t="e">
        <f t="shared" si="10"/>
        <v>#N/A</v>
      </c>
      <c r="AO46" s="353" t="e">
        <f t="shared" si="11"/>
        <v>#N/A</v>
      </c>
      <c r="AP46" s="353" t="e">
        <f t="shared" si="12"/>
        <v>#N/A</v>
      </c>
      <c r="AQ46" s="353" t="e">
        <f t="shared" si="13"/>
        <v>#N/A</v>
      </c>
      <c r="AR46" s="353" t="e">
        <f t="shared" si="14"/>
        <v>#N/A</v>
      </c>
      <c r="AS46" s="354" t="e">
        <f t="shared" si="15"/>
        <v>#N/A</v>
      </c>
      <c r="AT46" s="353" t="e">
        <f t="shared" si="16"/>
        <v>#N/A</v>
      </c>
      <c r="AU46" s="353" t="e">
        <f t="shared" si="17"/>
        <v>#N/A</v>
      </c>
      <c r="AV46" s="353" t="e">
        <f t="shared" si="18"/>
        <v>#N/A</v>
      </c>
      <c r="AW46" s="353" t="e">
        <f t="shared" si="19"/>
        <v>#N/A</v>
      </c>
      <c r="AX46" s="353" t="e">
        <f t="shared" si="20"/>
        <v>#N/A</v>
      </c>
      <c r="AY46" s="353" t="e">
        <f t="shared" si="21"/>
        <v>#N/A</v>
      </c>
      <c r="AZ46" s="353" t="e">
        <f t="shared" si="22"/>
        <v>#N/A</v>
      </c>
      <c r="BA46" s="353" t="e">
        <f t="shared" si="23"/>
        <v>#N/A</v>
      </c>
      <c r="BB46" s="353" t="e">
        <f t="shared" si="24"/>
        <v>#N/A</v>
      </c>
      <c r="BC46" s="353" t="e">
        <f t="shared" si="25"/>
        <v>#N/A</v>
      </c>
      <c r="BD46" s="353" t="e">
        <f t="shared" si="26"/>
        <v>#N/A</v>
      </c>
      <c r="BE46" s="353" t="e">
        <f t="shared" si="27"/>
        <v>#N/A</v>
      </c>
      <c r="BF46" s="353" t="e">
        <f t="shared" si="28"/>
        <v>#N/A</v>
      </c>
      <c r="BG46" s="353" t="e">
        <f t="shared" si="29"/>
        <v>#N/A</v>
      </c>
      <c r="BH46" s="353" t="e">
        <f t="shared" si="30"/>
        <v>#N/A</v>
      </c>
      <c r="BI46" s="353" t="e">
        <f t="shared" si="31"/>
        <v>#N/A</v>
      </c>
      <c r="BJ46" s="353" t="e">
        <f t="shared" si="32"/>
        <v>#N/A</v>
      </c>
      <c r="BK46" s="353" t="e">
        <f t="shared" si="33"/>
        <v>#N/A</v>
      </c>
      <c r="BL46" s="540" t="s">
        <v>183</v>
      </c>
    </row>
    <row r="47" spans="1:64" ht="15.6" thickBot="1" x14ac:dyDescent="0.3">
      <c r="A47" s="400">
        <v>42</v>
      </c>
      <c r="B47" s="408" t="e">
        <f>CONCATENATED!E132</f>
        <v>#REF!</v>
      </c>
      <c r="C47" s="408" t="e">
        <f>CONCATENATED!F132</f>
        <v>#REF!</v>
      </c>
      <c r="D47" s="408" t="e">
        <f>CONCATENATED!G132</f>
        <v>#REF!</v>
      </c>
      <c r="E47" s="408" t="e">
        <f>CONCATENATED!H132</f>
        <v>#REF!</v>
      </c>
      <c r="F47" s="408" t="e">
        <f>CONCATENATED!I132</f>
        <v>#REF!</v>
      </c>
      <c r="G47" s="408" t="e">
        <f>CONCATENATED!J132</f>
        <v>#REF!</v>
      </c>
      <c r="H47" s="408" t="e">
        <f>CONCATENATED!K132</f>
        <v>#REF!</v>
      </c>
      <c r="I47" s="408" t="e">
        <f>CONCATENATED!L132</f>
        <v>#REF!</v>
      </c>
      <c r="J47" s="408" t="e">
        <f>CONCATENATED!M132</f>
        <v>#REF!</v>
      </c>
      <c r="K47" s="408" t="e">
        <f>CONCATENATED!N132</f>
        <v>#REF!</v>
      </c>
      <c r="L47" s="408" t="e">
        <f>CONCATENATED!O132</f>
        <v>#REF!</v>
      </c>
      <c r="M47" s="408" t="e">
        <f>CONCATENATED!P132</f>
        <v>#REF!</v>
      </c>
      <c r="N47" s="408" t="e">
        <f>CONCATENATED!Q132</f>
        <v>#REF!</v>
      </c>
      <c r="O47" s="408" t="e">
        <f>CONCATENATED!R132</f>
        <v>#REF!</v>
      </c>
      <c r="P47" s="408" t="e">
        <f>CONCATENATED!S132</f>
        <v>#REF!</v>
      </c>
      <c r="Q47" s="408" t="e">
        <f>CONCATENATED!T132</f>
        <v>#REF!</v>
      </c>
      <c r="R47" s="408" t="e">
        <f>CONCATENATED!U132</f>
        <v>#REF!</v>
      </c>
      <c r="S47" s="408" t="e">
        <f>CONCATENATED!V132</f>
        <v>#REF!</v>
      </c>
      <c r="T47" s="408" t="e">
        <f>CONCATENATED!W132</f>
        <v>#REF!</v>
      </c>
      <c r="U47" s="408" t="e">
        <f>CONCATENATED!X132</f>
        <v>#REF!</v>
      </c>
      <c r="V47" s="408" t="e">
        <f>CONCATENATED!Y132</f>
        <v>#REF!</v>
      </c>
      <c r="W47" s="408" t="e">
        <f>CONCATENATED!Z132</f>
        <v>#REF!</v>
      </c>
      <c r="X47" s="408" t="e">
        <f>CONCATENATED!AA132</f>
        <v>#REF!</v>
      </c>
      <c r="Y47" s="408" t="e">
        <f>CONCATENATED!AB132</f>
        <v>#REF!</v>
      </c>
      <c r="Z47" s="408" t="e">
        <f>CONCATENATED!AC132</f>
        <v>#REF!</v>
      </c>
      <c r="AA47" s="408" t="e">
        <f>CONCATENATED!AD132</f>
        <v>#REF!</v>
      </c>
      <c r="AB47" s="408" t="e">
        <f>CONCATENATED!AE132</f>
        <v>#REF!</v>
      </c>
      <c r="AC47" s="535"/>
      <c r="AD47" s="355" t="e">
        <f t="shared" si="1"/>
        <v>#N/A</v>
      </c>
      <c r="AE47" s="356" t="e">
        <f t="shared" si="2"/>
        <v>#N/A</v>
      </c>
      <c r="AF47" s="356" t="e">
        <f t="shared" si="0"/>
        <v>#N/A</v>
      </c>
      <c r="AG47" s="356" t="e">
        <f t="shared" si="3"/>
        <v>#N/A</v>
      </c>
      <c r="AH47" s="356" t="e">
        <f t="shared" si="4"/>
        <v>#N/A</v>
      </c>
      <c r="AI47" s="356" t="e">
        <f t="shared" si="5"/>
        <v>#N/A</v>
      </c>
      <c r="AJ47" s="356" t="e">
        <f t="shared" si="6"/>
        <v>#N/A</v>
      </c>
      <c r="AK47" s="356" t="e">
        <f t="shared" si="7"/>
        <v>#N/A</v>
      </c>
      <c r="AL47" s="356" t="e">
        <f t="shared" si="8"/>
        <v>#N/A</v>
      </c>
      <c r="AM47" s="356" t="e">
        <f t="shared" si="9"/>
        <v>#N/A</v>
      </c>
      <c r="AN47" s="356" t="e">
        <f t="shared" si="10"/>
        <v>#N/A</v>
      </c>
      <c r="AO47" s="356" t="e">
        <f t="shared" si="11"/>
        <v>#N/A</v>
      </c>
      <c r="AP47" s="356" t="e">
        <f t="shared" si="12"/>
        <v>#N/A</v>
      </c>
      <c r="AQ47" s="356" t="e">
        <f t="shared" si="13"/>
        <v>#N/A</v>
      </c>
      <c r="AR47" s="356" t="e">
        <f t="shared" si="14"/>
        <v>#N/A</v>
      </c>
      <c r="AS47" s="357" t="e">
        <f t="shared" si="15"/>
        <v>#N/A</v>
      </c>
      <c r="AT47" s="356" t="e">
        <f t="shared" si="16"/>
        <v>#N/A</v>
      </c>
      <c r="AU47" s="356" t="e">
        <f t="shared" si="17"/>
        <v>#N/A</v>
      </c>
      <c r="AV47" s="356" t="e">
        <f t="shared" si="18"/>
        <v>#N/A</v>
      </c>
      <c r="AW47" s="356" t="e">
        <f t="shared" si="19"/>
        <v>#N/A</v>
      </c>
      <c r="AX47" s="356" t="e">
        <f t="shared" si="20"/>
        <v>#N/A</v>
      </c>
      <c r="AY47" s="356" t="e">
        <f t="shared" si="21"/>
        <v>#N/A</v>
      </c>
      <c r="AZ47" s="356" t="e">
        <f t="shared" si="22"/>
        <v>#N/A</v>
      </c>
      <c r="BA47" s="356" t="e">
        <f t="shared" si="23"/>
        <v>#N/A</v>
      </c>
      <c r="BB47" s="356" t="e">
        <f t="shared" si="24"/>
        <v>#N/A</v>
      </c>
      <c r="BC47" s="356" t="e">
        <f t="shared" si="25"/>
        <v>#N/A</v>
      </c>
      <c r="BD47" s="356" t="e">
        <f t="shared" si="26"/>
        <v>#N/A</v>
      </c>
      <c r="BE47" s="356" t="e">
        <f t="shared" si="27"/>
        <v>#N/A</v>
      </c>
      <c r="BF47" s="356" t="e">
        <f t="shared" si="28"/>
        <v>#N/A</v>
      </c>
      <c r="BG47" s="356" t="e">
        <f t="shared" si="29"/>
        <v>#N/A</v>
      </c>
      <c r="BH47" s="356" t="e">
        <f t="shared" si="30"/>
        <v>#N/A</v>
      </c>
      <c r="BI47" s="356" t="e">
        <f t="shared" si="31"/>
        <v>#N/A</v>
      </c>
      <c r="BJ47" s="356" t="e">
        <f t="shared" si="32"/>
        <v>#N/A</v>
      </c>
      <c r="BK47" s="356" t="e">
        <f t="shared" si="33"/>
        <v>#N/A</v>
      </c>
      <c r="BL47" s="535"/>
    </row>
    <row r="48" spans="1:64" ht="15.6" thickBot="1" x14ac:dyDescent="0.3">
      <c r="A48" s="400">
        <v>43</v>
      </c>
      <c r="B48" s="408" t="e">
        <f>CONCATENATED!E135</f>
        <v>#REF!</v>
      </c>
      <c r="C48" s="408" t="e">
        <f>CONCATENATED!F135</f>
        <v>#REF!</v>
      </c>
      <c r="D48" s="408" t="e">
        <f>CONCATENATED!G135</f>
        <v>#REF!</v>
      </c>
      <c r="E48" s="408" t="e">
        <f>CONCATENATED!H135</f>
        <v>#REF!</v>
      </c>
      <c r="F48" s="408" t="e">
        <f>CONCATENATED!I135</f>
        <v>#REF!</v>
      </c>
      <c r="G48" s="408" t="e">
        <f>CONCATENATED!J135</f>
        <v>#REF!</v>
      </c>
      <c r="H48" s="408" t="e">
        <f>CONCATENATED!K135</f>
        <v>#REF!</v>
      </c>
      <c r="I48" s="408" t="e">
        <f>CONCATENATED!L135</f>
        <v>#REF!</v>
      </c>
      <c r="J48" s="408" t="e">
        <f>CONCATENATED!M135</f>
        <v>#REF!</v>
      </c>
      <c r="K48" s="408" t="e">
        <f>CONCATENATED!N135</f>
        <v>#REF!</v>
      </c>
      <c r="L48" s="408" t="e">
        <f>CONCATENATED!O135</f>
        <v>#REF!</v>
      </c>
      <c r="M48" s="408" t="e">
        <f>CONCATENATED!P135</f>
        <v>#REF!</v>
      </c>
      <c r="N48" s="408" t="e">
        <f>CONCATENATED!Q135</f>
        <v>#REF!</v>
      </c>
      <c r="O48" s="408" t="e">
        <f>CONCATENATED!R135</f>
        <v>#REF!</v>
      </c>
      <c r="P48" s="408" t="e">
        <f>CONCATENATED!S135</f>
        <v>#REF!</v>
      </c>
      <c r="Q48" s="408" t="e">
        <f>CONCATENATED!T135</f>
        <v>#REF!</v>
      </c>
      <c r="R48" s="408" t="e">
        <f>CONCATENATED!U135</f>
        <v>#REF!</v>
      </c>
      <c r="S48" s="408" t="e">
        <f>CONCATENATED!V135</f>
        <v>#REF!</v>
      </c>
      <c r="T48" s="408" t="e">
        <f>CONCATENATED!W135</f>
        <v>#REF!</v>
      </c>
      <c r="U48" s="408" t="e">
        <f>CONCATENATED!X135</f>
        <v>#REF!</v>
      </c>
      <c r="V48" s="408" t="e">
        <f>CONCATENATED!Y135</f>
        <v>#REF!</v>
      </c>
      <c r="W48" s="408" t="e">
        <f>CONCATENATED!Z135</f>
        <v>#REF!</v>
      </c>
      <c r="X48" s="408" t="e">
        <f>CONCATENATED!AA135</f>
        <v>#REF!</v>
      </c>
      <c r="Y48" s="408" t="e">
        <f>CONCATENATED!AB135</f>
        <v>#REF!</v>
      </c>
      <c r="Z48" s="408" t="e">
        <f>CONCATENATED!AC135</f>
        <v>#REF!</v>
      </c>
      <c r="AA48" s="408" t="e">
        <f>CONCATENATED!AD135</f>
        <v>#REF!</v>
      </c>
      <c r="AB48" s="408" t="e">
        <f>CONCATENATED!AE135</f>
        <v>#REF!</v>
      </c>
      <c r="AC48" s="535"/>
      <c r="AD48" s="355" t="e">
        <f t="shared" si="1"/>
        <v>#N/A</v>
      </c>
      <c r="AE48" s="356" t="e">
        <f t="shared" si="2"/>
        <v>#N/A</v>
      </c>
      <c r="AF48" s="356" t="e">
        <f t="shared" si="0"/>
        <v>#N/A</v>
      </c>
      <c r="AG48" s="356" t="e">
        <f t="shared" si="3"/>
        <v>#N/A</v>
      </c>
      <c r="AH48" s="356" t="e">
        <f t="shared" si="4"/>
        <v>#N/A</v>
      </c>
      <c r="AI48" s="356" t="e">
        <f t="shared" si="5"/>
        <v>#N/A</v>
      </c>
      <c r="AJ48" s="356" t="e">
        <f t="shared" si="6"/>
        <v>#N/A</v>
      </c>
      <c r="AK48" s="356" t="e">
        <f t="shared" si="7"/>
        <v>#N/A</v>
      </c>
      <c r="AL48" s="356" t="e">
        <f t="shared" si="8"/>
        <v>#N/A</v>
      </c>
      <c r="AM48" s="356" t="e">
        <f t="shared" si="9"/>
        <v>#N/A</v>
      </c>
      <c r="AN48" s="356" t="e">
        <f t="shared" si="10"/>
        <v>#N/A</v>
      </c>
      <c r="AO48" s="356" t="e">
        <f t="shared" si="11"/>
        <v>#N/A</v>
      </c>
      <c r="AP48" s="356" t="e">
        <f t="shared" si="12"/>
        <v>#N/A</v>
      </c>
      <c r="AQ48" s="356" t="e">
        <f t="shared" si="13"/>
        <v>#N/A</v>
      </c>
      <c r="AR48" s="356" t="e">
        <f t="shared" si="14"/>
        <v>#N/A</v>
      </c>
      <c r="AS48" s="357" t="e">
        <f t="shared" si="15"/>
        <v>#N/A</v>
      </c>
      <c r="AT48" s="356" t="e">
        <f t="shared" si="16"/>
        <v>#N/A</v>
      </c>
      <c r="AU48" s="356" t="e">
        <f t="shared" si="17"/>
        <v>#N/A</v>
      </c>
      <c r="AV48" s="356" t="e">
        <f t="shared" si="18"/>
        <v>#N/A</v>
      </c>
      <c r="AW48" s="356" t="e">
        <f t="shared" si="19"/>
        <v>#N/A</v>
      </c>
      <c r="AX48" s="356" t="e">
        <f t="shared" si="20"/>
        <v>#N/A</v>
      </c>
      <c r="AY48" s="356" t="e">
        <f t="shared" si="21"/>
        <v>#N/A</v>
      </c>
      <c r="AZ48" s="356" t="e">
        <f t="shared" si="22"/>
        <v>#N/A</v>
      </c>
      <c r="BA48" s="356" t="e">
        <f t="shared" si="23"/>
        <v>#N/A</v>
      </c>
      <c r="BB48" s="356" t="e">
        <f t="shared" si="24"/>
        <v>#N/A</v>
      </c>
      <c r="BC48" s="356" t="e">
        <f t="shared" si="25"/>
        <v>#N/A</v>
      </c>
      <c r="BD48" s="356" t="e">
        <f t="shared" si="26"/>
        <v>#N/A</v>
      </c>
      <c r="BE48" s="356" t="e">
        <f t="shared" si="27"/>
        <v>#N/A</v>
      </c>
      <c r="BF48" s="356" t="e">
        <f t="shared" si="28"/>
        <v>#N/A</v>
      </c>
      <c r="BG48" s="356" t="e">
        <f t="shared" si="29"/>
        <v>#N/A</v>
      </c>
      <c r="BH48" s="356" t="e">
        <f t="shared" si="30"/>
        <v>#N/A</v>
      </c>
      <c r="BI48" s="356" t="e">
        <f t="shared" si="31"/>
        <v>#N/A</v>
      </c>
      <c r="BJ48" s="356" t="e">
        <f t="shared" si="32"/>
        <v>#N/A</v>
      </c>
      <c r="BK48" s="356" t="e">
        <f t="shared" si="33"/>
        <v>#N/A</v>
      </c>
      <c r="BL48" s="535"/>
    </row>
    <row r="49" spans="1:64" s="406" customFormat="1" ht="62.4" thickBot="1" x14ac:dyDescent="0.3">
      <c r="A49" s="400">
        <v>44</v>
      </c>
      <c r="B49" s="408" t="e">
        <f>CONCATENATED!E138</f>
        <v>#REF!</v>
      </c>
      <c r="C49" s="408" t="e">
        <f>CONCATENATED!F138</f>
        <v>#REF!</v>
      </c>
      <c r="D49" s="408" t="e">
        <f>CONCATENATED!G138</f>
        <v>#REF!</v>
      </c>
      <c r="E49" s="408" t="e">
        <f>CONCATENATED!H138</f>
        <v>#REF!</v>
      </c>
      <c r="F49" s="408" t="e">
        <f>CONCATENATED!I138</f>
        <v>#REF!</v>
      </c>
      <c r="G49" s="408" t="e">
        <f>CONCATENATED!J138</f>
        <v>#REF!</v>
      </c>
      <c r="H49" s="408" t="e">
        <f>CONCATENATED!K138</f>
        <v>#REF!</v>
      </c>
      <c r="I49" s="408" t="str">
        <f>CONCATENATED!L138</f>
        <v>BSME/SEP2020/J-FT [Y2S1  (50) Students] EMC 4213: WANGOMBE/OMONDI W/SHOP I</v>
      </c>
      <c r="J49" s="408" t="str">
        <f>CONCATENATED!M138</f>
        <v>BSME/AUG2021/J-FT [Y1S2  (55) Students] ACH 4151: COD APPLIED MB 08</v>
      </c>
      <c r="K49" s="408" t="e">
        <f>CONCATENATED!N138</f>
        <v>#REF!</v>
      </c>
      <c r="L49" s="408" t="e">
        <f>CONCATENATED!O138</f>
        <v>#REF!</v>
      </c>
      <c r="M49" s="408" t="str">
        <f>CONCATENATED!P138</f>
        <v xml:space="preserve">BTME/SEP2019/S-PT [Y3S1   (10) Students] :  </v>
      </c>
      <c r="N49" s="408" t="str">
        <f>CONCATENATED!Q138</f>
        <v xml:space="preserve">BTME/AUG2021/S-PT [Y2S2   (10) Students] :  </v>
      </c>
      <c r="O49" s="408" t="e">
        <f>CONCATENATED!R138</f>
        <v>#REF!</v>
      </c>
      <c r="P49" s="408" t="e">
        <f>CONCATENATED!S138</f>
        <v>#REF!</v>
      </c>
      <c r="Q49" s="408" t="str">
        <f>CONCATENATED!T138</f>
        <v>BTME/AUG2021/J&amp;S-FT [Y1S1  (52) Students] TMC 4103: MWASHIGADI SC/LAB</v>
      </c>
      <c r="R49" s="408" t="e">
        <f>CONCATENATED!U138</f>
        <v>#REF!</v>
      </c>
      <c r="S49" s="408" t="e">
        <f>CONCATENATED!V138</f>
        <v>#REF!</v>
      </c>
      <c r="T49" s="408" t="e">
        <f>CONCATENATED!W138</f>
        <v>#REF!</v>
      </c>
      <c r="U49" s="408" t="e">
        <f>CONCATENATED!X138</f>
        <v>#REF!</v>
      </c>
      <c r="V49" s="408" t="e">
        <f>CONCATENATED!Y138</f>
        <v>#REF!</v>
      </c>
      <c r="W49" s="408" t="e">
        <f>CONCATENATED!Z138</f>
        <v>#REF!</v>
      </c>
      <c r="X49" s="408" t="e">
        <f>CONCATENATED!AA138</f>
        <v>#REF!</v>
      </c>
      <c r="Y49" s="408" t="e">
        <f>CONCATENATED!AB138</f>
        <v>#REF!</v>
      </c>
      <c r="Z49" s="408" t="str">
        <f>CONCATENATED!AC138</f>
        <v>DMAE/SEP20201J&amp;S-FT [Y1S2   (60) Students] EMR 2113: JUSMINE MB 02</v>
      </c>
      <c r="AA49" s="408" t="e">
        <f>CONCATENATED!AD138</f>
        <v>#REF!</v>
      </c>
      <c r="AB49" s="408" t="e">
        <f>CONCATENATED!AE138</f>
        <v>#REF!</v>
      </c>
      <c r="AC49" s="535"/>
      <c r="AD49" s="355" t="e">
        <f t="shared" si="1"/>
        <v>#N/A</v>
      </c>
      <c r="AE49" s="356" t="e">
        <f t="shared" si="2"/>
        <v>#N/A</v>
      </c>
      <c r="AF49" s="356" t="e">
        <f t="shared" si="0"/>
        <v>#N/A</v>
      </c>
      <c r="AG49" s="356" t="e">
        <f t="shared" si="3"/>
        <v>#N/A</v>
      </c>
      <c r="AH49" s="356" t="e">
        <f t="shared" si="4"/>
        <v>#N/A</v>
      </c>
      <c r="AI49" s="356" t="e">
        <f t="shared" si="5"/>
        <v>#N/A</v>
      </c>
      <c r="AJ49" s="356" t="e">
        <f t="shared" si="6"/>
        <v>#N/A</v>
      </c>
      <c r="AK49" s="356" t="e">
        <f t="shared" si="7"/>
        <v>#N/A</v>
      </c>
      <c r="AL49" s="356" t="e">
        <f t="shared" si="8"/>
        <v>#N/A</v>
      </c>
      <c r="AM49" s="356" t="e">
        <f t="shared" si="9"/>
        <v>#N/A</v>
      </c>
      <c r="AN49" s="356" t="e">
        <f t="shared" si="10"/>
        <v>#N/A</v>
      </c>
      <c r="AO49" s="356" t="e">
        <f t="shared" si="11"/>
        <v>#N/A</v>
      </c>
      <c r="AP49" s="356" t="e">
        <f t="shared" si="12"/>
        <v>#N/A</v>
      </c>
      <c r="AQ49" s="356" t="e">
        <f t="shared" si="13"/>
        <v>#N/A</v>
      </c>
      <c r="AR49" s="356" t="e">
        <f t="shared" si="14"/>
        <v>#N/A</v>
      </c>
      <c r="AS49" s="357" t="e">
        <f t="shared" si="15"/>
        <v>#N/A</v>
      </c>
      <c r="AT49" s="356" t="e">
        <f t="shared" si="16"/>
        <v>#N/A</v>
      </c>
      <c r="AU49" s="356" t="e">
        <f t="shared" si="17"/>
        <v>#N/A</v>
      </c>
      <c r="AV49" s="356" t="e">
        <f t="shared" si="18"/>
        <v>#N/A</v>
      </c>
      <c r="AW49" s="356" t="e">
        <f t="shared" si="19"/>
        <v>#N/A</v>
      </c>
      <c r="AX49" s="356" t="e">
        <f t="shared" si="20"/>
        <v>#N/A</v>
      </c>
      <c r="AY49" s="356" t="e">
        <f t="shared" si="21"/>
        <v>#N/A</v>
      </c>
      <c r="AZ49" s="356" t="e">
        <f t="shared" si="22"/>
        <v>#N/A</v>
      </c>
      <c r="BA49" s="356" t="e">
        <f t="shared" si="23"/>
        <v>#N/A</v>
      </c>
      <c r="BB49" s="356" t="e">
        <f t="shared" si="24"/>
        <v>#N/A</v>
      </c>
      <c r="BC49" s="356" t="e">
        <f t="shared" si="25"/>
        <v>#N/A</v>
      </c>
      <c r="BD49" s="356" t="e">
        <f t="shared" si="26"/>
        <v>#N/A</v>
      </c>
      <c r="BE49" s="356" t="e">
        <f t="shared" si="27"/>
        <v>#N/A</v>
      </c>
      <c r="BF49" s="356" t="e">
        <f t="shared" si="28"/>
        <v>#N/A</v>
      </c>
      <c r="BG49" s="356" t="e">
        <f t="shared" si="29"/>
        <v>#N/A</v>
      </c>
      <c r="BH49" s="356" t="e">
        <f t="shared" si="30"/>
        <v>#N/A</v>
      </c>
      <c r="BI49" s="356" t="e">
        <f t="shared" si="31"/>
        <v>#N/A</v>
      </c>
      <c r="BJ49" s="356" t="e">
        <f t="shared" si="32"/>
        <v>#N/A</v>
      </c>
      <c r="BK49" s="356" t="e">
        <f t="shared" si="33"/>
        <v>#N/A</v>
      </c>
      <c r="BL49" s="535"/>
    </row>
    <row r="50" spans="1:64" ht="15.6" thickBot="1" x14ac:dyDescent="0.3">
      <c r="A50" s="400">
        <v>45</v>
      </c>
      <c r="B50" s="408" t="e">
        <f>CONCATENATED!E141</f>
        <v>#REF!</v>
      </c>
      <c r="C50" s="408" t="e">
        <f>CONCATENATED!F141</f>
        <v>#REF!</v>
      </c>
      <c r="D50" s="408" t="e">
        <f>CONCATENATED!G141</f>
        <v>#REF!</v>
      </c>
      <c r="E50" s="408" t="e">
        <f>CONCATENATED!H141</f>
        <v>#REF!</v>
      </c>
      <c r="F50" s="408" t="e">
        <f>CONCATENATED!I141</f>
        <v>#REF!</v>
      </c>
      <c r="G50" s="408" t="e">
        <f>CONCATENATED!J141</f>
        <v>#REF!</v>
      </c>
      <c r="H50" s="408" t="e">
        <f>CONCATENATED!K141</f>
        <v>#REF!</v>
      </c>
      <c r="I50" s="408" t="e">
        <f>CONCATENATED!L141</f>
        <v>#REF!</v>
      </c>
      <c r="J50" s="408" t="e">
        <f>CONCATENATED!M141</f>
        <v>#REF!</v>
      </c>
      <c r="K50" s="408" t="e">
        <f>CONCATENATED!N141</f>
        <v>#REF!</v>
      </c>
      <c r="L50" s="408" t="e">
        <f>CONCATENATED!O141</f>
        <v>#REF!</v>
      </c>
      <c r="M50" s="408" t="e">
        <f>CONCATENATED!P141</f>
        <v>#REF!</v>
      </c>
      <c r="N50" s="408" t="e">
        <f>CONCATENATED!Q141</f>
        <v>#REF!</v>
      </c>
      <c r="O50" s="408" t="e">
        <f>CONCATENATED!R141</f>
        <v>#REF!</v>
      </c>
      <c r="P50" s="408" t="e">
        <f>CONCATENATED!S141</f>
        <v>#REF!</v>
      </c>
      <c r="Q50" s="408" t="e">
        <f>CONCATENATED!T141</f>
        <v>#REF!</v>
      </c>
      <c r="R50" s="408" t="e">
        <f>CONCATENATED!U141</f>
        <v>#REF!</v>
      </c>
      <c r="S50" s="408" t="e">
        <f>CONCATENATED!V141</f>
        <v>#REF!</v>
      </c>
      <c r="T50" s="408" t="e">
        <f>CONCATENATED!W141</f>
        <v>#REF!</v>
      </c>
      <c r="U50" s="408" t="e">
        <f>CONCATENATED!X141</f>
        <v>#REF!</v>
      </c>
      <c r="V50" s="408" t="e">
        <f>CONCATENATED!Y141</f>
        <v>#REF!</v>
      </c>
      <c r="W50" s="408" t="e">
        <f>CONCATENATED!Z141</f>
        <v>#REF!</v>
      </c>
      <c r="X50" s="408" t="e">
        <f>CONCATENATED!AA141</f>
        <v>#REF!</v>
      </c>
      <c r="Y50" s="408" t="e">
        <f>CONCATENATED!AB141</f>
        <v>#REF!</v>
      </c>
      <c r="Z50" s="408" t="e">
        <f>CONCATENATED!AC141</f>
        <v>#REF!</v>
      </c>
      <c r="AA50" s="408" t="e">
        <f>CONCATENATED!AD141</f>
        <v>#REF!</v>
      </c>
      <c r="AB50" s="408" t="e">
        <f>CONCATENATED!AE141</f>
        <v>#REF!</v>
      </c>
      <c r="AC50" s="535"/>
      <c r="AD50" s="355" t="e">
        <f t="shared" si="1"/>
        <v>#N/A</v>
      </c>
      <c r="AE50" s="356" t="e">
        <f t="shared" si="2"/>
        <v>#N/A</v>
      </c>
      <c r="AF50" s="356" t="e">
        <f t="shared" si="0"/>
        <v>#N/A</v>
      </c>
      <c r="AG50" s="356" t="e">
        <f t="shared" si="3"/>
        <v>#N/A</v>
      </c>
      <c r="AH50" s="356" t="e">
        <f t="shared" si="4"/>
        <v>#N/A</v>
      </c>
      <c r="AI50" s="356" t="e">
        <f t="shared" si="5"/>
        <v>#N/A</v>
      </c>
      <c r="AJ50" s="356" t="e">
        <f t="shared" si="6"/>
        <v>#N/A</v>
      </c>
      <c r="AK50" s="356" t="e">
        <f t="shared" si="7"/>
        <v>#N/A</v>
      </c>
      <c r="AL50" s="356" t="e">
        <f t="shared" si="8"/>
        <v>#N/A</v>
      </c>
      <c r="AM50" s="356" t="e">
        <f t="shared" si="9"/>
        <v>#N/A</v>
      </c>
      <c r="AN50" s="356" t="e">
        <f t="shared" si="10"/>
        <v>#N/A</v>
      </c>
      <c r="AO50" s="356" t="e">
        <f t="shared" si="11"/>
        <v>#N/A</v>
      </c>
      <c r="AP50" s="356" t="e">
        <f t="shared" si="12"/>
        <v>#N/A</v>
      </c>
      <c r="AQ50" s="356" t="e">
        <f t="shared" si="13"/>
        <v>#N/A</v>
      </c>
      <c r="AR50" s="356" t="e">
        <f t="shared" si="14"/>
        <v>#N/A</v>
      </c>
      <c r="AS50" s="357" t="e">
        <f t="shared" si="15"/>
        <v>#N/A</v>
      </c>
      <c r="AT50" s="356" t="e">
        <f t="shared" si="16"/>
        <v>#N/A</v>
      </c>
      <c r="AU50" s="356" t="e">
        <f t="shared" si="17"/>
        <v>#N/A</v>
      </c>
      <c r="AV50" s="356" t="e">
        <f t="shared" si="18"/>
        <v>#N/A</v>
      </c>
      <c r="AW50" s="356" t="e">
        <f t="shared" si="19"/>
        <v>#N/A</v>
      </c>
      <c r="AX50" s="356" t="e">
        <f t="shared" si="20"/>
        <v>#N/A</v>
      </c>
      <c r="AY50" s="356" t="e">
        <f t="shared" si="21"/>
        <v>#N/A</v>
      </c>
      <c r="AZ50" s="356" t="e">
        <f t="shared" si="22"/>
        <v>#N/A</v>
      </c>
      <c r="BA50" s="356" t="e">
        <f t="shared" si="23"/>
        <v>#N/A</v>
      </c>
      <c r="BB50" s="356" t="e">
        <f t="shared" si="24"/>
        <v>#N/A</v>
      </c>
      <c r="BC50" s="356" t="e">
        <f t="shared" si="25"/>
        <v>#N/A</v>
      </c>
      <c r="BD50" s="356" t="e">
        <f t="shared" si="26"/>
        <v>#N/A</v>
      </c>
      <c r="BE50" s="356" t="e">
        <f t="shared" si="27"/>
        <v>#N/A</v>
      </c>
      <c r="BF50" s="356" t="e">
        <f t="shared" si="28"/>
        <v>#N/A</v>
      </c>
      <c r="BG50" s="356" t="e">
        <f t="shared" si="29"/>
        <v>#N/A</v>
      </c>
      <c r="BH50" s="356" t="e">
        <f t="shared" si="30"/>
        <v>#N/A</v>
      </c>
      <c r="BI50" s="356" t="e">
        <f t="shared" si="31"/>
        <v>#N/A</v>
      </c>
      <c r="BJ50" s="356" t="e">
        <f t="shared" si="32"/>
        <v>#N/A</v>
      </c>
      <c r="BK50" s="356" t="e">
        <f t="shared" si="33"/>
        <v>#N/A</v>
      </c>
      <c r="BL50" s="535"/>
    </row>
    <row r="51" spans="1:64" ht="15.6" thickBot="1" x14ac:dyDescent="0.3">
      <c r="A51" s="406">
        <v>46</v>
      </c>
      <c r="B51" s="408" t="e">
        <f>CONCATENATED!E144</f>
        <v>#REF!</v>
      </c>
      <c r="C51" s="408" t="e">
        <f>CONCATENATED!F144</f>
        <v>#REF!</v>
      </c>
      <c r="D51" s="408" t="e">
        <f>CONCATENATED!G144</f>
        <v>#REF!</v>
      </c>
      <c r="E51" s="408" t="e">
        <f>CONCATENATED!H144</f>
        <v>#REF!</v>
      </c>
      <c r="F51" s="408" t="e">
        <f>CONCATENATED!I144</f>
        <v>#REF!</v>
      </c>
      <c r="G51" s="408" t="e">
        <f>CONCATENATED!J144</f>
        <v>#REF!</v>
      </c>
      <c r="H51" s="408" t="e">
        <f>CONCATENATED!K144</f>
        <v>#REF!</v>
      </c>
      <c r="I51" s="408" t="e">
        <f>CONCATENATED!L144</f>
        <v>#REF!</v>
      </c>
      <c r="J51" s="408" t="e">
        <f>CONCATENATED!M144</f>
        <v>#REF!</v>
      </c>
      <c r="K51" s="408" t="e">
        <f>CONCATENATED!N144</f>
        <v>#REF!</v>
      </c>
      <c r="L51" s="408" t="e">
        <f>CONCATENATED!O144</f>
        <v>#REF!</v>
      </c>
      <c r="M51" s="408" t="e">
        <f>CONCATENATED!P144</f>
        <v>#REF!</v>
      </c>
      <c r="N51" s="408" t="e">
        <f>CONCATENATED!Q144</f>
        <v>#REF!</v>
      </c>
      <c r="O51" s="408" t="e">
        <f>CONCATENATED!R144</f>
        <v>#REF!</v>
      </c>
      <c r="P51" s="408" t="e">
        <f>CONCATENATED!S144</f>
        <v>#REF!</v>
      </c>
      <c r="Q51" s="408" t="e">
        <f>CONCATENATED!T144</f>
        <v>#REF!</v>
      </c>
      <c r="R51" s="408" t="e">
        <f>CONCATENATED!U144</f>
        <v>#REF!</v>
      </c>
      <c r="S51" s="408" t="e">
        <f>CONCATENATED!V144</f>
        <v>#REF!</v>
      </c>
      <c r="T51" s="408" t="e">
        <f>CONCATENATED!W144</f>
        <v>#REF!</v>
      </c>
      <c r="U51" s="408" t="e">
        <f>CONCATENATED!X144</f>
        <v>#REF!</v>
      </c>
      <c r="V51" s="408" t="e">
        <f>CONCATENATED!Y144</f>
        <v>#REF!</v>
      </c>
      <c r="W51" s="408" t="e">
        <f>CONCATENATED!Z144</f>
        <v>#REF!</v>
      </c>
      <c r="X51" s="408" t="e">
        <f>CONCATENATED!AA144</f>
        <v>#REF!</v>
      </c>
      <c r="Y51" s="408" t="e">
        <f>CONCATENATED!AB144</f>
        <v>#REF!</v>
      </c>
      <c r="Z51" s="408" t="e">
        <f>CONCATENATED!AC144</f>
        <v>#REF!</v>
      </c>
      <c r="AA51" s="408" t="e">
        <f>CONCATENATED!AD144</f>
        <v>#REF!</v>
      </c>
      <c r="AB51" s="408" t="e">
        <f>CONCATENATED!AE144</f>
        <v>#REF!</v>
      </c>
      <c r="AC51" s="535"/>
      <c r="AD51" s="358" t="e">
        <f t="shared" si="1"/>
        <v>#N/A</v>
      </c>
      <c r="AE51" s="358" t="e">
        <f t="shared" si="2"/>
        <v>#N/A</v>
      </c>
      <c r="AF51" s="358" t="e">
        <f t="shared" si="0"/>
        <v>#N/A</v>
      </c>
      <c r="AG51" s="358" t="e">
        <f t="shared" si="3"/>
        <v>#N/A</v>
      </c>
      <c r="AH51" s="358" t="e">
        <f t="shared" si="4"/>
        <v>#N/A</v>
      </c>
      <c r="AI51" s="358" t="e">
        <f t="shared" si="5"/>
        <v>#N/A</v>
      </c>
      <c r="AJ51" s="358" t="e">
        <f t="shared" si="6"/>
        <v>#N/A</v>
      </c>
      <c r="AK51" s="358" t="e">
        <f t="shared" si="7"/>
        <v>#N/A</v>
      </c>
      <c r="AL51" s="358" t="e">
        <f t="shared" si="8"/>
        <v>#N/A</v>
      </c>
      <c r="AM51" s="358" t="e">
        <f t="shared" si="9"/>
        <v>#N/A</v>
      </c>
      <c r="AN51" s="358" t="e">
        <f t="shared" si="10"/>
        <v>#N/A</v>
      </c>
      <c r="AO51" s="358" t="e">
        <f t="shared" si="11"/>
        <v>#N/A</v>
      </c>
      <c r="AP51" s="358" t="e">
        <f t="shared" si="12"/>
        <v>#N/A</v>
      </c>
      <c r="AQ51" s="358" t="e">
        <f t="shared" si="13"/>
        <v>#N/A</v>
      </c>
      <c r="AR51" s="358" t="e">
        <f t="shared" si="14"/>
        <v>#N/A</v>
      </c>
      <c r="AS51" s="359" t="e">
        <f t="shared" si="15"/>
        <v>#N/A</v>
      </c>
      <c r="AT51" s="358" t="e">
        <f t="shared" si="16"/>
        <v>#N/A</v>
      </c>
      <c r="AU51" s="358" t="e">
        <f t="shared" si="17"/>
        <v>#N/A</v>
      </c>
      <c r="AV51" s="358" t="e">
        <f t="shared" si="18"/>
        <v>#N/A</v>
      </c>
      <c r="AW51" s="358" t="e">
        <f t="shared" si="19"/>
        <v>#N/A</v>
      </c>
      <c r="AX51" s="358" t="e">
        <f t="shared" si="20"/>
        <v>#N/A</v>
      </c>
      <c r="AY51" s="358" t="e">
        <f t="shared" si="21"/>
        <v>#N/A</v>
      </c>
      <c r="AZ51" s="358" t="e">
        <f t="shared" si="22"/>
        <v>#N/A</v>
      </c>
      <c r="BA51" s="358" t="e">
        <f t="shared" si="23"/>
        <v>#N/A</v>
      </c>
      <c r="BB51" s="358" t="e">
        <f t="shared" si="24"/>
        <v>#N/A</v>
      </c>
      <c r="BC51" s="358" t="e">
        <f t="shared" si="25"/>
        <v>#N/A</v>
      </c>
      <c r="BD51" s="358" t="e">
        <f t="shared" si="26"/>
        <v>#N/A</v>
      </c>
      <c r="BE51" s="358" t="e">
        <f t="shared" si="27"/>
        <v>#N/A</v>
      </c>
      <c r="BF51" s="358" t="e">
        <f t="shared" si="28"/>
        <v>#N/A</v>
      </c>
      <c r="BG51" s="358" t="e">
        <f t="shared" si="29"/>
        <v>#N/A</v>
      </c>
      <c r="BH51" s="358" t="e">
        <f t="shared" si="30"/>
        <v>#N/A</v>
      </c>
      <c r="BI51" s="358" t="e">
        <f t="shared" si="31"/>
        <v>#N/A</v>
      </c>
      <c r="BJ51" s="358" t="e">
        <f t="shared" si="32"/>
        <v>#N/A</v>
      </c>
      <c r="BK51" s="358" t="e">
        <f t="shared" si="33"/>
        <v>#N/A</v>
      </c>
      <c r="BL51" s="535"/>
    </row>
    <row r="52" spans="1:64" ht="31.8" thickBot="1" x14ac:dyDescent="0.3">
      <c r="A52" s="400">
        <v>47</v>
      </c>
      <c r="B52" s="411" t="e">
        <f>CONCATENATED!E147</f>
        <v>#REF!</v>
      </c>
      <c r="C52" s="411" t="e">
        <f>CONCATENATED!F147</f>
        <v>#REF!</v>
      </c>
      <c r="D52" s="411" t="e">
        <f>CONCATENATED!G147</f>
        <v>#REF!</v>
      </c>
      <c r="E52" s="411" t="e">
        <f>CONCATENATED!H147</f>
        <v>#REF!</v>
      </c>
      <c r="F52" s="411" t="e">
        <f>CONCATENATED!I147</f>
        <v>#REF!</v>
      </c>
      <c r="G52" s="411" t="e">
        <f>CONCATENATED!J147</f>
        <v>#REF!</v>
      </c>
      <c r="H52" s="411" t="e">
        <f>CONCATENATED!K147</f>
        <v>#REF!</v>
      </c>
      <c r="I52" s="411" t="str">
        <f>CONCATENATED!L147</f>
        <v xml:space="preserve">BSME/SEP2020/J-FT [Y2S1  (50) Students] :  </v>
      </c>
      <c r="J52" s="411" t="str">
        <f>CONCATENATED!M147</f>
        <v xml:space="preserve">BSME/AUG2021/J-FT [Y1S2  (55) Students] :  </v>
      </c>
      <c r="K52" s="411" t="e">
        <f>CONCATENATED!N147</f>
        <v>#REF!</v>
      </c>
      <c r="L52" s="411" t="e">
        <f>CONCATENATED!O147</f>
        <v>#REF!</v>
      </c>
      <c r="M52" s="411" t="str">
        <f>CONCATENATED!P147</f>
        <v xml:space="preserve">BTME/SEP2019/S-PT [Y3S1   (10) Students] :  </v>
      </c>
      <c r="N52" s="411" t="str">
        <f>CONCATENATED!Q147</f>
        <v xml:space="preserve">BTME/AUG2021/S-PT [Y2S2   (10) Students] :  </v>
      </c>
      <c r="O52" s="411" t="e">
        <f>CONCATENATED!R147</f>
        <v>#REF!</v>
      </c>
      <c r="P52" s="411" t="e">
        <f>CONCATENATED!S147</f>
        <v>#REF!</v>
      </c>
      <c r="Q52" s="411" t="str">
        <f>CONCATENATED!T147</f>
        <v xml:space="preserve">BTME/AUG2021/J&amp;S-FT [Y1S1  (52) Students] :  </v>
      </c>
      <c r="R52" s="411" t="e">
        <f>CONCATENATED!U147</f>
        <v>#REF!</v>
      </c>
      <c r="S52" s="411" t="e">
        <f>CONCATENATED!V147</f>
        <v>#REF!</v>
      </c>
      <c r="T52" s="411" t="e">
        <f>CONCATENATED!W147</f>
        <v>#REF!</v>
      </c>
      <c r="U52" s="411" t="e">
        <f>CONCATENATED!X147</f>
        <v>#REF!</v>
      </c>
      <c r="V52" s="411" t="e">
        <f>CONCATENATED!Y147</f>
        <v>#REF!</v>
      </c>
      <c r="W52" s="411" t="e">
        <f>CONCATENATED!Z147</f>
        <v>#REF!</v>
      </c>
      <c r="X52" s="411" t="e">
        <f>CONCATENATED!AA147</f>
        <v>#REF!</v>
      </c>
      <c r="Y52" s="411" t="e">
        <f>CONCATENATED!AB147</f>
        <v>#REF!</v>
      </c>
      <c r="Z52" s="411" t="str">
        <f>CONCATENATED!AC147</f>
        <v xml:space="preserve">DMAE/SEP20201J&amp;S-FT [Y1S2   (60) Students] :  </v>
      </c>
      <c r="AA52" s="411" t="e">
        <f>CONCATENATED!AD147</f>
        <v>#REF!</v>
      </c>
      <c r="AB52" s="411" t="e">
        <f>CONCATENATED!AE147</f>
        <v>#REF!</v>
      </c>
      <c r="AC52" s="535"/>
      <c r="AD52" s="360" t="e">
        <f t="shared" si="1"/>
        <v>#N/A</v>
      </c>
      <c r="AE52" s="360" t="e">
        <f t="shared" si="2"/>
        <v>#N/A</v>
      </c>
      <c r="AF52" s="360" t="e">
        <f t="shared" si="0"/>
        <v>#N/A</v>
      </c>
      <c r="AG52" s="360" t="e">
        <f t="shared" si="3"/>
        <v>#N/A</v>
      </c>
      <c r="AH52" s="360" t="e">
        <f t="shared" si="4"/>
        <v>#N/A</v>
      </c>
      <c r="AI52" s="360" t="e">
        <f t="shared" si="5"/>
        <v>#N/A</v>
      </c>
      <c r="AJ52" s="360" t="e">
        <f t="shared" si="6"/>
        <v>#N/A</v>
      </c>
      <c r="AK52" s="360" t="e">
        <f t="shared" si="7"/>
        <v>#N/A</v>
      </c>
      <c r="AL52" s="360" t="e">
        <f t="shared" si="8"/>
        <v>#N/A</v>
      </c>
      <c r="AM52" s="360" t="e">
        <f t="shared" si="9"/>
        <v>#N/A</v>
      </c>
      <c r="AN52" s="360" t="e">
        <f t="shared" si="10"/>
        <v>#N/A</v>
      </c>
      <c r="AO52" s="360" t="e">
        <f t="shared" si="11"/>
        <v>#N/A</v>
      </c>
      <c r="AP52" s="360" t="e">
        <f t="shared" si="12"/>
        <v>#N/A</v>
      </c>
      <c r="AQ52" s="360" t="e">
        <f t="shared" si="13"/>
        <v>#N/A</v>
      </c>
      <c r="AR52" s="360" t="e">
        <f t="shared" si="14"/>
        <v>#N/A</v>
      </c>
      <c r="AS52" s="360" t="e">
        <f t="shared" si="15"/>
        <v>#N/A</v>
      </c>
      <c r="AT52" s="360" t="e">
        <f t="shared" si="16"/>
        <v>#N/A</v>
      </c>
      <c r="AU52" s="360" t="e">
        <f t="shared" si="17"/>
        <v>#N/A</v>
      </c>
      <c r="AV52" s="360" t="e">
        <f t="shared" si="18"/>
        <v>#N/A</v>
      </c>
      <c r="AW52" s="360" t="e">
        <f t="shared" si="19"/>
        <v>#N/A</v>
      </c>
      <c r="AX52" s="360" t="e">
        <f t="shared" si="20"/>
        <v>#N/A</v>
      </c>
      <c r="AY52" s="360" t="e">
        <f t="shared" si="21"/>
        <v>#N/A</v>
      </c>
      <c r="AZ52" s="360" t="e">
        <f t="shared" si="22"/>
        <v>#N/A</v>
      </c>
      <c r="BA52" s="360" t="e">
        <f t="shared" si="23"/>
        <v>#N/A</v>
      </c>
      <c r="BB52" s="360" t="e">
        <f t="shared" si="24"/>
        <v>#N/A</v>
      </c>
      <c r="BC52" s="360" t="e">
        <f t="shared" si="25"/>
        <v>#N/A</v>
      </c>
      <c r="BD52" s="360" t="e">
        <f t="shared" si="26"/>
        <v>#N/A</v>
      </c>
      <c r="BE52" s="360" t="e">
        <f t="shared" si="27"/>
        <v>#N/A</v>
      </c>
      <c r="BF52" s="360" t="e">
        <f t="shared" si="28"/>
        <v>#N/A</v>
      </c>
      <c r="BG52" s="360" t="e">
        <f t="shared" si="29"/>
        <v>#N/A</v>
      </c>
      <c r="BH52" s="360" t="e">
        <f t="shared" si="30"/>
        <v>#N/A</v>
      </c>
      <c r="BI52" s="360" t="e">
        <f t="shared" si="31"/>
        <v>#N/A</v>
      </c>
      <c r="BJ52" s="360" t="e">
        <f t="shared" si="32"/>
        <v>#N/A</v>
      </c>
      <c r="BK52" s="360" t="e">
        <f t="shared" si="33"/>
        <v>#N/A</v>
      </c>
      <c r="BL52" s="535"/>
    </row>
    <row r="53" spans="1:64" ht="62.4" thickBot="1" x14ac:dyDescent="0.3">
      <c r="A53" s="400">
        <v>48</v>
      </c>
      <c r="B53" s="408" t="e">
        <f>CONCATENATED!E150</f>
        <v>#REF!</v>
      </c>
      <c r="C53" s="408" t="e">
        <f>CONCATENATED!F150</f>
        <v>#REF!</v>
      </c>
      <c r="D53" s="408" t="e">
        <f>CONCATENATED!G150</f>
        <v>#REF!</v>
      </c>
      <c r="E53" s="408" t="e">
        <f>CONCATENATED!H150</f>
        <v>#REF!</v>
      </c>
      <c r="F53" s="408" t="e">
        <f>CONCATENATED!I150</f>
        <v>#REF!</v>
      </c>
      <c r="G53" s="408" t="e">
        <f>CONCATENATED!J150</f>
        <v>#REF!</v>
      </c>
      <c r="H53" s="408" t="e">
        <f>CONCATENATED!K150</f>
        <v>#REF!</v>
      </c>
      <c r="I53" s="408" t="str">
        <f>CONCATENATED!L150</f>
        <v xml:space="preserve">BSME/SEP2020/J-FT [Y2S1  (50) Students] :  </v>
      </c>
      <c r="J53" s="408" t="str">
        <f>CONCATENATED!M150</f>
        <v>BSME/AUG2021/J-FT [Y1S2  (55) Students] EMC 4121: MUTAVA DO3</v>
      </c>
      <c r="K53" s="408" t="e">
        <f>CONCATENATED!N150</f>
        <v>#REF!</v>
      </c>
      <c r="L53" s="408" t="e">
        <f>CONCATENATED!O150</f>
        <v>#REF!</v>
      </c>
      <c r="M53" s="408" t="str">
        <f>CONCATENATED!P150</f>
        <v>BTME/SEP2019/S-PT [Y3S1   (10) Students] TEE 4315: BAKARI FET 203</v>
      </c>
      <c r="N53" s="408" t="str">
        <f>CONCATENATED!Q150</f>
        <v>BTME/AUG2021/S-PT [Y2S2   (10) Students] TMC 4224: MANGENI FET 108</v>
      </c>
      <c r="O53" s="408" t="e">
        <f>CONCATENATED!R150</f>
        <v>#REF!</v>
      </c>
      <c r="P53" s="408" t="e">
        <f>CONCATENATED!S150</f>
        <v>#REF!</v>
      </c>
      <c r="Q53" s="408" t="str">
        <f>CONCATENATED!T150</f>
        <v>BTME/AUG2021/J&amp;S-FT [Y1S1  (52) Students] BLS 4115: ODHIAMBO ONLINE.</v>
      </c>
      <c r="R53" s="408" t="e">
        <f>CONCATENATED!U150</f>
        <v>#REF!</v>
      </c>
      <c r="S53" s="408" t="e">
        <f>CONCATENATED!V150</f>
        <v>#REF!</v>
      </c>
      <c r="T53" s="408" t="e">
        <f>CONCATENATED!W150</f>
        <v>#REF!</v>
      </c>
      <c r="U53" s="408" t="e">
        <f>CONCATENATED!X150</f>
        <v>#REF!</v>
      </c>
      <c r="V53" s="408" t="e">
        <f>CONCATENATED!Y150</f>
        <v>#REF!</v>
      </c>
      <c r="W53" s="408" t="e">
        <f>CONCATENATED!Z150</f>
        <v>#REF!</v>
      </c>
      <c r="X53" s="408" t="e">
        <f>CONCATENATED!AA150</f>
        <v>#REF!</v>
      </c>
      <c r="Y53" s="408" t="e">
        <f>CONCATENATED!AB150</f>
        <v>#REF!</v>
      </c>
      <c r="Z53" s="408" t="str">
        <f>CONCATENATED!AC150</f>
        <v>DMAE/SEP20201J&amp;S-FT [Y1S2   (60) Students] EMR 2128: WARAKAH. MB 03.</v>
      </c>
      <c r="AA53" s="408" t="e">
        <f>CONCATENATED!AD150</f>
        <v>#REF!</v>
      </c>
      <c r="AB53" s="408" t="e">
        <f>CONCATENATED!AE150</f>
        <v>#REF!</v>
      </c>
      <c r="AC53" s="535"/>
      <c r="AD53" s="352" t="e">
        <f t="shared" si="1"/>
        <v>#N/A</v>
      </c>
      <c r="AE53" s="353" t="e">
        <f t="shared" si="2"/>
        <v>#N/A</v>
      </c>
      <c r="AF53" s="353" t="e">
        <f t="shared" si="0"/>
        <v>#N/A</v>
      </c>
      <c r="AG53" s="353" t="e">
        <f t="shared" si="3"/>
        <v>#N/A</v>
      </c>
      <c r="AH53" s="353" t="e">
        <f t="shared" si="4"/>
        <v>#N/A</v>
      </c>
      <c r="AI53" s="353" t="e">
        <f t="shared" si="5"/>
        <v>#N/A</v>
      </c>
      <c r="AJ53" s="353" t="e">
        <f t="shared" si="6"/>
        <v>#N/A</v>
      </c>
      <c r="AK53" s="353" t="e">
        <f t="shared" si="7"/>
        <v>#N/A</v>
      </c>
      <c r="AL53" s="353" t="e">
        <f t="shared" si="8"/>
        <v>#N/A</v>
      </c>
      <c r="AM53" s="353" t="e">
        <f t="shared" si="9"/>
        <v>#N/A</v>
      </c>
      <c r="AN53" s="353" t="e">
        <f t="shared" si="10"/>
        <v>#N/A</v>
      </c>
      <c r="AO53" s="353" t="e">
        <f t="shared" si="11"/>
        <v>#N/A</v>
      </c>
      <c r="AP53" s="353" t="e">
        <f t="shared" si="12"/>
        <v>#N/A</v>
      </c>
      <c r="AQ53" s="353" t="e">
        <f t="shared" si="13"/>
        <v>#N/A</v>
      </c>
      <c r="AR53" s="353" t="e">
        <f t="shared" si="14"/>
        <v>#N/A</v>
      </c>
      <c r="AS53" s="354" t="e">
        <f t="shared" si="15"/>
        <v>#N/A</v>
      </c>
      <c r="AT53" s="353" t="e">
        <f t="shared" si="16"/>
        <v>#N/A</v>
      </c>
      <c r="AU53" s="353" t="e">
        <f t="shared" si="17"/>
        <v>#N/A</v>
      </c>
      <c r="AV53" s="353" t="e">
        <f t="shared" si="18"/>
        <v>#N/A</v>
      </c>
      <c r="AW53" s="353" t="e">
        <f t="shared" si="19"/>
        <v>#N/A</v>
      </c>
      <c r="AX53" s="353" t="e">
        <f t="shared" si="20"/>
        <v>#N/A</v>
      </c>
      <c r="AY53" s="353" t="e">
        <f t="shared" si="21"/>
        <v>#N/A</v>
      </c>
      <c r="AZ53" s="353" t="e">
        <f t="shared" si="22"/>
        <v>#N/A</v>
      </c>
      <c r="BA53" s="353" t="e">
        <f t="shared" si="23"/>
        <v>#N/A</v>
      </c>
      <c r="BB53" s="353" t="e">
        <f t="shared" si="24"/>
        <v>#N/A</v>
      </c>
      <c r="BC53" s="353" t="e">
        <f t="shared" si="25"/>
        <v>#N/A</v>
      </c>
      <c r="BD53" s="353" t="e">
        <f t="shared" si="26"/>
        <v>#N/A</v>
      </c>
      <c r="BE53" s="353" t="e">
        <f t="shared" si="27"/>
        <v>#N/A</v>
      </c>
      <c r="BF53" s="353" t="e">
        <f t="shared" si="28"/>
        <v>#N/A</v>
      </c>
      <c r="BG53" s="353" t="e">
        <f t="shared" si="29"/>
        <v>#N/A</v>
      </c>
      <c r="BH53" s="353" t="e">
        <f t="shared" si="30"/>
        <v>#N/A</v>
      </c>
      <c r="BI53" s="353" t="e">
        <f t="shared" si="31"/>
        <v>#N/A</v>
      </c>
      <c r="BJ53" s="353" t="e">
        <f t="shared" si="32"/>
        <v>#N/A</v>
      </c>
      <c r="BK53" s="353" t="e">
        <f t="shared" si="33"/>
        <v>#N/A</v>
      </c>
      <c r="BL53" s="535"/>
    </row>
    <row r="54" spans="1:64" ht="15.6" thickBot="1" x14ac:dyDescent="0.3">
      <c r="A54" s="400">
        <v>49</v>
      </c>
      <c r="B54" s="408" t="e">
        <f>CONCATENATED!E153</f>
        <v>#REF!</v>
      </c>
      <c r="C54" s="408" t="e">
        <f>CONCATENATED!F153</f>
        <v>#REF!</v>
      </c>
      <c r="D54" s="408" t="e">
        <f>CONCATENATED!G153</f>
        <v>#REF!</v>
      </c>
      <c r="E54" s="408" t="e">
        <f>CONCATENATED!H153</f>
        <v>#REF!</v>
      </c>
      <c r="F54" s="408" t="e">
        <f>CONCATENATED!I153</f>
        <v>#REF!</v>
      </c>
      <c r="G54" s="408" t="e">
        <f>CONCATENATED!J153</f>
        <v>#REF!</v>
      </c>
      <c r="H54" s="408" t="e">
        <f>CONCATENATED!K153</f>
        <v>#REF!</v>
      </c>
      <c r="I54" s="408" t="e">
        <f>CONCATENATED!L153</f>
        <v>#REF!</v>
      </c>
      <c r="J54" s="408" t="e">
        <f>CONCATENATED!M153</f>
        <v>#REF!</v>
      </c>
      <c r="K54" s="408" t="e">
        <f>CONCATENATED!N153</f>
        <v>#REF!</v>
      </c>
      <c r="L54" s="408" t="e">
        <f>CONCATENATED!O153</f>
        <v>#REF!</v>
      </c>
      <c r="M54" s="408" t="e">
        <f>CONCATENATED!P153</f>
        <v>#REF!</v>
      </c>
      <c r="N54" s="408" t="e">
        <f>CONCATENATED!Q153</f>
        <v>#REF!</v>
      </c>
      <c r="O54" s="408" t="e">
        <f>CONCATENATED!R153</f>
        <v>#REF!</v>
      </c>
      <c r="P54" s="408" t="e">
        <f>CONCATENATED!S153</f>
        <v>#REF!</v>
      </c>
      <c r="Q54" s="408" t="e">
        <f>CONCATENATED!T153</f>
        <v>#REF!</v>
      </c>
      <c r="R54" s="408" t="e">
        <f>CONCATENATED!U153</f>
        <v>#REF!</v>
      </c>
      <c r="S54" s="408" t="e">
        <f>CONCATENATED!V153</f>
        <v>#REF!</v>
      </c>
      <c r="T54" s="408" t="e">
        <f>CONCATENATED!W153</f>
        <v>#REF!</v>
      </c>
      <c r="U54" s="408" t="e">
        <f>CONCATENATED!X153</f>
        <v>#REF!</v>
      </c>
      <c r="V54" s="408" t="e">
        <f>CONCATENATED!Y153</f>
        <v>#REF!</v>
      </c>
      <c r="W54" s="408" t="e">
        <f>CONCATENATED!Z153</f>
        <v>#REF!</v>
      </c>
      <c r="X54" s="408" t="e">
        <f>CONCATENATED!AA153</f>
        <v>#REF!</v>
      </c>
      <c r="Y54" s="408" t="e">
        <f>CONCATENATED!AB153</f>
        <v>#REF!</v>
      </c>
      <c r="Z54" s="408" t="e">
        <f>CONCATENATED!AC153</f>
        <v>#REF!</v>
      </c>
      <c r="AA54" s="408" t="e">
        <f>CONCATENATED!AD153</f>
        <v>#REF!</v>
      </c>
      <c r="AB54" s="408" t="e">
        <f>CONCATENATED!AE153</f>
        <v>#REF!</v>
      </c>
      <c r="AC54" s="535"/>
      <c r="AD54" s="355" t="e">
        <f t="shared" si="1"/>
        <v>#N/A</v>
      </c>
      <c r="AE54" s="356" t="e">
        <f t="shared" si="2"/>
        <v>#N/A</v>
      </c>
      <c r="AF54" s="356" t="e">
        <f t="shared" si="0"/>
        <v>#N/A</v>
      </c>
      <c r="AG54" s="356" t="e">
        <f t="shared" si="3"/>
        <v>#N/A</v>
      </c>
      <c r="AH54" s="356" t="e">
        <f t="shared" si="4"/>
        <v>#N/A</v>
      </c>
      <c r="AI54" s="356" t="e">
        <f t="shared" si="5"/>
        <v>#N/A</v>
      </c>
      <c r="AJ54" s="356" t="e">
        <f t="shared" si="6"/>
        <v>#N/A</v>
      </c>
      <c r="AK54" s="356" t="e">
        <f t="shared" si="7"/>
        <v>#N/A</v>
      </c>
      <c r="AL54" s="356" t="e">
        <f t="shared" si="8"/>
        <v>#N/A</v>
      </c>
      <c r="AM54" s="356" t="e">
        <f t="shared" si="9"/>
        <v>#N/A</v>
      </c>
      <c r="AN54" s="356" t="e">
        <f t="shared" si="10"/>
        <v>#N/A</v>
      </c>
      <c r="AO54" s="356" t="e">
        <f t="shared" si="11"/>
        <v>#N/A</v>
      </c>
      <c r="AP54" s="356" t="e">
        <f t="shared" si="12"/>
        <v>#N/A</v>
      </c>
      <c r="AQ54" s="356" t="e">
        <f t="shared" si="13"/>
        <v>#N/A</v>
      </c>
      <c r="AR54" s="356" t="e">
        <f t="shared" si="14"/>
        <v>#N/A</v>
      </c>
      <c r="AS54" s="357" t="e">
        <f t="shared" si="15"/>
        <v>#N/A</v>
      </c>
      <c r="AT54" s="356" t="e">
        <f t="shared" si="16"/>
        <v>#N/A</v>
      </c>
      <c r="AU54" s="356" t="e">
        <f t="shared" si="17"/>
        <v>#N/A</v>
      </c>
      <c r="AV54" s="356" t="e">
        <f t="shared" si="18"/>
        <v>#N/A</v>
      </c>
      <c r="AW54" s="356" t="e">
        <f t="shared" si="19"/>
        <v>#N/A</v>
      </c>
      <c r="AX54" s="356" t="e">
        <f t="shared" si="20"/>
        <v>#N/A</v>
      </c>
      <c r="AY54" s="356" t="e">
        <f t="shared" si="21"/>
        <v>#N/A</v>
      </c>
      <c r="AZ54" s="356" t="e">
        <f t="shared" si="22"/>
        <v>#N/A</v>
      </c>
      <c r="BA54" s="356" t="e">
        <f t="shared" si="23"/>
        <v>#N/A</v>
      </c>
      <c r="BB54" s="356" t="e">
        <f t="shared" si="24"/>
        <v>#N/A</v>
      </c>
      <c r="BC54" s="356" t="e">
        <f t="shared" si="25"/>
        <v>#N/A</v>
      </c>
      <c r="BD54" s="356" t="e">
        <f t="shared" si="26"/>
        <v>#N/A</v>
      </c>
      <c r="BE54" s="356" t="e">
        <f t="shared" si="27"/>
        <v>#N/A</v>
      </c>
      <c r="BF54" s="356" t="e">
        <f t="shared" si="28"/>
        <v>#N/A</v>
      </c>
      <c r="BG54" s="356" t="e">
        <f t="shared" si="29"/>
        <v>#N/A</v>
      </c>
      <c r="BH54" s="356" t="e">
        <f t="shared" si="30"/>
        <v>#N/A</v>
      </c>
      <c r="BI54" s="356" t="e">
        <f t="shared" si="31"/>
        <v>#N/A</v>
      </c>
      <c r="BJ54" s="356" t="e">
        <f t="shared" si="32"/>
        <v>#N/A</v>
      </c>
      <c r="BK54" s="356" t="e">
        <f t="shared" si="33"/>
        <v>#N/A</v>
      </c>
      <c r="BL54" s="535"/>
    </row>
    <row r="55" spans="1:64" ht="15.6" thickBot="1" x14ac:dyDescent="0.3">
      <c r="A55" s="400">
        <v>50</v>
      </c>
      <c r="B55" s="408" t="e">
        <f>CONCATENATED!E156</f>
        <v>#REF!</v>
      </c>
      <c r="C55" s="408" t="e">
        <f>CONCATENATED!F156</f>
        <v>#REF!</v>
      </c>
      <c r="D55" s="408" t="e">
        <f>CONCATENATED!G156</f>
        <v>#REF!</v>
      </c>
      <c r="E55" s="408" t="e">
        <f>CONCATENATED!H156</f>
        <v>#REF!</v>
      </c>
      <c r="F55" s="408" t="e">
        <f>CONCATENATED!I156</f>
        <v>#REF!</v>
      </c>
      <c r="G55" s="408" t="e">
        <f>CONCATENATED!J156</f>
        <v>#REF!</v>
      </c>
      <c r="H55" s="408" t="e">
        <f>CONCATENATED!K156</f>
        <v>#REF!</v>
      </c>
      <c r="I55" s="408" t="e">
        <f>CONCATENATED!L156</f>
        <v>#REF!</v>
      </c>
      <c r="J55" s="408" t="e">
        <f>CONCATENATED!M156</f>
        <v>#REF!</v>
      </c>
      <c r="K55" s="408" t="e">
        <f>CONCATENATED!N156</f>
        <v>#REF!</v>
      </c>
      <c r="L55" s="408" t="e">
        <f>CONCATENATED!O156</f>
        <v>#REF!</v>
      </c>
      <c r="M55" s="408" t="e">
        <f>CONCATENATED!P156</f>
        <v>#REF!</v>
      </c>
      <c r="N55" s="408" t="e">
        <f>CONCATENATED!Q156</f>
        <v>#REF!</v>
      </c>
      <c r="O55" s="408" t="e">
        <f>CONCATENATED!R156</f>
        <v>#REF!</v>
      </c>
      <c r="P55" s="408" t="e">
        <f>CONCATENATED!S156</f>
        <v>#REF!</v>
      </c>
      <c r="Q55" s="408" t="e">
        <f>CONCATENATED!T156</f>
        <v>#REF!</v>
      </c>
      <c r="R55" s="408" t="e">
        <f>CONCATENATED!U156</f>
        <v>#REF!</v>
      </c>
      <c r="S55" s="408" t="e">
        <f>CONCATENATED!V156</f>
        <v>#REF!</v>
      </c>
      <c r="T55" s="408" t="e">
        <f>CONCATENATED!W156</f>
        <v>#REF!</v>
      </c>
      <c r="U55" s="408" t="e">
        <f>CONCATENATED!X156</f>
        <v>#REF!</v>
      </c>
      <c r="V55" s="408" t="e">
        <f>CONCATENATED!Y156</f>
        <v>#REF!</v>
      </c>
      <c r="W55" s="408" t="e">
        <f>CONCATENATED!Z156</f>
        <v>#REF!</v>
      </c>
      <c r="X55" s="408" t="e">
        <f>CONCATENATED!AA156</f>
        <v>#REF!</v>
      </c>
      <c r="Y55" s="408" t="e">
        <f>CONCATENATED!AB156</f>
        <v>#REF!</v>
      </c>
      <c r="Z55" s="408" t="e">
        <f>CONCATENATED!AC156</f>
        <v>#REF!</v>
      </c>
      <c r="AA55" s="408" t="e">
        <f>CONCATENATED!AD156</f>
        <v>#REF!</v>
      </c>
      <c r="AB55" s="408" t="e">
        <f>CONCATENATED!AE156</f>
        <v>#REF!</v>
      </c>
      <c r="AC55" s="535"/>
      <c r="AD55" s="355" t="e">
        <f t="shared" si="1"/>
        <v>#N/A</v>
      </c>
      <c r="AE55" s="356" t="e">
        <f t="shared" si="2"/>
        <v>#N/A</v>
      </c>
      <c r="AF55" s="356" t="e">
        <f t="shared" si="0"/>
        <v>#N/A</v>
      </c>
      <c r="AG55" s="356" t="e">
        <f t="shared" si="3"/>
        <v>#N/A</v>
      </c>
      <c r="AH55" s="356" t="e">
        <f t="shared" si="4"/>
        <v>#N/A</v>
      </c>
      <c r="AI55" s="356" t="e">
        <f t="shared" si="5"/>
        <v>#N/A</v>
      </c>
      <c r="AJ55" s="356" t="e">
        <f t="shared" si="6"/>
        <v>#N/A</v>
      </c>
      <c r="AK55" s="356" t="e">
        <f t="shared" si="7"/>
        <v>#N/A</v>
      </c>
      <c r="AL55" s="356" t="e">
        <f t="shared" si="8"/>
        <v>#N/A</v>
      </c>
      <c r="AM55" s="356" t="e">
        <f t="shared" si="9"/>
        <v>#N/A</v>
      </c>
      <c r="AN55" s="356" t="e">
        <f t="shared" si="10"/>
        <v>#N/A</v>
      </c>
      <c r="AO55" s="356" t="e">
        <f t="shared" si="11"/>
        <v>#N/A</v>
      </c>
      <c r="AP55" s="356" t="e">
        <f t="shared" si="12"/>
        <v>#N/A</v>
      </c>
      <c r="AQ55" s="356" t="e">
        <f t="shared" si="13"/>
        <v>#N/A</v>
      </c>
      <c r="AR55" s="356" t="e">
        <f t="shared" si="14"/>
        <v>#N/A</v>
      </c>
      <c r="AS55" s="357" t="e">
        <f t="shared" si="15"/>
        <v>#N/A</v>
      </c>
      <c r="AT55" s="356" t="e">
        <f t="shared" si="16"/>
        <v>#N/A</v>
      </c>
      <c r="AU55" s="356" t="e">
        <f t="shared" si="17"/>
        <v>#N/A</v>
      </c>
      <c r="AV55" s="356" t="e">
        <f t="shared" si="18"/>
        <v>#N/A</v>
      </c>
      <c r="AW55" s="356" t="e">
        <f t="shared" si="19"/>
        <v>#N/A</v>
      </c>
      <c r="AX55" s="356" t="e">
        <f t="shared" si="20"/>
        <v>#N/A</v>
      </c>
      <c r="AY55" s="356" t="e">
        <f t="shared" si="21"/>
        <v>#N/A</v>
      </c>
      <c r="AZ55" s="356" t="e">
        <f t="shared" si="22"/>
        <v>#N/A</v>
      </c>
      <c r="BA55" s="356" t="e">
        <f t="shared" si="23"/>
        <v>#N/A</v>
      </c>
      <c r="BB55" s="356" t="e">
        <f t="shared" si="24"/>
        <v>#N/A</v>
      </c>
      <c r="BC55" s="356" t="e">
        <f t="shared" si="25"/>
        <v>#N/A</v>
      </c>
      <c r="BD55" s="356" t="e">
        <f t="shared" si="26"/>
        <v>#N/A</v>
      </c>
      <c r="BE55" s="356" t="e">
        <f t="shared" si="27"/>
        <v>#N/A</v>
      </c>
      <c r="BF55" s="356" t="e">
        <f t="shared" si="28"/>
        <v>#N/A</v>
      </c>
      <c r="BG55" s="356" t="e">
        <f t="shared" si="29"/>
        <v>#N/A</v>
      </c>
      <c r="BH55" s="356" t="e">
        <f t="shared" si="30"/>
        <v>#N/A</v>
      </c>
      <c r="BI55" s="356" t="e">
        <f t="shared" si="31"/>
        <v>#N/A</v>
      </c>
      <c r="BJ55" s="356" t="e">
        <f t="shared" si="32"/>
        <v>#N/A</v>
      </c>
      <c r="BK55" s="356" t="e">
        <f t="shared" si="33"/>
        <v>#N/A</v>
      </c>
      <c r="BL55" s="535"/>
    </row>
    <row r="56" spans="1:64" ht="52.2" thickBot="1" x14ac:dyDescent="0.3">
      <c r="A56" s="400">
        <v>51</v>
      </c>
      <c r="B56" s="408" t="e">
        <f>CONCATENATED!E159</f>
        <v>#REF!</v>
      </c>
      <c r="C56" s="408" t="e">
        <f>CONCATENATED!F159</f>
        <v>#REF!</v>
      </c>
      <c r="D56" s="408" t="e">
        <f>CONCATENATED!G159</f>
        <v>#REF!</v>
      </c>
      <c r="E56" s="408" t="e">
        <f>CONCATENATED!H159</f>
        <v>#REF!</v>
      </c>
      <c r="F56" s="408" t="e">
        <f>CONCATENATED!I159</f>
        <v>#REF!</v>
      </c>
      <c r="G56" s="408" t="e">
        <f>CONCATENATED!J159</f>
        <v>#REF!</v>
      </c>
      <c r="H56" s="408" t="e">
        <f>CONCATENATED!K159</f>
        <v>#REF!</v>
      </c>
      <c r="I56" s="408" t="str">
        <f>CONCATENATED!L159</f>
        <v xml:space="preserve">BSME/SEP2020/J-FT [Y2S1  (50) Students] :  </v>
      </c>
      <c r="J56" s="408" t="str">
        <f>CONCATENATED!M159</f>
        <v xml:space="preserve">BSME/AUG2021/J-FT [Y1S2  (55) Students] :  </v>
      </c>
      <c r="K56" s="408" t="e">
        <f>CONCATENATED!N159</f>
        <v>#REF!</v>
      </c>
      <c r="L56" s="408" t="e">
        <f>CONCATENATED!O159</f>
        <v>#REF!</v>
      </c>
      <c r="M56" s="408" t="str">
        <f>CONCATENATED!P159</f>
        <v>BTME/SEP2019/S-PT [Y3S1   (10) Students] TCV4319: MANGENI FET 109</v>
      </c>
      <c r="N56" s="408" t="str">
        <f>CONCATENATED!Q159</f>
        <v xml:space="preserve">BTME/AUG2021/S-PT [Y2S2   (10) Students] :  </v>
      </c>
      <c r="O56" s="408" t="e">
        <f>CONCATENATED!R159</f>
        <v>#REF!</v>
      </c>
      <c r="P56" s="408" t="e">
        <f>CONCATENATED!S159</f>
        <v>#REF!</v>
      </c>
      <c r="Q56" s="408" t="str">
        <f>CONCATENATED!T159</f>
        <v xml:space="preserve">BTME/AUG2021/J&amp;S-FT [Y1S1  (52) Students] :  </v>
      </c>
      <c r="R56" s="408" t="e">
        <f>CONCATENATED!U159</f>
        <v>#REF!</v>
      </c>
      <c r="S56" s="408" t="e">
        <f>CONCATENATED!V159</f>
        <v>#REF!</v>
      </c>
      <c r="T56" s="408" t="e">
        <f>CONCATENATED!W159</f>
        <v>#REF!</v>
      </c>
      <c r="U56" s="408" t="e">
        <f>CONCATENATED!X159</f>
        <v>#REF!</v>
      </c>
      <c r="V56" s="408" t="e">
        <f>CONCATENATED!Y159</f>
        <v>#REF!</v>
      </c>
      <c r="W56" s="408" t="e">
        <f>CONCATENATED!Z159</f>
        <v>#REF!</v>
      </c>
      <c r="X56" s="408" t="e">
        <f>CONCATENATED!AA159</f>
        <v>#REF!</v>
      </c>
      <c r="Y56" s="408" t="e">
        <f>CONCATENATED!AB159</f>
        <v>#REF!</v>
      </c>
      <c r="Z56" s="408" t="str">
        <f>CONCATENATED!AC159</f>
        <v>DMAE/SEP20201J&amp;S-FT [Y1S2   (60) Students] EMR 2117: HARRIET FET 210</v>
      </c>
      <c r="AA56" s="408" t="e">
        <f>CONCATENATED!AD159</f>
        <v>#REF!</v>
      </c>
      <c r="AB56" s="408" t="e">
        <f>CONCATENATED!AE159</f>
        <v>#REF!</v>
      </c>
      <c r="AC56" s="535"/>
      <c r="AD56" s="355" t="e">
        <f t="shared" si="1"/>
        <v>#N/A</v>
      </c>
      <c r="AE56" s="356" t="e">
        <f t="shared" si="2"/>
        <v>#N/A</v>
      </c>
      <c r="AF56" s="356" t="e">
        <f t="shared" si="0"/>
        <v>#N/A</v>
      </c>
      <c r="AG56" s="356" t="e">
        <f t="shared" si="3"/>
        <v>#N/A</v>
      </c>
      <c r="AH56" s="356" t="e">
        <f t="shared" si="4"/>
        <v>#N/A</v>
      </c>
      <c r="AI56" s="356" t="e">
        <f t="shared" si="5"/>
        <v>#N/A</v>
      </c>
      <c r="AJ56" s="356" t="e">
        <f t="shared" si="6"/>
        <v>#N/A</v>
      </c>
      <c r="AK56" s="356" t="e">
        <f t="shared" si="7"/>
        <v>#N/A</v>
      </c>
      <c r="AL56" s="356" t="e">
        <f t="shared" si="8"/>
        <v>#N/A</v>
      </c>
      <c r="AM56" s="356" t="e">
        <f t="shared" si="9"/>
        <v>#N/A</v>
      </c>
      <c r="AN56" s="356" t="e">
        <f t="shared" si="10"/>
        <v>#N/A</v>
      </c>
      <c r="AO56" s="356" t="e">
        <f t="shared" si="11"/>
        <v>#N/A</v>
      </c>
      <c r="AP56" s="356" t="e">
        <f t="shared" si="12"/>
        <v>#N/A</v>
      </c>
      <c r="AQ56" s="356" t="e">
        <f t="shared" si="13"/>
        <v>#N/A</v>
      </c>
      <c r="AR56" s="356" t="e">
        <f t="shared" si="14"/>
        <v>#N/A</v>
      </c>
      <c r="AS56" s="357" t="e">
        <f t="shared" si="15"/>
        <v>#N/A</v>
      </c>
      <c r="AT56" s="356" t="e">
        <f t="shared" si="16"/>
        <v>#N/A</v>
      </c>
      <c r="AU56" s="356" t="e">
        <f t="shared" si="17"/>
        <v>#N/A</v>
      </c>
      <c r="AV56" s="356" t="e">
        <f t="shared" si="18"/>
        <v>#N/A</v>
      </c>
      <c r="AW56" s="356" t="e">
        <f t="shared" si="19"/>
        <v>#N/A</v>
      </c>
      <c r="AX56" s="356" t="e">
        <f t="shared" si="20"/>
        <v>#N/A</v>
      </c>
      <c r="AY56" s="356" t="e">
        <f t="shared" si="21"/>
        <v>#N/A</v>
      </c>
      <c r="AZ56" s="356" t="e">
        <f t="shared" si="22"/>
        <v>#N/A</v>
      </c>
      <c r="BA56" s="356" t="e">
        <f t="shared" si="23"/>
        <v>#N/A</v>
      </c>
      <c r="BB56" s="356" t="e">
        <f t="shared" si="24"/>
        <v>#N/A</v>
      </c>
      <c r="BC56" s="356" t="e">
        <f t="shared" si="25"/>
        <v>#N/A</v>
      </c>
      <c r="BD56" s="356" t="e">
        <f t="shared" si="26"/>
        <v>#N/A</v>
      </c>
      <c r="BE56" s="356" t="e">
        <f t="shared" si="27"/>
        <v>#N/A</v>
      </c>
      <c r="BF56" s="356" t="e">
        <f t="shared" si="28"/>
        <v>#N/A</v>
      </c>
      <c r="BG56" s="356" t="e">
        <f t="shared" si="29"/>
        <v>#N/A</v>
      </c>
      <c r="BH56" s="356" t="e">
        <f t="shared" si="30"/>
        <v>#N/A</v>
      </c>
      <c r="BI56" s="356" t="e">
        <f t="shared" si="31"/>
        <v>#N/A</v>
      </c>
      <c r="BJ56" s="356" t="e">
        <f t="shared" si="32"/>
        <v>#N/A</v>
      </c>
      <c r="BK56" s="356" t="e">
        <f t="shared" si="33"/>
        <v>#N/A</v>
      </c>
      <c r="BL56" s="535"/>
    </row>
    <row r="57" spans="1:64" ht="15.6" thickBot="1" x14ac:dyDescent="0.3">
      <c r="A57" s="400">
        <v>52</v>
      </c>
      <c r="B57" s="408" t="e">
        <f>CONCATENATED!E162</f>
        <v>#REF!</v>
      </c>
      <c r="C57" s="408" t="e">
        <f>CONCATENATED!F162</f>
        <v>#REF!</v>
      </c>
      <c r="D57" s="408" t="e">
        <f>CONCATENATED!G162</f>
        <v>#REF!</v>
      </c>
      <c r="E57" s="408" t="e">
        <f>CONCATENATED!H162</f>
        <v>#REF!</v>
      </c>
      <c r="F57" s="408" t="e">
        <f>CONCATENATED!I162</f>
        <v>#REF!</v>
      </c>
      <c r="G57" s="408" t="e">
        <f>CONCATENATED!J162</f>
        <v>#REF!</v>
      </c>
      <c r="H57" s="408" t="e">
        <f>CONCATENATED!K162</f>
        <v>#REF!</v>
      </c>
      <c r="I57" s="408" t="e">
        <f>CONCATENATED!L162</f>
        <v>#REF!</v>
      </c>
      <c r="J57" s="408" t="e">
        <f>CONCATENATED!M162</f>
        <v>#REF!</v>
      </c>
      <c r="K57" s="408" t="e">
        <f>CONCATENATED!N162</f>
        <v>#REF!</v>
      </c>
      <c r="L57" s="408" t="e">
        <f>CONCATENATED!O162</f>
        <v>#REF!</v>
      </c>
      <c r="M57" s="408" t="e">
        <f>CONCATENATED!P162</f>
        <v>#REF!</v>
      </c>
      <c r="N57" s="408" t="e">
        <f>CONCATENATED!Q162</f>
        <v>#REF!</v>
      </c>
      <c r="O57" s="408" t="e">
        <f>CONCATENATED!R162</f>
        <v>#REF!</v>
      </c>
      <c r="P57" s="408" t="e">
        <f>CONCATENATED!S162</f>
        <v>#REF!</v>
      </c>
      <c r="Q57" s="408" t="e">
        <f>CONCATENATED!T162</f>
        <v>#REF!</v>
      </c>
      <c r="R57" s="408" t="e">
        <f>CONCATENATED!U162</f>
        <v>#REF!</v>
      </c>
      <c r="S57" s="408" t="e">
        <f>CONCATENATED!V162</f>
        <v>#REF!</v>
      </c>
      <c r="T57" s="408" t="e">
        <f>CONCATENATED!W162</f>
        <v>#REF!</v>
      </c>
      <c r="U57" s="408" t="e">
        <f>CONCATENATED!X162</f>
        <v>#REF!</v>
      </c>
      <c r="V57" s="408" t="e">
        <f>CONCATENATED!Y162</f>
        <v>#REF!</v>
      </c>
      <c r="W57" s="408" t="e">
        <f>CONCATENATED!Z162</f>
        <v>#REF!</v>
      </c>
      <c r="X57" s="408" t="e">
        <f>CONCATENATED!AA162</f>
        <v>#REF!</v>
      </c>
      <c r="Y57" s="408" t="e">
        <f>CONCATENATED!AB162</f>
        <v>#REF!</v>
      </c>
      <c r="Z57" s="408" t="e">
        <f>CONCATENATED!AC162</f>
        <v>#REF!</v>
      </c>
      <c r="AA57" s="408" t="e">
        <f>CONCATENATED!AD162</f>
        <v>#REF!</v>
      </c>
      <c r="AB57" s="408" t="e">
        <f>CONCATENATED!AE162</f>
        <v>#REF!</v>
      </c>
      <c r="AC57" s="535"/>
      <c r="AD57" s="355" t="e">
        <f t="shared" si="1"/>
        <v>#N/A</v>
      </c>
      <c r="AE57" s="356" t="e">
        <f t="shared" si="2"/>
        <v>#N/A</v>
      </c>
      <c r="AF57" s="356" t="e">
        <f t="shared" si="0"/>
        <v>#N/A</v>
      </c>
      <c r="AG57" s="356" t="e">
        <f t="shared" si="3"/>
        <v>#N/A</v>
      </c>
      <c r="AH57" s="356" t="e">
        <f t="shared" si="4"/>
        <v>#N/A</v>
      </c>
      <c r="AI57" s="356" t="e">
        <f t="shared" si="5"/>
        <v>#N/A</v>
      </c>
      <c r="AJ57" s="356" t="e">
        <f t="shared" si="6"/>
        <v>#N/A</v>
      </c>
      <c r="AK57" s="356" t="e">
        <f t="shared" si="7"/>
        <v>#N/A</v>
      </c>
      <c r="AL57" s="356" t="e">
        <f t="shared" si="8"/>
        <v>#N/A</v>
      </c>
      <c r="AM57" s="356" t="e">
        <f t="shared" si="9"/>
        <v>#N/A</v>
      </c>
      <c r="AN57" s="356" t="e">
        <f t="shared" si="10"/>
        <v>#N/A</v>
      </c>
      <c r="AO57" s="356" t="e">
        <f t="shared" si="11"/>
        <v>#N/A</v>
      </c>
      <c r="AP57" s="356" t="e">
        <f t="shared" si="12"/>
        <v>#N/A</v>
      </c>
      <c r="AQ57" s="356" t="e">
        <f t="shared" si="13"/>
        <v>#N/A</v>
      </c>
      <c r="AR57" s="356" t="e">
        <f t="shared" si="14"/>
        <v>#N/A</v>
      </c>
      <c r="AS57" s="357" t="e">
        <f t="shared" si="15"/>
        <v>#N/A</v>
      </c>
      <c r="AT57" s="356" t="e">
        <f t="shared" si="16"/>
        <v>#N/A</v>
      </c>
      <c r="AU57" s="356" t="e">
        <f t="shared" si="17"/>
        <v>#N/A</v>
      </c>
      <c r="AV57" s="356" t="e">
        <f t="shared" si="18"/>
        <v>#N/A</v>
      </c>
      <c r="AW57" s="356" t="e">
        <f t="shared" si="19"/>
        <v>#N/A</v>
      </c>
      <c r="AX57" s="356" t="e">
        <f t="shared" si="20"/>
        <v>#N/A</v>
      </c>
      <c r="AY57" s="356" t="e">
        <f t="shared" si="21"/>
        <v>#N/A</v>
      </c>
      <c r="AZ57" s="356" t="e">
        <f t="shared" si="22"/>
        <v>#N/A</v>
      </c>
      <c r="BA57" s="356" t="e">
        <f t="shared" si="23"/>
        <v>#N/A</v>
      </c>
      <c r="BB57" s="356" t="e">
        <f t="shared" si="24"/>
        <v>#N/A</v>
      </c>
      <c r="BC57" s="356" t="e">
        <f t="shared" si="25"/>
        <v>#N/A</v>
      </c>
      <c r="BD57" s="356" t="e">
        <f t="shared" si="26"/>
        <v>#N/A</v>
      </c>
      <c r="BE57" s="356" t="e">
        <f t="shared" si="27"/>
        <v>#N/A</v>
      </c>
      <c r="BF57" s="356" t="e">
        <f t="shared" si="28"/>
        <v>#N/A</v>
      </c>
      <c r="BG57" s="356" t="e">
        <f t="shared" si="29"/>
        <v>#N/A</v>
      </c>
      <c r="BH57" s="356" t="e">
        <f t="shared" si="30"/>
        <v>#N/A</v>
      </c>
      <c r="BI57" s="356" t="e">
        <f t="shared" si="31"/>
        <v>#N/A</v>
      </c>
      <c r="BJ57" s="356" t="e">
        <f t="shared" si="32"/>
        <v>#N/A</v>
      </c>
      <c r="BK57" s="356" t="e">
        <f t="shared" si="33"/>
        <v>#N/A</v>
      </c>
      <c r="BL57" s="535"/>
    </row>
    <row r="58" spans="1:64" ht="15.6" thickBot="1" x14ac:dyDescent="0.3">
      <c r="A58" s="400">
        <v>53</v>
      </c>
      <c r="B58" s="408" t="e">
        <f>CONCATENATED!E165</f>
        <v>#REF!</v>
      </c>
      <c r="C58" s="408" t="e">
        <f>CONCATENATED!F165</f>
        <v>#REF!</v>
      </c>
      <c r="D58" s="408" t="e">
        <f>CONCATENATED!G165</f>
        <v>#REF!</v>
      </c>
      <c r="E58" s="408" t="e">
        <f>CONCATENATED!H165</f>
        <v>#REF!</v>
      </c>
      <c r="F58" s="408" t="e">
        <f>CONCATENATED!I165</f>
        <v>#REF!</v>
      </c>
      <c r="G58" s="408" t="e">
        <f>CONCATENATED!J165</f>
        <v>#REF!</v>
      </c>
      <c r="H58" s="408" t="e">
        <f>CONCATENATED!K165</f>
        <v>#REF!</v>
      </c>
      <c r="I58" s="408" t="e">
        <f>CONCATENATED!L165</f>
        <v>#REF!</v>
      </c>
      <c r="J58" s="408" t="e">
        <f>CONCATENATED!M165</f>
        <v>#REF!</v>
      </c>
      <c r="K58" s="408" t="e">
        <f>CONCATENATED!N165</f>
        <v>#REF!</v>
      </c>
      <c r="L58" s="408" t="e">
        <f>CONCATENATED!O165</f>
        <v>#REF!</v>
      </c>
      <c r="M58" s="408" t="e">
        <f>CONCATENATED!P165</f>
        <v>#REF!</v>
      </c>
      <c r="N58" s="408" t="e">
        <f>CONCATENATED!Q165</f>
        <v>#REF!</v>
      </c>
      <c r="O58" s="408" t="e">
        <f>CONCATENATED!R165</f>
        <v>#REF!</v>
      </c>
      <c r="P58" s="408" t="e">
        <f>CONCATENATED!S165</f>
        <v>#REF!</v>
      </c>
      <c r="Q58" s="408" t="e">
        <f>CONCATENATED!T165</f>
        <v>#REF!</v>
      </c>
      <c r="R58" s="408" t="e">
        <f>CONCATENATED!U165</f>
        <v>#REF!</v>
      </c>
      <c r="S58" s="408" t="e">
        <f>CONCATENATED!V165</f>
        <v>#REF!</v>
      </c>
      <c r="T58" s="408" t="e">
        <f>CONCATENATED!W165</f>
        <v>#REF!</v>
      </c>
      <c r="U58" s="408" t="e">
        <f>CONCATENATED!X165</f>
        <v>#REF!</v>
      </c>
      <c r="V58" s="408" t="e">
        <f>CONCATENATED!Y165</f>
        <v>#REF!</v>
      </c>
      <c r="W58" s="408" t="e">
        <f>CONCATENATED!Z165</f>
        <v>#REF!</v>
      </c>
      <c r="X58" s="408" t="e">
        <f>CONCATENATED!AA165</f>
        <v>#REF!</v>
      </c>
      <c r="Y58" s="408" t="e">
        <f>CONCATENATED!AB165</f>
        <v>#REF!</v>
      </c>
      <c r="Z58" s="408" t="e">
        <f>CONCATENATED!AC165</f>
        <v>#REF!</v>
      </c>
      <c r="AA58" s="408" t="e">
        <f>CONCATENATED!AD165</f>
        <v>#REF!</v>
      </c>
      <c r="AB58" s="408" t="e">
        <f>CONCATENATED!AE165</f>
        <v>#REF!</v>
      </c>
      <c r="AC58" s="536"/>
      <c r="AD58" s="361" t="e">
        <f t="shared" si="1"/>
        <v>#N/A</v>
      </c>
      <c r="AE58" s="362" t="e">
        <f t="shared" si="2"/>
        <v>#N/A</v>
      </c>
      <c r="AF58" s="362" t="e">
        <f t="shared" si="0"/>
        <v>#N/A</v>
      </c>
      <c r="AG58" s="362" t="e">
        <f t="shared" si="3"/>
        <v>#N/A</v>
      </c>
      <c r="AH58" s="362" t="e">
        <f t="shared" si="4"/>
        <v>#N/A</v>
      </c>
      <c r="AI58" s="362" t="e">
        <f t="shared" si="5"/>
        <v>#N/A</v>
      </c>
      <c r="AJ58" s="362" t="e">
        <f t="shared" si="6"/>
        <v>#N/A</v>
      </c>
      <c r="AK58" s="362" t="e">
        <f t="shared" si="7"/>
        <v>#N/A</v>
      </c>
      <c r="AL58" s="362" t="e">
        <f t="shared" si="8"/>
        <v>#N/A</v>
      </c>
      <c r="AM58" s="362" t="e">
        <f t="shared" si="9"/>
        <v>#N/A</v>
      </c>
      <c r="AN58" s="362" t="e">
        <f t="shared" si="10"/>
        <v>#N/A</v>
      </c>
      <c r="AO58" s="362" t="e">
        <f t="shared" si="11"/>
        <v>#N/A</v>
      </c>
      <c r="AP58" s="362" t="e">
        <f t="shared" si="12"/>
        <v>#N/A</v>
      </c>
      <c r="AQ58" s="362" t="e">
        <f t="shared" si="13"/>
        <v>#N/A</v>
      </c>
      <c r="AR58" s="362" t="e">
        <f t="shared" si="14"/>
        <v>#N/A</v>
      </c>
      <c r="AS58" s="363" t="e">
        <f t="shared" si="15"/>
        <v>#N/A</v>
      </c>
      <c r="AT58" s="362" t="e">
        <f t="shared" si="16"/>
        <v>#N/A</v>
      </c>
      <c r="AU58" s="362" t="e">
        <f t="shared" si="17"/>
        <v>#N/A</v>
      </c>
      <c r="AV58" s="362" t="e">
        <f t="shared" si="18"/>
        <v>#N/A</v>
      </c>
      <c r="AW58" s="362" t="e">
        <f t="shared" si="19"/>
        <v>#N/A</v>
      </c>
      <c r="AX58" s="362" t="e">
        <f t="shared" si="20"/>
        <v>#N/A</v>
      </c>
      <c r="AY58" s="362" t="e">
        <f t="shared" si="21"/>
        <v>#N/A</v>
      </c>
      <c r="AZ58" s="362" t="e">
        <f t="shared" si="22"/>
        <v>#N/A</v>
      </c>
      <c r="BA58" s="362" t="e">
        <f t="shared" si="23"/>
        <v>#N/A</v>
      </c>
      <c r="BB58" s="362" t="e">
        <f t="shared" si="24"/>
        <v>#N/A</v>
      </c>
      <c r="BC58" s="362" t="e">
        <f t="shared" si="25"/>
        <v>#N/A</v>
      </c>
      <c r="BD58" s="362" t="e">
        <f t="shared" si="26"/>
        <v>#N/A</v>
      </c>
      <c r="BE58" s="362" t="e">
        <f t="shared" si="27"/>
        <v>#N/A</v>
      </c>
      <c r="BF58" s="362" t="e">
        <f t="shared" si="28"/>
        <v>#N/A</v>
      </c>
      <c r="BG58" s="362" t="e">
        <f t="shared" si="29"/>
        <v>#N/A</v>
      </c>
      <c r="BH58" s="362" t="e">
        <f t="shared" si="30"/>
        <v>#N/A</v>
      </c>
      <c r="BI58" s="362" t="e">
        <f t="shared" si="31"/>
        <v>#N/A</v>
      </c>
      <c r="BJ58" s="362" t="e">
        <f t="shared" si="32"/>
        <v>#N/A</v>
      </c>
      <c r="BK58" s="362" t="e">
        <f t="shared" si="33"/>
        <v>#N/A</v>
      </c>
      <c r="BL58" s="536"/>
    </row>
    <row r="59" spans="1:64" ht="15.6" thickBot="1" x14ac:dyDescent="0.3">
      <c r="B59" s="408"/>
      <c r="C59" s="408"/>
      <c r="D59" s="408"/>
      <c r="E59" s="408"/>
      <c r="F59" s="408"/>
      <c r="G59" s="408"/>
      <c r="H59" s="408"/>
      <c r="I59" s="408"/>
      <c r="J59" s="408"/>
      <c r="K59" s="408"/>
      <c r="L59" s="408"/>
      <c r="M59" s="408"/>
      <c r="N59" s="408"/>
      <c r="O59" s="408"/>
      <c r="P59" s="408"/>
      <c r="Q59" s="408"/>
      <c r="R59" s="408"/>
      <c r="S59" s="408"/>
      <c r="T59" s="408"/>
      <c r="U59" s="408"/>
      <c r="V59" s="408"/>
      <c r="W59" s="408"/>
      <c r="X59" s="408"/>
      <c r="Y59" s="408"/>
      <c r="Z59" s="408"/>
      <c r="AA59" s="408"/>
      <c r="AB59" s="408"/>
      <c r="AC59" s="350"/>
      <c r="AD59" s="321" t="e">
        <f t="shared" si="1"/>
        <v>#N/A</v>
      </c>
      <c r="AE59" s="321" t="e">
        <f t="shared" si="2"/>
        <v>#N/A</v>
      </c>
      <c r="AF59" s="321" t="e">
        <f t="shared" si="0"/>
        <v>#N/A</v>
      </c>
      <c r="AG59" s="322" t="e">
        <f t="shared" si="3"/>
        <v>#N/A</v>
      </c>
      <c r="AH59" s="321" t="e">
        <f t="shared" si="4"/>
        <v>#N/A</v>
      </c>
      <c r="AI59" s="321" t="e">
        <f t="shared" si="5"/>
        <v>#N/A</v>
      </c>
      <c r="AJ59" s="321" t="e">
        <f t="shared" si="6"/>
        <v>#N/A</v>
      </c>
      <c r="AK59" s="323" t="e">
        <f t="shared" si="7"/>
        <v>#N/A</v>
      </c>
      <c r="AL59" s="321" t="e">
        <f t="shared" si="8"/>
        <v>#N/A</v>
      </c>
      <c r="AM59" s="321" t="e">
        <f t="shared" si="9"/>
        <v>#N/A</v>
      </c>
      <c r="AN59" s="321" t="e">
        <f t="shared" si="10"/>
        <v>#N/A</v>
      </c>
      <c r="AO59" s="324" t="e">
        <f t="shared" si="11"/>
        <v>#N/A</v>
      </c>
      <c r="AP59" s="321" t="e">
        <f t="shared" si="12"/>
        <v>#N/A</v>
      </c>
      <c r="AQ59" s="321" t="e">
        <f t="shared" si="13"/>
        <v>#N/A</v>
      </c>
      <c r="AR59" s="321" t="e">
        <f t="shared" si="14"/>
        <v>#N/A</v>
      </c>
      <c r="AS59" s="322" t="e">
        <f t="shared" si="15"/>
        <v>#N/A</v>
      </c>
      <c r="AT59" s="321" t="e">
        <f t="shared" si="16"/>
        <v>#N/A</v>
      </c>
      <c r="AU59" s="321" t="e">
        <f t="shared" si="17"/>
        <v>#N/A</v>
      </c>
      <c r="AV59" s="321" t="e">
        <f t="shared" si="18"/>
        <v>#N/A</v>
      </c>
      <c r="AW59" s="321" t="e">
        <f t="shared" si="19"/>
        <v>#N/A</v>
      </c>
      <c r="AX59" s="321" t="e">
        <f t="shared" si="20"/>
        <v>#N/A</v>
      </c>
      <c r="AY59" s="321" t="e">
        <f t="shared" si="21"/>
        <v>#N/A</v>
      </c>
      <c r="AZ59" s="321" t="e">
        <f t="shared" si="22"/>
        <v>#N/A</v>
      </c>
      <c r="BA59" s="321" t="e">
        <f t="shared" si="23"/>
        <v>#N/A</v>
      </c>
      <c r="BB59" s="321" t="e">
        <f t="shared" si="24"/>
        <v>#N/A</v>
      </c>
      <c r="BC59" s="321" t="e">
        <f t="shared" si="25"/>
        <v>#N/A</v>
      </c>
      <c r="BD59" s="321" t="e">
        <f t="shared" si="26"/>
        <v>#N/A</v>
      </c>
      <c r="BE59" s="321" t="e">
        <f t="shared" si="27"/>
        <v>#N/A</v>
      </c>
      <c r="BF59" s="321" t="e">
        <f t="shared" si="28"/>
        <v>#N/A</v>
      </c>
      <c r="BG59" s="321" t="e">
        <f t="shared" si="29"/>
        <v>#N/A</v>
      </c>
      <c r="BH59" s="321" t="e">
        <f t="shared" si="30"/>
        <v>#N/A</v>
      </c>
      <c r="BI59" s="321" t="e">
        <f t="shared" si="31"/>
        <v>#N/A</v>
      </c>
      <c r="BJ59" s="322" t="e">
        <f t="shared" si="32"/>
        <v>#N/A</v>
      </c>
      <c r="BK59" s="321" t="e">
        <f t="shared" si="33"/>
        <v>#N/A</v>
      </c>
      <c r="BL59" s="349"/>
    </row>
    <row r="60" spans="1:64" ht="62.4" thickBot="1" x14ac:dyDescent="0.3">
      <c r="A60" s="400">
        <v>54</v>
      </c>
      <c r="B60" s="412" t="e">
        <f>CONCATENATED!E168</f>
        <v>#REF!</v>
      </c>
      <c r="C60" s="412" t="e">
        <f>CONCATENATED!F168</f>
        <v>#REF!</v>
      </c>
      <c r="D60" s="412" t="e">
        <f>CONCATENATED!G168</f>
        <v>#REF!</v>
      </c>
      <c r="E60" s="412" t="e">
        <f>CONCATENATED!H168</f>
        <v>#REF!</v>
      </c>
      <c r="F60" s="412" t="e">
        <f>CONCATENATED!I168</f>
        <v>#REF!</v>
      </c>
      <c r="G60" s="412" t="e">
        <f>CONCATENATED!J168</f>
        <v>#REF!</v>
      </c>
      <c r="H60" s="412" t="e">
        <f>CONCATENATED!K168</f>
        <v>#REF!</v>
      </c>
      <c r="I60" s="412" t="str">
        <f>CONCATENATED!L168</f>
        <v>BSME/SEP2020/J-FT [Y2S1  (50) Students] EMC 4211: BENSON/MWANGANGI W/SHOP</v>
      </c>
      <c r="J60" s="412" t="str">
        <f>CONCATENATED!M168</f>
        <v xml:space="preserve">BSME/AUG2021/J-FT [Y1S2  (55) Students] :  </v>
      </c>
      <c r="K60" s="412" t="e">
        <f>CONCATENATED!N168</f>
        <v>#REF!</v>
      </c>
      <c r="L60" s="412" t="e">
        <f>CONCATENATED!O168</f>
        <v>#REF!</v>
      </c>
      <c r="M60" s="412" t="str">
        <f>CONCATENATED!P168</f>
        <v xml:space="preserve">BTME/SEP2019/S-PT [Y3S1   (10) Students] :  </v>
      </c>
      <c r="N60" s="412" t="str">
        <f>CONCATENATED!Q168</f>
        <v xml:space="preserve">BTME/AUG2021/S-PT [Y2S2   (10) Students] :  </v>
      </c>
      <c r="O60" s="412" t="e">
        <f>CONCATENATED!R168</f>
        <v>#REF!</v>
      </c>
      <c r="P60" s="412" t="e">
        <f>CONCATENATED!S168</f>
        <v>#REF!</v>
      </c>
      <c r="Q60" s="412" t="str">
        <f>CONCATENATED!T168</f>
        <v xml:space="preserve">BTME/AUG2021/J&amp;S-FT [Y1S1  (52) Students] :  </v>
      </c>
      <c r="R60" s="412" t="e">
        <f>CONCATENATED!U168</f>
        <v>#REF!</v>
      </c>
      <c r="S60" s="412" t="e">
        <f>CONCATENATED!V168</f>
        <v>#REF!</v>
      </c>
      <c r="T60" s="412" t="e">
        <f>CONCATENATED!W168</f>
        <v>#REF!</v>
      </c>
      <c r="U60" s="412" t="e">
        <f>CONCATENATED!X168</f>
        <v>#REF!</v>
      </c>
      <c r="V60" s="412" t="e">
        <f>CONCATENATED!Y168</f>
        <v>#REF!</v>
      </c>
      <c r="W60" s="412" t="e">
        <f>CONCATENATED!Z168</f>
        <v>#REF!</v>
      </c>
      <c r="X60" s="412" t="e">
        <f>CONCATENATED!AA168</f>
        <v>#REF!</v>
      </c>
      <c r="Y60" s="412" t="e">
        <f>CONCATENATED!AB168</f>
        <v>#REF!</v>
      </c>
      <c r="Z60" s="412" t="str">
        <f>CONCATENATED!AC168</f>
        <v>DMAE/SEP20201J&amp;S-FT [Y1S2   (60) Students] EMR 2115: MUCHIRU/KESSIO FL/LAB</v>
      </c>
      <c r="AA60" s="412" t="e">
        <f>CONCATENATED!AD168</f>
        <v>#REF!</v>
      </c>
      <c r="AB60" s="412" t="e">
        <f>CONCATENATED!AE168</f>
        <v>#REF!</v>
      </c>
      <c r="AC60" s="540" t="s">
        <v>184</v>
      </c>
      <c r="AD60" s="375" t="e">
        <f t="shared" si="1"/>
        <v>#N/A</v>
      </c>
      <c r="AE60" s="376" t="e">
        <f t="shared" si="2"/>
        <v>#N/A</v>
      </c>
      <c r="AF60" s="376" t="e">
        <f t="shared" si="0"/>
        <v>#N/A</v>
      </c>
      <c r="AG60" s="376" t="e">
        <f t="shared" si="3"/>
        <v>#N/A</v>
      </c>
      <c r="AH60" s="376" t="e">
        <f t="shared" si="4"/>
        <v>#N/A</v>
      </c>
      <c r="AI60" s="376" t="e">
        <f t="shared" si="5"/>
        <v>#N/A</v>
      </c>
      <c r="AJ60" s="376" t="e">
        <f t="shared" si="6"/>
        <v>#N/A</v>
      </c>
      <c r="AK60" s="376" t="e">
        <f t="shared" si="7"/>
        <v>#N/A</v>
      </c>
      <c r="AL60" s="376" t="e">
        <f t="shared" si="8"/>
        <v>#N/A</v>
      </c>
      <c r="AM60" s="376" t="e">
        <f t="shared" si="9"/>
        <v>#N/A</v>
      </c>
      <c r="AN60" s="376" t="e">
        <f t="shared" si="10"/>
        <v>#N/A</v>
      </c>
      <c r="AO60" s="376" t="e">
        <f t="shared" si="11"/>
        <v>#N/A</v>
      </c>
      <c r="AP60" s="376" t="e">
        <f t="shared" si="12"/>
        <v>#N/A</v>
      </c>
      <c r="AQ60" s="376" t="e">
        <f t="shared" si="13"/>
        <v>#N/A</v>
      </c>
      <c r="AR60" s="376" t="e">
        <f t="shared" si="14"/>
        <v>#N/A</v>
      </c>
      <c r="AS60" s="377" t="e">
        <f t="shared" si="15"/>
        <v>#N/A</v>
      </c>
      <c r="AT60" s="376" t="e">
        <f t="shared" si="16"/>
        <v>#N/A</v>
      </c>
      <c r="AU60" s="376" t="e">
        <f t="shared" si="17"/>
        <v>#N/A</v>
      </c>
      <c r="AV60" s="376" t="e">
        <f t="shared" si="18"/>
        <v>#N/A</v>
      </c>
      <c r="AW60" s="376" t="e">
        <f t="shared" si="19"/>
        <v>#N/A</v>
      </c>
      <c r="AX60" s="376" t="e">
        <f t="shared" si="20"/>
        <v>#N/A</v>
      </c>
      <c r="AY60" s="376" t="e">
        <f t="shared" si="21"/>
        <v>#N/A</v>
      </c>
      <c r="AZ60" s="376" t="e">
        <f t="shared" si="22"/>
        <v>#N/A</v>
      </c>
      <c r="BA60" s="376" t="e">
        <f t="shared" si="23"/>
        <v>#N/A</v>
      </c>
      <c r="BB60" s="376" t="e">
        <f t="shared" si="24"/>
        <v>#N/A</v>
      </c>
      <c r="BC60" s="376" t="e">
        <f t="shared" si="25"/>
        <v>#N/A</v>
      </c>
      <c r="BD60" s="376" t="e">
        <f t="shared" si="26"/>
        <v>#N/A</v>
      </c>
      <c r="BE60" s="376" t="e">
        <f t="shared" si="27"/>
        <v>#N/A</v>
      </c>
      <c r="BF60" s="376" t="e">
        <f t="shared" si="28"/>
        <v>#N/A</v>
      </c>
      <c r="BG60" s="376" t="e">
        <f t="shared" si="29"/>
        <v>#N/A</v>
      </c>
      <c r="BH60" s="376" t="e">
        <f t="shared" si="30"/>
        <v>#N/A</v>
      </c>
      <c r="BI60" s="376" t="e">
        <f t="shared" si="31"/>
        <v>#N/A</v>
      </c>
      <c r="BJ60" s="376" t="e">
        <f t="shared" si="32"/>
        <v>#N/A</v>
      </c>
      <c r="BK60" s="376" t="e">
        <f t="shared" si="33"/>
        <v>#N/A</v>
      </c>
      <c r="BL60" s="540" t="s">
        <v>184</v>
      </c>
    </row>
    <row r="61" spans="1:64" ht="15.6" thickBot="1" x14ac:dyDescent="0.3">
      <c r="A61" s="400">
        <v>55</v>
      </c>
      <c r="B61" s="412" t="e">
        <f>CONCATENATED!E171</f>
        <v>#REF!</v>
      </c>
      <c r="C61" s="412" t="e">
        <f>CONCATENATED!F171</f>
        <v>#REF!</v>
      </c>
      <c r="D61" s="412" t="e">
        <f>CONCATENATED!G171</f>
        <v>#REF!</v>
      </c>
      <c r="E61" s="412" t="e">
        <f>CONCATENATED!H171</f>
        <v>#REF!</v>
      </c>
      <c r="F61" s="412" t="e">
        <f>CONCATENATED!I171</f>
        <v>#REF!</v>
      </c>
      <c r="G61" s="412" t="e">
        <f>CONCATENATED!J171</f>
        <v>#REF!</v>
      </c>
      <c r="H61" s="412" t="e">
        <f>CONCATENATED!K171</f>
        <v>#REF!</v>
      </c>
      <c r="I61" s="412" t="e">
        <f>CONCATENATED!L171</f>
        <v>#REF!</v>
      </c>
      <c r="J61" s="412" t="e">
        <f>CONCATENATED!M171</f>
        <v>#REF!</v>
      </c>
      <c r="K61" s="412" t="e">
        <f>CONCATENATED!N171</f>
        <v>#REF!</v>
      </c>
      <c r="L61" s="412" t="e">
        <f>CONCATENATED!O171</f>
        <v>#REF!</v>
      </c>
      <c r="M61" s="412" t="e">
        <f>CONCATENATED!P171</f>
        <v>#REF!</v>
      </c>
      <c r="N61" s="412" t="e">
        <f>CONCATENATED!Q171</f>
        <v>#REF!</v>
      </c>
      <c r="O61" s="412" t="e">
        <f>CONCATENATED!R171</f>
        <v>#REF!</v>
      </c>
      <c r="P61" s="412" t="e">
        <f>CONCATENATED!S171</f>
        <v>#REF!</v>
      </c>
      <c r="Q61" s="412" t="e">
        <f>CONCATENATED!T171</f>
        <v>#REF!</v>
      </c>
      <c r="R61" s="412" t="e">
        <f>CONCATENATED!U171</f>
        <v>#REF!</v>
      </c>
      <c r="S61" s="412" t="e">
        <f>CONCATENATED!V171</f>
        <v>#REF!</v>
      </c>
      <c r="T61" s="412" t="e">
        <f>CONCATENATED!W171</f>
        <v>#REF!</v>
      </c>
      <c r="U61" s="412" t="e">
        <f>CONCATENATED!X171</f>
        <v>#REF!</v>
      </c>
      <c r="V61" s="412" t="e">
        <f>CONCATENATED!Y171</f>
        <v>#REF!</v>
      </c>
      <c r="W61" s="412" t="e">
        <f>CONCATENATED!Z171</f>
        <v>#REF!</v>
      </c>
      <c r="X61" s="412" t="e">
        <f>CONCATENATED!AA171</f>
        <v>#REF!</v>
      </c>
      <c r="Y61" s="412" t="e">
        <f>CONCATENATED!AB171</f>
        <v>#REF!</v>
      </c>
      <c r="Z61" s="412" t="e">
        <f>CONCATENATED!AC171</f>
        <v>#REF!</v>
      </c>
      <c r="AA61" s="412" t="e">
        <f>CONCATENATED!AD171</f>
        <v>#REF!</v>
      </c>
      <c r="AB61" s="412" t="e">
        <f>CONCATENATED!AE171</f>
        <v>#REF!</v>
      </c>
      <c r="AC61" s="535"/>
      <c r="AD61" s="378" t="e">
        <f t="shared" si="1"/>
        <v>#N/A</v>
      </c>
      <c r="AE61" s="379" t="e">
        <f t="shared" si="2"/>
        <v>#N/A</v>
      </c>
      <c r="AF61" s="379" t="e">
        <f t="shared" si="0"/>
        <v>#N/A</v>
      </c>
      <c r="AG61" s="379" t="e">
        <f t="shared" si="3"/>
        <v>#N/A</v>
      </c>
      <c r="AH61" s="379" t="e">
        <f t="shared" si="4"/>
        <v>#N/A</v>
      </c>
      <c r="AI61" s="379" t="e">
        <f t="shared" si="5"/>
        <v>#N/A</v>
      </c>
      <c r="AJ61" s="379" t="e">
        <f t="shared" si="6"/>
        <v>#N/A</v>
      </c>
      <c r="AK61" s="379" t="e">
        <f t="shared" si="7"/>
        <v>#N/A</v>
      </c>
      <c r="AL61" s="379" t="e">
        <f t="shared" si="8"/>
        <v>#N/A</v>
      </c>
      <c r="AM61" s="379" t="e">
        <f t="shared" si="9"/>
        <v>#N/A</v>
      </c>
      <c r="AN61" s="379" t="e">
        <f t="shared" si="10"/>
        <v>#N/A</v>
      </c>
      <c r="AO61" s="379" t="e">
        <f t="shared" si="11"/>
        <v>#N/A</v>
      </c>
      <c r="AP61" s="379" t="e">
        <f t="shared" si="12"/>
        <v>#N/A</v>
      </c>
      <c r="AQ61" s="379" t="e">
        <f t="shared" si="13"/>
        <v>#N/A</v>
      </c>
      <c r="AR61" s="379" t="e">
        <f t="shared" si="14"/>
        <v>#N/A</v>
      </c>
      <c r="AS61" s="380" t="e">
        <f t="shared" si="15"/>
        <v>#N/A</v>
      </c>
      <c r="AT61" s="379" t="e">
        <f t="shared" si="16"/>
        <v>#N/A</v>
      </c>
      <c r="AU61" s="379" t="e">
        <f t="shared" si="17"/>
        <v>#N/A</v>
      </c>
      <c r="AV61" s="379" t="e">
        <f t="shared" si="18"/>
        <v>#N/A</v>
      </c>
      <c r="AW61" s="379" t="e">
        <f t="shared" si="19"/>
        <v>#N/A</v>
      </c>
      <c r="AX61" s="379" t="e">
        <f t="shared" si="20"/>
        <v>#N/A</v>
      </c>
      <c r="AY61" s="379" t="e">
        <f t="shared" si="21"/>
        <v>#N/A</v>
      </c>
      <c r="AZ61" s="379" t="e">
        <f t="shared" si="22"/>
        <v>#N/A</v>
      </c>
      <c r="BA61" s="379" t="e">
        <f t="shared" si="23"/>
        <v>#N/A</v>
      </c>
      <c r="BB61" s="379" t="e">
        <f t="shared" si="24"/>
        <v>#N/A</v>
      </c>
      <c r="BC61" s="379" t="e">
        <f t="shared" si="25"/>
        <v>#N/A</v>
      </c>
      <c r="BD61" s="379" t="e">
        <f t="shared" si="26"/>
        <v>#N/A</v>
      </c>
      <c r="BE61" s="379" t="e">
        <f t="shared" si="27"/>
        <v>#N/A</v>
      </c>
      <c r="BF61" s="379" t="e">
        <f t="shared" si="28"/>
        <v>#N/A</v>
      </c>
      <c r="BG61" s="379" t="e">
        <f t="shared" si="29"/>
        <v>#N/A</v>
      </c>
      <c r="BH61" s="379" t="e">
        <f t="shared" si="30"/>
        <v>#N/A</v>
      </c>
      <c r="BI61" s="379" t="e">
        <f t="shared" si="31"/>
        <v>#N/A</v>
      </c>
      <c r="BJ61" s="379" t="e">
        <f t="shared" si="32"/>
        <v>#N/A</v>
      </c>
      <c r="BK61" s="379" t="e">
        <f t="shared" si="33"/>
        <v>#N/A</v>
      </c>
      <c r="BL61" s="535"/>
    </row>
    <row r="62" spans="1:64" s="413" customFormat="1" ht="15.6" thickBot="1" x14ac:dyDescent="0.3">
      <c r="A62" s="400">
        <v>56</v>
      </c>
      <c r="B62" s="412" t="e">
        <f>CONCATENATED!E174</f>
        <v>#REF!</v>
      </c>
      <c r="C62" s="412" t="e">
        <f>CONCATENATED!F174</f>
        <v>#REF!</v>
      </c>
      <c r="D62" s="412" t="e">
        <f>CONCATENATED!G174</f>
        <v>#REF!</v>
      </c>
      <c r="E62" s="412" t="e">
        <f>CONCATENATED!H174</f>
        <v>#REF!</v>
      </c>
      <c r="F62" s="412" t="e">
        <f>CONCATENATED!I174</f>
        <v>#REF!</v>
      </c>
      <c r="G62" s="412" t="e">
        <f>CONCATENATED!J174</f>
        <v>#REF!</v>
      </c>
      <c r="H62" s="412" t="e">
        <f>CONCATENATED!K174</f>
        <v>#REF!</v>
      </c>
      <c r="I62" s="412" t="e">
        <f>CONCATENATED!L174</f>
        <v>#REF!</v>
      </c>
      <c r="J62" s="412" t="e">
        <f>CONCATENATED!M174</f>
        <v>#REF!</v>
      </c>
      <c r="K62" s="412" t="e">
        <f>CONCATENATED!N174</f>
        <v>#REF!</v>
      </c>
      <c r="L62" s="412" t="e">
        <f>CONCATENATED!O174</f>
        <v>#REF!</v>
      </c>
      <c r="M62" s="412" t="e">
        <f>CONCATENATED!P174</f>
        <v>#REF!</v>
      </c>
      <c r="N62" s="412" t="e">
        <f>CONCATENATED!Q174</f>
        <v>#REF!</v>
      </c>
      <c r="O62" s="412" t="e">
        <f>CONCATENATED!R174</f>
        <v>#REF!</v>
      </c>
      <c r="P62" s="412" t="e">
        <f>CONCATENATED!S174</f>
        <v>#REF!</v>
      </c>
      <c r="Q62" s="412" t="e">
        <f>CONCATENATED!T174</f>
        <v>#REF!</v>
      </c>
      <c r="R62" s="412" t="e">
        <f>CONCATENATED!U174</f>
        <v>#REF!</v>
      </c>
      <c r="S62" s="412" t="e">
        <f>CONCATENATED!V174</f>
        <v>#REF!</v>
      </c>
      <c r="T62" s="412" t="e">
        <f>CONCATENATED!W174</f>
        <v>#REF!</v>
      </c>
      <c r="U62" s="412" t="e">
        <f>CONCATENATED!X174</f>
        <v>#REF!</v>
      </c>
      <c r="V62" s="412" t="e">
        <f>CONCATENATED!Y174</f>
        <v>#REF!</v>
      </c>
      <c r="W62" s="412" t="e">
        <f>CONCATENATED!Z174</f>
        <v>#REF!</v>
      </c>
      <c r="X62" s="412" t="e">
        <f>CONCATENATED!AA174</f>
        <v>#REF!</v>
      </c>
      <c r="Y62" s="412" t="e">
        <f>CONCATENATED!AB174</f>
        <v>#REF!</v>
      </c>
      <c r="Z62" s="412" t="e">
        <f>CONCATENATED!AC174</f>
        <v>#REF!</v>
      </c>
      <c r="AA62" s="412" t="e">
        <f>CONCATENATED!AD174</f>
        <v>#REF!</v>
      </c>
      <c r="AB62" s="412" t="e">
        <f>CONCATENATED!AE174</f>
        <v>#REF!</v>
      </c>
      <c r="AC62" s="535"/>
      <c r="AD62" s="378" t="e">
        <f t="shared" si="1"/>
        <v>#N/A</v>
      </c>
      <c r="AE62" s="379" t="e">
        <f t="shared" si="2"/>
        <v>#N/A</v>
      </c>
      <c r="AF62" s="379" t="e">
        <f t="shared" si="0"/>
        <v>#N/A</v>
      </c>
      <c r="AG62" s="379" t="e">
        <f t="shared" si="3"/>
        <v>#N/A</v>
      </c>
      <c r="AH62" s="379" t="e">
        <f t="shared" si="4"/>
        <v>#N/A</v>
      </c>
      <c r="AI62" s="379" t="e">
        <f t="shared" si="5"/>
        <v>#N/A</v>
      </c>
      <c r="AJ62" s="379" t="e">
        <f t="shared" si="6"/>
        <v>#N/A</v>
      </c>
      <c r="AK62" s="379" t="e">
        <f t="shared" si="7"/>
        <v>#N/A</v>
      </c>
      <c r="AL62" s="379" t="e">
        <f t="shared" si="8"/>
        <v>#N/A</v>
      </c>
      <c r="AM62" s="379" t="e">
        <f t="shared" si="9"/>
        <v>#N/A</v>
      </c>
      <c r="AN62" s="379" t="e">
        <f t="shared" si="10"/>
        <v>#N/A</v>
      </c>
      <c r="AO62" s="379" t="e">
        <f t="shared" si="11"/>
        <v>#N/A</v>
      </c>
      <c r="AP62" s="379" t="e">
        <f t="shared" si="12"/>
        <v>#N/A</v>
      </c>
      <c r="AQ62" s="379" t="e">
        <f t="shared" si="13"/>
        <v>#N/A</v>
      </c>
      <c r="AR62" s="379" t="e">
        <f t="shared" si="14"/>
        <v>#N/A</v>
      </c>
      <c r="AS62" s="380" t="e">
        <f t="shared" si="15"/>
        <v>#N/A</v>
      </c>
      <c r="AT62" s="379" t="e">
        <f t="shared" si="16"/>
        <v>#N/A</v>
      </c>
      <c r="AU62" s="379" t="e">
        <f t="shared" si="17"/>
        <v>#N/A</v>
      </c>
      <c r="AV62" s="379" t="e">
        <f t="shared" si="18"/>
        <v>#N/A</v>
      </c>
      <c r="AW62" s="379" t="e">
        <f t="shared" si="19"/>
        <v>#N/A</v>
      </c>
      <c r="AX62" s="379" t="e">
        <f t="shared" si="20"/>
        <v>#N/A</v>
      </c>
      <c r="AY62" s="379" t="e">
        <f t="shared" si="21"/>
        <v>#N/A</v>
      </c>
      <c r="AZ62" s="379" t="e">
        <f t="shared" si="22"/>
        <v>#N/A</v>
      </c>
      <c r="BA62" s="379" t="e">
        <f t="shared" si="23"/>
        <v>#N/A</v>
      </c>
      <c r="BB62" s="379" t="e">
        <f t="shared" si="24"/>
        <v>#N/A</v>
      </c>
      <c r="BC62" s="379" t="e">
        <f t="shared" si="25"/>
        <v>#N/A</v>
      </c>
      <c r="BD62" s="379" t="e">
        <f t="shared" si="26"/>
        <v>#N/A</v>
      </c>
      <c r="BE62" s="379" t="e">
        <f t="shared" si="27"/>
        <v>#N/A</v>
      </c>
      <c r="BF62" s="379" t="e">
        <f t="shared" si="28"/>
        <v>#N/A</v>
      </c>
      <c r="BG62" s="379" t="e">
        <f t="shared" si="29"/>
        <v>#N/A</v>
      </c>
      <c r="BH62" s="379" t="e">
        <f t="shared" si="30"/>
        <v>#N/A</v>
      </c>
      <c r="BI62" s="379" t="e">
        <f t="shared" si="31"/>
        <v>#N/A</v>
      </c>
      <c r="BJ62" s="379" t="e">
        <f t="shared" si="32"/>
        <v>#N/A</v>
      </c>
      <c r="BK62" s="379" t="e">
        <f t="shared" si="33"/>
        <v>#N/A</v>
      </c>
      <c r="BL62" s="535"/>
    </row>
    <row r="63" spans="1:64" ht="62.4" thickBot="1" x14ac:dyDescent="0.3">
      <c r="A63" s="400">
        <v>57</v>
      </c>
      <c r="B63" s="412" t="e">
        <f>CONCATENATED!E177</f>
        <v>#REF!</v>
      </c>
      <c r="C63" s="412" t="e">
        <f>CONCATENATED!F177</f>
        <v>#REF!</v>
      </c>
      <c r="D63" s="412" t="e">
        <f>CONCATENATED!G177</f>
        <v>#REF!</v>
      </c>
      <c r="E63" s="412" t="e">
        <f>CONCATENATED!H177</f>
        <v>#REF!</v>
      </c>
      <c r="F63" s="412" t="e">
        <f>CONCATENATED!I177</f>
        <v>#REF!</v>
      </c>
      <c r="G63" s="412" t="e">
        <f>CONCATENATED!J177</f>
        <v>#REF!</v>
      </c>
      <c r="H63" s="412" t="e">
        <f>CONCATENATED!K177</f>
        <v>#REF!</v>
      </c>
      <c r="I63" s="412" t="str">
        <f>CONCATENATED!L177</f>
        <v>BSME/SEP2020/J-FT [Y2S1  (50) Students] EMC 4214: PROF KANYUA FET107</v>
      </c>
      <c r="J63" s="412" t="str">
        <f>CONCATENATED!M177</f>
        <v>BSME/AUG2021/J-FT [Y1S2  (55) Students] ACH 4151: COD APPLIED/TECH CHEM LAB</v>
      </c>
      <c r="K63" s="412" t="e">
        <f>CONCATENATED!N177</f>
        <v>#REF!</v>
      </c>
      <c r="L63" s="412" t="e">
        <f>CONCATENATED!O177</f>
        <v>#REF!</v>
      </c>
      <c r="M63" s="412" t="str">
        <f>CONCATENATED!P177</f>
        <v xml:space="preserve">BTME/SEP2019/S-PT [Y3S1   (10) Students] :  </v>
      </c>
      <c r="N63" s="412" t="str">
        <f>CONCATENATED!Q177</f>
        <v xml:space="preserve">BTME/AUG2021/S-PT [Y2S2   (10) Students] :  </v>
      </c>
      <c r="O63" s="412" t="e">
        <f>CONCATENATED!R177</f>
        <v>#REF!</v>
      </c>
      <c r="P63" s="412" t="e">
        <f>CONCATENATED!S177</f>
        <v>#REF!</v>
      </c>
      <c r="Q63" s="412" t="str">
        <f>CONCATENATED!T177</f>
        <v xml:space="preserve">BTME/AUG2021/J&amp;S-FT [Y1S1  (52) Students] TMC 4104: WANGOMBE/KESSIO W/SHOP </v>
      </c>
      <c r="R63" s="412" t="e">
        <f>CONCATENATED!U177</f>
        <v>#REF!</v>
      </c>
      <c r="S63" s="412" t="e">
        <f>CONCATENATED!V177</f>
        <v>#REF!</v>
      </c>
      <c r="T63" s="412" t="e">
        <f>CONCATENATED!W177</f>
        <v>#REF!</v>
      </c>
      <c r="U63" s="412" t="e">
        <f>CONCATENATED!X177</f>
        <v>#REF!</v>
      </c>
      <c r="V63" s="412" t="e">
        <f>CONCATENATED!Y177</f>
        <v>#REF!</v>
      </c>
      <c r="W63" s="412" t="e">
        <f>CONCATENATED!Z177</f>
        <v>#REF!</v>
      </c>
      <c r="X63" s="412" t="e">
        <f>CONCATENATED!AA177</f>
        <v>#REF!</v>
      </c>
      <c r="Y63" s="412" t="e">
        <f>CONCATENATED!AB177</f>
        <v>#REF!</v>
      </c>
      <c r="Z63" s="412" t="str">
        <f>CONCATENATED!AC177</f>
        <v>DMAE/SEP20201J&amp;S-FT [Y1S2   (60) Students] EMR 2130: NYADERO MB 16</v>
      </c>
      <c r="AA63" s="412" t="e">
        <f>CONCATENATED!AD177</f>
        <v>#REF!</v>
      </c>
      <c r="AB63" s="412" t="e">
        <f>CONCATENATED!AE177</f>
        <v>#REF!</v>
      </c>
      <c r="AC63" s="535"/>
      <c r="AD63" s="378" t="e">
        <f t="shared" si="1"/>
        <v>#N/A</v>
      </c>
      <c r="AE63" s="379" t="e">
        <f t="shared" si="2"/>
        <v>#N/A</v>
      </c>
      <c r="AF63" s="379" t="e">
        <f t="shared" si="0"/>
        <v>#N/A</v>
      </c>
      <c r="AG63" s="379" t="e">
        <f t="shared" si="3"/>
        <v>#N/A</v>
      </c>
      <c r="AH63" s="379" t="e">
        <f t="shared" si="4"/>
        <v>#N/A</v>
      </c>
      <c r="AI63" s="379" t="e">
        <f t="shared" si="5"/>
        <v>#N/A</v>
      </c>
      <c r="AJ63" s="379" t="e">
        <f t="shared" si="6"/>
        <v>#N/A</v>
      </c>
      <c r="AK63" s="379" t="e">
        <f t="shared" si="7"/>
        <v>#N/A</v>
      </c>
      <c r="AL63" s="379" t="e">
        <f t="shared" si="8"/>
        <v>#N/A</v>
      </c>
      <c r="AM63" s="379" t="e">
        <f t="shared" si="9"/>
        <v>#N/A</v>
      </c>
      <c r="AN63" s="379" t="e">
        <f t="shared" si="10"/>
        <v>#N/A</v>
      </c>
      <c r="AO63" s="379" t="e">
        <f t="shared" si="11"/>
        <v>#N/A</v>
      </c>
      <c r="AP63" s="379" t="e">
        <f t="shared" si="12"/>
        <v>#N/A</v>
      </c>
      <c r="AQ63" s="379" t="e">
        <f t="shared" si="13"/>
        <v>#N/A</v>
      </c>
      <c r="AR63" s="379" t="e">
        <f t="shared" si="14"/>
        <v>#N/A</v>
      </c>
      <c r="AS63" s="380" t="e">
        <f t="shared" si="15"/>
        <v>#N/A</v>
      </c>
      <c r="AT63" s="379" t="e">
        <f t="shared" si="16"/>
        <v>#N/A</v>
      </c>
      <c r="AU63" s="379" t="e">
        <f t="shared" si="17"/>
        <v>#N/A</v>
      </c>
      <c r="AV63" s="379" t="e">
        <f t="shared" si="18"/>
        <v>#N/A</v>
      </c>
      <c r="AW63" s="379" t="e">
        <f t="shared" si="19"/>
        <v>#N/A</v>
      </c>
      <c r="AX63" s="379" t="e">
        <f t="shared" si="20"/>
        <v>#N/A</v>
      </c>
      <c r="AY63" s="379" t="e">
        <f t="shared" si="21"/>
        <v>#N/A</v>
      </c>
      <c r="AZ63" s="379" t="e">
        <f t="shared" si="22"/>
        <v>#N/A</v>
      </c>
      <c r="BA63" s="379" t="e">
        <f t="shared" si="23"/>
        <v>#N/A</v>
      </c>
      <c r="BB63" s="379" t="e">
        <f t="shared" si="24"/>
        <v>#N/A</v>
      </c>
      <c r="BC63" s="379" t="e">
        <f t="shared" si="25"/>
        <v>#N/A</v>
      </c>
      <c r="BD63" s="379" t="e">
        <f t="shared" si="26"/>
        <v>#N/A</v>
      </c>
      <c r="BE63" s="379" t="e">
        <f t="shared" si="27"/>
        <v>#N/A</v>
      </c>
      <c r="BF63" s="379" t="e">
        <f t="shared" si="28"/>
        <v>#N/A</v>
      </c>
      <c r="BG63" s="379" t="e">
        <f t="shared" si="29"/>
        <v>#N/A</v>
      </c>
      <c r="BH63" s="379" t="e">
        <f t="shared" si="30"/>
        <v>#N/A</v>
      </c>
      <c r="BI63" s="379" t="e">
        <f t="shared" si="31"/>
        <v>#N/A</v>
      </c>
      <c r="BJ63" s="379" t="e">
        <f t="shared" si="32"/>
        <v>#N/A</v>
      </c>
      <c r="BK63" s="379" t="e">
        <f t="shared" si="33"/>
        <v>#N/A</v>
      </c>
      <c r="BL63" s="535"/>
    </row>
    <row r="64" spans="1:64" ht="15.6" thickBot="1" x14ac:dyDescent="0.3">
      <c r="A64" s="400">
        <v>58</v>
      </c>
      <c r="B64" s="412" t="e">
        <f>CONCATENATED!E180</f>
        <v>#REF!</v>
      </c>
      <c r="C64" s="412" t="e">
        <f>CONCATENATED!F180</f>
        <v>#REF!</v>
      </c>
      <c r="D64" s="412" t="e">
        <f>CONCATENATED!G180</f>
        <v>#REF!</v>
      </c>
      <c r="E64" s="412" t="e">
        <f>CONCATENATED!H180</f>
        <v>#REF!</v>
      </c>
      <c r="F64" s="412" t="e">
        <f>CONCATENATED!I180</f>
        <v>#REF!</v>
      </c>
      <c r="G64" s="412" t="e">
        <f>CONCATENATED!J180</f>
        <v>#REF!</v>
      </c>
      <c r="H64" s="412" t="e">
        <f>CONCATENATED!K180</f>
        <v>#REF!</v>
      </c>
      <c r="I64" s="412" t="e">
        <f>CONCATENATED!L180</f>
        <v>#REF!</v>
      </c>
      <c r="J64" s="412" t="e">
        <f>CONCATENATED!M180</f>
        <v>#REF!</v>
      </c>
      <c r="K64" s="412" t="e">
        <f>CONCATENATED!N180</f>
        <v>#REF!</v>
      </c>
      <c r="L64" s="412" t="e">
        <f>CONCATENATED!O180</f>
        <v>#REF!</v>
      </c>
      <c r="M64" s="412" t="e">
        <f>CONCATENATED!P180</f>
        <v>#REF!</v>
      </c>
      <c r="N64" s="412" t="e">
        <f>CONCATENATED!Q180</f>
        <v>#REF!</v>
      </c>
      <c r="O64" s="412" t="e">
        <f>CONCATENATED!R180</f>
        <v>#REF!</v>
      </c>
      <c r="P64" s="412" t="e">
        <f>CONCATENATED!S180</f>
        <v>#REF!</v>
      </c>
      <c r="Q64" s="412" t="e">
        <f>CONCATENATED!T180</f>
        <v>#REF!</v>
      </c>
      <c r="R64" s="412" t="e">
        <f>CONCATENATED!U180</f>
        <v>#REF!</v>
      </c>
      <c r="S64" s="412" t="e">
        <f>CONCATENATED!V180</f>
        <v>#REF!</v>
      </c>
      <c r="T64" s="412" t="e">
        <f>CONCATENATED!W180</f>
        <v>#REF!</v>
      </c>
      <c r="U64" s="412" t="e">
        <f>CONCATENATED!X180</f>
        <v>#REF!</v>
      </c>
      <c r="V64" s="412" t="e">
        <f>CONCATENATED!Y180</f>
        <v>#REF!</v>
      </c>
      <c r="W64" s="412" t="e">
        <f>CONCATENATED!Z180</f>
        <v>#REF!</v>
      </c>
      <c r="X64" s="412" t="e">
        <f>CONCATENATED!AA180</f>
        <v>#REF!</v>
      </c>
      <c r="Y64" s="412" t="e">
        <f>CONCATENATED!AB180</f>
        <v>#REF!</v>
      </c>
      <c r="Z64" s="412" t="e">
        <f>CONCATENATED!AC180</f>
        <v>#REF!</v>
      </c>
      <c r="AA64" s="412" t="e">
        <f>CONCATENATED!AD180</f>
        <v>#REF!</v>
      </c>
      <c r="AB64" s="412" t="e">
        <f>CONCATENATED!AE180</f>
        <v>#REF!</v>
      </c>
      <c r="AC64" s="535"/>
      <c r="AD64" s="378" t="e">
        <f t="shared" si="1"/>
        <v>#N/A</v>
      </c>
      <c r="AE64" s="379" t="e">
        <f t="shared" si="2"/>
        <v>#N/A</v>
      </c>
      <c r="AF64" s="379" t="e">
        <f t="shared" si="0"/>
        <v>#N/A</v>
      </c>
      <c r="AG64" s="379" t="e">
        <f t="shared" si="3"/>
        <v>#N/A</v>
      </c>
      <c r="AH64" s="379" t="e">
        <f t="shared" si="4"/>
        <v>#N/A</v>
      </c>
      <c r="AI64" s="379" t="e">
        <f t="shared" si="5"/>
        <v>#N/A</v>
      </c>
      <c r="AJ64" s="379" t="e">
        <f t="shared" si="6"/>
        <v>#N/A</v>
      </c>
      <c r="AK64" s="379" t="e">
        <f t="shared" si="7"/>
        <v>#N/A</v>
      </c>
      <c r="AL64" s="379" t="e">
        <f t="shared" si="8"/>
        <v>#N/A</v>
      </c>
      <c r="AM64" s="379" t="e">
        <f t="shared" si="9"/>
        <v>#N/A</v>
      </c>
      <c r="AN64" s="379" t="e">
        <f t="shared" si="10"/>
        <v>#N/A</v>
      </c>
      <c r="AO64" s="379" t="e">
        <f t="shared" si="11"/>
        <v>#N/A</v>
      </c>
      <c r="AP64" s="379" t="e">
        <f t="shared" si="12"/>
        <v>#N/A</v>
      </c>
      <c r="AQ64" s="379" t="e">
        <f t="shared" si="13"/>
        <v>#N/A</v>
      </c>
      <c r="AR64" s="379" t="e">
        <f t="shared" si="14"/>
        <v>#N/A</v>
      </c>
      <c r="AS64" s="380" t="e">
        <f t="shared" si="15"/>
        <v>#N/A</v>
      </c>
      <c r="AT64" s="379" t="e">
        <f t="shared" si="16"/>
        <v>#N/A</v>
      </c>
      <c r="AU64" s="379" t="e">
        <f t="shared" si="17"/>
        <v>#N/A</v>
      </c>
      <c r="AV64" s="379" t="e">
        <f t="shared" si="18"/>
        <v>#N/A</v>
      </c>
      <c r="AW64" s="379" t="e">
        <f t="shared" si="19"/>
        <v>#N/A</v>
      </c>
      <c r="AX64" s="379" t="e">
        <f t="shared" si="20"/>
        <v>#N/A</v>
      </c>
      <c r="AY64" s="379" t="e">
        <f t="shared" si="21"/>
        <v>#N/A</v>
      </c>
      <c r="AZ64" s="379" t="e">
        <f t="shared" si="22"/>
        <v>#N/A</v>
      </c>
      <c r="BA64" s="379" t="e">
        <f t="shared" si="23"/>
        <v>#N/A</v>
      </c>
      <c r="BB64" s="379" t="e">
        <f t="shared" si="24"/>
        <v>#N/A</v>
      </c>
      <c r="BC64" s="379" t="e">
        <f t="shared" si="25"/>
        <v>#N/A</v>
      </c>
      <c r="BD64" s="379" t="e">
        <f t="shared" si="26"/>
        <v>#N/A</v>
      </c>
      <c r="BE64" s="379" t="e">
        <f t="shared" si="27"/>
        <v>#N/A</v>
      </c>
      <c r="BF64" s="379" t="e">
        <f t="shared" si="28"/>
        <v>#N/A</v>
      </c>
      <c r="BG64" s="379" t="e">
        <f t="shared" si="29"/>
        <v>#N/A</v>
      </c>
      <c r="BH64" s="379" t="e">
        <f t="shared" si="30"/>
        <v>#N/A</v>
      </c>
      <c r="BI64" s="379" t="e">
        <f t="shared" si="31"/>
        <v>#N/A</v>
      </c>
      <c r="BJ64" s="379" t="e">
        <f t="shared" si="32"/>
        <v>#N/A</v>
      </c>
      <c r="BK64" s="379" t="e">
        <f t="shared" si="33"/>
        <v>#N/A</v>
      </c>
      <c r="BL64" s="535"/>
    </row>
    <row r="65" spans="1:64" ht="15.6" thickBot="1" x14ac:dyDescent="0.3">
      <c r="A65" s="413">
        <v>59</v>
      </c>
      <c r="B65" s="412" t="e">
        <f>CONCATENATED!E183</f>
        <v>#REF!</v>
      </c>
      <c r="C65" s="412" t="e">
        <f>CONCATENATED!F183</f>
        <v>#REF!</v>
      </c>
      <c r="D65" s="412" t="e">
        <f>CONCATENATED!G183</f>
        <v>#REF!</v>
      </c>
      <c r="E65" s="412" t="e">
        <f>CONCATENATED!H183</f>
        <v>#REF!</v>
      </c>
      <c r="F65" s="412" t="e">
        <f>CONCATENATED!I183</f>
        <v>#REF!</v>
      </c>
      <c r="G65" s="412" t="e">
        <f>CONCATENATED!J183</f>
        <v>#REF!</v>
      </c>
      <c r="H65" s="412" t="e">
        <f>CONCATENATED!K183</f>
        <v>#REF!</v>
      </c>
      <c r="I65" s="412" t="e">
        <f>CONCATENATED!L183</f>
        <v>#REF!</v>
      </c>
      <c r="J65" s="412" t="e">
        <f>CONCATENATED!M183</f>
        <v>#REF!</v>
      </c>
      <c r="K65" s="412" t="e">
        <f>CONCATENATED!N183</f>
        <v>#REF!</v>
      </c>
      <c r="L65" s="412" t="e">
        <f>CONCATENATED!O183</f>
        <v>#REF!</v>
      </c>
      <c r="M65" s="412" t="e">
        <f>CONCATENATED!P183</f>
        <v>#REF!</v>
      </c>
      <c r="N65" s="412" t="e">
        <f>CONCATENATED!Q183</f>
        <v>#REF!</v>
      </c>
      <c r="O65" s="412" t="e">
        <f>CONCATENATED!R183</f>
        <v>#REF!</v>
      </c>
      <c r="P65" s="412" t="e">
        <f>CONCATENATED!S183</f>
        <v>#REF!</v>
      </c>
      <c r="Q65" s="412" t="e">
        <f>CONCATENATED!T183</f>
        <v>#REF!</v>
      </c>
      <c r="R65" s="412" t="e">
        <f>CONCATENATED!U183</f>
        <v>#REF!</v>
      </c>
      <c r="S65" s="412" t="e">
        <f>CONCATENATED!V183</f>
        <v>#REF!</v>
      </c>
      <c r="T65" s="412" t="e">
        <f>CONCATENATED!W183</f>
        <v>#REF!</v>
      </c>
      <c r="U65" s="412" t="e">
        <f>CONCATENATED!X183</f>
        <v>#REF!</v>
      </c>
      <c r="V65" s="412" t="e">
        <f>CONCATENATED!Y183</f>
        <v>#REF!</v>
      </c>
      <c r="W65" s="412" t="e">
        <f>CONCATENATED!Z183</f>
        <v>#REF!</v>
      </c>
      <c r="X65" s="412" t="e">
        <f>CONCATENATED!AA183</f>
        <v>#REF!</v>
      </c>
      <c r="Y65" s="412" t="e">
        <f>CONCATENATED!AB183</f>
        <v>#REF!</v>
      </c>
      <c r="Z65" s="412" t="e">
        <f>CONCATENATED!AC183</f>
        <v>#REF!</v>
      </c>
      <c r="AA65" s="412" t="e">
        <f>CONCATENATED!AD183</f>
        <v>#REF!</v>
      </c>
      <c r="AB65" s="412" t="e">
        <f>CONCATENATED!AE183</f>
        <v>#REF!</v>
      </c>
      <c r="AC65" s="535"/>
      <c r="AD65" s="381" t="e">
        <f t="shared" si="1"/>
        <v>#N/A</v>
      </c>
      <c r="AE65" s="382" t="e">
        <f t="shared" si="2"/>
        <v>#N/A</v>
      </c>
      <c r="AF65" s="382" t="e">
        <f t="shared" si="0"/>
        <v>#N/A</v>
      </c>
      <c r="AG65" s="382" t="e">
        <f t="shared" si="3"/>
        <v>#N/A</v>
      </c>
      <c r="AH65" s="382" t="e">
        <f t="shared" si="4"/>
        <v>#N/A</v>
      </c>
      <c r="AI65" s="382" t="e">
        <f t="shared" si="5"/>
        <v>#N/A</v>
      </c>
      <c r="AJ65" s="382" t="e">
        <f t="shared" si="6"/>
        <v>#N/A</v>
      </c>
      <c r="AK65" s="382" t="e">
        <f t="shared" si="7"/>
        <v>#N/A</v>
      </c>
      <c r="AL65" s="382" t="e">
        <f t="shared" si="8"/>
        <v>#N/A</v>
      </c>
      <c r="AM65" s="382" t="e">
        <f t="shared" si="9"/>
        <v>#N/A</v>
      </c>
      <c r="AN65" s="382" t="e">
        <f t="shared" si="10"/>
        <v>#N/A</v>
      </c>
      <c r="AO65" s="382" t="e">
        <f t="shared" si="11"/>
        <v>#N/A</v>
      </c>
      <c r="AP65" s="382" t="e">
        <f t="shared" si="12"/>
        <v>#N/A</v>
      </c>
      <c r="AQ65" s="382" t="e">
        <f t="shared" si="13"/>
        <v>#N/A</v>
      </c>
      <c r="AR65" s="382" t="e">
        <f t="shared" si="14"/>
        <v>#N/A</v>
      </c>
      <c r="AS65" s="383" t="e">
        <f t="shared" si="15"/>
        <v>#N/A</v>
      </c>
      <c r="AT65" s="382" t="e">
        <f t="shared" si="16"/>
        <v>#N/A</v>
      </c>
      <c r="AU65" s="382" t="e">
        <f t="shared" si="17"/>
        <v>#N/A</v>
      </c>
      <c r="AV65" s="382" t="e">
        <f t="shared" si="18"/>
        <v>#N/A</v>
      </c>
      <c r="AW65" s="382" t="e">
        <f t="shared" si="19"/>
        <v>#N/A</v>
      </c>
      <c r="AX65" s="382" t="e">
        <f t="shared" si="20"/>
        <v>#N/A</v>
      </c>
      <c r="AY65" s="382" t="e">
        <f t="shared" si="21"/>
        <v>#N/A</v>
      </c>
      <c r="AZ65" s="382" t="e">
        <f t="shared" si="22"/>
        <v>#N/A</v>
      </c>
      <c r="BA65" s="382" t="e">
        <f t="shared" si="23"/>
        <v>#N/A</v>
      </c>
      <c r="BB65" s="382" t="e">
        <f t="shared" si="24"/>
        <v>#N/A</v>
      </c>
      <c r="BC65" s="382" t="e">
        <f t="shared" si="25"/>
        <v>#N/A</v>
      </c>
      <c r="BD65" s="382" t="e">
        <f t="shared" si="26"/>
        <v>#N/A</v>
      </c>
      <c r="BE65" s="382" t="e">
        <f t="shared" si="27"/>
        <v>#N/A</v>
      </c>
      <c r="BF65" s="382" t="e">
        <f t="shared" si="28"/>
        <v>#N/A</v>
      </c>
      <c r="BG65" s="382" t="e">
        <f t="shared" si="29"/>
        <v>#N/A</v>
      </c>
      <c r="BH65" s="382" t="e">
        <f t="shared" si="30"/>
        <v>#N/A</v>
      </c>
      <c r="BI65" s="382" t="e">
        <f t="shared" si="31"/>
        <v>#N/A</v>
      </c>
      <c r="BJ65" s="382" t="e">
        <f t="shared" si="32"/>
        <v>#N/A</v>
      </c>
      <c r="BK65" s="382" t="e">
        <f t="shared" si="33"/>
        <v>#N/A</v>
      </c>
      <c r="BL65" s="535"/>
    </row>
    <row r="66" spans="1:64" ht="31.8" thickBot="1" x14ac:dyDescent="0.3">
      <c r="A66" s="400">
        <v>60</v>
      </c>
      <c r="B66" s="414" t="e">
        <f>CONCATENATED!E186</f>
        <v>#REF!</v>
      </c>
      <c r="C66" s="415" t="e">
        <f>CONCATENATED!F186</f>
        <v>#REF!</v>
      </c>
      <c r="D66" s="415" t="e">
        <f>CONCATENATED!G186</f>
        <v>#REF!</v>
      </c>
      <c r="E66" s="415" t="e">
        <f>CONCATENATED!H186</f>
        <v>#REF!</v>
      </c>
      <c r="F66" s="415" t="e">
        <f>CONCATENATED!I186</f>
        <v>#REF!</v>
      </c>
      <c r="G66" s="415" t="e">
        <f>CONCATENATED!J186</f>
        <v>#REF!</v>
      </c>
      <c r="H66" s="415" t="e">
        <f>CONCATENATED!K186</f>
        <v>#REF!</v>
      </c>
      <c r="I66" s="415" t="str">
        <f>CONCATENATED!L186</f>
        <v xml:space="preserve">BSME/SEP2020/J-FT [Y2S1  (50) Students] :  </v>
      </c>
      <c r="J66" s="415" t="str">
        <f>CONCATENATED!M186</f>
        <v xml:space="preserve">BSME/AUG2021/J-FT [Y1S2  (55) Students] :  </v>
      </c>
      <c r="K66" s="415" t="e">
        <f>CONCATENATED!N186</f>
        <v>#REF!</v>
      </c>
      <c r="L66" s="415" t="e">
        <f>CONCATENATED!O186</f>
        <v>#REF!</v>
      </c>
      <c r="M66" s="415" t="str">
        <f>CONCATENATED!P186</f>
        <v xml:space="preserve">BTME/SEP2019/S-PT [Y3S1   (10) Students] :  </v>
      </c>
      <c r="N66" s="415" t="str">
        <f>CONCATENATED!Q186</f>
        <v xml:space="preserve">BTME/AUG2021/S-PT [Y2S2   (10) Students] :  </v>
      </c>
      <c r="O66" s="415" t="e">
        <f>CONCATENATED!R186</f>
        <v>#REF!</v>
      </c>
      <c r="P66" s="415" t="e">
        <f>CONCATENATED!S186</f>
        <v>#REF!</v>
      </c>
      <c r="Q66" s="415" t="str">
        <f>CONCATENATED!T186</f>
        <v xml:space="preserve">BTME/AUG2021/J&amp;S-FT [Y1S1  (52) Students] :  </v>
      </c>
      <c r="R66" s="415" t="e">
        <f>CONCATENATED!U186</f>
        <v>#REF!</v>
      </c>
      <c r="S66" s="415" t="e">
        <f>CONCATENATED!V186</f>
        <v>#REF!</v>
      </c>
      <c r="T66" s="415" t="e">
        <f>CONCATENATED!W186</f>
        <v>#REF!</v>
      </c>
      <c r="U66" s="415" t="e">
        <f>CONCATENATED!X186</f>
        <v>#REF!</v>
      </c>
      <c r="V66" s="415" t="e">
        <f>CONCATENATED!Y186</f>
        <v>#REF!</v>
      </c>
      <c r="W66" s="415" t="e">
        <f>CONCATENATED!Z186</f>
        <v>#REF!</v>
      </c>
      <c r="X66" s="415" t="e">
        <f>CONCATENATED!AA186</f>
        <v>#REF!</v>
      </c>
      <c r="Y66" s="415" t="e">
        <f>CONCATENATED!AB186</f>
        <v>#REF!</v>
      </c>
      <c r="Z66" s="415" t="str">
        <f>CONCATENATED!AC186</f>
        <v xml:space="preserve">DMAE/SEP20201J&amp;S-FT [Y1S2   (60) Students] :  </v>
      </c>
      <c r="AA66" s="415" t="e">
        <f>CONCATENATED!AD186</f>
        <v>#REF!</v>
      </c>
      <c r="AB66" s="415" t="e">
        <f>CONCATENATED!AE186</f>
        <v>#REF!</v>
      </c>
      <c r="AC66" s="534"/>
      <c r="AD66" s="384" t="e">
        <f t="shared" si="1"/>
        <v>#N/A</v>
      </c>
      <c r="AE66" s="384" t="e">
        <f t="shared" si="2"/>
        <v>#N/A</v>
      </c>
      <c r="AF66" s="384" t="e">
        <f t="shared" si="0"/>
        <v>#N/A</v>
      </c>
      <c r="AG66" s="384" t="e">
        <f t="shared" si="3"/>
        <v>#N/A</v>
      </c>
      <c r="AH66" s="384" t="e">
        <f t="shared" si="4"/>
        <v>#N/A</v>
      </c>
      <c r="AI66" s="384" t="e">
        <f t="shared" si="5"/>
        <v>#N/A</v>
      </c>
      <c r="AJ66" s="384" t="e">
        <f t="shared" si="6"/>
        <v>#N/A</v>
      </c>
      <c r="AK66" s="384" t="e">
        <f t="shared" si="7"/>
        <v>#N/A</v>
      </c>
      <c r="AL66" s="384" t="e">
        <f t="shared" si="8"/>
        <v>#N/A</v>
      </c>
      <c r="AM66" s="384" t="e">
        <f t="shared" si="9"/>
        <v>#N/A</v>
      </c>
      <c r="AN66" s="384" t="e">
        <f t="shared" si="10"/>
        <v>#N/A</v>
      </c>
      <c r="AO66" s="384" t="e">
        <f t="shared" si="11"/>
        <v>#N/A</v>
      </c>
      <c r="AP66" s="384" t="e">
        <f t="shared" si="12"/>
        <v>#N/A</v>
      </c>
      <c r="AQ66" s="384" t="e">
        <f t="shared" si="13"/>
        <v>#N/A</v>
      </c>
      <c r="AR66" s="384" t="e">
        <f t="shared" si="14"/>
        <v>#N/A</v>
      </c>
      <c r="AS66" s="384" t="e">
        <f t="shared" si="15"/>
        <v>#N/A</v>
      </c>
      <c r="AT66" s="384" t="e">
        <f t="shared" si="16"/>
        <v>#N/A</v>
      </c>
      <c r="AU66" s="384" t="e">
        <f t="shared" si="17"/>
        <v>#N/A</v>
      </c>
      <c r="AV66" s="384" t="e">
        <f t="shared" si="18"/>
        <v>#N/A</v>
      </c>
      <c r="AW66" s="384" t="e">
        <f t="shared" si="19"/>
        <v>#N/A</v>
      </c>
      <c r="AX66" s="384" t="e">
        <f t="shared" si="20"/>
        <v>#N/A</v>
      </c>
      <c r="AY66" s="384" t="e">
        <f t="shared" si="21"/>
        <v>#N/A</v>
      </c>
      <c r="AZ66" s="384" t="e">
        <f t="shared" si="22"/>
        <v>#N/A</v>
      </c>
      <c r="BA66" s="384" t="e">
        <f t="shared" si="23"/>
        <v>#N/A</v>
      </c>
      <c r="BB66" s="384" t="e">
        <f t="shared" si="24"/>
        <v>#N/A</v>
      </c>
      <c r="BC66" s="384" t="e">
        <f t="shared" si="25"/>
        <v>#N/A</v>
      </c>
      <c r="BD66" s="384" t="e">
        <f t="shared" si="26"/>
        <v>#N/A</v>
      </c>
      <c r="BE66" s="384" t="e">
        <f t="shared" si="27"/>
        <v>#N/A</v>
      </c>
      <c r="BF66" s="384" t="e">
        <f t="shared" si="28"/>
        <v>#N/A</v>
      </c>
      <c r="BG66" s="384" t="e">
        <f t="shared" si="29"/>
        <v>#N/A</v>
      </c>
      <c r="BH66" s="384" t="e">
        <f t="shared" si="30"/>
        <v>#N/A</v>
      </c>
      <c r="BI66" s="384" t="e">
        <f t="shared" si="31"/>
        <v>#N/A</v>
      </c>
      <c r="BJ66" s="384" t="e">
        <f t="shared" si="32"/>
        <v>#N/A</v>
      </c>
      <c r="BK66" s="384" t="e">
        <f t="shared" si="33"/>
        <v>#N/A</v>
      </c>
      <c r="BL66" s="541"/>
    </row>
    <row r="67" spans="1:64" ht="52.2" thickBot="1" x14ac:dyDescent="0.3">
      <c r="A67" s="400">
        <v>61</v>
      </c>
      <c r="B67" s="412" t="e">
        <f>CONCATENATED!E189</f>
        <v>#REF!</v>
      </c>
      <c r="C67" s="412" t="e">
        <f>CONCATENATED!F189</f>
        <v>#REF!</v>
      </c>
      <c r="D67" s="412" t="e">
        <f>CONCATENATED!G189</f>
        <v>#REF!</v>
      </c>
      <c r="E67" s="412" t="e">
        <f>CONCATENATED!H189</f>
        <v>#REF!</v>
      </c>
      <c r="F67" s="412" t="e">
        <f>CONCATENATED!I189</f>
        <v>#REF!</v>
      </c>
      <c r="G67" s="412" t="e">
        <f>CONCATENATED!J189</f>
        <v>#REF!</v>
      </c>
      <c r="H67" s="412" t="e">
        <f>CONCATENATED!K189</f>
        <v>#REF!</v>
      </c>
      <c r="I67" s="412" t="str">
        <f>CONCATENATED!L189</f>
        <v xml:space="preserve">BSME/SEP2020/J-FT [Y2S1  (50) Students] :  </v>
      </c>
      <c r="J67" s="412" t="str">
        <f>CONCATENATED!M189</f>
        <v xml:space="preserve">BSME/AUG2021/J-FT [Y1S2  (55) Students] :  </v>
      </c>
      <c r="K67" s="412" t="e">
        <f>CONCATENATED!N189</f>
        <v>#REF!</v>
      </c>
      <c r="L67" s="412" t="e">
        <f>CONCATENATED!O189</f>
        <v>#REF!</v>
      </c>
      <c r="M67" s="412" t="str">
        <f>CONCATENATED!P189</f>
        <v>BTME/SEP2019/S-PT [Y3S1   (10) Students] TMC 4312: MUTIE FET 109</v>
      </c>
      <c r="N67" s="412" t="str">
        <f>CONCATENATED!Q189</f>
        <v>BTME/AUG2021/S-PT [Y2S2   (10) Students] TMC 4222: MUTAVA CH</v>
      </c>
      <c r="O67" s="412" t="e">
        <f>CONCATENATED!R189</f>
        <v>#REF!</v>
      </c>
      <c r="P67" s="412" t="e">
        <f>CONCATENATED!S189</f>
        <v>#REF!</v>
      </c>
      <c r="Q67" s="412" t="str">
        <f>CONCATENATED!T189</f>
        <v xml:space="preserve">BTME/AUG2021/J&amp;S-FT [Y1S1  (52) Students] :  </v>
      </c>
      <c r="R67" s="412" t="e">
        <f>CONCATENATED!U189</f>
        <v>#REF!</v>
      </c>
      <c r="S67" s="412" t="e">
        <f>CONCATENATED!V189</f>
        <v>#REF!</v>
      </c>
      <c r="T67" s="412" t="e">
        <f>CONCATENATED!W189</f>
        <v>#REF!</v>
      </c>
      <c r="U67" s="412" t="e">
        <f>CONCATENATED!X189</f>
        <v>#REF!</v>
      </c>
      <c r="V67" s="412" t="e">
        <f>CONCATENATED!Y189</f>
        <v>#REF!</v>
      </c>
      <c r="W67" s="412" t="e">
        <f>CONCATENATED!Z189</f>
        <v>#REF!</v>
      </c>
      <c r="X67" s="412" t="e">
        <f>CONCATENATED!AA189</f>
        <v>#REF!</v>
      </c>
      <c r="Y67" s="412" t="e">
        <f>CONCATENATED!AB189</f>
        <v>#REF!</v>
      </c>
      <c r="Z67" s="412" t="str">
        <f>CONCATENATED!AC189</f>
        <v>DMAE/SEP20201J&amp;S-FT [Y1S2   (60) Students] EMR 2110: KANANA FET 107</v>
      </c>
      <c r="AA67" s="412" t="e">
        <f>CONCATENATED!AD189</f>
        <v>#REF!</v>
      </c>
      <c r="AB67" s="412" t="e">
        <f>CONCATENATED!AE189</f>
        <v>#REF!</v>
      </c>
      <c r="AC67" s="535"/>
      <c r="AD67" s="375" t="e">
        <f t="shared" si="1"/>
        <v>#N/A</v>
      </c>
      <c r="AE67" s="376" t="e">
        <f t="shared" si="2"/>
        <v>#N/A</v>
      </c>
      <c r="AF67" s="376" t="e">
        <f t="shared" si="0"/>
        <v>#N/A</v>
      </c>
      <c r="AG67" s="376" t="e">
        <f t="shared" si="3"/>
        <v>#N/A</v>
      </c>
      <c r="AH67" s="376" t="e">
        <f t="shared" si="4"/>
        <v>#N/A</v>
      </c>
      <c r="AI67" s="376" t="e">
        <f t="shared" si="5"/>
        <v>#N/A</v>
      </c>
      <c r="AJ67" s="376" t="e">
        <f t="shared" si="6"/>
        <v>#N/A</v>
      </c>
      <c r="AK67" s="376" t="e">
        <f t="shared" si="7"/>
        <v>#N/A</v>
      </c>
      <c r="AL67" s="376" t="e">
        <f t="shared" si="8"/>
        <v>#N/A</v>
      </c>
      <c r="AM67" s="376" t="e">
        <f t="shared" si="9"/>
        <v>#N/A</v>
      </c>
      <c r="AN67" s="376" t="e">
        <f t="shared" si="10"/>
        <v>#N/A</v>
      </c>
      <c r="AO67" s="376" t="e">
        <f t="shared" si="11"/>
        <v>#N/A</v>
      </c>
      <c r="AP67" s="376" t="e">
        <f t="shared" si="12"/>
        <v>#N/A</v>
      </c>
      <c r="AQ67" s="376" t="e">
        <f t="shared" si="13"/>
        <v>#N/A</v>
      </c>
      <c r="AR67" s="376" t="e">
        <f t="shared" si="14"/>
        <v>#N/A</v>
      </c>
      <c r="AS67" s="376" t="e">
        <f t="shared" si="15"/>
        <v>#N/A</v>
      </c>
      <c r="AT67" s="377" t="e">
        <f t="shared" si="16"/>
        <v>#N/A</v>
      </c>
      <c r="AU67" s="376" t="e">
        <f t="shared" si="17"/>
        <v>#N/A</v>
      </c>
      <c r="AV67" s="376" t="e">
        <f t="shared" si="18"/>
        <v>#N/A</v>
      </c>
      <c r="AW67" s="376" t="e">
        <f t="shared" si="19"/>
        <v>#N/A</v>
      </c>
      <c r="AX67" s="376" t="e">
        <f t="shared" si="20"/>
        <v>#N/A</v>
      </c>
      <c r="AY67" s="376" t="e">
        <f t="shared" si="21"/>
        <v>#N/A</v>
      </c>
      <c r="AZ67" s="376" t="e">
        <f t="shared" si="22"/>
        <v>#N/A</v>
      </c>
      <c r="BA67" s="376" t="e">
        <f t="shared" si="23"/>
        <v>#N/A</v>
      </c>
      <c r="BB67" s="376" t="e">
        <f t="shared" si="24"/>
        <v>#N/A</v>
      </c>
      <c r="BC67" s="376" t="e">
        <f t="shared" si="25"/>
        <v>#N/A</v>
      </c>
      <c r="BD67" s="376" t="e">
        <f t="shared" si="26"/>
        <v>#N/A</v>
      </c>
      <c r="BE67" s="376" t="e">
        <f t="shared" si="27"/>
        <v>#N/A</v>
      </c>
      <c r="BF67" s="376" t="e">
        <f t="shared" si="28"/>
        <v>#N/A</v>
      </c>
      <c r="BG67" s="376" t="e">
        <f t="shared" si="29"/>
        <v>#N/A</v>
      </c>
      <c r="BH67" s="376" t="e">
        <f t="shared" si="30"/>
        <v>#N/A</v>
      </c>
      <c r="BI67" s="376" t="e">
        <f t="shared" si="31"/>
        <v>#N/A</v>
      </c>
      <c r="BJ67" s="376" t="e">
        <f t="shared" si="32"/>
        <v>#N/A</v>
      </c>
      <c r="BK67" s="376" t="e">
        <f t="shared" si="33"/>
        <v>#N/A</v>
      </c>
      <c r="BL67" s="535"/>
    </row>
    <row r="68" spans="1:64" ht="15.6" thickBot="1" x14ac:dyDescent="0.3">
      <c r="A68" s="400">
        <v>62</v>
      </c>
      <c r="B68" s="412" t="e">
        <f>CONCATENATED!E192</f>
        <v>#REF!</v>
      </c>
      <c r="C68" s="412" t="e">
        <f>CONCATENATED!F192</f>
        <v>#REF!</v>
      </c>
      <c r="D68" s="412" t="e">
        <f>CONCATENATED!G192</f>
        <v>#REF!</v>
      </c>
      <c r="E68" s="412" t="e">
        <f>CONCATENATED!H192</f>
        <v>#REF!</v>
      </c>
      <c r="F68" s="412" t="e">
        <f>CONCATENATED!I192</f>
        <v>#REF!</v>
      </c>
      <c r="G68" s="412" t="e">
        <f>CONCATENATED!J192</f>
        <v>#REF!</v>
      </c>
      <c r="H68" s="412" t="e">
        <f>CONCATENATED!K192</f>
        <v>#REF!</v>
      </c>
      <c r="I68" s="412" t="e">
        <f>CONCATENATED!L192</f>
        <v>#REF!</v>
      </c>
      <c r="J68" s="412" t="e">
        <f>CONCATENATED!M192</f>
        <v>#REF!</v>
      </c>
      <c r="K68" s="412" t="e">
        <f>CONCATENATED!N192</f>
        <v>#REF!</v>
      </c>
      <c r="L68" s="412" t="e">
        <f>CONCATENATED!O192</f>
        <v>#REF!</v>
      </c>
      <c r="M68" s="412" t="e">
        <f>CONCATENATED!P192</f>
        <v>#REF!</v>
      </c>
      <c r="N68" s="412" t="e">
        <f>CONCATENATED!Q192</f>
        <v>#REF!</v>
      </c>
      <c r="O68" s="412" t="e">
        <f>CONCATENATED!R192</f>
        <v>#REF!</v>
      </c>
      <c r="P68" s="412" t="e">
        <f>CONCATENATED!S192</f>
        <v>#REF!</v>
      </c>
      <c r="Q68" s="412" t="e">
        <f>CONCATENATED!T192</f>
        <v>#REF!</v>
      </c>
      <c r="R68" s="412" t="e">
        <f>CONCATENATED!U192</f>
        <v>#REF!</v>
      </c>
      <c r="S68" s="412" t="e">
        <f>CONCATENATED!V192</f>
        <v>#REF!</v>
      </c>
      <c r="T68" s="412" t="e">
        <f>CONCATENATED!W192</f>
        <v>#REF!</v>
      </c>
      <c r="U68" s="412" t="e">
        <f>CONCATENATED!X192</f>
        <v>#REF!</v>
      </c>
      <c r="V68" s="412" t="e">
        <f>CONCATENATED!Y192</f>
        <v>#REF!</v>
      </c>
      <c r="W68" s="412" t="e">
        <f>CONCATENATED!Z192</f>
        <v>#REF!</v>
      </c>
      <c r="X68" s="412" t="e">
        <f>CONCATENATED!AA192</f>
        <v>#REF!</v>
      </c>
      <c r="Y68" s="412" t="e">
        <f>CONCATENATED!AB192</f>
        <v>#REF!</v>
      </c>
      <c r="Z68" s="412" t="e">
        <f>CONCATENATED!AC192</f>
        <v>#REF!</v>
      </c>
      <c r="AA68" s="412" t="e">
        <f>CONCATENATED!AD192</f>
        <v>#REF!</v>
      </c>
      <c r="AB68" s="412" t="e">
        <f>CONCATENATED!AE192</f>
        <v>#REF!</v>
      </c>
      <c r="AC68" s="535"/>
      <c r="AD68" s="378" t="e">
        <f t="shared" si="1"/>
        <v>#N/A</v>
      </c>
      <c r="AE68" s="379" t="e">
        <f t="shared" si="2"/>
        <v>#N/A</v>
      </c>
      <c r="AF68" s="379" t="e">
        <f t="shared" si="0"/>
        <v>#N/A</v>
      </c>
      <c r="AG68" s="379" t="e">
        <f t="shared" si="3"/>
        <v>#N/A</v>
      </c>
      <c r="AH68" s="379" t="e">
        <f t="shared" si="4"/>
        <v>#N/A</v>
      </c>
      <c r="AI68" s="379" t="e">
        <f t="shared" si="5"/>
        <v>#N/A</v>
      </c>
      <c r="AJ68" s="379" t="e">
        <f t="shared" si="6"/>
        <v>#N/A</v>
      </c>
      <c r="AK68" s="379" t="e">
        <f t="shared" si="7"/>
        <v>#N/A</v>
      </c>
      <c r="AL68" s="379" t="e">
        <f t="shared" si="8"/>
        <v>#N/A</v>
      </c>
      <c r="AM68" s="379" t="e">
        <f t="shared" si="9"/>
        <v>#N/A</v>
      </c>
      <c r="AN68" s="379" t="e">
        <f t="shared" si="10"/>
        <v>#N/A</v>
      </c>
      <c r="AO68" s="379" t="e">
        <f t="shared" si="11"/>
        <v>#N/A</v>
      </c>
      <c r="AP68" s="379" t="e">
        <f t="shared" si="12"/>
        <v>#N/A</v>
      </c>
      <c r="AQ68" s="379" t="e">
        <f t="shared" si="13"/>
        <v>#N/A</v>
      </c>
      <c r="AR68" s="379" t="e">
        <f t="shared" si="14"/>
        <v>#N/A</v>
      </c>
      <c r="AS68" s="379" t="e">
        <f t="shared" si="15"/>
        <v>#N/A</v>
      </c>
      <c r="AT68" s="380" t="e">
        <f t="shared" si="16"/>
        <v>#N/A</v>
      </c>
      <c r="AU68" s="379" t="e">
        <f t="shared" si="17"/>
        <v>#N/A</v>
      </c>
      <c r="AV68" s="379" t="e">
        <f t="shared" si="18"/>
        <v>#N/A</v>
      </c>
      <c r="AW68" s="379" t="e">
        <f t="shared" si="19"/>
        <v>#N/A</v>
      </c>
      <c r="AX68" s="379" t="e">
        <f t="shared" si="20"/>
        <v>#N/A</v>
      </c>
      <c r="AY68" s="379" t="e">
        <f t="shared" si="21"/>
        <v>#N/A</v>
      </c>
      <c r="AZ68" s="379" t="e">
        <f t="shared" si="22"/>
        <v>#N/A</v>
      </c>
      <c r="BA68" s="379" t="e">
        <f t="shared" si="23"/>
        <v>#N/A</v>
      </c>
      <c r="BB68" s="379" t="e">
        <f t="shared" si="24"/>
        <v>#N/A</v>
      </c>
      <c r="BC68" s="379" t="e">
        <f t="shared" si="25"/>
        <v>#N/A</v>
      </c>
      <c r="BD68" s="379" t="e">
        <f t="shared" si="26"/>
        <v>#N/A</v>
      </c>
      <c r="BE68" s="379" t="e">
        <f t="shared" si="27"/>
        <v>#N/A</v>
      </c>
      <c r="BF68" s="379" t="e">
        <f t="shared" si="28"/>
        <v>#N/A</v>
      </c>
      <c r="BG68" s="379" t="e">
        <f t="shared" si="29"/>
        <v>#N/A</v>
      </c>
      <c r="BH68" s="379" t="e">
        <f t="shared" si="30"/>
        <v>#N/A</v>
      </c>
      <c r="BI68" s="379" t="e">
        <f t="shared" si="31"/>
        <v>#N/A</v>
      </c>
      <c r="BJ68" s="379" t="e">
        <f t="shared" si="32"/>
        <v>#N/A</v>
      </c>
      <c r="BK68" s="379" t="e">
        <f t="shared" si="33"/>
        <v>#N/A</v>
      </c>
      <c r="BL68" s="535"/>
    </row>
    <row r="69" spans="1:64" ht="15.6" thickBot="1" x14ac:dyDescent="0.3">
      <c r="A69" s="400">
        <v>63</v>
      </c>
      <c r="B69" s="412" t="e">
        <f>CONCATENATED!E195</f>
        <v>#REF!</v>
      </c>
      <c r="C69" s="412" t="e">
        <f>CONCATENATED!F195</f>
        <v>#REF!</v>
      </c>
      <c r="D69" s="412" t="e">
        <f>CONCATENATED!G195</f>
        <v>#REF!</v>
      </c>
      <c r="E69" s="412" t="e">
        <f>CONCATENATED!H195</f>
        <v>#REF!</v>
      </c>
      <c r="F69" s="412" t="e">
        <f>CONCATENATED!I195</f>
        <v>#REF!</v>
      </c>
      <c r="G69" s="412" t="e">
        <f>CONCATENATED!J195</f>
        <v>#REF!</v>
      </c>
      <c r="H69" s="412" t="e">
        <f>CONCATENATED!K195</f>
        <v>#REF!</v>
      </c>
      <c r="I69" s="412" t="e">
        <f>CONCATENATED!L195</f>
        <v>#REF!</v>
      </c>
      <c r="J69" s="412" t="e">
        <f>CONCATENATED!M195</f>
        <v>#REF!</v>
      </c>
      <c r="K69" s="412" t="e">
        <f>CONCATENATED!N195</f>
        <v>#REF!</v>
      </c>
      <c r="L69" s="412" t="e">
        <f>CONCATENATED!O195</f>
        <v>#REF!</v>
      </c>
      <c r="M69" s="412" t="e">
        <f>CONCATENATED!P195</f>
        <v>#REF!</v>
      </c>
      <c r="N69" s="412" t="e">
        <f>CONCATENATED!Q195</f>
        <v>#REF!</v>
      </c>
      <c r="O69" s="412" t="e">
        <f>CONCATENATED!R195</f>
        <v>#REF!</v>
      </c>
      <c r="P69" s="412" t="e">
        <f>CONCATENATED!S195</f>
        <v>#REF!</v>
      </c>
      <c r="Q69" s="412" t="e">
        <f>CONCATENATED!T195</f>
        <v>#REF!</v>
      </c>
      <c r="R69" s="412" t="e">
        <f>CONCATENATED!U195</f>
        <v>#REF!</v>
      </c>
      <c r="S69" s="412" t="e">
        <f>CONCATENATED!V195</f>
        <v>#REF!</v>
      </c>
      <c r="T69" s="412" t="e">
        <f>CONCATENATED!W195</f>
        <v>#REF!</v>
      </c>
      <c r="U69" s="412" t="e">
        <f>CONCATENATED!X195</f>
        <v>#REF!</v>
      </c>
      <c r="V69" s="412" t="e">
        <f>CONCATENATED!Y195</f>
        <v>#REF!</v>
      </c>
      <c r="W69" s="412" t="e">
        <f>CONCATENATED!Z195</f>
        <v>#REF!</v>
      </c>
      <c r="X69" s="412" t="e">
        <f>CONCATENATED!AA195</f>
        <v>#REF!</v>
      </c>
      <c r="Y69" s="412" t="e">
        <f>CONCATENATED!AB195</f>
        <v>#REF!</v>
      </c>
      <c r="Z69" s="412" t="e">
        <f>CONCATENATED!AC195</f>
        <v>#REF!</v>
      </c>
      <c r="AA69" s="412" t="e">
        <f>CONCATENATED!AD195</f>
        <v>#REF!</v>
      </c>
      <c r="AB69" s="412" t="e">
        <f>CONCATENATED!AE195</f>
        <v>#REF!</v>
      </c>
      <c r="AC69" s="535"/>
      <c r="AD69" s="378" t="e">
        <f t="shared" si="1"/>
        <v>#N/A</v>
      </c>
      <c r="AE69" s="379" t="e">
        <f t="shared" si="2"/>
        <v>#N/A</v>
      </c>
      <c r="AF69" s="379" t="e">
        <f t="shared" ref="AF69:AF101" si="34">MATCH("*EA009/10",$B69:$AB69,0)</f>
        <v>#N/A</v>
      </c>
      <c r="AG69" s="379" t="e">
        <f t="shared" si="3"/>
        <v>#N/A</v>
      </c>
      <c r="AH69" s="379" t="e">
        <f t="shared" si="4"/>
        <v>#N/A</v>
      </c>
      <c r="AI69" s="379" t="e">
        <f t="shared" si="5"/>
        <v>#N/A</v>
      </c>
      <c r="AJ69" s="379" t="e">
        <f t="shared" si="6"/>
        <v>#N/A</v>
      </c>
      <c r="AK69" s="379" t="e">
        <f t="shared" si="7"/>
        <v>#N/A</v>
      </c>
      <c r="AL69" s="379" t="e">
        <f t="shared" si="8"/>
        <v>#N/A</v>
      </c>
      <c r="AM69" s="379" t="e">
        <f t="shared" si="9"/>
        <v>#N/A</v>
      </c>
      <c r="AN69" s="379" t="e">
        <f t="shared" si="10"/>
        <v>#N/A</v>
      </c>
      <c r="AO69" s="379" t="e">
        <f t="shared" si="11"/>
        <v>#N/A</v>
      </c>
      <c r="AP69" s="379" t="e">
        <f t="shared" si="12"/>
        <v>#N/A</v>
      </c>
      <c r="AQ69" s="379" t="e">
        <f t="shared" si="13"/>
        <v>#N/A</v>
      </c>
      <c r="AR69" s="379" t="e">
        <f t="shared" si="14"/>
        <v>#N/A</v>
      </c>
      <c r="AS69" s="379" t="e">
        <f t="shared" si="15"/>
        <v>#N/A</v>
      </c>
      <c r="AT69" s="380" t="e">
        <f t="shared" si="16"/>
        <v>#N/A</v>
      </c>
      <c r="AU69" s="379" t="e">
        <f t="shared" si="17"/>
        <v>#N/A</v>
      </c>
      <c r="AV69" s="379" t="e">
        <f t="shared" si="18"/>
        <v>#N/A</v>
      </c>
      <c r="AW69" s="379" t="e">
        <f t="shared" si="19"/>
        <v>#N/A</v>
      </c>
      <c r="AX69" s="379" t="e">
        <f t="shared" si="20"/>
        <v>#N/A</v>
      </c>
      <c r="AY69" s="379" t="e">
        <f t="shared" si="21"/>
        <v>#N/A</v>
      </c>
      <c r="AZ69" s="379" t="e">
        <f t="shared" si="22"/>
        <v>#N/A</v>
      </c>
      <c r="BA69" s="379" t="e">
        <f t="shared" si="23"/>
        <v>#N/A</v>
      </c>
      <c r="BB69" s="379" t="e">
        <f t="shared" si="24"/>
        <v>#N/A</v>
      </c>
      <c r="BC69" s="379" t="e">
        <f t="shared" si="25"/>
        <v>#N/A</v>
      </c>
      <c r="BD69" s="379" t="e">
        <f t="shared" si="26"/>
        <v>#N/A</v>
      </c>
      <c r="BE69" s="379" t="e">
        <f t="shared" si="27"/>
        <v>#N/A</v>
      </c>
      <c r="BF69" s="379" t="e">
        <f t="shared" si="28"/>
        <v>#N/A</v>
      </c>
      <c r="BG69" s="379" t="e">
        <f t="shared" si="29"/>
        <v>#N/A</v>
      </c>
      <c r="BH69" s="379" t="e">
        <f t="shared" si="30"/>
        <v>#N/A</v>
      </c>
      <c r="BI69" s="379" t="e">
        <f t="shared" si="31"/>
        <v>#N/A</v>
      </c>
      <c r="BJ69" s="379" t="e">
        <f t="shared" si="32"/>
        <v>#N/A</v>
      </c>
      <c r="BK69" s="379" t="e">
        <f t="shared" si="33"/>
        <v>#N/A</v>
      </c>
      <c r="BL69" s="535"/>
    </row>
    <row r="70" spans="1:64" ht="52.2" thickBot="1" x14ac:dyDescent="0.3">
      <c r="A70" s="400">
        <v>64</v>
      </c>
      <c r="B70" s="412" t="e">
        <f>CONCATENATED!E198</f>
        <v>#REF!</v>
      </c>
      <c r="C70" s="412" t="e">
        <f>CONCATENATED!F198</f>
        <v>#REF!</v>
      </c>
      <c r="D70" s="412" t="e">
        <f>CONCATENATED!G198</f>
        <v>#REF!</v>
      </c>
      <c r="E70" s="412" t="e">
        <f>CONCATENATED!H198</f>
        <v>#REF!</v>
      </c>
      <c r="F70" s="412" t="e">
        <f>CONCATENATED!I198</f>
        <v>#REF!</v>
      </c>
      <c r="G70" s="412" t="e">
        <f>CONCATENATED!J198</f>
        <v>#REF!</v>
      </c>
      <c r="H70" s="412" t="e">
        <f>CONCATENATED!K198</f>
        <v>#REF!</v>
      </c>
      <c r="I70" s="412" t="str">
        <f>CONCATENATED!L198</f>
        <v xml:space="preserve">BSME/SEP2020/J-FT [Y2S1  (50) Students] :  </v>
      </c>
      <c r="J70" s="412" t="str">
        <f>CONCATENATED!M198</f>
        <v xml:space="preserve">BSME/AUG2021/J-FT [Y1S2  (55) Students] :  </v>
      </c>
      <c r="K70" s="412" t="e">
        <f>CONCATENATED!N198</f>
        <v>#REF!</v>
      </c>
      <c r="L70" s="412" t="e">
        <f>CONCATENATED!O198</f>
        <v>#REF!</v>
      </c>
      <c r="M70" s="412" t="str">
        <f>CONCATENATED!P198</f>
        <v>BTME/SEP2019/S-PT [Y3S1   (10) Students] TMC 4313: MUTAVA FET 109</v>
      </c>
      <c r="N70" s="412" t="str">
        <f>CONCATENATED!Q198</f>
        <v>BTME/AUG2021/S-PT [Y2S2   (10) Students] TCV 4223: MUTIE CH</v>
      </c>
      <c r="O70" s="412" t="e">
        <f>CONCATENATED!R198</f>
        <v>#REF!</v>
      </c>
      <c r="P70" s="412" t="e">
        <f>CONCATENATED!S198</f>
        <v>#REF!</v>
      </c>
      <c r="Q70" s="412" t="str">
        <f>CONCATENATED!T198</f>
        <v xml:space="preserve">BTME/AUG2021/J&amp;S-FT [Y1S1  (52) Students] :  </v>
      </c>
      <c r="R70" s="412" t="e">
        <f>CONCATENATED!U198</f>
        <v>#REF!</v>
      </c>
      <c r="S70" s="412" t="e">
        <f>CONCATENATED!V198</f>
        <v>#REF!</v>
      </c>
      <c r="T70" s="412" t="e">
        <f>CONCATENATED!W198</f>
        <v>#REF!</v>
      </c>
      <c r="U70" s="412" t="e">
        <f>CONCATENATED!X198</f>
        <v>#REF!</v>
      </c>
      <c r="V70" s="412" t="e">
        <f>CONCATENATED!Y198</f>
        <v>#REF!</v>
      </c>
      <c r="W70" s="412" t="e">
        <f>CONCATENATED!Z198</f>
        <v>#REF!</v>
      </c>
      <c r="X70" s="412" t="e">
        <f>CONCATENATED!AA198</f>
        <v>#REF!</v>
      </c>
      <c r="Y70" s="412" t="e">
        <f>CONCATENATED!AB198</f>
        <v>#REF!</v>
      </c>
      <c r="Z70" s="412" t="str">
        <f>CONCATENATED!AC198</f>
        <v xml:space="preserve">DMAE/SEP20201J&amp;S-FT [Y1S2   (60) Students] :  </v>
      </c>
      <c r="AA70" s="412" t="e">
        <f>CONCATENATED!AD198</f>
        <v>#REF!</v>
      </c>
      <c r="AB70" s="412" t="e">
        <f>CONCATENATED!AE198</f>
        <v>#REF!</v>
      </c>
      <c r="AC70" s="535"/>
      <c r="AD70" s="378" t="e">
        <f t="shared" ref="AD70:AD101" si="35">MATCH("*EA005",$B70:$AB70,0)</f>
        <v>#N/A</v>
      </c>
      <c r="AE70" s="379" t="e">
        <f t="shared" ref="AE70:AE101" si="36">MATCH("*EA006",$B70:$AB70,0)</f>
        <v>#N/A</v>
      </c>
      <c r="AF70" s="379" t="e">
        <f t="shared" si="34"/>
        <v>#N/A</v>
      </c>
      <c r="AG70" s="379" t="e">
        <f t="shared" ref="AG70:AG101" si="37">MATCH("*EA012",$B70:$AB70,0)</f>
        <v>#N/A</v>
      </c>
      <c r="AH70" s="379" t="e">
        <f t="shared" ref="AH70:AH101" si="38">MATCH("*EA015",$B70:$AB70,0)</f>
        <v>#N/A</v>
      </c>
      <c r="AI70" s="379" t="e">
        <f t="shared" ref="AI70:AI101" si="39">MATCH("*EA104",$B70:$AB70,0)</f>
        <v>#N/A</v>
      </c>
      <c r="AJ70" s="379" t="e">
        <f t="shared" ref="AJ70:AJ101" si="40">MATCH("*EA105",$B70:$AB70,0)</f>
        <v>#N/A</v>
      </c>
      <c r="AK70" s="379" t="e">
        <f t="shared" ref="AK70:AK101" si="41">MATCH("*EA107",$B70:$AB70,0)</f>
        <v>#N/A</v>
      </c>
      <c r="AL70" s="379" t="e">
        <f t="shared" ref="AL70:AL101" si="42">MATCH("*EA108",$B70:$AB70,0)</f>
        <v>#N/A</v>
      </c>
      <c r="AM70" s="379" t="e">
        <f t="shared" ref="AM70:AM101" si="43">MATCH("*EB006",$B70:$AB70,0)</f>
        <v>#N/A</v>
      </c>
      <c r="AN70" s="379" t="e">
        <f t="shared" ref="AN70:AN101" si="44">MATCH("*EB007",$B70:$AB70,0)</f>
        <v>#N/A</v>
      </c>
      <c r="AO70" s="379" t="e">
        <f t="shared" ref="AO70:AO101" si="45">MATCH("*EB013",$B70:$AB70,0)</f>
        <v>#N/A</v>
      </c>
      <c r="AP70" s="379" t="e">
        <f t="shared" ref="AP70:AP101" si="46">MATCH("*EB104",$B70:$AB70,0)</f>
        <v>#N/A</v>
      </c>
      <c r="AQ70" s="379" t="e">
        <f t="shared" ref="AQ70:AQ101" si="47">MATCH("*EB105",$B70:$AB70,0)</f>
        <v>#N/A</v>
      </c>
      <c r="AR70" s="379" t="e">
        <f t="shared" ref="AR70:AR101" si="48">MATCH("*EB107",$B70:$AB70,0)</f>
        <v>#N/A</v>
      </c>
      <c r="AS70" s="379" t="e">
        <f t="shared" ref="AS70:AS101" si="49">MATCH("*EB109",$B70:$AB70,0)</f>
        <v>#N/A</v>
      </c>
      <c r="AT70" s="380" t="e">
        <f t="shared" ref="AT70:AT101" si="50">MATCH("*EB110",$B70:$AB70,0)</f>
        <v>#N/A</v>
      </c>
      <c r="AU70" s="379" t="e">
        <f t="shared" ref="AU70:AU101" si="51">MATCH("*MA111",$B70:$AB70,0)</f>
        <v>#N/A</v>
      </c>
      <c r="AV70" s="379" t="e">
        <f t="shared" ref="AV70:AV101" si="52">MATCH("*MA209",$B70:$AB70,0)</f>
        <v>#N/A</v>
      </c>
      <c r="AW70" s="379" t="e">
        <f t="shared" ref="AW70:AW101" si="53">MATCH("*MA212",$B70:$AB70,0)</f>
        <v>#N/A</v>
      </c>
      <c r="AX70" s="379" t="e">
        <f t="shared" ref="AX70:AX101" si="54">MATCH("*D01",$B70:$AB70,0)</f>
        <v>#N/A</v>
      </c>
      <c r="AY70" s="379" t="e">
        <f t="shared" ref="AY70:AY101" si="55">MATCH("*MECH. W/SHOP",$B70:$AB70,0)</f>
        <v>#N/A</v>
      </c>
      <c r="AZ70" s="379" t="e">
        <f t="shared" ref="AZ70:AZ101" si="56">MATCH("*MECH. LAB",$B70:$AB70,0)</f>
        <v>#N/A</v>
      </c>
      <c r="BA70" s="379" t="e">
        <f t="shared" ref="BA70:BA101" si="57">MATCH("*PHYSICS LAB",$B70:$AB70,0)</f>
        <v>#N/A</v>
      </c>
      <c r="BB70" s="379" t="e">
        <f t="shared" ref="BB70:BB101" si="58">MATCH("*C/HALL",$B70:$AB70,0)</f>
        <v>#N/A</v>
      </c>
      <c r="BC70" s="379" t="e">
        <f t="shared" ref="BC70:BC101" si="59">MATCH("*CHEMISTRY LAB",$B70:$AB70,0)</f>
        <v>#N/A</v>
      </c>
      <c r="BD70" s="379" t="e">
        <f t="shared" ref="BD70:BD101" si="60">MATCH("*REFRIG.LAB",$B70:$AB70,0)</f>
        <v>#N/A</v>
      </c>
      <c r="BE70" s="379" t="e">
        <f t="shared" ref="BE70:BE101" si="61">MATCH("*FET203",$B70:$AB70,0)</f>
        <v>#N/A</v>
      </c>
      <c r="BF70" s="379" t="e">
        <f t="shared" ref="BF70:BF101" si="62">MATCH("*FET205",$B70:$AB70,0)</f>
        <v>#N/A</v>
      </c>
      <c r="BG70" s="379" t="e">
        <f t="shared" ref="BG70:BG101" si="63">MATCH("*FET207",$B70:$AB70,0)</f>
        <v>#N/A</v>
      </c>
      <c r="BH70" s="379" t="e">
        <f t="shared" ref="BH70:BH101" si="64">MATCH("*FET208",$B70:$AB70,0)</f>
        <v>#N/A</v>
      </c>
      <c r="BI70" s="379" t="e">
        <f t="shared" ref="BI70:BI101" si="65">MATCH("*FET209",$B70:$AB70,0)</f>
        <v>#N/A</v>
      </c>
      <c r="BJ70" s="379" t="e">
        <f t="shared" ref="BJ70:BJ101" si="66">MATCH("*FET210",$B70:$AB70,0)</f>
        <v>#N/A</v>
      </c>
      <c r="BK70" s="379" t="e">
        <f t="shared" ref="BK70:BK101" si="67">MATCH("*FET316",$B70:$AB70,0)</f>
        <v>#N/A</v>
      </c>
      <c r="BL70" s="535"/>
    </row>
    <row r="71" spans="1:64" ht="15.6" thickBot="1" x14ac:dyDescent="0.3">
      <c r="A71" s="400">
        <v>65</v>
      </c>
      <c r="B71" s="412" t="e">
        <f>CONCATENATED!E201</f>
        <v>#REF!</v>
      </c>
      <c r="C71" s="412" t="e">
        <f>CONCATENATED!F201</f>
        <v>#REF!</v>
      </c>
      <c r="D71" s="412" t="e">
        <f>CONCATENATED!G201</f>
        <v>#REF!</v>
      </c>
      <c r="E71" s="412" t="e">
        <f>CONCATENATED!H201</f>
        <v>#REF!</v>
      </c>
      <c r="F71" s="412" t="e">
        <f>CONCATENATED!I201</f>
        <v>#REF!</v>
      </c>
      <c r="G71" s="412" t="e">
        <f>CONCATENATED!J201</f>
        <v>#REF!</v>
      </c>
      <c r="H71" s="412" t="e">
        <f>CONCATENATED!K201</f>
        <v>#REF!</v>
      </c>
      <c r="I71" s="412" t="e">
        <f>CONCATENATED!L201</f>
        <v>#REF!</v>
      </c>
      <c r="J71" s="412" t="e">
        <f>CONCATENATED!M201</f>
        <v>#REF!</v>
      </c>
      <c r="K71" s="412" t="e">
        <f>CONCATENATED!N201</f>
        <v>#REF!</v>
      </c>
      <c r="L71" s="412" t="e">
        <f>CONCATENATED!O201</f>
        <v>#REF!</v>
      </c>
      <c r="M71" s="412" t="e">
        <f>CONCATENATED!P201</f>
        <v>#REF!</v>
      </c>
      <c r="N71" s="412" t="e">
        <f>CONCATENATED!Q201</f>
        <v>#REF!</v>
      </c>
      <c r="O71" s="412" t="e">
        <f>CONCATENATED!R201</f>
        <v>#REF!</v>
      </c>
      <c r="P71" s="412" t="e">
        <f>CONCATENATED!S201</f>
        <v>#REF!</v>
      </c>
      <c r="Q71" s="412" t="e">
        <f>CONCATENATED!T201</f>
        <v>#REF!</v>
      </c>
      <c r="R71" s="412" t="e">
        <f>CONCATENATED!U201</f>
        <v>#REF!</v>
      </c>
      <c r="S71" s="412" t="e">
        <f>CONCATENATED!V201</f>
        <v>#REF!</v>
      </c>
      <c r="T71" s="412" t="e">
        <f>CONCATENATED!W201</f>
        <v>#REF!</v>
      </c>
      <c r="U71" s="412" t="e">
        <f>CONCATENATED!X201</f>
        <v>#REF!</v>
      </c>
      <c r="V71" s="412" t="e">
        <f>CONCATENATED!Y201</f>
        <v>#REF!</v>
      </c>
      <c r="W71" s="412" t="e">
        <f>CONCATENATED!Z201</f>
        <v>#REF!</v>
      </c>
      <c r="X71" s="412" t="e">
        <f>CONCATENATED!AA201</f>
        <v>#REF!</v>
      </c>
      <c r="Y71" s="412" t="e">
        <f>CONCATENATED!AB201</f>
        <v>#REF!</v>
      </c>
      <c r="Z71" s="412" t="e">
        <f>CONCATENATED!AC201</f>
        <v>#REF!</v>
      </c>
      <c r="AA71" s="412" t="e">
        <f>CONCATENATED!AD201</f>
        <v>#REF!</v>
      </c>
      <c r="AB71" s="412" t="e">
        <f>CONCATENATED!AE201</f>
        <v>#REF!</v>
      </c>
      <c r="AC71" s="535"/>
      <c r="AD71" s="378" t="e">
        <f t="shared" si="35"/>
        <v>#N/A</v>
      </c>
      <c r="AE71" s="379" t="e">
        <f t="shared" si="36"/>
        <v>#N/A</v>
      </c>
      <c r="AF71" s="379" t="e">
        <f t="shared" si="34"/>
        <v>#N/A</v>
      </c>
      <c r="AG71" s="379" t="e">
        <f t="shared" si="37"/>
        <v>#N/A</v>
      </c>
      <c r="AH71" s="379" t="e">
        <f t="shared" si="38"/>
        <v>#N/A</v>
      </c>
      <c r="AI71" s="379" t="e">
        <f t="shared" si="39"/>
        <v>#N/A</v>
      </c>
      <c r="AJ71" s="379" t="e">
        <f t="shared" si="40"/>
        <v>#N/A</v>
      </c>
      <c r="AK71" s="379" t="e">
        <f t="shared" si="41"/>
        <v>#N/A</v>
      </c>
      <c r="AL71" s="379" t="e">
        <f t="shared" si="42"/>
        <v>#N/A</v>
      </c>
      <c r="AM71" s="379" t="e">
        <f t="shared" si="43"/>
        <v>#N/A</v>
      </c>
      <c r="AN71" s="379" t="e">
        <f t="shared" si="44"/>
        <v>#N/A</v>
      </c>
      <c r="AO71" s="379" t="e">
        <f t="shared" si="45"/>
        <v>#N/A</v>
      </c>
      <c r="AP71" s="379" t="e">
        <f t="shared" si="46"/>
        <v>#N/A</v>
      </c>
      <c r="AQ71" s="379" t="e">
        <f t="shared" si="47"/>
        <v>#N/A</v>
      </c>
      <c r="AR71" s="379" t="e">
        <f t="shared" si="48"/>
        <v>#N/A</v>
      </c>
      <c r="AS71" s="379" t="e">
        <f t="shared" si="49"/>
        <v>#N/A</v>
      </c>
      <c r="AT71" s="380" t="e">
        <f t="shared" si="50"/>
        <v>#N/A</v>
      </c>
      <c r="AU71" s="379" t="e">
        <f t="shared" si="51"/>
        <v>#N/A</v>
      </c>
      <c r="AV71" s="379" t="e">
        <f t="shared" si="52"/>
        <v>#N/A</v>
      </c>
      <c r="AW71" s="379" t="e">
        <f t="shared" si="53"/>
        <v>#N/A</v>
      </c>
      <c r="AX71" s="379" t="e">
        <f t="shared" si="54"/>
        <v>#N/A</v>
      </c>
      <c r="AY71" s="379" t="e">
        <f t="shared" si="55"/>
        <v>#N/A</v>
      </c>
      <c r="AZ71" s="379" t="e">
        <f t="shared" si="56"/>
        <v>#N/A</v>
      </c>
      <c r="BA71" s="379" t="e">
        <f t="shared" si="57"/>
        <v>#N/A</v>
      </c>
      <c r="BB71" s="379" t="e">
        <f t="shared" si="58"/>
        <v>#N/A</v>
      </c>
      <c r="BC71" s="379" t="e">
        <f t="shared" si="59"/>
        <v>#N/A</v>
      </c>
      <c r="BD71" s="379" t="e">
        <f t="shared" si="60"/>
        <v>#N/A</v>
      </c>
      <c r="BE71" s="379" t="e">
        <f t="shared" si="61"/>
        <v>#N/A</v>
      </c>
      <c r="BF71" s="379" t="e">
        <f t="shared" si="62"/>
        <v>#N/A</v>
      </c>
      <c r="BG71" s="379" t="e">
        <f t="shared" si="63"/>
        <v>#N/A</v>
      </c>
      <c r="BH71" s="379" t="e">
        <f t="shared" si="64"/>
        <v>#N/A</v>
      </c>
      <c r="BI71" s="379" t="e">
        <f t="shared" si="65"/>
        <v>#N/A</v>
      </c>
      <c r="BJ71" s="379" t="e">
        <f t="shared" si="66"/>
        <v>#N/A</v>
      </c>
      <c r="BK71" s="379" t="e">
        <f t="shared" si="67"/>
        <v>#N/A</v>
      </c>
      <c r="BL71" s="535"/>
    </row>
    <row r="72" spans="1:64" ht="15.6" thickBot="1" x14ac:dyDescent="0.3">
      <c r="A72" s="400">
        <v>66</v>
      </c>
      <c r="B72" s="412" t="e">
        <f>CONCATENATED!E204</f>
        <v>#REF!</v>
      </c>
      <c r="C72" s="412" t="e">
        <f>CONCATENATED!F204</f>
        <v>#REF!</v>
      </c>
      <c r="D72" s="412" t="e">
        <f>CONCATENATED!G204</f>
        <v>#REF!</v>
      </c>
      <c r="E72" s="412" t="e">
        <f>CONCATENATED!H204</f>
        <v>#REF!</v>
      </c>
      <c r="F72" s="412" t="e">
        <f>CONCATENATED!I204</f>
        <v>#REF!</v>
      </c>
      <c r="G72" s="412" t="e">
        <f>CONCATENATED!J204</f>
        <v>#REF!</v>
      </c>
      <c r="H72" s="412" t="e">
        <f>CONCATENATED!K204</f>
        <v>#REF!</v>
      </c>
      <c r="I72" s="412" t="e">
        <f>CONCATENATED!L204</f>
        <v>#REF!</v>
      </c>
      <c r="J72" s="412" t="e">
        <f>CONCATENATED!M204</f>
        <v>#REF!</v>
      </c>
      <c r="K72" s="412" t="e">
        <f>CONCATENATED!N204</f>
        <v>#REF!</v>
      </c>
      <c r="L72" s="412" t="e">
        <f>CONCATENATED!O204</f>
        <v>#REF!</v>
      </c>
      <c r="M72" s="412" t="e">
        <f>CONCATENATED!P204</f>
        <v>#REF!</v>
      </c>
      <c r="N72" s="412" t="e">
        <f>CONCATENATED!Q204</f>
        <v>#REF!</v>
      </c>
      <c r="O72" s="412" t="e">
        <f>CONCATENATED!R204</f>
        <v>#REF!</v>
      </c>
      <c r="P72" s="412" t="e">
        <f>CONCATENATED!S204</f>
        <v>#REF!</v>
      </c>
      <c r="Q72" s="412" t="e">
        <f>CONCATENATED!T204</f>
        <v>#REF!</v>
      </c>
      <c r="R72" s="412" t="e">
        <f>CONCATENATED!U204</f>
        <v>#REF!</v>
      </c>
      <c r="S72" s="412" t="e">
        <f>CONCATENATED!V204</f>
        <v>#REF!</v>
      </c>
      <c r="T72" s="412" t="e">
        <f>CONCATENATED!W204</f>
        <v>#REF!</v>
      </c>
      <c r="U72" s="412" t="e">
        <f>CONCATENATED!X204</f>
        <v>#REF!</v>
      </c>
      <c r="V72" s="412" t="e">
        <f>CONCATENATED!Y204</f>
        <v>#REF!</v>
      </c>
      <c r="W72" s="412" t="e">
        <f>CONCATENATED!Z204</f>
        <v>#REF!</v>
      </c>
      <c r="X72" s="412" t="e">
        <f>CONCATENATED!AA204</f>
        <v>#REF!</v>
      </c>
      <c r="Y72" s="412" t="e">
        <f>CONCATENATED!AB204</f>
        <v>#REF!</v>
      </c>
      <c r="Z72" s="412" t="e">
        <f>CONCATENATED!AC204</f>
        <v>#REF!</v>
      </c>
      <c r="AA72" s="412" t="e">
        <f>CONCATENATED!AD204</f>
        <v>#REF!</v>
      </c>
      <c r="AB72" s="412" t="e">
        <f>CONCATENATED!AE204</f>
        <v>#REF!</v>
      </c>
      <c r="AC72" s="536"/>
      <c r="AD72" s="381" t="e">
        <f t="shared" si="35"/>
        <v>#N/A</v>
      </c>
      <c r="AE72" s="382" t="e">
        <f t="shared" si="36"/>
        <v>#N/A</v>
      </c>
      <c r="AF72" s="382" t="e">
        <f t="shared" si="34"/>
        <v>#N/A</v>
      </c>
      <c r="AG72" s="382" t="e">
        <f t="shared" si="37"/>
        <v>#N/A</v>
      </c>
      <c r="AH72" s="382" t="e">
        <f t="shared" si="38"/>
        <v>#N/A</v>
      </c>
      <c r="AI72" s="382" t="e">
        <f t="shared" si="39"/>
        <v>#N/A</v>
      </c>
      <c r="AJ72" s="382" t="e">
        <f t="shared" si="40"/>
        <v>#N/A</v>
      </c>
      <c r="AK72" s="382" t="e">
        <f t="shared" si="41"/>
        <v>#N/A</v>
      </c>
      <c r="AL72" s="382" t="e">
        <f t="shared" si="42"/>
        <v>#N/A</v>
      </c>
      <c r="AM72" s="382" t="e">
        <f t="shared" si="43"/>
        <v>#N/A</v>
      </c>
      <c r="AN72" s="382" t="e">
        <f t="shared" si="44"/>
        <v>#N/A</v>
      </c>
      <c r="AO72" s="382" t="e">
        <f t="shared" si="45"/>
        <v>#N/A</v>
      </c>
      <c r="AP72" s="382" t="e">
        <f t="shared" si="46"/>
        <v>#N/A</v>
      </c>
      <c r="AQ72" s="382" t="e">
        <f t="shared" si="47"/>
        <v>#N/A</v>
      </c>
      <c r="AR72" s="382" t="e">
        <f t="shared" si="48"/>
        <v>#N/A</v>
      </c>
      <c r="AS72" s="382" t="e">
        <f t="shared" si="49"/>
        <v>#N/A</v>
      </c>
      <c r="AT72" s="383" t="e">
        <f t="shared" si="50"/>
        <v>#N/A</v>
      </c>
      <c r="AU72" s="382" t="e">
        <f t="shared" si="51"/>
        <v>#N/A</v>
      </c>
      <c r="AV72" s="382" t="e">
        <f t="shared" si="52"/>
        <v>#N/A</v>
      </c>
      <c r="AW72" s="382" t="e">
        <f t="shared" si="53"/>
        <v>#N/A</v>
      </c>
      <c r="AX72" s="382" t="e">
        <f t="shared" si="54"/>
        <v>#N/A</v>
      </c>
      <c r="AY72" s="382" t="e">
        <f t="shared" si="55"/>
        <v>#N/A</v>
      </c>
      <c r="AZ72" s="382" t="e">
        <f t="shared" si="56"/>
        <v>#N/A</v>
      </c>
      <c r="BA72" s="382" t="e">
        <f t="shared" si="57"/>
        <v>#N/A</v>
      </c>
      <c r="BB72" s="382" t="e">
        <f t="shared" si="58"/>
        <v>#N/A</v>
      </c>
      <c r="BC72" s="382" t="e">
        <f t="shared" si="59"/>
        <v>#N/A</v>
      </c>
      <c r="BD72" s="382" t="e">
        <f t="shared" si="60"/>
        <v>#N/A</v>
      </c>
      <c r="BE72" s="382" t="e">
        <f t="shared" si="61"/>
        <v>#N/A</v>
      </c>
      <c r="BF72" s="382" t="e">
        <f t="shared" si="62"/>
        <v>#N/A</v>
      </c>
      <c r="BG72" s="382" t="e">
        <f t="shared" si="63"/>
        <v>#N/A</v>
      </c>
      <c r="BH72" s="382" t="e">
        <f t="shared" si="64"/>
        <v>#N/A</v>
      </c>
      <c r="BI72" s="382" t="e">
        <f t="shared" si="65"/>
        <v>#N/A</v>
      </c>
      <c r="BJ72" s="382" t="e">
        <f t="shared" si="66"/>
        <v>#N/A</v>
      </c>
      <c r="BK72" s="382" t="e">
        <f t="shared" si="67"/>
        <v>#N/A</v>
      </c>
      <c r="BL72" s="536"/>
    </row>
    <row r="73" spans="1:64" ht="15.6" thickBot="1" x14ac:dyDescent="0.3">
      <c r="B73" s="412"/>
      <c r="C73" s="412"/>
      <c r="D73" s="412"/>
      <c r="E73" s="412"/>
      <c r="F73" s="412"/>
      <c r="G73" s="412"/>
      <c r="H73" s="412"/>
      <c r="I73" s="412"/>
      <c r="J73" s="412"/>
      <c r="K73" s="412"/>
      <c r="L73" s="412"/>
      <c r="M73" s="412"/>
      <c r="N73" s="412"/>
      <c r="O73" s="412"/>
      <c r="P73" s="412"/>
      <c r="Q73" s="412"/>
      <c r="R73" s="412"/>
      <c r="S73" s="412"/>
      <c r="T73" s="412"/>
      <c r="U73" s="412"/>
      <c r="V73" s="412"/>
      <c r="W73" s="412"/>
      <c r="X73" s="412"/>
      <c r="Y73" s="412"/>
      <c r="Z73" s="412"/>
      <c r="AA73" s="412"/>
      <c r="AB73" s="412"/>
      <c r="AC73" s="319"/>
      <c r="AD73" s="321" t="e">
        <f t="shared" si="35"/>
        <v>#N/A</v>
      </c>
      <c r="AE73" s="321" t="e">
        <f t="shared" si="36"/>
        <v>#N/A</v>
      </c>
      <c r="AF73" s="321" t="e">
        <f t="shared" si="34"/>
        <v>#N/A</v>
      </c>
      <c r="AG73" s="322" t="e">
        <f t="shared" si="37"/>
        <v>#N/A</v>
      </c>
      <c r="AH73" s="321" t="e">
        <f t="shared" si="38"/>
        <v>#N/A</v>
      </c>
      <c r="AI73" s="321" t="e">
        <f t="shared" si="39"/>
        <v>#N/A</v>
      </c>
      <c r="AJ73" s="321" t="e">
        <f t="shared" si="40"/>
        <v>#N/A</v>
      </c>
      <c r="AK73" s="323" t="e">
        <f t="shared" si="41"/>
        <v>#N/A</v>
      </c>
      <c r="AL73" s="321" t="e">
        <f t="shared" si="42"/>
        <v>#N/A</v>
      </c>
      <c r="AM73" s="321" t="e">
        <f t="shared" si="43"/>
        <v>#N/A</v>
      </c>
      <c r="AN73" s="321" t="e">
        <f t="shared" si="44"/>
        <v>#N/A</v>
      </c>
      <c r="AO73" s="324" t="e">
        <f t="shared" si="45"/>
        <v>#N/A</v>
      </c>
      <c r="AP73" s="321" t="e">
        <f t="shared" si="46"/>
        <v>#N/A</v>
      </c>
      <c r="AQ73" s="321" t="e">
        <f t="shared" si="47"/>
        <v>#N/A</v>
      </c>
      <c r="AR73" s="321" t="e">
        <f t="shared" si="48"/>
        <v>#N/A</v>
      </c>
      <c r="AS73" s="322" t="e">
        <f t="shared" si="49"/>
        <v>#N/A</v>
      </c>
      <c r="AT73" s="321" t="e">
        <f t="shared" si="50"/>
        <v>#N/A</v>
      </c>
      <c r="AU73" s="321" t="e">
        <f t="shared" si="51"/>
        <v>#N/A</v>
      </c>
      <c r="AV73" s="321" t="e">
        <f t="shared" si="52"/>
        <v>#N/A</v>
      </c>
      <c r="AW73" s="321" t="e">
        <f t="shared" si="53"/>
        <v>#N/A</v>
      </c>
      <c r="AX73" s="321" t="e">
        <f t="shared" si="54"/>
        <v>#N/A</v>
      </c>
      <c r="AY73" s="321" t="e">
        <f t="shared" si="55"/>
        <v>#N/A</v>
      </c>
      <c r="AZ73" s="321" t="e">
        <f t="shared" si="56"/>
        <v>#N/A</v>
      </c>
      <c r="BA73" s="321" t="e">
        <f t="shared" si="57"/>
        <v>#N/A</v>
      </c>
      <c r="BB73" s="321" t="e">
        <f t="shared" si="58"/>
        <v>#N/A</v>
      </c>
      <c r="BC73" s="321" t="e">
        <f t="shared" si="59"/>
        <v>#N/A</v>
      </c>
      <c r="BD73" s="321" t="e">
        <f t="shared" si="60"/>
        <v>#N/A</v>
      </c>
      <c r="BE73" s="321" t="e">
        <f t="shared" si="61"/>
        <v>#N/A</v>
      </c>
      <c r="BF73" s="321" t="e">
        <f t="shared" si="62"/>
        <v>#N/A</v>
      </c>
      <c r="BG73" s="321" t="e">
        <f t="shared" si="63"/>
        <v>#N/A</v>
      </c>
      <c r="BH73" s="321" t="e">
        <f t="shared" si="64"/>
        <v>#N/A</v>
      </c>
      <c r="BI73" s="321" t="e">
        <f t="shared" si="65"/>
        <v>#N/A</v>
      </c>
      <c r="BJ73" s="322" t="e">
        <f t="shared" si="66"/>
        <v>#N/A</v>
      </c>
      <c r="BK73" s="321" t="e">
        <f t="shared" si="67"/>
        <v>#N/A</v>
      </c>
      <c r="BL73" s="319"/>
    </row>
    <row r="74" spans="1:64" ht="105.75" customHeight="1" thickBot="1" x14ac:dyDescent="0.3">
      <c r="A74" s="400">
        <v>67</v>
      </c>
      <c r="B74" s="408" t="e">
        <f>CONCATENATED!E207</f>
        <v>#REF!</v>
      </c>
      <c r="C74" s="408" t="e">
        <f>CONCATENATED!F207</f>
        <v>#REF!</v>
      </c>
      <c r="D74" s="408" t="e">
        <f>CONCATENATED!G207</f>
        <v>#REF!</v>
      </c>
      <c r="E74" s="408" t="e">
        <f>CONCATENATED!H207</f>
        <v>#REF!</v>
      </c>
      <c r="F74" s="408" t="e">
        <f>CONCATENATED!I207</f>
        <v>#REF!</v>
      </c>
      <c r="G74" s="408" t="e">
        <f>CONCATENATED!J207</f>
        <v>#REF!</v>
      </c>
      <c r="H74" s="408" t="e">
        <f>CONCATENATED!K207</f>
        <v>#REF!</v>
      </c>
      <c r="I74" s="408" t="str">
        <f>CONCATENATED!L207</f>
        <v xml:space="preserve">BSME/SEP2020/J-FT [Y2S1  (50) Students] :  </v>
      </c>
      <c r="J74" s="408" t="str">
        <f>CONCATENATED!M207</f>
        <v xml:space="preserve">BSME/AUG2021/J-FT [Y1S2  (55) Students] :  </v>
      </c>
      <c r="K74" s="408" t="e">
        <f>CONCATENATED!N207</f>
        <v>#REF!</v>
      </c>
      <c r="L74" s="408" t="e">
        <f>CONCATENATED!O207</f>
        <v>#REF!</v>
      </c>
      <c r="M74" s="408" t="str">
        <f>CONCATENATED!P207</f>
        <v>BTME/SEP2019/S-PT [Y3S1   (10) Students] TMC 4316: SAAD FET 210</v>
      </c>
      <c r="N74" s="408" t="str">
        <f>CONCATENATED!Q207</f>
        <v>BTME/AUG2021/S-PT [Y2S2   (10) Students] AMA 4105: WAMBUA FET 109</v>
      </c>
      <c r="O74" s="408" t="e">
        <f>CONCATENATED!R207</f>
        <v>#REF!</v>
      </c>
      <c r="P74" s="408" t="e">
        <f>CONCATENATED!S207</f>
        <v>#REF!</v>
      </c>
      <c r="Q74" s="408" t="str">
        <f>CONCATENATED!T207</f>
        <v xml:space="preserve">BTME/AUG2021/J&amp;S-FT [Y1S1  (52) Students] :  </v>
      </c>
      <c r="R74" s="408" t="e">
        <f>CONCATENATED!U207</f>
        <v>#REF!</v>
      </c>
      <c r="S74" s="408" t="e">
        <f>CONCATENATED!V207</f>
        <v>#REF!</v>
      </c>
      <c r="T74" s="408" t="e">
        <f>CONCATENATED!W207</f>
        <v>#REF!</v>
      </c>
      <c r="U74" s="408" t="e">
        <f>CONCATENATED!X207</f>
        <v>#REF!</v>
      </c>
      <c r="V74" s="408" t="e">
        <f>CONCATENATED!Y207</f>
        <v>#REF!</v>
      </c>
      <c r="W74" s="408" t="e">
        <f>CONCATENATED!Z207</f>
        <v>#REF!</v>
      </c>
      <c r="X74" s="408" t="e">
        <f>CONCATENATED!AA207</f>
        <v>#REF!</v>
      </c>
      <c r="Y74" s="408" t="e">
        <f>CONCATENATED!AB207</f>
        <v>#REF!</v>
      </c>
      <c r="Z74" s="408" t="str">
        <f>CONCATENATED!AC207</f>
        <v xml:space="preserve">DMAE/SEP20201J&amp;S-FT [Y1S2   (60) Students] :  </v>
      </c>
      <c r="AA74" s="408" t="e">
        <f>CONCATENATED!AD207</f>
        <v>#REF!</v>
      </c>
      <c r="AB74" s="408" t="e">
        <f>CONCATENATED!AE207</f>
        <v>#REF!</v>
      </c>
      <c r="AC74" s="540" t="s">
        <v>185</v>
      </c>
      <c r="AD74" s="385" t="e">
        <f t="shared" si="35"/>
        <v>#N/A</v>
      </c>
      <c r="AE74" s="385" t="e">
        <f t="shared" si="36"/>
        <v>#N/A</v>
      </c>
      <c r="AF74" s="385" t="e">
        <f t="shared" si="34"/>
        <v>#N/A</v>
      </c>
      <c r="AG74" s="385" t="e">
        <f t="shared" si="37"/>
        <v>#N/A</v>
      </c>
      <c r="AH74" s="385" t="e">
        <f t="shared" si="38"/>
        <v>#N/A</v>
      </c>
      <c r="AI74" s="385" t="e">
        <f t="shared" si="39"/>
        <v>#N/A</v>
      </c>
      <c r="AJ74" s="385" t="e">
        <f t="shared" si="40"/>
        <v>#N/A</v>
      </c>
      <c r="AK74" s="385" t="e">
        <f t="shared" si="41"/>
        <v>#N/A</v>
      </c>
      <c r="AL74" s="385" t="e">
        <f t="shared" si="42"/>
        <v>#N/A</v>
      </c>
      <c r="AM74" s="385" t="e">
        <f t="shared" si="43"/>
        <v>#N/A</v>
      </c>
      <c r="AN74" s="385" t="e">
        <f t="shared" si="44"/>
        <v>#N/A</v>
      </c>
      <c r="AO74" s="385" t="e">
        <f t="shared" si="45"/>
        <v>#N/A</v>
      </c>
      <c r="AP74" s="385" t="e">
        <f t="shared" si="46"/>
        <v>#N/A</v>
      </c>
      <c r="AQ74" s="385" t="e">
        <f t="shared" si="47"/>
        <v>#N/A</v>
      </c>
      <c r="AR74" s="385" t="e">
        <f t="shared" si="48"/>
        <v>#N/A</v>
      </c>
      <c r="AS74" s="385" t="e">
        <f t="shared" si="49"/>
        <v>#N/A</v>
      </c>
      <c r="AT74" s="385" t="e">
        <f t="shared" si="50"/>
        <v>#N/A</v>
      </c>
      <c r="AU74" s="385" t="e">
        <f t="shared" si="51"/>
        <v>#N/A</v>
      </c>
      <c r="AV74" s="385" t="e">
        <f t="shared" si="52"/>
        <v>#N/A</v>
      </c>
      <c r="AW74" s="385" t="e">
        <f t="shared" si="53"/>
        <v>#N/A</v>
      </c>
      <c r="AX74" s="385" t="e">
        <f t="shared" si="54"/>
        <v>#N/A</v>
      </c>
      <c r="AY74" s="385" t="e">
        <f t="shared" si="55"/>
        <v>#N/A</v>
      </c>
      <c r="AZ74" s="385" t="e">
        <f t="shared" si="56"/>
        <v>#N/A</v>
      </c>
      <c r="BA74" s="385" t="e">
        <f t="shared" si="57"/>
        <v>#N/A</v>
      </c>
      <c r="BB74" s="385" t="e">
        <f t="shared" si="58"/>
        <v>#N/A</v>
      </c>
      <c r="BC74" s="385" t="e">
        <f t="shared" si="59"/>
        <v>#N/A</v>
      </c>
      <c r="BD74" s="385" t="e">
        <f t="shared" si="60"/>
        <v>#N/A</v>
      </c>
      <c r="BE74" s="385" t="e">
        <f t="shared" si="61"/>
        <v>#N/A</v>
      </c>
      <c r="BF74" s="385" t="e">
        <f t="shared" si="62"/>
        <v>#N/A</v>
      </c>
      <c r="BG74" s="385" t="e">
        <f t="shared" si="63"/>
        <v>#N/A</v>
      </c>
      <c r="BH74" s="385" t="e">
        <f t="shared" si="64"/>
        <v>#N/A</v>
      </c>
      <c r="BI74" s="385" t="e">
        <f t="shared" si="65"/>
        <v>#N/A</v>
      </c>
      <c r="BJ74" s="385" t="e">
        <f t="shared" si="66"/>
        <v>#N/A</v>
      </c>
      <c r="BK74" s="385" t="e">
        <f t="shared" si="67"/>
        <v>#N/A</v>
      </c>
      <c r="BL74" s="540" t="s">
        <v>185</v>
      </c>
    </row>
    <row r="75" spans="1:64" s="406" customFormat="1" ht="15.6" thickBot="1" x14ac:dyDescent="0.3">
      <c r="A75" s="400">
        <v>68</v>
      </c>
      <c r="B75" s="408" t="e">
        <f>CONCATENATED!E210</f>
        <v>#REF!</v>
      </c>
      <c r="C75" s="408" t="e">
        <f>CONCATENATED!F210</f>
        <v>#REF!</v>
      </c>
      <c r="D75" s="408" t="e">
        <f>CONCATENATED!G210</f>
        <v>#REF!</v>
      </c>
      <c r="E75" s="408" t="e">
        <f>CONCATENATED!H210</f>
        <v>#REF!</v>
      </c>
      <c r="F75" s="408" t="e">
        <f>CONCATENATED!I210</f>
        <v>#REF!</v>
      </c>
      <c r="G75" s="408" t="e">
        <f>CONCATENATED!J210</f>
        <v>#REF!</v>
      </c>
      <c r="H75" s="408" t="e">
        <f>CONCATENATED!K210</f>
        <v>#REF!</v>
      </c>
      <c r="I75" s="408" t="e">
        <f>CONCATENATED!L210</f>
        <v>#REF!</v>
      </c>
      <c r="J75" s="408" t="e">
        <f>CONCATENATED!M210</f>
        <v>#REF!</v>
      </c>
      <c r="K75" s="408" t="e">
        <f>CONCATENATED!N210</f>
        <v>#REF!</v>
      </c>
      <c r="L75" s="408" t="e">
        <f>CONCATENATED!O210</f>
        <v>#REF!</v>
      </c>
      <c r="M75" s="408" t="e">
        <f>CONCATENATED!P210</f>
        <v>#REF!</v>
      </c>
      <c r="N75" s="408" t="e">
        <f>CONCATENATED!Q210</f>
        <v>#REF!</v>
      </c>
      <c r="O75" s="408" t="e">
        <f>CONCATENATED!R210</f>
        <v>#REF!</v>
      </c>
      <c r="P75" s="408" t="e">
        <f>CONCATENATED!S210</f>
        <v>#REF!</v>
      </c>
      <c r="Q75" s="408" t="e">
        <f>CONCATENATED!T210</f>
        <v>#REF!</v>
      </c>
      <c r="R75" s="408" t="e">
        <f>CONCATENATED!U210</f>
        <v>#REF!</v>
      </c>
      <c r="S75" s="408" t="e">
        <f>CONCATENATED!V210</f>
        <v>#REF!</v>
      </c>
      <c r="T75" s="408" t="e">
        <f>CONCATENATED!W210</f>
        <v>#REF!</v>
      </c>
      <c r="U75" s="408" t="e">
        <f>CONCATENATED!X210</f>
        <v>#REF!</v>
      </c>
      <c r="V75" s="408" t="e">
        <f>CONCATENATED!Y210</f>
        <v>#REF!</v>
      </c>
      <c r="W75" s="408" t="e">
        <f>CONCATENATED!Z210</f>
        <v>#REF!</v>
      </c>
      <c r="X75" s="408" t="e">
        <f>CONCATENATED!AA210</f>
        <v>#REF!</v>
      </c>
      <c r="Y75" s="408" t="e">
        <f>CONCATENATED!AB210</f>
        <v>#REF!</v>
      </c>
      <c r="Z75" s="408" t="e">
        <f>CONCATENATED!AC210</f>
        <v>#REF!</v>
      </c>
      <c r="AA75" s="408" t="e">
        <f>CONCATENATED!AD210</f>
        <v>#REF!</v>
      </c>
      <c r="AB75" s="408" t="e">
        <f>CONCATENATED!AE210</f>
        <v>#REF!</v>
      </c>
      <c r="AC75" s="542"/>
      <c r="AD75" s="386" t="e">
        <f t="shared" si="35"/>
        <v>#N/A</v>
      </c>
      <c r="AE75" s="386" t="e">
        <f t="shared" si="36"/>
        <v>#N/A</v>
      </c>
      <c r="AF75" s="386" t="e">
        <f t="shared" si="34"/>
        <v>#N/A</v>
      </c>
      <c r="AG75" s="386" t="e">
        <f t="shared" si="37"/>
        <v>#N/A</v>
      </c>
      <c r="AH75" s="386" t="e">
        <f t="shared" si="38"/>
        <v>#N/A</v>
      </c>
      <c r="AI75" s="386" t="e">
        <f t="shared" si="39"/>
        <v>#N/A</v>
      </c>
      <c r="AJ75" s="386" t="e">
        <f t="shared" si="40"/>
        <v>#N/A</v>
      </c>
      <c r="AK75" s="386" t="e">
        <f t="shared" si="41"/>
        <v>#N/A</v>
      </c>
      <c r="AL75" s="386" t="e">
        <f t="shared" si="42"/>
        <v>#N/A</v>
      </c>
      <c r="AM75" s="386" t="e">
        <f t="shared" si="43"/>
        <v>#N/A</v>
      </c>
      <c r="AN75" s="386" t="e">
        <f t="shared" si="44"/>
        <v>#N/A</v>
      </c>
      <c r="AO75" s="386" t="e">
        <f t="shared" si="45"/>
        <v>#N/A</v>
      </c>
      <c r="AP75" s="386" t="e">
        <f t="shared" si="46"/>
        <v>#N/A</v>
      </c>
      <c r="AQ75" s="386" t="e">
        <f t="shared" si="47"/>
        <v>#N/A</v>
      </c>
      <c r="AR75" s="386" t="e">
        <f t="shared" si="48"/>
        <v>#N/A</v>
      </c>
      <c r="AS75" s="386" t="e">
        <f t="shared" si="49"/>
        <v>#N/A</v>
      </c>
      <c r="AT75" s="386" t="e">
        <f t="shared" si="50"/>
        <v>#N/A</v>
      </c>
      <c r="AU75" s="386" t="e">
        <f t="shared" si="51"/>
        <v>#N/A</v>
      </c>
      <c r="AV75" s="386" t="e">
        <f t="shared" si="52"/>
        <v>#N/A</v>
      </c>
      <c r="AW75" s="386" t="e">
        <f t="shared" si="53"/>
        <v>#N/A</v>
      </c>
      <c r="AX75" s="386" t="e">
        <f t="shared" si="54"/>
        <v>#N/A</v>
      </c>
      <c r="AY75" s="386" t="e">
        <f t="shared" si="55"/>
        <v>#N/A</v>
      </c>
      <c r="AZ75" s="386" t="e">
        <f t="shared" si="56"/>
        <v>#N/A</v>
      </c>
      <c r="BA75" s="386" t="e">
        <f t="shared" si="57"/>
        <v>#N/A</v>
      </c>
      <c r="BB75" s="386" t="e">
        <f t="shared" si="58"/>
        <v>#N/A</v>
      </c>
      <c r="BC75" s="386" t="e">
        <f t="shared" si="59"/>
        <v>#N/A</v>
      </c>
      <c r="BD75" s="386" t="e">
        <f t="shared" si="60"/>
        <v>#N/A</v>
      </c>
      <c r="BE75" s="386" t="e">
        <f t="shared" si="61"/>
        <v>#N/A</v>
      </c>
      <c r="BF75" s="386" t="e">
        <f t="shared" si="62"/>
        <v>#N/A</v>
      </c>
      <c r="BG75" s="386" t="e">
        <f t="shared" si="63"/>
        <v>#N/A</v>
      </c>
      <c r="BH75" s="386" t="e">
        <f t="shared" si="64"/>
        <v>#N/A</v>
      </c>
      <c r="BI75" s="386" t="e">
        <f t="shared" si="65"/>
        <v>#N/A</v>
      </c>
      <c r="BJ75" s="386" t="e">
        <f t="shared" si="66"/>
        <v>#N/A</v>
      </c>
      <c r="BK75" s="386" t="e">
        <f t="shared" si="67"/>
        <v>#N/A</v>
      </c>
      <c r="BL75" s="535"/>
    </row>
    <row r="76" spans="1:64" ht="15.6" thickBot="1" x14ac:dyDescent="0.3">
      <c r="A76" s="400">
        <v>69</v>
      </c>
      <c r="B76" s="408" t="e">
        <f>CONCATENATED!E213</f>
        <v>#REF!</v>
      </c>
      <c r="C76" s="408" t="e">
        <f>CONCATENATED!F213</f>
        <v>#REF!</v>
      </c>
      <c r="D76" s="408" t="e">
        <f>CONCATENATED!G213</f>
        <v>#REF!</v>
      </c>
      <c r="E76" s="408" t="e">
        <f>CONCATENATED!H213</f>
        <v>#REF!</v>
      </c>
      <c r="F76" s="408" t="e">
        <f>CONCATENATED!I213</f>
        <v>#REF!</v>
      </c>
      <c r="G76" s="408" t="e">
        <f>CONCATENATED!J213</f>
        <v>#REF!</v>
      </c>
      <c r="H76" s="408" t="e">
        <f>CONCATENATED!K213</f>
        <v>#REF!</v>
      </c>
      <c r="I76" s="408" t="e">
        <f>CONCATENATED!L213</f>
        <v>#REF!</v>
      </c>
      <c r="J76" s="408" t="e">
        <f>CONCATENATED!M213</f>
        <v>#REF!</v>
      </c>
      <c r="K76" s="408" t="e">
        <f>CONCATENATED!N213</f>
        <v>#REF!</v>
      </c>
      <c r="L76" s="408" t="e">
        <f>CONCATENATED!O213</f>
        <v>#REF!</v>
      </c>
      <c r="M76" s="408" t="e">
        <f>CONCATENATED!P213</f>
        <v>#REF!</v>
      </c>
      <c r="N76" s="408" t="e">
        <f>CONCATENATED!Q213</f>
        <v>#REF!</v>
      </c>
      <c r="O76" s="408" t="e">
        <f>CONCATENATED!R213</f>
        <v>#REF!</v>
      </c>
      <c r="P76" s="408" t="e">
        <f>CONCATENATED!S213</f>
        <v>#REF!</v>
      </c>
      <c r="Q76" s="408" t="e">
        <f>CONCATENATED!T213</f>
        <v>#REF!</v>
      </c>
      <c r="R76" s="408" t="e">
        <f>CONCATENATED!U213</f>
        <v>#REF!</v>
      </c>
      <c r="S76" s="408" t="e">
        <f>CONCATENATED!V213</f>
        <v>#REF!</v>
      </c>
      <c r="T76" s="408" t="e">
        <f>CONCATENATED!W213</f>
        <v>#REF!</v>
      </c>
      <c r="U76" s="408" t="e">
        <f>CONCATENATED!X213</f>
        <v>#REF!</v>
      </c>
      <c r="V76" s="408" t="e">
        <f>CONCATENATED!Y213</f>
        <v>#REF!</v>
      </c>
      <c r="W76" s="408" t="e">
        <f>CONCATENATED!Z213</f>
        <v>#REF!</v>
      </c>
      <c r="X76" s="408" t="e">
        <f>CONCATENATED!AA213</f>
        <v>#REF!</v>
      </c>
      <c r="Y76" s="408" t="e">
        <f>CONCATENATED!AB213</f>
        <v>#REF!</v>
      </c>
      <c r="Z76" s="408" t="e">
        <f>CONCATENATED!AC213</f>
        <v>#REF!</v>
      </c>
      <c r="AA76" s="408" t="e">
        <f>CONCATENATED!AD213</f>
        <v>#REF!</v>
      </c>
      <c r="AB76" s="408" t="e">
        <f>CONCATENATED!AE213</f>
        <v>#REF!</v>
      </c>
      <c r="AC76" s="542"/>
      <c r="AD76" s="332" t="e">
        <f t="shared" si="35"/>
        <v>#N/A</v>
      </c>
      <c r="AE76" s="332" t="e">
        <f t="shared" si="36"/>
        <v>#N/A</v>
      </c>
      <c r="AF76" s="332" t="e">
        <f t="shared" si="34"/>
        <v>#N/A</v>
      </c>
      <c r="AG76" s="332" t="e">
        <f t="shared" si="37"/>
        <v>#N/A</v>
      </c>
      <c r="AH76" s="332" t="e">
        <f t="shared" si="38"/>
        <v>#N/A</v>
      </c>
      <c r="AI76" s="332" t="e">
        <f t="shared" si="39"/>
        <v>#N/A</v>
      </c>
      <c r="AJ76" s="332" t="e">
        <f t="shared" si="40"/>
        <v>#N/A</v>
      </c>
      <c r="AK76" s="332" t="e">
        <f t="shared" si="41"/>
        <v>#N/A</v>
      </c>
      <c r="AL76" s="332" t="e">
        <f t="shared" si="42"/>
        <v>#N/A</v>
      </c>
      <c r="AM76" s="332" t="e">
        <f t="shared" si="43"/>
        <v>#N/A</v>
      </c>
      <c r="AN76" s="332" t="e">
        <f t="shared" si="44"/>
        <v>#N/A</v>
      </c>
      <c r="AO76" s="332" t="e">
        <f t="shared" si="45"/>
        <v>#N/A</v>
      </c>
      <c r="AP76" s="332" t="e">
        <f t="shared" si="46"/>
        <v>#N/A</v>
      </c>
      <c r="AQ76" s="332" t="e">
        <f t="shared" si="47"/>
        <v>#N/A</v>
      </c>
      <c r="AR76" s="332" t="e">
        <f t="shared" si="48"/>
        <v>#N/A</v>
      </c>
      <c r="AS76" s="332" t="e">
        <f t="shared" si="49"/>
        <v>#N/A</v>
      </c>
      <c r="AT76" s="332" t="e">
        <f t="shared" si="50"/>
        <v>#N/A</v>
      </c>
      <c r="AU76" s="332" t="e">
        <f t="shared" si="51"/>
        <v>#N/A</v>
      </c>
      <c r="AV76" s="332" t="e">
        <f t="shared" si="52"/>
        <v>#N/A</v>
      </c>
      <c r="AW76" s="332" t="e">
        <f t="shared" si="53"/>
        <v>#N/A</v>
      </c>
      <c r="AX76" s="332" t="e">
        <f t="shared" si="54"/>
        <v>#N/A</v>
      </c>
      <c r="AY76" s="332" t="e">
        <f t="shared" si="55"/>
        <v>#N/A</v>
      </c>
      <c r="AZ76" s="332" t="e">
        <f t="shared" si="56"/>
        <v>#N/A</v>
      </c>
      <c r="BA76" s="332" t="e">
        <f t="shared" si="57"/>
        <v>#N/A</v>
      </c>
      <c r="BB76" s="332" t="e">
        <f t="shared" si="58"/>
        <v>#N/A</v>
      </c>
      <c r="BC76" s="332" t="e">
        <f t="shared" si="59"/>
        <v>#N/A</v>
      </c>
      <c r="BD76" s="332" t="e">
        <f t="shared" si="60"/>
        <v>#N/A</v>
      </c>
      <c r="BE76" s="332" t="e">
        <f t="shared" si="61"/>
        <v>#N/A</v>
      </c>
      <c r="BF76" s="332" t="e">
        <f t="shared" si="62"/>
        <v>#N/A</v>
      </c>
      <c r="BG76" s="332" t="e">
        <f t="shared" si="63"/>
        <v>#N/A</v>
      </c>
      <c r="BH76" s="332" t="e">
        <f t="shared" si="64"/>
        <v>#N/A</v>
      </c>
      <c r="BI76" s="332" t="e">
        <f t="shared" si="65"/>
        <v>#N/A</v>
      </c>
      <c r="BJ76" s="332" t="e">
        <f t="shared" si="66"/>
        <v>#N/A</v>
      </c>
      <c r="BK76" s="332" t="e">
        <f t="shared" si="67"/>
        <v>#N/A</v>
      </c>
      <c r="BL76" s="535"/>
    </row>
    <row r="77" spans="1:64" ht="52.2" thickBot="1" x14ac:dyDescent="0.3">
      <c r="A77" s="400">
        <v>70</v>
      </c>
      <c r="B77" s="408" t="e">
        <f>CONCATENATED!E216</f>
        <v>#REF!</v>
      </c>
      <c r="C77" s="408" t="e">
        <f>CONCATENATED!F216</f>
        <v>#REF!</v>
      </c>
      <c r="D77" s="408" t="e">
        <f>CONCATENATED!G216</f>
        <v>#REF!</v>
      </c>
      <c r="E77" s="408" t="e">
        <f>CONCATENATED!H216</f>
        <v>#REF!</v>
      </c>
      <c r="F77" s="408" t="e">
        <f>CONCATENATED!I216</f>
        <v>#REF!</v>
      </c>
      <c r="G77" s="408" t="e">
        <f>CONCATENATED!J216</f>
        <v>#REF!</v>
      </c>
      <c r="H77" s="408" t="e">
        <f>CONCATENATED!K216</f>
        <v>#REF!</v>
      </c>
      <c r="I77" s="408" t="str">
        <f>CONCATENATED!L216</f>
        <v xml:space="preserve">BSME/SEP2020/J-FT [Y2S1  (50) Students] :  </v>
      </c>
      <c r="J77" s="408" t="str">
        <f>CONCATENATED!M216</f>
        <v xml:space="preserve">BSME/AUG2021/J-FT [Y1S2  (55) Students] :  </v>
      </c>
      <c r="K77" s="408" t="e">
        <f>CONCATENATED!N216</f>
        <v>#REF!</v>
      </c>
      <c r="L77" s="408" t="e">
        <f>CONCATENATED!O216</f>
        <v>#REF!</v>
      </c>
      <c r="M77" s="408" t="str">
        <f>CONCATENATED!P216</f>
        <v>BTME/SEP2019/S-PT [Y3S1   (10) Students] TCV4319: MANGENI/KITI LAB</v>
      </c>
      <c r="N77" s="408" t="str">
        <f>CONCATENATED!Q216</f>
        <v>BTME/AUG2021/S-PT [Y2S2   (10) Students] TMC 4226: WAGATHIGE FET 109</v>
      </c>
      <c r="O77" s="408" t="e">
        <f>CONCATENATED!R216</f>
        <v>#REF!</v>
      </c>
      <c r="P77" s="408" t="e">
        <f>CONCATENATED!S216</f>
        <v>#REF!</v>
      </c>
      <c r="Q77" s="408" t="str">
        <f>CONCATENATED!T216</f>
        <v xml:space="preserve">BTME/AUG2021/J&amp;S-FT [Y1S1  (52) Students] :  </v>
      </c>
      <c r="R77" s="408" t="e">
        <f>CONCATENATED!U216</f>
        <v>#REF!</v>
      </c>
      <c r="S77" s="408" t="e">
        <f>CONCATENATED!V216</f>
        <v>#REF!</v>
      </c>
      <c r="T77" s="408" t="e">
        <f>CONCATENATED!W216</f>
        <v>#REF!</v>
      </c>
      <c r="U77" s="408" t="e">
        <f>CONCATENATED!X216</f>
        <v>#REF!</v>
      </c>
      <c r="V77" s="408" t="e">
        <f>CONCATENATED!Y216</f>
        <v>#REF!</v>
      </c>
      <c r="W77" s="408" t="e">
        <f>CONCATENATED!Z216</f>
        <v>#REF!</v>
      </c>
      <c r="X77" s="408" t="e">
        <f>CONCATENATED!AA216</f>
        <v>#REF!</v>
      </c>
      <c r="Y77" s="408" t="e">
        <f>CONCATENATED!AB216</f>
        <v>#REF!</v>
      </c>
      <c r="Z77" s="408" t="str">
        <f>CONCATENATED!AC216</f>
        <v xml:space="preserve">DMAE/SEP20201J&amp;S-FT [Y1S2   (60) Students] :  </v>
      </c>
      <c r="AA77" s="408" t="e">
        <f>CONCATENATED!AD216</f>
        <v>#REF!</v>
      </c>
      <c r="AB77" s="408" t="e">
        <f>CONCATENATED!AE216</f>
        <v>#REF!</v>
      </c>
      <c r="AC77" s="542"/>
      <c r="AD77" s="332" t="e">
        <f t="shared" si="35"/>
        <v>#N/A</v>
      </c>
      <c r="AE77" s="332" t="e">
        <f t="shared" si="36"/>
        <v>#N/A</v>
      </c>
      <c r="AF77" s="332" t="e">
        <f t="shared" si="34"/>
        <v>#N/A</v>
      </c>
      <c r="AG77" s="332" t="e">
        <f t="shared" si="37"/>
        <v>#N/A</v>
      </c>
      <c r="AH77" s="332" t="e">
        <f t="shared" si="38"/>
        <v>#N/A</v>
      </c>
      <c r="AI77" s="332" t="e">
        <f t="shared" si="39"/>
        <v>#N/A</v>
      </c>
      <c r="AJ77" s="332" t="e">
        <f t="shared" si="40"/>
        <v>#N/A</v>
      </c>
      <c r="AK77" s="332" t="e">
        <f t="shared" si="41"/>
        <v>#N/A</v>
      </c>
      <c r="AL77" s="332" t="e">
        <f t="shared" si="42"/>
        <v>#N/A</v>
      </c>
      <c r="AM77" s="332" t="e">
        <f t="shared" si="43"/>
        <v>#N/A</v>
      </c>
      <c r="AN77" s="332" t="e">
        <f t="shared" si="44"/>
        <v>#N/A</v>
      </c>
      <c r="AO77" s="332" t="e">
        <f t="shared" si="45"/>
        <v>#N/A</v>
      </c>
      <c r="AP77" s="332" t="e">
        <f t="shared" si="46"/>
        <v>#N/A</v>
      </c>
      <c r="AQ77" s="332" t="e">
        <f t="shared" si="47"/>
        <v>#N/A</v>
      </c>
      <c r="AR77" s="332" t="e">
        <f t="shared" si="48"/>
        <v>#N/A</v>
      </c>
      <c r="AS77" s="332" t="e">
        <f t="shared" si="49"/>
        <v>#N/A</v>
      </c>
      <c r="AT77" s="332" t="e">
        <f t="shared" si="50"/>
        <v>#N/A</v>
      </c>
      <c r="AU77" s="332" t="e">
        <f t="shared" si="51"/>
        <v>#N/A</v>
      </c>
      <c r="AV77" s="332" t="e">
        <f t="shared" si="52"/>
        <v>#N/A</v>
      </c>
      <c r="AW77" s="332" t="e">
        <f t="shared" si="53"/>
        <v>#N/A</v>
      </c>
      <c r="AX77" s="332" t="e">
        <f t="shared" si="54"/>
        <v>#N/A</v>
      </c>
      <c r="AY77" s="332" t="e">
        <f t="shared" si="55"/>
        <v>#N/A</v>
      </c>
      <c r="AZ77" s="332" t="e">
        <f t="shared" si="56"/>
        <v>#N/A</v>
      </c>
      <c r="BA77" s="332" t="e">
        <f t="shared" si="57"/>
        <v>#N/A</v>
      </c>
      <c r="BB77" s="332" t="e">
        <f t="shared" si="58"/>
        <v>#N/A</v>
      </c>
      <c r="BC77" s="332" t="e">
        <f t="shared" si="59"/>
        <v>#N/A</v>
      </c>
      <c r="BD77" s="332" t="e">
        <f t="shared" si="60"/>
        <v>#N/A</v>
      </c>
      <c r="BE77" s="332" t="e">
        <f t="shared" si="61"/>
        <v>#N/A</v>
      </c>
      <c r="BF77" s="332" t="e">
        <f t="shared" si="62"/>
        <v>#N/A</v>
      </c>
      <c r="BG77" s="332" t="e">
        <f t="shared" si="63"/>
        <v>#N/A</v>
      </c>
      <c r="BH77" s="332" t="e">
        <f t="shared" si="64"/>
        <v>#N/A</v>
      </c>
      <c r="BI77" s="332" t="e">
        <f t="shared" si="65"/>
        <v>#N/A</v>
      </c>
      <c r="BJ77" s="332" t="e">
        <f t="shared" si="66"/>
        <v>#N/A</v>
      </c>
      <c r="BK77" s="332" t="e">
        <f t="shared" si="67"/>
        <v>#N/A</v>
      </c>
      <c r="BL77" s="535"/>
    </row>
    <row r="78" spans="1:64" ht="15.6" thickBot="1" x14ac:dyDescent="0.3">
      <c r="A78" s="400">
        <v>71</v>
      </c>
      <c r="B78" s="408" t="e">
        <f>CONCATENATED!E219</f>
        <v>#REF!</v>
      </c>
      <c r="C78" s="408" t="e">
        <f>CONCATENATED!F219</f>
        <v>#REF!</v>
      </c>
      <c r="D78" s="408" t="e">
        <f>CONCATENATED!G219</f>
        <v>#REF!</v>
      </c>
      <c r="E78" s="408" t="e">
        <f>CONCATENATED!H219</f>
        <v>#REF!</v>
      </c>
      <c r="F78" s="408" t="e">
        <f>CONCATENATED!I219</f>
        <v>#REF!</v>
      </c>
      <c r="G78" s="408" t="e">
        <f>CONCATENATED!J219</f>
        <v>#REF!</v>
      </c>
      <c r="H78" s="408" t="e">
        <f>CONCATENATED!K219</f>
        <v>#REF!</v>
      </c>
      <c r="I78" s="408" t="e">
        <f>CONCATENATED!L219</f>
        <v>#REF!</v>
      </c>
      <c r="J78" s="408" t="e">
        <f>CONCATENATED!M219</f>
        <v>#REF!</v>
      </c>
      <c r="K78" s="408" t="e">
        <f>CONCATENATED!N219</f>
        <v>#REF!</v>
      </c>
      <c r="L78" s="408" t="e">
        <f>CONCATENATED!O219</f>
        <v>#REF!</v>
      </c>
      <c r="M78" s="408" t="e">
        <f>CONCATENATED!P219</f>
        <v>#REF!</v>
      </c>
      <c r="N78" s="408" t="e">
        <f>CONCATENATED!Q219</f>
        <v>#REF!</v>
      </c>
      <c r="O78" s="408" t="e">
        <f>CONCATENATED!R219</f>
        <v>#REF!</v>
      </c>
      <c r="P78" s="408" t="e">
        <f>CONCATENATED!S219</f>
        <v>#REF!</v>
      </c>
      <c r="Q78" s="408" t="e">
        <f>CONCATENATED!T219</f>
        <v>#REF!</v>
      </c>
      <c r="R78" s="408" t="e">
        <f>CONCATENATED!U219</f>
        <v>#REF!</v>
      </c>
      <c r="S78" s="408" t="e">
        <f>CONCATENATED!V219</f>
        <v>#REF!</v>
      </c>
      <c r="T78" s="408" t="e">
        <f>CONCATENATED!W219</f>
        <v>#REF!</v>
      </c>
      <c r="U78" s="408" t="e">
        <f>CONCATENATED!X219</f>
        <v>#REF!</v>
      </c>
      <c r="V78" s="408" t="e">
        <f>CONCATENATED!Y219</f>
        <v>#REF!</v>
      </c>
      <c r="W78" s="408" t="e">
        <f>CONCATENATED!Z219</f>
        <v>#REF!</v>
      </c>
      <c r="X78" s="408" t="e">
        <f>CONCATENATED!AA219</f>
        <v>#REF!</v>
      </c>
      <c r="Y78" s="408" t="e">
        <f>CONCATENATED!AB219</f>
        <v>#REF!</v>
      </c>
      <c r="Z78" s="408" t="e">
        <f>CONCATENATED!AC219</f>
        <v>#REF!</v>
      </c>
      <c r="AA78" s="408" t="e">
        <f>CONCATENATED!AD219</f>
        <v>#REF!</v>
      </c>
      <c r="AB78" s="408" t="e">
        <f>CONCATENATED!AE219</f>
        <v>#REF!</v>
      </c>
      <c r="AC78" s="542"/>
      <c r="AD78" s="332" t="e">
        <f t="shared" si="35"/>
        <v>#N/A</v>
      </c>
      <c r="AE78" s="332" t="e">
        <f t="shared" si="36"/>
        <v>#N/A</v>
      </c>
      <c r="AF78" s="332" t="e">
        <f t="shared" si="34"/>
        <v>#N/A</v>
      </c>
      <c r="AG78" s="332" t="e">
        <f t="shared" si="37"/>
        <v>#N/A</v>
      </c>
      <c r="AH78" s="332" t="e">
        <f t="shared" si="38"/>
        <v>#N/A</v>
      </c>
      <c r="AI78" s="332" t="e">
        <f t="shared" si="39"/>
        <v>#N/A</v>
      </c>
      <c r="AJ78" s="332" t="e">
        <f t="shared" si="40"/>
        <v>#N/A</v>
      </c>
      <c r="AK78" s="332" t="e">
        <f t="shared" si="41"/>
        <v>#N/A</v>
      </c>
      <c r="AL78" s="332" t="e">
        <f t="shared" si="42"/>
        <v>#N/A</v>
      </c>
      <c r="AM78" s="332" t="e">
        <f t="shared" si="43"/>
        <v>#N/A</v>
      </c>
      <c r="AN78" s="332" t="e">
        <f t="shared" si="44"/>
        <v>#N/A</v>
      </c>
      <c r="AO78" s="332" t="e">
        <f t="shared" si="45"/>
        <v>#N/A</v>
      </c>
      <c r="AP78" s="332" t="e">
        <f t="shared" si="46"/>
        <v>#N/A</v>
      </c>
      <c r="AQ78" s="332" t="e">
        <f t="shared" si="47"/>
        <v>#N/A</v>
      </c>
      <c r="AR78" s="332" t="e">
        <f t="shared" si="48"/>
        <v>#N/A</v>
      </c>
      <c r="AS78" s="332" t="e">
        <f t="shared" si="49"/>
        <v>#N/A</v>
      </c>
      <c r="AT78" s="332" t="e">
        <f t="shared" si="50"/>
        <v>#N/A</v>
      </c>
      <c r="AU78" s="332" t="e">
        <f t="shared" si="51"/>
        <v>#N/A</v>
      </c>
      <c r="AV78" s="332" t="e">
        <f t="shared" si="52"/>
        <v>#N/A</v>
      </c>
      <c r="AW78" s="332" t="e">
        <f t="shared" si="53"/>
        <v>#N/A</v>
      </c>
      <c r="AX78" s="332" t="e">
        <f t="shared" si="54"/>
        <v>#N/A</v>
      </c>
      <c r="AY78" s="332" t="e">
        <f t="shared" si="55"/>
        <v>#N/A</v>
      </c>
      <c r="AZ78" s="332" t="e">
        <f t="shared" si="56"/>
        <v>#N/A</v>
      </c>
      <c r="BA78" s="332" t="e">
        <f t="shared" si="57"/>
        <v>#N/A</v>
      </c>
      <c r="BB78" s="332" t="e">
        <f t="shared" si="58"/>
        <v>#N/A</v>
      </c>
      <c r="BC78" s="332" t="e">
        <f t="shared" si="59"/>
        <v>#N/A</v>
      </c>
      <c r="BD78" s="332" t="e">
        <f t="shared" si="60"/>
        <v>#N/A</v>
      </c>
      <c r="BE78" s="332" t="e">
        <f t="shared" si="61"/>
        <v>#N/A</v>
      </c>
      <c r="BF78" s="332" t="e">
        <f t="shared" si="62"/>
        <v>#N/A</v>
      </c>
      <c r="BG78" s="332" t="e">
        <f t="shared" si="63"/>
        <v>#N/A</v>
      </c>
      <c r="BH78" s="332" t="e">
        <f t="shared" si="64"/>
        <v>#N/A</v>
      </c>
      <c r="BI78" s="332" t="e">
        <f t="shared" si="65"/>
        <v>#N/A</v>
      </c>
      <c r="BJ78" s="332" t="e">
        <f t="shared" si="66"/>
        <v>#N/A</v>
      </c>
      <c r="BK78" s="332" t="e">
        <f t="shared" si="67"/>
        <v>#N/A</v>
      </c>
      <c r="BL78" s="535"/>
    </row>
    <row r="79" spans="1:64" ht="15.6" thickBot="1" x14ac:dyDescent="0.3">
      <c r="A79" s="406">
        <v>72</v>
      </c>
      <c r="B79" s="408" t="e">
        <f>CONCATENATED!E222</f>
        <v>#REF!</v>
      </c>
      <c r="C79" s="408" t="e">
        <f>CONCATENATED!F222</f>
        <v>#REF!</v>
      </c>
      <c r="D79" s="408" t="e">
        <f>CONCATENATED!G222</f>
        <v>#REF!</v>
      </c>
      <c r="E79" s="408" t="e">
        <f>CONCATENATED!H222</f>
        <v>#REF!</v>
      </c>
      <c r="F79" s="408" t="e">
        <f>CONCATENATED!I222</f>
        <v>#REF!</v>
      </c>
      <c r="G79" s="408" t="e">
        <f>CONCATENATED!J222</f>
        <v>#REF!</v>
      </c>
      <c r="H79" s="408" t="e">
        <f>CONCATENATED!K222</f>
        <v>#REF!</v>
      </c>
      <c r="I79" s="408" t="e">
        <f>CONCATENATED!L222</f>
        <v>#REF!</v>
      </c>
      <c r="J79" s="408" t="e">
        <f>CONCATENATED!M222</f>
        <v>#REF!</v>
      </c>
      <c r="K79" s="408" t="e">
        <f>CONCATENATED!N222</f>
        <v>#REF!</v>
      </c>
      <c r="L79" s="408" t="e">
        <f>CONCATENATED!O222</f>
        <v>#REF!</v>
      </c>
      <c r="M79" s="408" t="e">
        <f>CONCATENATED!P222</f>
        <v>#REF!</v>
      </c>
      <c r="N79" s="408" t="e">
        <f>CONCATENATED!Q222</f>
        <v>#REF!</v>
      </c>
      <c r="O79" s="408" t="e">
        <f>CONCATENATED!R222</f>
        <v>#REF!</v>
      </c>
      <c r="P79" s="408" t="e">
        <f>CONCATENATED!S222</f>
        <v>#REF!</v>
      </c>
      <c r="Q79" s="408" t="e">
        <f>CONCATENATED!T222</f>
        <v>#REF!</v>
      </c>
      <c r="R79" s="408" t="e">
        <f>CONCATENATED!U222</f>
        <v>#REF!</v>
      </c>
      <c r="S79" s="408" t="e">
        <f>CONCATENATED!V222</f>
        <v>#REF!</v>
      </c>
      <c r="T79" s="408" t="e">
        <f>CONCATENATED!W222</f>
        <v>#REF!</v>
      </c>
      <c r="U79" s="408" t="e">
        <f>CONCATENATED!X222</f>
        <v>#REF!</v>
      </c>
      <c r="V79" s="408" t="e">
        <f>CONCATENATED!Y222</f>
        <v>#REF!</v>
      </c>
      <c r="W79" s="408" t="e">
        <f>CONCATENATED!Z222</f>
        <v>#REF!</v>
      </c>
      <c r="X79" s="408" t="e">
        <f>CONCATENATED!AA222</f>
        <v>#REF!</v>
      </c>
      <c r="Y79" s="408" t="e">
        <f>CONCATENATED!AB222</f>
        <v>#REF!</v>
      </c>
      <c r="Z79" s="408" t="e">
        <f>CONCATENATED!AC222</f>
        <v>#REF!</v>
      </c>
      <c r="AA79" s="408" t="e">
        <f>CONCATENATED!AD222</f>
        <v>#REF!</v>
      </c>
      <c r="AB79" s="408" t="e">
        <f>CONCATENATED!AE222</f>
        <v>#REF!</v>
      </c>
      <c r="AC79" s="542"/>
      <c r="AD79" s="345" t="e">
        <f t="shared" si="35"/>
        <v>#N/A</v>
      </c>
      <c r="AE79" s="345" t="e">
        <f t="shared" si="36"/>
        <v>#N/A</v>
      </c>
      <c r="AF79" s="345" t="e">
        <f t="shared" si="34"/>
        <v>#N/A</v>
      </c>
      <c r="AG79" s="345" t="e">
        <f t="shared" si="37"/>
        <v>#N/A</v>
      </c>
      <c r="AH79" s="345" t="e">
        <f t="shared" si="38"/>
        <v>#N/A</v>
      </c>
      <c r="AI79" s="345" t="e">
        <f t="shared" si="39"/>
        <v>#N/A</v>
      </c>
      <c r="AJ79" s="345" t="e">
        <f t="shared" si="40"/>
        <v>#N/A</v>
      </c>
      <c r="AK79" s="345" t="e">
        <f t="shared" si="41"/>
        <v>#N/A</v>
      </c>
      <c r="AL79" s="345" t="e">
        <f t="shared" si="42"/>
        <v>#N/A</v>
      </c>
      <c r="AM79" s="345" t="e">
        <f t="shared" si="43"/>
        <v>#N/A</v>
      </c>
      <c r="AN79" s="345" t="e">
        <f t="shared" si="44"/>
        <v>#N/A</v>
      </c>
      <c r="AO79" s="345" t="e">
        <f t="shared" si="45"/>
        <v>#N/A</v>
      </c>
      <c r="AP79" s="345" t="e">
        <f t="shared" si="46"/>
        <v>#N/A</v>
      </c>
      <c r="AQ79" s="345" t="e">
        <f t="shared" si="47"/>
        <v>#N/A</v>
      </c>
      <c r="AR79" s="345" t="e">
        <f t="shared" si="48"/>
        <v>#N/A</v>
      </c>
      <c r="AS79" s="345" t="e">
        <f t="shared" si="49"/>
        <v>#N/A</v>
      </c>
      <c r="AT79" s="345" t="e">
        <f t="shared" si="50"/>
        <v>#N/A</v>
      </c>
      <c r="AU79" s="345" t="e">
        <f t="shared" si="51"/>
        <v>#N/A</v>
      </c>
      <c r="AV79" s="345" t="e">
        <f t="shared" si="52"/>
        <v>#N/A</v>
      </c>
      <c r="AW79" s="345" t="e">
        <f t="shared" si="53"/>
        <v>#N/A</v>
      </c>
      <c r="AX79" s="345" t="e">
        <f t="shared" si="54"/>
        <v>#N/A</v>
      </c>
      <c r="AY79" s="345" t="e">
        <f t="shared" si="55"/>
        <v>#N/A</v>
      </c>
      <c r="AZ79" s="345" t="e">
        <f t="shared" si="56"/>
        <v>#N/A</v>
      </c>
      <c r="BA79" s="345" t="e">
        <f t="shared" si="57"/>
        <v>#N/A</v>
      </c>
      <c r="BB79" s="345" t="e">
        <f t="shared" si="58"/>
        <v>#N/A</v>
      </c>
      <c r="BC79" s="345" t="e">
        <f t="shared" si="59"/>
        <v>#N/A</v>
      </c>
      <c r="BD79" s="345" t="e">
        <f t="shared" si="60"/>
        <v>#N/A</v>
      </c>
      <c r="BE79" s="345" t="e">
        <f t="shared" si="61"/>
        <v>#N/A</v>
      </c>
      <c r="BF79" s="345" t="e">
        <f t="shared" si="62"/>
        <v>#N/A</v>
      </c>
      <c r="BG79" s="345" t="e">
        <f t="shared" si="63"/>
        <v>#N/A</v>
      </c>
      <c r="BH79" s="345" t="e">
        <f t="shared" si="64"/>
        <v>#N/A</v>
      </c>
      <c r="BI79" s="345" t="e">
        <f t="shared" si="65"/>
        <v>#N/A</v>
      </c>
      <c r="BJ79" s="345" t="e">
        <f t="shared" si="66"/>
        <v>#N/A</v>
      </c>
      <c r="BK79" s="345" t="e">
        <f t="shared" si="67"/>
        <v>#N/A</v>
      </c>
      <c r="BL79" s="535"/>
    </row>
    <row r="80" spans="1:64" ht="31.2" x14ac:dyDescent="0.25">
      <c r="A80" s="400">
        <v>73</v>
      </c>
      <c r="B80" s="416" t="e">
        <f>CONCATENATED!E225</f>
        <v>#REF!</v>
      </c>
      <c r="C80" s="416" t="e">
        <f>CONCATENATED!F225</f>
        <v>#REF!</v>
      </c>
      <c r="D80" s="416" t="e">
        <f>CONCATENATED!G225</f>
        <v>#REF!</v>
      </c>
      <c r="E80" s="416" t="e">
        <f>CONCATENATED!H225</f>
        <v>#REF!</v>
      </c>
      <c r="F80" s="416" t="e">
        <f>CONCATENATED!I225</f>
        <v>#REF!</v>
      </c>
      <c r="G80" s="416" t="e">
        <f>CONCATENATED!J225</f>
        <v>#REF!</v>
      </c>
      <c r="H80" s="416" t="e">
        <f>CONCATENATED!K225</f>
        <v>#REF!</v>
      </c>
      <c r="I80" s="416" t="str">
        <f>CONCATENATED!L225</f>
        <v xml:space="preserve">BSME/SEP2020/J-FT [Y2S1  (50) Students] :  </v>
      </c>
      <c r="J80" s="416" t="str">
        <f>CONCATENATED!M225</f>
        <v xml:space="preserve">BSME/AUG2021/J-FT [Y1S2  (55) Students] :  </v>
      </c>
      <c r="K80" s="416" t="e">
        <f>CONCATENATED!N225</f>
        <v>#REF!</v>
      </c>
      <c r="L80" s="416" t="e">
        <f>CONCATENATED!O225</f>
        <v>#REF!</v>
      </c>
      <c r="M80" s="416" t="str">
        <f>CONCATENATED!P225</f>
        <v xml:space="preserve">BTME/SEP2019/S-PT [Y3S1   (10) Students] :  </v>
      </c>
      <c r="N80" s="416" t="str">
        <f>CONCATENATED!Q225</f>
        <v xml:space="preserve">BTME/AUG2021/S-PT [Y2S2   (10) Students] :  </v>
      </c>
      <c r="O80" s="416" t="e">
        <f>CONCATENATED!R225</f>
        <v>#REF!</v>
      </c>
      <c r="P80" s="416" t="e">
        <f>CONCATENATED!S225</f>
        <v>#REF!</v>
      </c>
      <c r="Q80" s="416" t="str">
        <f>CONCATENATED!T225</f>
        <v xml:space="preserve">BTME/AUG2021/J&amp;S-FT [Y1S1  (52) Students] :  </v>
      </c>
      <c r="R80" s="416" t="e">
        <f>CONCATENATED!U225</f>
        <v>#REF!</v>
      </c>
      <c r="S80" s="416" t="e">
        <f>CONCATENATED!V225</f>
        <v>#REF!</v>
      </c>
      <c r="T80" s="416" t="e">
        <f>CONCATENATED!W225</f>
        <v>#REF!</v>
      </c>
      <c r="U80" s="416" t="e">
        <f>CONCATENATED!X225</f>
        <v>#REF!</v>
      </c>
      <c r="V80" s="416" t="e">
        <f>CONCATENATED!Y225</f>
        <v>#REF!</v>
      </c>
      <c r="W80" s="416" t="e">
        <f>CONCATENATED!Z225</f>
        <v>#REF!</v>
      </c>
      <c r="X80" s="416" t="e">
        <f>CONCATENATED!AA225</f>
        <v>#REF!</v>
      </c>
      <c r="Y80" s="416" t="e">
        <f>CONCATENATED!AB225</f>
        <v>#REF!</v>
      </c>
      <c r="Z80" s="416" t="str">
        <f>CONCATENATED!AC225</f>
        <v xml:space="preserve">DMAE/SEP20201J&amp;S-FT [Y1S2   (60) Students] :  </v>
      </c>
      <c r="AA80" s="416" t="e">
        <f>CONCATENATED!AD225</f>
        <v>#REF!</v>
      </c>
      <c r="AB80" s="416" t="e">
        <f>CONCATENATED!AE225</f>
        <v>#REF!</v>
      </c>
      <c r="AC80" s="542"/>
      <c r="AD80" s="320" t="e">
        <f t="shared" si="35"/>
        <v>#N/A</v>
      </c>
      <c r="AE80" s="320" t="e">
        <f t="shared" si="36"/>
        <v>#N/A</v>
      </c>
      <c r="AF80" s="320" t="e">
        <f t="shared" si="34"/>
        <v>#N/A</v>
      </c>
      <c r="AG80" s="320" t="e">
        <f t="shared" si="37"/>
        <v>#N/A</v>
      </c>
      <c r="AH80" s="320" t="e">
        <f t="shared" si="38"/>
        <v>#N/A</v>
      </c>
      <c r="AI80" s="320" t="e">
        <f t="shared" si="39"/>
        <v>#N/A</v>
      </c>
      <c r="AJ80" s="320" t="e">
        <f t="shared" si="40"/>
        <v>#N/A</v>
      </c>
      <c r="AK80" s="320" t="e">
        <f t="shared" si="41"/>
        <v>#N/A</v>
      </c>
      <c r="AL80" s="320" t="e">
        <f t="shared" si="42"/>
        <v>#N/A</v>
      </c>
      <c r="AM80" s="320" t="e">
        <f t="shared" si="43"/>
        <v>#N/A</v>
      </c>
      <c r="AN80" s="320" t="e">
        <f t="shared" si="44"/>
        <v>#N/A</v>
      </c>
      <c r="AO80" s="320" t="e">
        <f t="shared" si="45"/>
        <v>#N/A</v>
      </c>
      <c r="AP80" s="320" t="e">
        <f t="shared" si="46"/>
        <v>#N/A</v>
      </c>
      <c r="AQ80" s="320" t="e">
        <f t="shared" si="47"/>
        <v>#N/A</v>
      </c>
      <c r="AR80" s="320" t="e">
        <f t="shared" si="48"/>
        <v>#N/A</v>
      </c>
      <c r="AS80" s="320" t="e">
        <f t="shared" si="49"/>
        <v>#N/A</v>
      </c>
      <c r="AT80" s="320" t="e">
        <f t="shared" si="50"/>
        <v>#N/A</v>
      </c>
      <c r="AU80" s="320" t="e">
        <f t="shared" si="51"/>
        <v>#N/A</v>
      </c>
      <c r="AV80" s="320" t="e">
        <f t="shared" si="52"/>
        <v>#N/A</v>
      </c>
      <c r="AW80" s="320" t="e">
        <f t="shared" si="53"/>
        <v>#N/A</v>
      </c>
      <c r="AX80" s="320" t="e">
        <f t="shared" si="54"/>
        <v>#N/A</v>
      </c>
      <c r="AY80" s="320" t="e">
        <f t="shared" si="55"/>
        <v>#N/A</v>
      </c>
      <c r="AZ80" s="320" t="e">
        <f t="shared" si="56"/>
        <v>#N/A</v>
      </c>
      <c r="BA80" s="320" t="e">
        <f t="shared" si="57"/>
        <v>#N/A</v>
      </c>
      <c r="BB80" s="320" t="e">
        <f t="shared" si="58"/>
        <v>#N/A</v>
      </c>
      <c r="BC80" s="320" t="e">
        <f t="shared" si="59"/>
        <v>#N/A</v>
      </c>
      <c r="BD80" s="320" t="e">
        <f t="shared" si="60"/>
        <v>#N/A</v>
      </c>
      <c r="BE80" s="320" t="e">
        <f t="shared" si="61"/>
        <v>#N/A</v>
      </c>
      <c r="BF80" s="320" t="e">
        <f t="shared" si="62"/>
        <v>#N/A</v>
      </c>
      <c r="BG80" s="320" t="e">
        <f t="shared" si="63"/>
        <v>#N/A</v>
      </c>
      <c r="BH80" s="320" t="e">
        <f t="shared" si="64"/>
        <v>#N/A</v>
      </c>
      <c r="BI80" s="320" t="e">
        <f t="shared" si="65"/>
        <v>#N/A</v>
      </c>
      <c r="BJ80" s="320" t="e">
        <f t="shared" si="66"/>
        <v>#N/A</v>
      </c>
      <c r="BK80" s="320" t="e">
        <f t="shared" si="67"/>
        <v>#N/A</v>
      </c>
      <c r="BL80" s="535"/>
    </row>
    <row r="81" spans="1:64" ht="62.4" thickBot="1" x14ac:dyDescent="0.3">
      <c r="A81" s="400">
        <v>74</v>
      </c>
      <c r="B81" s="408" t="e">
        <f>CONCATENATED!E228</f>
        <v>#REF!</v>
      </c>
      <c r="C81" s="408" t="e">
        <f>CONCATENATED!F228</f>
        <v>#REF!</v>
      </c>
      <c r="D81" s="408" t="e">
        <f>CONCATENATED!G228</f>
        <v>#REF!</v>
      </c>
      <c r="E81" s="408" t="e">
        <f>CONCATENATED!H228</f>
        <v>#REF!</v>
      </c>
      <c r="F81" s="408" t="e">
        <f>CONCATENATED!I228</f>
        <v>#REF!</v>
      </c>
      <c r="G81" s="408" t="e">
        <f>CONCATENATED!J228</f>
        <v>#REF!</v>
      </c>
      <c r="H81" s="408" t="e">
        <f>CONCATENATED!K228</f>
        <v>#REF!</v>
      </c>
      <c r="I81" s="408" t="str">
        <f>CONCATENATED!L228</f>
        <v xml:space="preserve">BSME/SEP2020/J-FT [Y2S1  (50) Students] :  </v>
      </c>
      <c r="J81" s="408" t="str">
        <f>CONCATENATED!M228</f>
        <v xml:space="preserve">BSME/AUG2021/J-FT [Y1S2  (55) Students] :  </v>
      </c>
      <c r="K81" s="408" t="e">
        <f>CONCATENATED!N228</f>
        <v>#REF!</v>
      </c>
      <c r="L81" s="408" t="e">
        <f>CONCATENATED!O228</f>
        <v>#REF!</v>
      </c>
      <c r="M81" s="408" t="str">
        <f>CONCATENATED!P228</f>
        <v>BTME/SEP2019/S-PT [Y3S1   (10) Students] TMC 4311: NYAMU/MUTUKU MET/LAB</v>
      </c>
      <c r="N81" s="408" t="str">
        <f>CONCATENATED!Q228</f>
        <v>BTME/AUG2021/S-PT [Y2S2   (10) Students] TCV 4223: MUTIE/KITI LAB</v>
      </c>
      <c r="O81" s="408" t="e">
        <f>CONCATENATED!R228</f>
        <v>#REF!</v>
      </c>
      <c r="P81" s="408" t="e">
        <f>CONCATENATED!S228</f>
        <v>#REF!</v>
      </c>
      <c r="Q81" s="408" t="str">
        <f>CONCATENATED!T228</f>
        <v xml:space="preserve">BTME/AUG2021/J&amp;S-FT [Y1S1  (52) Students] :  </v>
      </c>
      <c r="R81" s="408" t="e">
        <f>CONCATENATED!U228</f>
        <v>#REF!</v>
      </c>
      <c r="S81" s="408" t="e">
        <f>CONCATENATED!V228</f>
        <v>#REF!</v>
      </c>
      <c r="T81" s="408" t="e">
        <f>CONCATENATED!W228</f>
        <v>#REF!</v>
      </c>
      <c r="U81" s="408" t="e">
        <f>CONCATENATED!X228</f>
        <v>#REF!</v>
      </c>
      <c r="V81" s="408" t="e">
        <f>CONCATENATED!Y228</f>
        <v>#REF!</v>
      </c>
      <c r="W81" s="408" t="e">
        <f>CONCATENATED!Z228</f>
        <v>#REF!</v>
      </c>
      <c r="X81" s="408" t="e">
        <f>CONCATENATED!AA228</f>
        <v>#REF!</v>
      </c>
      <c r="Y81" s="408" t="e">
        <f>CONCATENATED!AB228</f>
        <v>#REF!</v>
      </c>
      <c r="Z81" s="408" t="str">
        <f>CONCATENATED!AC228</f>
        <v xml:space="preserve">DMAE/SEP20201J&amp;S-FT [Y1S2   (60) Students] :  </v>
      </c>
      <c r="AA81" s="408" t="e">
        <f>CONCATENATED!AD228</f>
        <v>#REF!</v>
      </c>
      <c r="AB81" s="408" t="e">
        <f>CONCATENATED!AE228</f>
        <v>#REF!</v>
      </c>
      <c r="AC81" s="542"/>
      <c r="AD81" s="331" t="e">
        <f t="shared" si="35"/>
        <v>#N/A</v>
      </c>
      <c r="AE81" s="331" t="e">
        <f t="shared" si="36"/>
        <v>#N/A</v>
      </c>
      <c r="AF81" s="331" t="e">
        <f t="shared" si="34"/>
        <v>#N/A</v>
      </c>
      <c r="AG81" s="331" t="e">
        <f t="shared" si="37"/>
        <v>#N/A</v>
      </c>
      <c r="AH81" s="331" t="e">
        <f t="shared" si="38"/>
        <v>#N/A</v>
      </c>
      <c r="AI81" s="331" t="e">
        <f t="shared" si="39"/>
        <v>#N/A</v>
      </c>
      <c r="AJ81" s="331" t="e">
        <f t="shared" si="40"/>
        <v>#N/A</v>
      </c>
      <c r="AK81" s="331" t="e">
        <f t="shared" si="41"/>
        <v>#N/A</v>
      </c>
      <c r="AL81" s="331" t="e">
        <f t="shared" si="42"/>
        <v>#N/A</v>
      </c>
      <c r="AM81" s="331" t="e">
        <f t="shared" si="43"/>
        <v>#N/A</v>
      </c>
      <c r="AN81" s="331" t="e">
        <f t="shared" si="44"/>
        <v>#N/A</v>
      </c>
      <c r="AO81" s="331" t="e">
        <f t="shared" si="45"/>
        <v>#N/A</v>
      </c>
      <c r="AP81" s="331" t="e">
        <f t="shared" si="46"/>
        <v>#N/A</v>
      </c>
      <c r="AQ81" s="331" t="e">
        <f t="shared" si="47"/>
        <v>#N/A</v>
      </c>
      <c r="AR81" s="331" t="e">
        <f t="shared" si="48"/>
        <v>#N/A</v>
      </c>
      <c r="AS81" s="331" t="e">
        <f t="shared" si="49"/>
        <v>#N/A</v>
      </c>
      <c r="AT81" s="331" t="e">
        <f t="shared" si="50"/>
        <v>#N/A</v>
      </c>
      <c r="AU81" s="331" t="e">
        <f t="shared" si="51"/>
        <v>#N/A</v>
      </c>
      <c r="AV81" s="331" t="e">
        <f t="shared" si="52"/>
        <v>#N/A</v>
      </c>
      <c r="AW81" s="331" t="e">
        <f t="shared" si="53"/>
        <v>#N/A</v>
      </c>
      <c r="AX81" s="331" t="e">
        <f t="shared" si="54"/>
        <v>#N/A</v>
      </c>
      <c r="AY81" s="331" t="e">
        <f t="shared" si="55"/>
        <v>#N/A</v>
      </c>
      <c r="AZ81" s="331" t="e">
        <f t="shared" si="56"/>
        <v>#N/A</v>
      </c>
      <c r="BA81" s="331" t="e">
        <f t="shared" si="57"/>
        <v>#N/A</v>
      </c>
      <c r="BB81" s="331" t="e">
        <f t="shared" si="58"/>
        <v>#N/A</v>
      </c>
      <c r="BC81" s="331" t="e">
        <f t="shared" si="59"/>
        <v>#N/A</v>
      </c>
      <c r="BD81" s="331" t="e">
        <f t="shared" si="60"/>
        <v>#N/A</v>
      </c>
      <c r="BE81" s="331" t="e">
        <f t="shared" si="61"/>
        <v>#N/A</v>
      </c>
      <c r="BF81" s="331" t="e">
        <f t="shared" si="62"/>
        <v>#N/A</v>
      </c>
      <c r="BG81" s="331" t="e">
        <f t="shared" si="63"/>
        <v>#N/A</v>
      </c>
      <c r="BH81" s="331" t="e">
        <f t="shared" si="64"/>
        <v>#N/A</v>
      </c>
      <c r="BI81" s="331" t="e">
        <f t="shared" si="65"/>
        <v>#N/A</v>
      </c>
      <c r="BJ81" s="331" t="e">
        <f t="shared" si="66"/>
        <v>#N/A</v>
      </c>
      <c r="BK81" s="331" t="e">
        <f t="shared" si="67"/>
        <v>#N/A</v>
      </c>
      <c r="BL81" s="535"/>
    </row>
    <row r="82" spans="1:64" ht="15.6" thickBot="1" x14ac:dyDescent="0.3">
      <c r="A82" s="400">
        <v>75</v>
      </c>
      <c r="B82" s="408" t="e">
        <f>CONCATENATED!E231</f>
        <v>#REF!</v>
      </c>
      <c r="C82" s="408" t="e">
        <f>CONCATENATED!F231</f>
        <v>#REF!</v>
      </c>
      <c r="D82" s="408" t="e">
        <f>CONCATENATED!G231</f>
        <v>#REF!</v>
      </c>
      <c r="E82" s="408" t="e">
        <f>CONCATENATED!H231</f>
        <v>#REF!</v>
      </c>
      <c r="F82" s="408" t="e">
        <f>CONCATENATED!I231</f>
        <v>#REF!</v>
      </c>
      <c r="G82" s="408" t="e">
        <f>CONCATENATED!J231</f>
        <v>#REF!</v>
      </c>
      <c r="H82" s="408" t="e">
        <f>CONCATENATED!K231</f>
        <v>#REF!</v>
      </c>
      <c r="I82" s="408" t="e">
        <f>CONCATENATED!L231</f>
        <v>#REF!</v>
      </c>
      <c r="J82" s="408" t="e">
        <f>CONCATENATED!M231</f>
        <v>#REF!</v>
      </c>
      <c r="K82" s="408" t="e">
        <f>CONCATENATED!N231</f>
        <v>#REF!</v>
      </c>
      <c r="L82" s="408" t="e">
        <f>CONCATENATED!O231</f>
        <v>#REF!</v>
      </c>
      <c r="M82" s="408" t="e">
        <f>CONCATENATED!P231</f>
        <v>#REF!</v>
      </c>
      <c r="N82" s="408" t="e">
        <f>CONCATENATED!Q231</f>
        <v>#REF!</v>
      </c>
      <c r="O82" s="408" t="e">
        <f>CONCATENATED!R231</f>
        <v>#REF!</v>
      </c>
      <c r="P82" s="408" t="e">
        <f>CONCATENATED!S231</f>
        <v>#REF!</v>
      </c>
      <c r="Q82" s="408" t="e">
        <f>CONCATENATED!T231</f>
        <v>#REF!</v>
      </c>
      <c r="R82" s="408" t="e">
        <f>CONCATENATED!U231</f>
        <v>#REF!</v>
      </c>
      <c r="S82" s="408" t="e">
        <f>CONCATENATED!V231</f>
        <v>#REF!</v>
      </c>
      <c r="T82" s="408" t="e">
        <f>CONCATENATED!W231</f>
        <v>#REF!</v>
      </c>
      <c r="U82" s="408" t="e">
        <f>CONCATENATED!X231</f>
        <v>#REF!</v>
      </c>
      <c r="V82" s="408" t="e">
        <f>CONCATENATED!Y231</f>
        <v>#REF!</v>
      </c>
      <c r="W82" s="408" t="e">
        <f>CONCATENATED!Z231</f>
        <v>#REF!</v>
      </c>
      <c r="X82" s="408" t="e">
        <f>CONCATENATED!AA231</f>
        <v>#REF!</v>
      </c>
      <c r="Y82" s="408" t="e">
        <f>CONCATENATED!AB231</f>
        <v>#REF!</v>
      </c>
      <c r="Z82" s="408" t="e">
        <f>CONCATENATED!AC231</f>
        <v>#REF!</v>
      </c>
      <c r="AA82" s="408" t="e">
        <f>CONCATENATED!AD231</f>
        <v>#REF!</v>
      </c>
      <c r="AB82" s="408" t="e">
        <f>CONCATENATED!AE231</f>
        <v>#REF!</v>
      </c>
      <c r="AC82" s="542"/>
      <c r="AD82" s="332" t="e">
        <f t="shared" si="35"/>
        <v>#N/A</v>
      </c>
      <c r="AE82" s="332" t="e">
        <f t="shared" si="36"/>
        <v>#N/A</v>
      </c>
      <c r="AF82" s="332" t="e">
        <f t="shared" si="34"/>
        <v>#N/A</v>
      </c>
      <c r="AG82" s="332" t="e">
        <f t="shared" si="37"/>
        <v>#N/A</v>
      </c>
      <c r="AH82" s="332" t="e">
        <f t="shared" si="38"/>
        <v>#N/A</v>
      </c>
      <c r="AI82" s="332" t="e">
        <f t="shared" si="39"/>
        <v>#N/A</v>
      </c>
      <c r="AJ82" s="332" t="e">
        <f t="shared" si="40"/>
        <v>#N/A</v>
      </c>
      <c r="AK82" s="332" t="e">
        <f t="shared" si="41"/>
        <v>#N/A</v>
      </c>
      <c r="AL82" s="332" t="e">
        <f t="shared" si="42"/>
        <v>#N/A</v>
      </c>
      <c r="AM82" s="332" t="e">
        <f t="shared" si="43"/>
        <v>#N/A</v>
      </c>
      <c r="AN82" s="332" t="e">
        <f t="shared" si="44"/>
        <v>#N/A</v>
      </c>
      <c r="AO82" s="332" t="e">
        <f t="shared" si="45"/>
        <v>#N/A</v>
      </c>
      <c r="AP82" s="332" t="e">
        <f t="shared" si="46"/>
        <v>#N/A</v>
      </c>
      <c r="AQ82" s="332" t="e">
        <f t="shared" si="47"/>
        <v>#N/A</v>
      </c>
      <c r="AR82" s="332" t="e">
        <f t="shared" si="48"/>
        <v>#N/A</v>
      </c>
      <c r="AS82" s="332" t="e">
        <f t="shared" si="49"/>
        <v>#N/A</v>
      </c>
      <c r="AT82" s="332" t="e">
        <f t="shared" si="50"/>
        <v>#N/A</v>
      </c>
      <c r="AU82" s="332" t="e">
        <f t="shared" si="51"/>
        <v>#N/A</v>
      </c>
      <c r="AV82" s="332" t="e">
        <f t="shared" si="52"/>
        <v>#N/A</v>
      </c>
      <c r="AW82" s="332" t="e">
        <f t="shared" si="53"/>
        <v>#N/A</v>
      </c>
      <c r="AX82" s="332" t="e">
        <f t="shared" si="54"/>
        <v>#N/A</v>
      </c>
      <c r="AY82" s="332" t="e">
        <f t="shared" si="55"/>
        <v>#N/A</v>
      </c>
      <c r="AZ82" s="332" t="e">
        <f t="shared" si="56"/>
        <v>#N/A</v>
      </c>
      <c r="BA82" s="332" t="e">
        <f t="shared" si="57"/>
        <v>#N/A</v>
      </c>
      <c r="BB82" s="332" t="e">
        <f t="shared" si="58"/>
        <v>#N/A</v>
      </c>
      <c r="BC82" s="332" t="e">
        <f t="shared" si="59"/>
        <v>#N/A</v>
      </c>
      <c r="BD82" s="332" t="e">
        <f t="shared" si="60"/>
        <v>#N/A</v>
      </c>
      <c r="BE82" s="332" t="e">
        <f t="shared" si="61"/>
        <v>#N/A</v>
      </c>
      <c r="BF82" s="332" t="e">
        <f t="shared" si="62"/>
        <v>#N/A</v>
      </c>
      <c r="BG82" s="332" t="e">
        <f t="shared" si="63"/>
        <v>#N/A</v>
      </c>
      <c r="BH82" s="332" t="e">
        <f t="shared" si="64"/>
        <v>#N/A</v>
      </c>
      <c r="BI82" s="332" t="e">
        <f t="shared" si="65"/>
        <v>#N/A</v>
      </c>
      <c r="BJ82" s="332" t="e">
        <f t="shared" si="66"/>
        <v>#N/A</v>
      </c>
      <c r="BK82" s="332" t="e">
        <f t="shared" si="67"/>
        <v>#N/A</v>
      </c>
      <c r="BL82" s="535"/>
    </row>
    <row r="83" spans="1:64" ht="15.6" thickBot="1" x14ac:dyDescent="0.3">
      <c r="A83" s="400">
        <v>76</v>
      </c>
      <c r="B83" s="408" t="e">
        <f>CONCATENATED!E234</f>
        <v>#REF!</v>
      </c>
      <c r="C83" s="408" t="e">
        <f>CONCATENATED!F234</f>
        <v>#REF!</v>
      </c>
      <c r="D83" s="408" t="e">
        <f>CONCATENATED!G234</f>
        <v>#REF!</v>
      </c>
      <c r="E83" s="408" t="e">
        <f>CONCATENATED!H234</f>
        <v>#REF!</v>
      </c>
      <c r="F83" s="408" t="e">
        <f>CONCATENATED!I234</f>
        <v>#REF!</v>
      </c>
      <c r="G83" s="408" t="e">
        <f>CONCATENATED!J234</f>
        <v>#REF!</v>
      </c>
      <c r="H83" s="408" t="e">
        <f>CONCATENATED!K234</f>
        <v>#REF!</v>
      </c>
      <c r="I83" s="408" t="e">
        <f>CONCATENATED!L234</f>
        <v>#REF!</v>
      </c>
      <c r="J83" s="408" t="e">
        <f>CONCATENATED!M234</f>
        <v>#REF!</v>
      </c>
      <c r="K83" s="408" t="e">
        <f>CONCATENATED!N234</f>
        <v>#REF!</v>
      </c>
      <c r="L83" s="408" t="e">
        <f>CONCATENATED!O234</f>
        <v>#REF!</v>
      </c>
      <c r="M83" s="408" t="e">
        <f>CONCATENATED!P234</f>
        <v>#REF!</v>
      </c>
      <c r="N83" s="408" t="e">
        <f>CONCATENATED!Q234</f>
        <v>#REF!</v>
      </c>
      <c r="O83" s="408" t="e">
        <f>CONCATENATED!R234</f>
        <v>#REF!</v>
      </c>
      <c r="P83" s="408" t="e">
        <f>CONCATENATED!S234</f>
        <v>#REF!</v>
      </c>
      <c r="Q83" s="408" t="e">
        <f>CONCATENATED!T234</f>
        <v>#REF!</v>
      </c>
      <c r="R83" s="408" t="e">
        <f>CONCATENATED!U234</f>
        <v>#REF!</v>
      </c>
      <c r="S83" s="408" t="e">
        <f>CONCATENATED!V234</f>
        <v>#REF!</v>
      </c>
      <c r="T83" s="408" t="e">
        <f>CONCATENATED!W234</f>
        <v>#REF!</v>
      </c>
      <c r="U83" s="408" t="e">
        <f>CONCATENATED!X234</f>
        <v>#REF!</v>
      </c>
      <c r="V83" s="408" t="e">
        <f>CONCATENATED!Y234</f>
        <v>#REF!</v>
      </c>
      <c r="W83" s="408" t="e">
        <f>CONCATENATED!Z234</f>
        <v>#REF!</v>
      </c>
      <c r="X83" s="408" t="e">
        <f>CONCATENATED!AA234</f>
        <v>#REF!</v>
      </c>
      <c r="Y83" s="408" t="e">
        <f>CONCATENATED!AB234</f>
        <v>#REF!</v>
      </c>
      <c r="Z83" s="408" t="e">
        <f>CONCATENATED!AC234</f>
        <v>#REF!</v>
      </c>
      <c r="AA83" s="408" t="e">
        <f>CONCATENATED!AD234</f>
        <v>#REF!</v>
      </c>
      <c r="AB83" s="408" t="e">
        <f>CONCATENATED!AE234</f>
        <v>#REF!</v>
      </c>
      <c r="AC83" s="542"/>
      <c r="AD83" s="332" t="e">
        <f t="shared" si="35"/>
        <v>#N/A</v>
      </c>
      <c r="AE83" s="332" t="e">
        <f t="shared" si="36"/>
        <v>#N/A</v>
      </c>
      <c r="AF83" s="332" t="e">
        <f t="shared" si="34"/>
        <v>#N/A</v>
      </c>
      <c r="AG83" s="332" t="e">
        <f t="shared" si="37"/>
        <v>#N/A</v>
      </c>
      <c r="AH83" s="332" t="e">
        <f t="shared" si="38"/>
        <v>#N/A</v>
      </c>
      <c r="AI83" s="332" t="e">
        <f t="shared" si="39"/>
        <v>#N/A</v>
      </c>
      <c r="AJ83" s="332" t="e">
        <f t="shared" si="40"/>
        <v>#N/A</v>
      </c>
      <c r="AK83" s="332" t="e">
        <f t="shared" si="41"/>
        <v>#N/A</v>
      </c>
      <c r="AL83" s="332" t="e">
        <f t="shared" si="42"/>
        <v>#N/A</v>
      </c>
      <c r="AM83" s="332" t="e">
        <f t="shared" si="43"/>
        <v>#N/A</v>
      </c>
      <c r="AN83" s="332" t="e">
        <f t="shared" si="44"/>
        <v>#N/A</v>
      </c>
      <c r="AO83" s="332" t="e">
        <f t="shared" si="45"/>
        <v>#N/A</v>
      </c>
      <c r="AP83" s="332" t="e">
        <f t="shared" si="46"/>
        <v>#N/A</v>
      </c>
      <c r="AQ83" s="332" t="e">
        <f t="shared" si="47"/>
        <v>#N/A</v>
      </c>
      <c r="AR83" s="332" t="e">
        <f t="shared" si="48"/>
        <v>#N/A</v>
      </c>
      <c r="AS83" s="332" t="e">
        <f t="shared" si="49"/>
        <v>#N/A</v>
      </c>
      <c r="AT83" s="332" t="e">
        <f t="shared" si="50"/>
        <v>#N/A</v>
      </c>
      <c r="AU83" s="332" t="e">
        <f t="shared" si="51"/>
        <v>#N/A</v>
      </c>
      <c r="AV83" s="332" t="e">
        <f t="shared" si="52"/>
        <v>#N/A</v>
      </c>
      <c r="AW83" s="332" t="e">
        <f t="shared" si="53"/>
        <v>#N/A</v>
      </c>
      <c r="AX83" s="332" t="e">
        <f t="shared" si="54"/>
        <v>#N/A</v>
      </c>
      <c r="AY83" s="332" t="e">
        <f t="shared" si="55"/>
        <v>#N/A</v>
      </c>
      <c r="AZ83" s="332" t="e">
        <f t="shared" si="56"/>
        <v>#N/A</v>
      </c>
      <c r="BA83" s="332" t="e">
        <f t="shared" si="57"/>
        <v>#N/A</v>
      </c>
      <c r="BB83" s="332" t="e">
        <f t="shared" si="58"/>
        <v>#N/A</v>
      </c>
      <c r="BC83" s="332" t="e">
        <f t="shared" si="59"/>
        <v>#N/A</v>
      </c>
      <c r="BD83" s="332" t="e">
        <f t="shared" si="60"/>
        <v>#N/A</v>
      </c>
      <c r="BE83" s="332" t="e">
        <f t="shared" si="61"/>
        <v>#N/A</v>
      </c>
      <c r="BF83" s="332" t="e">
        <f t="shared" si="62"/>
        <v>#N/A</v>
      </c>
      <c r="BG83" s="332" t="e">
        <f t="shared" si="63"/>
        <v>#N/A</v>
      </c>
      <c r="BH83" s="332" t="e">
        <f t="shared" si="64"/>
        <v>#N/A</v>
      </c>
      <c r="BI83" s="332" t="e">
        <f t="shared" si="65"/>
        <v>#N/A</v>
      </c>
      <c r="BJ83" s="332" t="e">
        <f t="shared" si="66"/>
        <v>#N/A</v>
      </c>
      <c r="BK83" s="332" t="e">
        <f t="shared" si="67"/>
        <v>#N/A</v>
      </c>
      <c r="BL83" s="535"/>
    </row>
    <row r="84" spans="1:64" ht="62.4" thickBot="1" x14ac:dyDescent="0.3">
      <c r="A84" s="400">
        <v>77</v>
      </c>
      <c r="B84" s="408" t="e">
        <f>CONCATENATED!E237</f>
        <v>#REF!</v>
      </c>
      <c r="C84" s="408" t="e">
        <f>CONCATENATED!F237</f>
        <v>#REF!</v>
      </c>
      <c r="D84" s="408" t="e">
        <f>CONCATENATED!G237</f>
        <v>#REF!</v>
      </c>
      <c r="E84" s="408" t="e">
        <f>CONCATENATED!H237</f>
        <v>#REF!</v>
      </c>
      <c r="F84" s="408" t="e">
        <f>CONCATENATED!I237</f>
        <v>#REF!</v>
      </c>
      <c r="G84" s="408" t="e">
        <f>CONCATENATED!J237</f>
        <v>#REF!</v>
      </c>
      <c r="H84" s="408" t="e">
        <f>CONCATENATED!K237</f>
        <v>#REF!</v>
      </c>
      <c r="I84" s="408" t="str">
        <f>CONCATENATED!L237</f>
        <v xml:space="preserve">BSME/SEP2020/J-FT [Y2S1  (50) Students] :  </v>
      </c>
      <c r="J84" s="408" t="str">
        <f>CONCATENATED!M237</f>
        <v xml:space="preserve">BSME/AUG2021/J-FT [Y1S2  (55) Students] :  </v>
      </c>
      <c r="K84" s="408" t="e">
        <f>CONCATENATED!N237</f>
        <v>#REF!</v>
      </c>
      <c r="L84" s="408" t="e">
        <f>CONCATENATED!O237</f>
        <v>#REF!</v>
      </c>
      <c r="M84" s="408" t="str">
        <f>CONCATENATED!P237</f>
        <v>BTME/SEP2019/S-PT [Y3S1   (10) Students] TEE 4315: ONGAYO/DORIS LAB</v>
      </c>
      <c r="N84" s="408" t="str">
        <f>CONCATENATED!Q237</f>
        <v>BTME/AUG2021/S-PT [Y2S2   (10) Students] TMC 4222: MUTAVA/MWAFONDO CH</v>
      </c>
      <c r="O84" s="408" t="e">
        <f>CONCATENATED!R237</f>
        <v>#REF!</v>
      </c>
      <c r="P84" s="408" t="e">
        <f>CONCATENATED!S237</f>
        <v>#REF!</v>
      </c>
      <c r="Q84" s="408" t="str">
        <f>CONCATENATED!T237</f>
        <v xml:space="preserve">BTME/AUG2021/J&amp;S-FT [Y1S1  (52) Students] :  </v>
      </c>
      <c r="R84" s="408" t="e">
        <f>CONCATENATED!U237</f>
        <v>#REF!</v>
      </c>
      <c r="S84" s="408" t="e">
        <f>CONCATENATED!V237</f>
        <v>#REF!</v>
      </c>
      <c r="T84" s="408" t="e">
        <f>CONCATENATED!W237</f>
        <v>#REF!</v>
      </c>
      <c r="U84" s="408" t="e">
        <f>CONCATENATED!X237</f>
        <v>#REF!</v>
      </c>
      <c r="V84" s="408" t="e">
        <f>CONCATENATED!Y237</f>
        <v>#REF!</v>
      </c>
      <c r="W84" s="408" t="e">
        <f>CONCATENATED!Z237</f>
        <v>#REF!</v>
      </c>
      <c r="X84" s="408" t="e">
        <f>CONCATENATED!AA237</f>
        <v>#REF!</v>
      </c>
      <c r="Y84" s="408" t="e">
        <f>CONCATENATED!AB237</f>
        <v>#REF!</v>
      </c>
      <c r="Z84" s="408" t="str">
        <f>CONCATENATED!AC237</f>
        <v xml:space="preserve">DMAE/SEP20201J&amp;S-FT [Y1S2   (60) Students] :  </v>
      </c>
      <c r="AA84" s="408" t="e">
        <f>CONCATENATED!AD237</f>
        <v>#REF!</v>
      </c>
      <c r="AB84" s="408" t="e">
        <f>CONCATENATED!AE237</f>
        <v>#REF!</v>
      </c>
      <c r="AC84" s="542"/>
      <c r="AD84" s="332" t="e">
        <f t="shared" si="35"/>
        <v>#N/A</v>
      </c>
      <c r="AE84" s="332" t="e">
        <f t="shared" si="36"/>
        <v>#N/A</v>
      </c>
      <c r="AF84" s="332" t="e">
        <f t="shared" si="34"/>
        <v>#N/A</v>
      </c>
      <c r="AG84" s="332" t="e">
        <f t="shared" si="37"/>
        <v>#N/A</v>
      </c>
      <c r="AH84" s="332" t="e">
        <f t="shared" si="38"/>
        <v>#N/A</v>
      </c>
      <c r="AI84" s="332" t="e">
        <f t="shared" si="39"/>
        <v>#N/A</v>
      </c>
      <c r="AJ84" s="332" t="e">
        <f t="shared" si="40"/>
        <v>#N/A</v>
      </c>
      <c r="AK84" s="332" t="e">
        <f t="shared" si="41"/>
        <v>#N/A</v>
      </c>
      <c r="AL84" s="332" t="e">
        <f t="shared" si="42"/>
        <v>#N/A</v>
      </c>
      <c r="AM84" s="332" t="e">
        <f t="shared" si="43"/>
        <v>#N/A</v>
      </c>
      <c r="AN84" s="332" t="e">
        <f t="shared" si="44"/>
        <v>#N/A</v>
      </c>
      <c r="AO84" s="332" t="e">
        <f t="shared" si="45"/>
        <v>#N/A</v>
      </c>
      <c r="AP84" s="332" t="e">
        <f t="shared" si="46"/>
        <v>#N/A</v>
      </c>
      <c r="AQ84" s="332" t="e">
        <f t="shared" si="47"/>
        <v>#N/A</v>
      </c>
      <c r="AR84" s="332" t="e">
        <f t="shared" si="48"/>
        <v>#N/A</v>
      </c>
      <c r="AS84" s="332" t="e">
        <f t="shared" si="49"/>
        <v>#N/A</v>
      </c>
      <c r="AT84" s="332" t="e">
        <f t="shared" si="50"/>
        <v>#N/A</v>
      </c>
      <c r="AU84" s="332" t="e">
        <f t="shared" si="51"/>
        <v>#N/A</v>
      </c>
      <c r="AV84" s="332" t="e">
        <f t="shared" si="52"/>
        <v>#N/A</v>
      </c>
      <c r="AW84" s="332" t="e">
        <f t="shared" si="53"/>
        <v>#N/A</v>
      </c>
      <c r="AX84" s="332" t="e">
        <f t="shared" si="54"/>
        <v>#N/A</v>
      </c>
      <c r="AY84" s="332" t="e">
        <f t="shared" si="55"/>
        <v>#N/A</v>
      </c>
      <c r="AZ84" s="332" t="e">
        <f t="shared" si="56"/>
        <v>#N/A</v>
      </c>
      <c r="BA84" s="332" t="e">
        <f t="shared" si="57"/>
        <v>#N/A</v>
      </c>
      <c r="BB84" s="332" t="e">
        <f t="shared" si="58"/>
        <v>#N/A</v>
      </c>
      <c r="BC84" s="332" t="e">
        <f t="shared" si="59"/>
        <v>#N/A</v>
      </c>
      <c r="BD84" s="332" t="e">
        <f t="shared" si="60"/>
        <v>#N/A</v>
      </c>
      <c r="BE84" s="332" t="e">
        <f t="shared" si="61"/>
        <v>#N/A</v>
      </c>
      <c r="BF84" s="332" t="e">
        <f t="shared" si="62"/>
        <v>#N/A</v>
      </c>
      <c r="BG84" s="332" t="e">
        <f t="shared" si="63"/>
        <v>#N/A</v>
      </c>
      <c r="BH84" s="332" t="e">
        <f t="shared" si="64"/>
        <v>#N/A</v>
      </c>
      <c r="BI84" s="332" t="e">
        <f t="shared" si="65"/>
        <v>#N/A</v>
      </c>
      <c r="BJ84" s="332" t="e">
        <f t="shared" si="66"/>
        <v>#N/A</v>
      </c>
      <c r="BK84" s="332" t="e">
        <f t="shared" si="67"/>
        <v>#N/A</v>
      </c>
      <c r="BL84" s="535"/>
    </row>
    <row r="85" spans="1:64" ht="15.6" thickBot="1" x14ac:dyDescent="0.3">
      <c r="A85" s="400">
        <v>78</v>
      </c>
      <c r="B85" s="408" t="e">
        <f>CONCATENATED!E240</f>
        <v>#REF!</v>
      </c>
      <c r="C85" s="408" t="e">
        <f>CONCATENATED!F240</f>
        <v>#REF!</v>
      </c>
      <c r="D85" s="408" t="e">
        <f>CONCATENATED!G240</f>
        <v>#REF!</v>
      </c>
      <c r="E85" s="408" t="e">
        <f>CONCATENATED!H240</f>
        <v>#REF!</v>
      </c>
      <c r="F85" s="408" t="e">
        <f>CONCATENATED!I240</f>
        <v>#REF!</v>
      </c>
      <c r="G85" s="408" t="e">
        <f>CONCATENATED!J240</f>
        <v>#REF!</v>
      </c>
      <c r="H85" s="408" t="e">
        <f>CONCATENATED!K240</f>
        <v>#REF!</v>
      </c>
      <c r="I85" s="408" t="e">
        <f>CONCATENATED!L240</f>
        <v>#REF!</v>
      </c>
      <c r="J85" s="408" t="e">
        <f>CONCATENATED!M240</f>
        <v>#REF!</v>
      </c>
      <c r="K85" s="408" t="e">
        <f>CONCATENATED!N240</f>
        <v>#REF!</v>
      </c>
      <c r="L85" s="408" t="e">
        <f>CONCATENATED!O240</f>
        <v>#REF!</v>
      </c>
      <c r="M85" s="408" t="e">
        <f>CONCATENATED!P240</f>
        <v>#REF!</v>
      </c>
      <c r="N85" s="408" t="e">
        <f>CONCATENATED!Q240</f>
        <v>#REF!</v>
      </c>
      <c r="O85" s="408" t="e">
        <f>CONCATENATED!R240</f>
        <v>#REF!</v>
      </c>
      <c r="P85" s="408" t="e">
        <f>CONCATENATED!S240</f>
        <v>#REF!</v>
      </c>
      <c r="Q85" s="408" t="e">
        <f>CONCATENATED!T240</f>
        <v>#REF!</v>
      </c>
      <c r="R85" s="408" t="e">
        <f>CONCATENATED!U240</f>
        <v>#REF!</v>
      </c>
      <c r="S85" s="408" t="e">
        <f>CONCATENATED!V240</f>
        <v>#REF!</v>
      </c>
      <c r="T85" s="408" t="e">
        <f>CONCATENATED!W240</f>
        <v>#REF!</v>
      </c>
      <c r="U85" s="408" t="e">
        <f>CONCATENATED!X240</f>
        <v>#REF!</v>
      </c>
      <c r="V85" s="408" t="e">
        <f>CONCATENATED!Y240</f>
        <v>#REF!</v>
      </c>
      <c r="W85" s="408" t="e">
        <f>CONCATENATED!Z240</f>
        <v>#REF!</v>
      </c>
      <c r="X85" s="408" t="e">
        <f>CONCATENATED!AA240</f>
        <v>#REF!</v>
      </c>
      <c r="Y85" s="408" t="e">
        <f>CONCATENATED!AB240</f>
        <v>#REF!</v>
      </c>
      <c r="Z85" s="408" t="e">
        <f>CONCATENATED!AC240</f>
        <v>#REF!</v>
      </c>
      <c r="AA85" s="408" t="e">
        <f>CONCATENATED!AD240</f>
        <v>#REF!</v>
      </c>
      <c r="AB85" s="408" t="e">
        <f>CONCATENATED!AE240</f>
        <v>#REF!</v>
      </c>
      <c r="AC85" s="542"/>
      <c r="AD85" s="332" t="e">
        <f t="shared" si="35"/>
        <v>#N/A</v>
      </c>
      <c r="AE85" s="332" t="e">
        <f t="shared" si="36"/>
        <v>#N/A</v>
      </c>
      <c r="AF85" s="332" t="e">
        <f t="shared" si="34"/>
        <v>#N/A</v>
      </c>
      <c r="AG85" s="332" t="e">
        <f t="shared" si="37"/>
        <v>#N/A</v>
      </c>
      <c r="AH85" s="332" t="e">
        <f t="shared" si="38"/>
        <v>#N/A</v>
      </c>
      <c r="AI85" s="332" t="e">
        <f t="shared" si="39"/>
        <v>#N/A</v>
      </c>
      <c r="AJ85" s="332" t="e">
        <f t="shared" si="40"/>
        <v>#N/A</v>
      </c>
      <c r="AK85" s="332" t="e">
        <f t="shared" si="41"/>
        <v>#N/A</v>
      </c>
      <c r="AL85" s="332" t="e">
        <f t="shared" si="42"/>
        <v>#N/A</v>
      </c>
      <c r="AM85" s="332" t="e">
        <f t="shared" si="43"/>
        <v>#N/A</v>
      </c>
      <c r="AN85" s="332" t="e">
        <f t="shared" si="44"/>
        <v>#N/A</v>
      </c>
      <c r="AO85" s="332" t="e">
        <f t="shared" si="45"/>
        <v>#N/A</v>
      </c>
      <c r="AP85" s="332" t="e">
        <f t="shared" si="46"/>
        <v>#N/A</v>
      </c>
      <c r="AQ85" s="332" t="e">
        <f t="shared" si="47"/>
        <v>#N/A</v>
      </c>
      <c r="AR85" s="332" t="e">
        <f t="shared" si="48"/>
        <v>#N/A</v>
      </c>
      <c r="AS85" s="332" t="e">
        <f t="shared" si="49"/>
        <v>#N/A</v>
      </c>
      <c r="AT85" s="332" t="e">
        <f t="shared" si="50"/>
        <v>#N/A</v>
      </c>
      <c r="AU85" s="332" t="e">
        <f t="shared" si="51"/>
        <v>#N/A</v>
      </c>
      <c r="AV85" s="332" t="e">
        <f t="shared" si="52"/>
        <v>#N/A</v>
      </c>
      <c r="AW85" s="332" t="e">
        <f t="shared" si="53"/>
        <v>#N/A</v>
      </c>
      <c r="AX85" s="332" t="e">
        <f t="shared" si="54"/>
        <v>#N/A</v>
      </c>
      <c r="AY85" s="332" t="e">
        <f t="shared" si="55"/>
        <v>#N/A</v>
      </c>
      <c r="AZ85" s="332" t="e">
        <f t="shared" si="56"/>
        <v>#N/A</v>
      </c>
      <c r="BA85" s="332" t="e">
        <f t="shared" si="57"/>
        <v>#N/A</v>
      </c>
      <c r="BB85" s="332" t="e">
        <f t="shared" si="58"/>
        <v>#N/A</v>
      </c>
      <c r="BC85" s="332" t="e">
        <f t="shared" si="59"/>
        <v>#N/A</v>
      </c>
      <c r="BD85" s="332" t="e">
        <f t="shared" si="60"/>
        <v>#N/A</v>
      </c>
      <c r="BE85" s="332" t="e">
        <f t="shared" si="61"/>
        <v>#N/A</v>
      </c>
      <c r="BF85" s="332" t="e">
        <f t="shared" si="62"/>
        <v>#N/A</v>
      </c>
      <c r="BG85" s="332" t="e">
        <f t="shared" si="63"/>
        <v>#N/A</v>
      </c>
      <c r="BH85" s="332" t="e">
        <f t="shared" si="64"/>
        <v>#N/A</v>
      </c>
      <c r="BI85" s="332" t="e">
        <f t="shared" si="65"/>
        <v>#N/A</v>
      </c>
      <c r="BJ85" s="332" t="e">
        <f t="shared" si="66"/>
        <v>#N/A</v>
      </c>
      <c r="BK85" s="332" t="e">
        <f t="shared" si="67"/>
        <v>#N/A</v>
      </c>
      <c r="BL85" s="535"/>
    </row>
    <row r="86" spans="1:64" ht="15.6" thickBot="1" x14ac:dyDescent="0.3">
      <c r="A86" s="400">
        <v>79</v>
      </c>
      <c r="B86" s="408" t="e">
        <f>CONCATENATED!E243</f>
        <v>#REF!</v>
      </c>
      <c r="C86" s="408" t="e">
        <f>CONCATENATED!F243</f>
        <v>#REF!</v>
      </c>
      <c r="D86" s="408" t="e">
        <f>CONCATENATED!G243</f>
        <v>#REF!</v>
      </c>
      <c r="E86" s="408" t="e">
        <f>CONCATENATED!H243</f>
        <v>#REF!</v>
      </c>
      <c r="F86" s="408" t="e">
        <f>CONCATENATED!I243</f>
        <v>#REF!</v>
      </c>
      <c r="G86" s="408" t="e">
        <f>CONCATENATED!J243</f>
        <v>#REF!</v>
      </c>
      <c r="H86" s="408" t="e">
        <f>CONCATENATED!K243</f>
        <v>#REF!</v>
      </c>
      <c r="I86" s="408" t="e">
        <f>CONCATENATED!L243</f>
        <v>#REF!</v>
      </c>
      <c r="J86" s="408" t="e">
        <f>CONCATENATED!M243</f>
        <v>#REF!</v>
      </c>
      <c r="K86" s="408" t="e">
        <f>CONCATENATED!N243</f>
        <v>#REF!</v>
      </c>
      <c r="L86" s="408" t="e">
        <f>CONCATENATED!O243</f>
        <v>#REF!</v>
      </c>
      <c r="M86" s="408" t="e">
        <f>CONCATENATED!P243</f>
        <v>#REF!</v>
      </c>
      <c r="N86" s="408" t="e">
        <f>CONCATENATED!Q243</f>
        <v>#REF!</v>
      </c>
      <c r="O86" s="408" t="e">
        <f>CONCATENATED!R243</f>
        <v>#REF!</v>
      </c>
      <c r="P86" s="408" t="e">
        <f>CONCATENATED!S243</f>
        <v>#REF!</v>
      </c>
      <c r="Q86" s="408" t="e">
        <f>CONCATENATED!T243</f>
        <v>#REF!</v>
      </c>
      <c r="R86" s="408" t="e">
        <f>CONCATENATED!U243</f>
        <v>#REF!</v>
      </c>
      <c r="S86" s="408" t="e">
        <f>CONCATENATED!V243</f>
        <v>#REF!</v>
      </c>
      <c r="T86" s="408" t="e">
        <f>CONCATENATED!W243</f>
        <v>#REF!</v>
      </c>
      <c r="U86" s="408" t="e">
        <f>CONCATENATED!X243</f>
        <v>#REF!</v>
      </c>
      <c r="V86" s="408" t="e">
        <f>CONCATENATED!Y243</f>
        <v>#REF!</v>
      </c>
      <c r="W86" s="408" t="e">
        <f>CONCATENATED!Z243</f>
        <v>#REF!</v>
      </c>
      <c r="X86" s="408" t="e">
        <f>CONCATENATED!AA243</f>
        <v>#REF!</v>
      </c>
      <c r="Y86" s="408" t="e">
        <f>CONCATENATED!AB243</f>
        <v>#REF!</v>
      </c>
      <c r="Z86" s="408" t="e">
        <f>CONCATENATED!AC243</f>
        <v>#REF!</v>
      </c>
      <c r="AA86" s="408" t="e">
        <f>CONCATENATED!AD243</f>
        <v>#REF!</v>
      </c>
      <c r="AB86" s="408" t="e">
        <f>CONCATENATED!AE243</f>
        <v>#REF!</v>
      </c>
      <c r="AC86" s="543"/>
      <c r="AD86" s="345" t="e">
        <f t="shared" si="35"/>
        <v>#N/A</v>
      </c>
      <c r="AE86" s="345" t="e">
        <f t="shared" si="36"/>
        <v>#N/A</v>
      </c>
      <c r="AF86" s="345" t="e">
        <f t="shared" si="34"/>
        <v>#N/A</v>
      </c>
      <c r="AG86" s="345" t="e">
        <f t="shared" si="37"/>
        <v>#N/A</v>
      </c>
      <c r="AH86" s="345" t="e">
        <f t="shared" si="38"/>
        <v>#N/A</v>
      </c>
      <c r="AI86" s="345" t="e">
        <f t="shared" si="39"/>
        <v>#N/A</v>
      </c>
      <c r="AJ86" s="345" t="e">
        <f t="shared" si="40"/>
        <v>#N/A</v>
      </c>
      <c r="AK86" s="345" t="e">
        <f t="shared" si="41"/>
        <v>#N/A</v>
      </c>
      <c r="AL86" s="345" t="e">
        <f t="shared" si="42"/>
        <v>#N/A</v>
      </c>
      <c r="AM86" s="345" t="e">
        <f t="shared" si="43"/>
        <v>#N/A</v>
      </c>
      <c r="AN86" s="345" t="e">
        <f t="shared" si="44"/>
        <v>#N/A</v>
      </c>
      <c r="AO86" s="345" t="e">
        <f t="shared" si="45"/>
        <v>#N/A</v>
      </c>
      <c r="AP86" s="345" t="e">
        <f t="shared" si="46"/>
        <v>#N/A</v>
      </c>
      <c r="AQ86" s="345" t="e">
        <f t="shared" si="47"/>
        <v>#N/A</v>
      </c>
      <c r="AR86" s="345" t="e">
        <f t="shared" si="48"/>
        <v>#N/A</v>
      </c>
      <c r="AS86" s="345" t="e">
        <f t="shared" si="49"/>
        <v>#N/A</v>
      </c>
      <c r="AT86" s="345" t="e">
        <f t="shared" si="50"/>
        <v>#N/A</v>
      </c>
      <c r="AU86" s="345" t="e">
        <f t="shared" si="51"/>
        <v>#N/A</v>
      </c>
      <c r="AV86" s="345" t="e">
        <f t="shared" si="52"/>
        <v>#N/A</v>
      </c>
      <c r="AW86" s="345" t="e">
        <f t="shared" si="53"/>
        <v>#N/A</v>
      </c>
      <c r="AX86" s="345" t="e">
        <f t="shared" si="54"/>
        <v>#N/A</v>
      </c>
      <c r="AY86" s="345" t="e">
        <f t="shared" si="55"/>
        <v>#N/A</v>
      </c>
      <c r="AZ86" s="345" t="e">
        <f t="shared" si="56"/>
        <v>#N/A</v>
      </c>
      <c r="BA86" s="345" t="e">
        <f t="shared" si="57"/>
        <v>#N/A</v>
      </c>
      <c r="BB86" s="345" t="e">
        <f t="shared" si="58"/>
        <v>#N/A</v>
      </c>
      <c r="BC86" s="345" t="e">
        <f t="shared" si="59"/>
        <v>#N/A</v>
      </c>
      <c r="BD86" s="345" t="e">
        <f t="shared" si="60"/>
        <v>#N/A</v>
      </c>
      <c r="BE86" s="345" t="e">
        <f t="shared" si="61"/>
        <v>#N/A</v>
      </c>
      <c r="BF86" s="345" t="e">
        <f t="shared" si="62"/>
        <v>#N/A</v>
      </c>
      <c r="BG86" s="345" t="e">
        <f t="shared" si="63"/>
        <v>#N/A</v>
      </c>
      <c r="BH86" s="345" t="e">
        <f t="shared" si="64"/>
        <v>#N/A</v>
      </c>
      <c r="BI86" s="345" t="e">
        <f t="shared" si="65"/>
        <v>#N/A</v>
      </c>
      <c r="BJ86" s="345" t="e">
        <f t="shared" si="66"/>
        <v>#N/A</v>
      </c>
      <c r="BK86" s="345" t="e">
        <f t="shared" si="67"/>
        <v>#N/A</v>
      </c>
      <c r="BL86" s="536"/>
    </row>
    <row r="87" spans="1:64" ht="15.6" thickBot="1" x14ac:dyDescent="0.3">
      <c r="B87" s="408"/>
      <c r="C87" s="408"/>
      <c r="D87" s="408"/>
      <c r="E87" s="408"/>
      <c r="F87" s="408"/>
      <c r="G87" s="408"/>
      <c r="H87" s="408"/>
      <c r="I87" s="408"/>
      <c r="J87" s="408"/>
      <c r="K87" s="408"/>
      <c r="L87" s="408"/>
      <c r="M87" s="408"/>
      <c r="N87" s="408"/>
      <c r="O87" s="408"/>
      <c r="P87" s="408"/>
      <c r="Q87" s="408"/>
      <c r="R87" s="408"/>
      <c r="S87" s="408"/>
      <c r="T87" s="408"/>
      <c r="U87" s="408"/>
      <c r="V87" s="408"/>
      <c r="W87" s="408"/>
      <c r="X87" s="408"/>
      <c r="Y87" s="408"/>
      <c r="Z87" s="408"/>
      <c r="AA87" s="408"/>
      <c r="AB87" s="408"/>
      <c r="AC87" s="388"/>
      <c r="AD87" s="387" t="e">
        <f t="shared" si="35"/>
        <v>#N/A</v>
      </c>
      <c r="AE87" s="387" t="e">
        <f t="shared" si="36"/>
        <v>#N/A</v>
      </c>
      <c r="AF87" s="387" t="e">
        <f t="shared" si="34"/>
        <v>#N/A</v>
      </c>
      <c r="AG87" s="387" t="e">
        <f t="shared" si="37"/>
        <v>#N/A</v>
      </c>
      <c r="AH87" s="387" t="e">
        <f t="shared" si="38"/>
        <v>#N/A</v>
      </c>
      <c r="AI87" s="387" t="e">
        <f t="shared" si="39"/>
        <v>#N/A</v>
      </c>
      <c r="AJ87" s="387" t="e">
        <f t="shared" si="40"/>
        <v>#N/A</v>
      </c>
      <c r="AK87" s="387" t="e">
        <f t="shared" si="41"/>
        <v>#N/A</v>
      </c>
      <c r="AL87" s="387" t="e">
        <f t="shared" si="42"/>
        <v>#N/A</v>
      </c>
      <c r="AM87" s="387" t="e">
        <f t="shared" si="43"/>
        <v>#N/A</v>
      </c>
      <c r="AN87" s="387" t="e">
        <f t="shared" si="44"/>
        <v>#N/A</v>
      </c>
      <c r="AO87" s="387" t="e">
        <f t="shared" si="45"/>
        <v>#N/A</v>
      </c>
      <c r="AP87" s="387" t="e">
        <f t="shared" si="46"/>
        <v>#N/A</v>
      </c>
      <c r="AQ87" s="387" t="e">
        <f t="shared" si="47"/>
        <v>#N/A</v>
      </c>
      <c r="AR87" s="387" t="e">
        <f t="shared" si="48"/>
        <v>#N/A</v>
      </c>
      <c r="AS87" s="387" t="e">
        <f t="shared" si="49"/>
        <v>#N/A</v>
      </c>
      <c r="AT87" s="387" t="e">
        <f t="shared" si="50"/>
        <v>#N/A</v>
      </c>
      <c r="AU87" s="387" t="e">
        <f t="shared" si="51"/>
        <v>#N/A</v>
      </c>
      <c r="AV87" s="387" t="e">
        <f t="shared" si="52"/>
        <v>#N/A</v>
      </c>
      <c r="AW87" s="387" t="e">
        <f t="shared" si="53"/>
        <v>#N/A</v>
      </c>
      <c r="AX87" s="387" t="e">
        <f t="shared" si="54"/>
        <v>#N/A</v>
      </c>
      <c r="AY87" s="387" t="e">
        <f t="shared" si="55"/>
        <v>#N/A</v>
      </c>
      <c r="AZ87" s="387" t="e">
        <f t="shared" si="56"/>
        <v>#N/A</v>
      </c>
      <c r="BA87" s="387" t="e">
        <f t="shared" si="57"/>
        <v>#N/A</v>
      </c>
      <c r="BB87" s="387" t="e">
        <f t="shared" si="58"/>
        <v>#N/A</v>
      </c>
      <c r="BC87" s="387" t="e">
        <f t="shared" si="59"/>
        <v>#N/A</v>
      </c>
      <c r="BD87" s="387" t="e">
        <f t="shared" si="60"/>
        <v>#N/A</v>
      </c>
      <c r="BE87" s="387" t="e">
        <f t="shared" si="61"/>
        <v>#N/A</v>
      </c>
      <c r="BF87" s="387" t="e">
        <f t="shared" si="62"/>
        <v>#N/A</v>
      </c>
      <c r="BG87" s="387" t="e">
        <f t="shared" si="63"/>
        <v>#N/A</v>
      </c>
      <c r="BH87" s="387" t="e">
        <f t="shared" si="64"/>
        <v>#N/A</v>
      </c>
      <c r="BI87" s="387" t="e">
        <f t="shared" si="65"/>
        <v>#N/A</v>
      </c>
      <c r="BJ87" s="387" t="e">
        <f t="shared" si="66"/>
        <v>#N/A</v>
      </c>
      <c r="BK87" s="387" t="e">
        <f t="shared" si="67"/>
        <v>#N/A</v>
      </c>
      <c r="BL87" s="388"/>
    </row>
    <row r="88" spans="1:64" s="406" customFormat="1" ht="15.6" thickBot="1" x14ac:dyDescent="0.3">
      <c r="A88" s="400"/>
      <c r="B88" s="408"/>
      <c r="C88" s="408"/>
      <c r="D88" s="408"/>
      <c r="E88" s="408"/>
      <c r="F88" s="408"/>
      <c r="G88" s="408"/>
      <c r="H88" s="408"/>
      <c r="I88" s="408"/>
      <c r="J88" s="408"/>
      <c r="K88" s="408"/>
      <c r="L88" s="408"/>
      <c r="M88" s="408"/>
      <c r="N88" s="408"/>
      <c r="O88" s="408"/>
      <c r="P88" s="408"/>
      <c r="Q88" s="408"/>
      <c r="R88" s="408"/>
      <c r="S88" s="408"/>
      <c r="T88" s="408"/>
      <c r="U88" s="408"/>
      <c r="V88" s="408"/>
      <c r="W88" s="408"/>
      <c r="X88" s="408"/>
      <c r="Y88" s="408"/>
      <c r="Z88" s="408"/>
      <c r="AA88" s="408"/>
      <c r="AB88" s="408"/>
      <c r="AC88" s="319"/>
      <c r="AD88" s="321" t="e">
        <f t="shared" si="35"/>
        <v>#N/A</v>
      </c>
      <c r="AE88" s="321" t="e">
        <f t="shared" si="36"/>
        <v>#N/A</v>
      </c>
      <c r="AF88" s="321" t="e">
        <f t="shared" si="34"/>
        <v>#N/A</v>
      </c>
      <c r="AG88" s="322" t="e">
        <f t="shared" si="37"/>
        <v>#N/A</v>
      </c>
      <c r="AH88" s="321" t="e">
        <f t="shared" si="38"/>
        <v>#N/A</v>
      </c>
      <c r="AI88" s="321" t="e">
        <f t="shared" si="39"/>
        <v>#N/A</v>
      </c>
      <c r="AJ88" s="321" t="e">
        <f t="shared" si="40"/>
        <v>#N/A</v>
      </c>
      <c r="AK88" s="323" t="e">
        <f t="shared" si="41"/>
        <v>#N/A</v>
      </c>
      <c r="AL88" s="321" t="e">
        <f t="shared" si="42"/>
        <v>#N/A</v>
      </c>
      <c r="AM88" s="321" t="e">
        <f t="shared" si="43"/>
        <v>#N/A</v>
      </c>
      <c r="AN88" s="321" t="e">
        <f t="shared" si="44"/>
        <v>#N/A</v>
      </c>
      <c r="AO88" s="324" t="e">
        <f t="shared" si="45"/>
        <v>#N/A</v>
      </c>
      <c r="AP88" s="321" t="e">
        <f t="shared" si="46"/>
        <v>#N/A</v>
      </c>
      <c r="AQ88" s="321" t="e">
        <f t="shared" si="47"/>
        <v>#N/A</v>
      </c>
      <c r="AR88" s="321" t="e">
        <f t="shared" si="48"/>
        <v>#N/A</v>
      </c>
      <c r="AS88" s="322" t="e">
        <f t="shared" si="49"/>
        <v>#N/A</v>
      </c>
      <c r="AT88" s="321" t="e">
        <f t="shared" si="50"/>
        <v>#N/A</v>
      </c>
      <c r="AU88" s="321" t="e">
        <f t="shared" si="51"/>
        <v>#N/A</v>
      </c>
      <c r="AV88" s="321" t="e">
        <f t="shared" si="52"/>
        <v>#N/A</v>
      </c>
      <c r="AW88" s="321" t="e">
        <f t="shared" si="53"/>
        <v>#N/A</v>
      </c>
      <c r="AX88" s="321" t="e">
        <f t="shared" si="54"/>
        <v>#N/A</v>
      </c>
      <c r="AY88" s="321" t="e">
        <f t="shared" si="55"/>
        <v>#N/A</v>
      </c>
      <c r="AZ88" s="321" t="e">
        <f t="shared" si="56"/>
        <v>#N/A</v>
      </c>
      <c r="BA88" s="321" t="e">
        <f t="shared" si="57"/>
        <v>#N/A</v>
      </c>
      <c r="BB88" s="321" t="e">
        <f t="shared" si="58"/>
        <v>#N/A</v>
      </c>
      <c r="BC88" s="321" t="e">
        <f t="shared" si="59"/>
        <v>#N/A</v>
      </c>
      <c r="BD88" s="321" t="e">
        <f t="shared" si="60"/>
        <v>#N/A</v>
      </c>
      <c r="BE88" s="321" t="e">
        <f t="shared" si="61"/>
        <v>#N/A</v>
      </c>
      <c r="BF88" s="321" t="e">
        <f t="shared" si="62"/>
        <v>#N/A</v>
      </c>
      <c r="BG88" s="321" t="e">
        <f t="shared" si="63"/>
        <v>#N/A</v>
      </c>
      <c r="BH88" s="321" t="e">
        <f t="shared" si="64"/>
        <v>#N/A</v>
      </c>
      <c r="BI88" s="321" t="e">
        <f t="shared" si="65"/>
        <v>#N/A</v>
      </c>
      <c r="BJ88" s="322" t="e">
        <f t="shared" si="66"/>
        <v>#N/A</v>
      </c>
      <c r="BK88" s="321" t="e">
        <f t="shared" si="67"/>
        <v>#N/A</v>
      </c>
      <c r="BL88" s="319"/>
    </row>
    <row r="89" spans="1:64" ht="62.4" thickBot="1" x14ac:dyDescent="0.3">
      <c r="A89" s="400">
        <v>80</v>
      </c>
      <c r="B89" s="417" t="e">
        <f>CONCATENATED!E246</f>
        <v>#REF!</v>
      </c>
      <c r="C89" s="417" t="e">
        <f>CONCATENATED!F246</f>
        <v>#REF!</v>
      </c>
      <c r="D89" s="417" t="e">
        <f>CONCATENATED!G246</f>
        <v>#REF!</v>
      </c>
      <c r="E89" s="417" t="e">
        <f>CONCATENATED!H246</f>
        <v>#REF!</v>
      </c>
      <c r="F89" s="417" t="e">
        <f>CONCATENATED!I246</f>
        <v>#REF!</v>
      </c>
      <c r="G89" s="417" t="e">
        <f>CONCATENATED!J246</f>
        <v>#REF!</v>
      </c>
      <c r="H89" s="417" t="e">
        <f>CONCATENATED!K246</f>
        <v>#REF!</v>
      </c>
      <c r="I89" s="417" t="str">
        <f>CONCATENATED!L246</f>
        <v xml:space="preserve">BSME/SEP2020/J-FT [Y2S1  (50) Students] :  </v>
      </c>
      <c r="J89" s="417" t="str">
        <f>CONCATENATED!M246</f>
        <v xml:space="preserve">BSME/AUG2021/J-FT [Y1S2  (55) Students] :  </v>
      </c>
      <c r="K89" s="417" t="e">
        <f>CONCATENATED!N246</f>
        <v>#REF!</v>
      </c>
      <c r="L89" s="417" t="e">
        <f>CONCATENATED!O246</f>
        <v>#REF!</v>
      </c>
      <c r="M89" s="417" t="str">
        <f>CONCATENATED!P246</f>
        <v>BTME/SEP2019/S-PT [Y3S1   (10) Students] TMC 4313: MUTAVA /MWAFONDO LAB..</v>
      </c>
      <c r="N89" s="417" t="str">
        <f>CONCATENATED!Q246</f>
        <v>BTME/AUG2021/S-PT [Y2S2   (10) Students] TMC 4224: MANGENI/SUDI LAB</v>
      </c>
      <c r="O89" s="417" t="e">
        <f>CONCATENATED!R246</f>
        <v>#REF!</v>
      </c>
      <c r="P89" s="417" t="e">
        <f>CONCATENATED!S246</f>
        <v>#REF!</v>
      </c>
      <c r="Q89" s="417" t="str">
        <f>CONCATENATED!T246</f>
        <v xml:space="preserve">BTME/AUG2021/J&amp;S-FT [Y1S1  (52) Students] :  </v>
      </c>
      <c r="R89" s="417" t="e">
        <f>CONCATENATED!U246</f>
        <v>#REF!</v>
      </c>
      <c r="S89" s="417" t="e">
        <f>CONCATENATED!V246</f>
        <v>#REF!</v>
      </c>
      <c r="T89" s="417" t="e">
        <f>CONCATENATED!W246</f>
        <v>#REF!</v>
      </c>
      <c r="U89" s="417" t="e">
        <f>CONCATENATED!X246</f>
        <v>#REF!</v>
      </c>
      <c r="V89" s="417" t="e">
        <f>CONCATENATED!Y246</f>
        <v>#REF!</v>
      </c>
      <c r="W89" s="417" t="e">
        <f>CONCATENATED!Z246</f>
        <v>#REF!</v>
      </c>
      <c r="X89" s="417" t="e">
        <f>CONCATENATED!AA246</f>
        <v>#REF!</v>
      </c>
      <c r="Y89" s="417" t="e">
        <f>CONCATENATED!AB246</f>
        <v>#REF!</v>
      </c>
      <c r="Z89" s="417" t="str">
        <f>CONCATENATED!AC246</f>
        <v xml:space="preserve">DMAE/SEP20201J&amp;S-FT [Y1S2   (60) Students] :  </v>
      </c>
      <c r="AA89" s="417" t="e">
        <f>CONCATENATED!AD246</f>
        <v>#REF!</v>
      </c>
      <c r="AB89" s="417" t="e">
        <f>CONCATENATED!AE246</f>
        <v>#REF!</v>
      </c>
      <c r="AC89" s="540" t="s">
        <v>186</v>
      </c>
      <c r="AD89" s="389" t="e">
        <f t="shared" si="35"/>
        <v>#N/A</v>
      </c>
      <c r="AE89" s="389" t="e">
        <f t="shared" si="36"/>
        <v>#N/A</v>
      </c>
      <c r="AF89" s="389" t="e">
        <f t="shared" si="34"/>
        <v>#N/A</v>
      </c>
      <c r="AG89" s="389" t="e">
        <f t="shared" si="37"/>
        <v>#N/A</v>
      </c>
      <c r="AH89" s="389" t="e">
        <f t="shared" si="38"/>
        <v>#N/A</v>
      </c>
      <c r="AI89" s="389" t="e">
        <f t="shared" si="39"/>
        <v>#N/A</v>
      </c>
      <c r="AJ89" s="389" t="e">
        <f t="shared" si="40"/>
        <v>#N/A</v>
      </c>
      <c r="AK89" s="389" t="e">
        <f t="shared" si="41"/>
        <v>#N/A</v>
      </c>
      <c r="AL89" s="389" t="e">
        <f t="shared" si="42"/>
        <v>#N/A</v>
      </c>
      <c r="AM89" s="389" t="e">
        <f t="shared" si="43"/>
        <v>#N/A</v>
      </c>
      <c r="AN89" s="389" t="e">
        <f t="shared" si="44"/>
        <v>#N/A</v>
      </c>
      <c r="AO89" s="389" t="e">
        <f t="shared" si="45"/>
        <v>#N/A</v>
      </c>
      <c r="AP89" s="389" t="e">
        <f t="shared" si="46"/>
        <v>#N/A</v>
      </c>
      <c r="AQ89" s="389" t="e">
        <f t="shared" si="47"/>
        <v>#N/A</v>
      </c>
      <c r="AR89" s="389" t="e">
        <f t="shared" si="48"/>
        <v>#N/A</v>
      </c>
      <c r="AS89" s="389" t="e">
        <f t="shared" si="49"/>
        <v>#N/A</v>
      </c>
      <c r="AT89" s="389" t="e">
        <f t="shared" si="50"/>
        <v>#N/A</v>
      </c>
      <c r="AU89" s="389" t="e">
        <f t="shared" si="51"/>
        <v>#N/A</v>
      </c>
      <c r="AV89" s="389" t="e">
        <f t="shared" si="52"/>
        <v>#N/A</v>
      </c>
      <c r="AW89" s="389" t="e">
        <f t="shared" si="53"/>
        <v>#N/A</v>
      </c>
      <c r="AX89" s="389" t="e">
        <f t="shared" si="54"/>
        <v>#N/A</v>
      </c>
      <c r="AY89" s="389" t="e">
        <f t="shared" si="55"/>
        <v>#N/A</v>
      </c>
      <c r="AZ89" s="389" t="e">
        <f t="shared" si="56"/>
        <v>#N/A</v>
      </c>
      <c r="BA89" s="389" t="e">
        <f t="shared" si="57"/>
        <v>#N/A</v>
      </c>
      <c r="BB89" s="389" t="e">
        <f t="shared" si="58"/>
        <v>#N/A</v>
      </c>
      <c r="BC89" s="389" t="e">
        <f t="shared" si="59"/>
        <v>#N/A</v>
      </c>
      <c r="BD89" s="389" t="e">
        <f t="shared" si="60"/>
        <v>#N/A</v>
      </c>
      <c r="BE89" s="389" t="e">
        <f t="shared" si="61"/>
        <v>#N/A</v>
      </c>
      <c r="BF89" s="389" t="e">
        <f t="shared" si="62"/>
        <v>#N/A</v>
      </c>
      <c r="BG89" s="389" t="e">
        <f t="shared" si="63"/>
        <v>#N/A</v>
      </c>
      <c r="BH89" s="389" t="e">
        <f t="shared" si="64"/>
        <v>#N/A</v>
      </c>
      <c r="BI89" s="389" t="e">
        <f t="shared" si="65"/>
        <v>#N/A</v>
      </c>
      <c r="BJ89" s="389" t="e">
        <f t="shared" si="66"/>
        <v>#N/A</v>
      </c>
      <c r="BK89" s="389" t="e">
        <f t="shared" si="67"/>
        <v>#N/A</v>
      </c>
      <c r="BL89" s="540" t="s">
        <v>186</v>
      </c>
    </row>
    <row r="90" spans="1:64" ht="62.4" thickBot="1" x14ac:dyDescent="0.3">
      <c r="A90" s="400">
        <v>81</v>
      </c>
      <c r="B90" s="417" t="e">
        <f>CONCATENATED!E249</f>
        <v>#REF!</v>
      </c>
      <c r="C90" s="417" t="e">
        <f>CONCATENATED!F249</f>
        <v>#REF!</v>
      </c>
      <c r="D90" s="417" t="e">
        <f>CONCATENATED!G249</f>
        <v>#REF!</v>
      </c>
      <c r="E90" s="417" t="e">
        <f>CONCATENATED!H249</f>
        <v>#REF!</v>
      </c>
      <c r="F90" s="417" t="e">
        <f>CONCATENATED!I249</f>
        <v>#REF!</v>
      </c>
      <c r="G90" s="417" t="e">
        <f>CONCATENATED!J249</f>
        <v>#REF!</v>
      </c>
      <c r="H90" s="417" t="e">
        <f>CONCATENATED!K249</f>
        <v>#REF!</v>
      </c>
      <c r="I90" s="417" t="str">
        <f>CONCATENATED!L249</f>
        <v xml:space="preserve">BSME/SEP2020/J-FT [Y2S1  (50) Students] :  </v>
      </c>
      <c r="J90" s="417" t="str">
        <f>CONCATENATED!M249</f>
        <v xml:space="preserve">BSME/AUG2021/J-FT [Y1S2  (55) Students] :  </v>
      </c>
      <c r="K90" s="417" t="e">
        <f>CONCATENATED!N249</f>
        <v>#REF!</v>
      </c>
      <c r="L90" s="417" t="e">
        <f>CONCATENATED!O249</f>
        <v>#REF!</v>
      </c>
      <c r="M90" s="417" t="str">
        <f>CONCATENATED!P249</f>
        <v xml:space="preserve">BTME/SEP2019/S-PT [Y3S1   (10) Students] :  </v>
      </c>
      <c r="N90" s="417" t="str">
        <f>CONCATENATED!Q249</f>
        <v>BTME/AUG2021/S-PT [Y2S2   (10) Students] TMC 4225: MUNIALO/KIKONDE LAB</v>
      </c>
      <c r="O90" s="417" t="e">
        <f>CONCATENATED!R249</f>
        <v>#REF!</v>
      </c>
      <c r="P90" s="417" t="e">
        <f>CONCATENATED!S249</f>
        <v>#REF!</v>
      </c>
      <c r="Q90" s="417" t="str">
        <f>CONCATENATED!T249</f>
        <v xml:space="preserve">BTME/AUG2021/J&amp;S-FT [Y1S1  (52) Students] :  </v>
      </c>
      <c r="R90" s="417" t="e">
        <f>CONCATENATED!U249</f>
        <v>#REF!</v>
      </c>
      <c r="S90" s="417" t="e">
        <f>CONCATENATED!V249</f>
        <v>#REF!</v>
      </c>
      <c r="T90" s="417" t="e">
        <f>CONCATENATED!W249</f>
        <v>#REF!</v>
      </c>
      <c r="U90" s="417" t="e">
        <f>CONCATENATED!X249</f>
        <v>#REF!</v>
      </c>
      <c r="V90" s="417" t="e">
        <f>CONCATENATED!Y249</f>
        <v>#REF!</v>
      </c>
      <c r="W90" s="417" t="e">
        <f>CONCATENATED!Z249</f>
        <v>#REF!</v>
      </c>
      <c r="X90" s="417" t="e">
        <f>CONCATENATED!AA249</f>
        <v>#REF!</v>
      </c>
      <c r="Y90" s="417" t="e">
        <f>CONCATENATED!AB249</f>
        <v>#REF!</v>
      </c>
      <c r="Z90" s="417" t="str">
        <f>CONCATENATED!AC249</f>
        <v xml:space="preserve">DMAE/SEP20201J&amp;S-FT [Y1S2   (60) Students] :  </v>
      </c>
      <c r="AA90" s="417" t="e">
        <f>CONCATENATED!AD249</f>
        <v>#REF!</v>
      </c>
      <c r="AB90" s="417" t="e">
        <f>CONCATENATED!AE249</f>
        <v>#REF!</v>
      </c>
      <c r="AC90" s="535"/>
      <c r="AD90" s="332" t="e">
        <f t="shared" si="35"/>
        <v>#N/A</v>
      </c>
      <c r="AE90" s="332" t="e">
        <f t="shared" si="36"/>
        <v>#N/A</v>
      </c>
      <c r="AF90" s="332" t="e">
        <f t="shared" si="34"/>
        <v>#N/A</v>
      </c>
      <c r="AG90" s="332" t="e">
        <f t="shared" si="37"/>
        <v>#N/A</v>
      </c>
      <c r="AH90" s="332" t="e">
        <f t="shared" si="38"/>
        <v>#N/A</v>
      </c>
      <c r="AI90" s="332" t="e">
        <f t="shared" si="39"/>
        <v>#N/A</v>
      </c>
      <c r="AJ90" s="332" t="e">
        <f t="shared" si="40"/>
        <v>#N/A</v>
      </c>
      <c r="AK90" s="332" t="e">
        <f t="shared" si="41"/>
        <v>#N/A</v>
      </c>
      <c r="AL90" s="332" t="e">
        <f t="shared" si="42"/>
        <v>#N/A</v>
      </c>
      <c r="AM90" s="332" t="e">
        <f t="shared" si="43"/>
        <v>#N/A</v>
      </c>
      <c r="AN90" s="332" t="e">
        <f t="shared" si="44"/>
        <v>#N/A</v>
      </c>
      <c r="AO90" s="332" t="e">
        <f t="shared" si="45"/>
        <v>#N/A</v>
      </c>
      <c r="AP90" s="332" t="e">
        <f t="shared" si="46"/>
        <v>#N/A</v>
      </c>
      <c r="AQ90" s="332" t="e">
        <f t="shared" si="47"/>
        <v>#N/A</v>
      </c>
      <c r="AR90" s="332" t="e">
        <f t="shared" si="48"/>
        <v>#N/A</v>
      </c>
      <c r="AS90" s="332" t="e">
        <f t="shared" si="49"/>
        <v>#N/A</v>
      </c>
      <c r="AT90" s="332" t="e">
        <f t="shared" si="50"/>
        <v>#N/A</v>
      </c>
      <c r="AU90" s="332" t="e">
        <f t="shared" si="51"/>
        <v>#N/A</v>
      </c>
      <c r="AV90" s="332" t="e">
        <f t="shared" si="52"/>
        <v>#N/A</v>
      </c>
      <c r="AW90" s="332" t="e">
        <f t="shared" si="53"/>
        <v>#N/A</v>
      </c>
      <c r="AX90" s="332" t="e">
        <f t="shared" si="54"/>
        <v>#N/A</v>
      </c>
      <c r="AY90" s="332" t="e">
        <f t="shared" si="55"/>
        <v>#N/A</v>
      </c>
      <c r="AZ90" s="332" t="e">
        <f t="shared" si="56"/>
        <v>#N/A</v>
      </c>
      <c r="BA90" s="332" t="e">
        <f t="shared" si="57"/>
        <v>#N/A</v>
      </c>
      <c r="BB90" s="332" t="e">
        <f t="shared" si="58"/>
        <v>#N/A</v>
      </c>
      <c r="BC90" s="332" t="e">
        <f t="shared" si="59"/>
        <v>#N/A</v>
      </c>
      <c r="BD90" s="332" t="e">
        <f t="shared" si="60"/>
        <v>#N/A</v>
      </c>
      <c r="BE90" s="332" t="e">
        <f t="shared" si="61"/>
        <v>#N/A</v>
      </c>
      <c r="BF90" s="332" t="e">
        <f t="shared" si="62"/>
        <v>#N/A</v>
      </c>
      <c r="BG90" s="332" t="e">
        <f t="shared" si="63"/>
        <v>#N/A</v>
      </c>
      <c r="BH90" s="332" t="e">
        <f t="shared" si="64"/>
        <v>#N/A</v>
      </c>
      <c r="BI90" s="332" t="e">
        <f t="shared" si="65"/>
        <v>#N/A</v>
      </c>
      <c r="BJ90" s="332" t="e">
        <f t="shared" si="66"/>
        <v>#N/A</v>
      </c>
      <c r="BK90" s="332" t="e">
        <f t="shared" si="67"/>
        <v>#N/A</v>
      </c>
      <c r="BL90" s="535"/>
    </row>
    <row r="91" spans="1:64" ht="31.8" thickBot="1" x14ac:dyDescent="0.3">
      <c r="A91" s="400">
        <v>82</v>
      </c>
      <c r="B91" s="417" t="e">
        <f>CONCATENATED!E252</f>
        <v>#REF!</v>
      </c>
      <c r="C91" s="417" t="e">
        <f>CONCATENATED!F252</f>
        <v>#REF!</v>
      </c>
      <c r="D91" s="417" t="e">
        <f>CONCATENATED!G252</f>
        <v>#REF!</v>
      </c>
      <c r="E91" s="417" t="e">
        <f>CONCATENATED!H252</f>
        <v>#REF!</v>
      </c>
      <c r="F91" s="417" t="e">
        <f>CONCATENATED!I252</f>
        <v>#REF!</v>
      </c>
      <c r="G91" s="417" t="e">
        <f>CONCATENATED!J252</f>
        <v>#REF!</v>
      </c>
      <c r="H91" s="417" t="e">
        <f>CONCATENATED!K252</f>
        <v>#REF!</v>
      </c>
      <c r="I91" s="417" t="str">
        <f>CONCATENATED!L252</f>
        <v xml:space="preserve">BSME/SEP2020/J-FT [Y2S1  (50) Students] :  </v>
      </c>
      <c r="J91" s="417" t="str">
        <f>CONCATENATED!M252</f>
        <v xml:space="preserve">BSME/AUG2021/J-FT [Y1S2  (55) Students] :  </v>
      </c>
      <c r="K91" s="417" t="e">
        <f>CONCATENATED!N252</f>
        <v>#REF!</v>
      </c>
      <c r="L91" s="417" t="e">
        <f>CONCATENATED!O252</f>
        <v>#REF!</v>
      </c>
      <c r="M91" s="417" t="str">
        <f>CONCATENATED!P252</f>
        <v xml:space="preserve">BTME/SEP2019/S-PT [Y3S1   (10) Students] :  </v>
      </c>
      <c r="N91" s="417" t="str">
        <f>CONCATENATED!Q252</f>
        <v>BTME/AUG2021/S-PT [Y2S2   (10) Students] TMC 4226: AHMED/KITI LAB</v>
      </c>
      <c r="O91" s="417" t="e">
        <f>CONCATENATED!R252</f>
        <v>#REF!</v>
      </c>
      <c r="P91" s="417" t="e">
        <f>CONCATENATED!S252</f>
        <v>#REF!</v>
      </c>
      <c r="Q91" s="417" t="str">
        <f>CONCATENATED!T252</f>
        <v xml:space="preserve">BTME/AUG2021/J&amp;S-FT [Y1S1  (52) Students] :  </v>
      </c>
      <c r="R91" s="417" t="e">
        <f>CONCATENATED!U252</f>
        <v>#REF!</v>
      </c>
      <c r="S91" s="417" t="e">
        <f>CONCATENATED!V252</f>
        <v>#REF!</v>
      </c>
      <c r="T91" s="417" t="e">
        <f>CONCATENATED!W252</f>
        <v>#REF!</v>
      </c>
      <c r="U91" s="417" t="e">
        <f>CONCATENATED!X252</f>
        <v>#REF!</v>
      </c>
      <c r="V91" s="417" t="e">
        <f>CONCATENATED!Y252</f>
        <v>#REF!</v>
      </c>
      <c r="W91" s="417" t="e">
        <f>CONCATENATED!Z252</f>
        <v>#REF!</v>
      </c>
      <c r="X91" s="417" t="e">
        <f>CONCATENATED!AA252</f>
        <v>#REF!</v>
      </c>
      <c r="Y91" s="417" t="e">
        <f>CONCATENATED!AB252</f>
        <v>#REF!</v>
      </c>
      <c r="Z91" s="417" t="str">
        <f>CONCATENATED!AC252</f>
        <v xml:space="preserve">DMAE/SEP20201J&amp;S-FT [Y1S2   (60) Students] :  </v>
      </c>
      <c r="AA91" s="417" t="e">
        <f>CONCATENATED!AD252</f>
        <v>#REF!</v>
      </c>
      <c r="AB91" s="417" t="e">
        <f>CONCATENATED!AE252</f>
        <v>#REF!</v>
      </c>
      <c r="AC91" s="535"/>
      <c r="AD91" s="332" t="e">
        <f t="shared" si="35"/>
        <v>#N/A</v>
      </c>
      <c r="AE91" s="332" t="e">
        <f t="shared" si="36"/>
        <v>#N/A</v>
      </c>
      <c r="AF91" s="332" t="e">
        <f t="shared" si="34"/>
        <v>#N/A</v>
      </c>
      <c r="AG91" s="332" t="e">
        <f t="shared" si="37"/>
        <v>#N/A</v>
      </c>
      <c r="AH91" s="332" t="e">
        <f t="shared" si="38"/>
        <v>#N/A</v>
      </c>
      <c r="AI91" s="332" t="e">
        <f t="shared" si="39"/>
        <v>#N/A</v>
      </c>
      <c r="AJ91" s="332" t="e">
        <f t="shared" si="40"/>
        <v>#N/A</v>
      </c>
      <c r="AK91" s="332" t="e">
        <f t="shared" si="41"/>
        <v>#N/A</v>
      </c>
      <c r="AL91" s="332" t="e">
        <f t="shared" si="42"/>
        <v>#N/A</v>
      </c>
      <c r="AM91" s="332" t="e">
        <f t="shared" si="43"/>
        <v>#N/A</v>
      </c>
      <c r="AN91" s="332" t="e">
        <f t="shared" si="44"/>
        <v>#N/A</v>
      </c>
      <c r="AO91" s="332" t="e">
        <f t="shared" si="45"/>
        <v>#N/A</v>
      </c>
      <c r="AP91" s="332" t="e">
        <f t="shared" si="46"/>
        <v>#N/A</v>
      </c>
      <c r="AQ91" s="332" t="e">
        <f t="shared" si="47"/>
        <v>#N/A</v>
      </c>
      <c r="AR91" s="332" t="e">
        <f t="shared" si="48"/>
        <v>#N/A</v>
      </c>
      <c r="AS91" s="332" t="e">
        <f t="shared" si="49"/>
        <v>#N/A</v>
      </c>
      <c r="AT91" s="332" t="e">
        <f t="shared" si="50"/>
        <v>#N/A</v>
      </c>
      <c r="AU91" s="332" t="e">
        <f t="shared" si="51"/>
        <v>#N/A</v>
      </c>
      <c r="AV91" s="332" t="e">
        <f t="shared" si="52"/>
        <v>#N/A</v>
      </c>
      <c r="AW91" s="332" t="e">
        <f t="shared" si="53"/>
        <v>#N/A</v>
      </c>
      <c r="AX91" s="332" t="e">
        <f t="shared" si="54"/>
        <v>#N/A</v>
      </c>
      <c r="AY91" s="332" t="e">
        <f t="shared" si="55"/>
        <v>#N/A</v>
      </c>
      <c r="AZ91" s="332" t="e">
        <f t="shared" si="56"/>
        <v>#N/A</v>
      </c>
      <c r="BA91" s="332" t="e">
        <f t="shared" si="57"/>
        <v>#N/A</v>
      </c>
      <c r="BB91" s="332" t="e">
        <f t="shared" si="58"/>
        <v>#N/A</v>
      </c>
      <c r="BC91" s="332" t="e">
        <f t="shared" si="59"/>
        <v>#N/A</v>
      </c>
      <c r="BD91" s="332" t="e">
        <f t="shared" si="60"/>
        <v>#N/A</v>
      </c>
      <c r="BE91" s="332" t="e">
        <f t="shared" si="61"/>
        <v>#N/A</v>
      </c>
      <c r="BF91" s="332" t="e">
        <f t="shared" si="62"/>
        <v>#N/A</v>
      </c>
      <c r="BG91" s="332" t="e">
        <f t="shared" si="63"/>
        <v>#N/A</v>
      </c>
      <c r="BH91" s="332" t="e">
        <f t="shared" si="64"/>
        <v>#N/A</v>
      </c>
      <c r="BI91" s="332" t="e">
        <f t="shared" si="65"/>
        <v>#N/A</v>
      </c>
      <c r="BJ91" s="332" t="e">
        <f t="shared" si="66"/>
        <v>#N/A</v>
      </c>
      <c r="BK91" s="332" t="e">
        <f t="shared" si="67"/>
        <v>#N/A</v>
      </c>
      <c r="BL91" s="535"/>
    </row>
    <row r="92" spans="1:64" ht="31.8" thickBot="1" x14ac:dyDescent="0.3">
      <c r="A92" s="400">
        <v>83</v>
      </c>
      <c r="B92" s="417" t="e">
        <f>CONCATENATED!E255</f>
        <v>#REF!</v>
      </c>
      <c r="C92" s="417" t="e">
        <f>CONCATENATED!F255</f>
        <v>#REF!</v>
      </c>
      <c r="D92" s="417" t="e">
        <f>CONCATENATED!G255</f>
        <v>#REF!</v>
      </c>
      <c r="E92" s="417" t="e">
        <f>CONCATENATED!H255</f>
        <v>#REF!</v>
      </c>
      <c r="F92" s="417" t="e">
        <f>CONCATENATED!I255</f>
        <v>#REF!</v>
      </c>
      <c r="G92" s="417" t="e">
        <f>CONCATENATED!J255</f>
        <v>#REF!</v>
      </c>
      <c r="H92" s="417" t="e">
        <f>CONCATENATED!K255</f>
        <v>#REF!</v>
      </c>
      <c r="I92" s="417" t="str">
        <f>CONCATENATED!L255</f>
        <v xml:space="preserve">BSME/SEP2020/J-FT [Y2S1  (50) Students] :  </v>
      </c>
      <c r="J92" s="417" t="str">
        <f>CONCATENATED!M255</f>
        <v xml:space="preserve">BSME/AUG2021/J-FT [Y1S2  (55) Students] :  </v>
      </c>
      <c r="K92" s="417" t="e">
        <f>CONCATENATED!N255</f>
        <v>#REF!</v>
      </c>
      <c r="L92" s="417" t="e">
        <f>CONCATENATED!O255</f>
        <v>#REF!</v>
      </c>
      <c r="M92" s="417" t="str">
        <f>CONCATENATED!P255</f>
        <v xml:space="preserve">BTME/SEP2019/S-PT [Y3S1   (10) Students] :  </v>
      </c>
      <c r="N92" s="417" t="str">
        <f>CONCATENATED!Q255</f>
        <v xml:space="preserve">BTME/AUG2021/S-PT [Y2S2   (10) Students] :  </v>
      </c>
      <c r="O92" s="417" t="e">
        <f>CONCATENATED!R255</f>
        <v>#REF!</v>
      </c>
      <c r="P92" s="417" t="e">
        <f>CONCATENATED!S255</f>
        <v>#REF!</v>
      </c>
      <c r="Q92" s="417" t="str">
        <f>CONCATENATED!T255</f>
        <v xml:space="preserve">BTME/AUG2021/J&amp;S-FT [Y1S1  (52) Students] :  </v>
      </c>
      <c r="R92" s="417" t="e">
        <f>CONCATENATED!U255</f>
        <v>#REF!</v>
      </c>
      <c r="S92" s="417" t="e">
        <f>CONCATENATED!V255</f>
        <v>#REF!</v>
      </c>
      <c r="T92" s="417" t="e">
        <f>CONCATENATED!W255</f>
        <v>#REF!</v>
      </c>
      <c r="U92" s="417" t="e">
        <f>CONCATENATED!X255</f>
        <v>#REF!</v>
      </c>
      <c r="V92" s="417" t="e">
        <f>CONCATENATED!Y255</f>
        <v>#REF!</v>
      </c>
      <c r="W92" s="417" t="e">
        <f>CONCATENATED!Z255</f>
        <v>#REF!</v>
      </c>
      <c r="X92" s="417" t="e">
        <f>CONCATENATED!AA255</f>
        <v>#REF!</v>
      </c>
      <c r="Y92" s="417" t="e">
        <f>CONCATENATED!AB255</f>
        <v>#REF!</v>
      </c>
      <c r="Z92" s="417" t="str">
        <f>CONCATENATED!AC255</f>
        <v xml:space="preserve">DMAE/SEP20201J&amp;S-FT [Y1S2   (60) Students] :  </v>
      </c>
      <c r="AA92" s="417" t="e">
        <f>CONCATENATED!AD255</f>
        <v>#REF!</v>
      </c>
      <c r="AB92" s="417" t="e">
        <f>CONCATENATED!AE255</f>
        <v>#REF!</v>
      </c>
      <c r="AC92" s="535"/>
      <c r="AD92" s="332" t="e">
        <f t="shared" si="35"/>
        <v>#N/A</v>
      </c>
      <c r="AE92" s="332" t="e">
        <f t="shared" si="36"/>
        <v>#N/A</v>
      </c>
      <c r="AF92" s="332" t="e">
        <f t="shared" si="34"/>
        <v>#N/A</v>
      </c>
      <c r="AG92" s="332" t="e">
        <f t="shared" si="37"/>
        <v>#N/A</v>
      </c>
      <c r="AH92" s="332" t="e">
        <f t="shared" si="38"/>
        <v>#N/A</v>
      </c>
      <c r="AI92" s="332" t="e">
        <f t="shared" si="39"/>
        <v>#N/A</v>
      </c>
      <c r="AJ92" s="332" t="e">
        <f t="shared" si="40"/>
        <v>#N/A</v>
      </c>
      <c r="AK92" s="332" t="e">
        <f t="shared" si="41"/>
        <v>#N/A</v>
      </c>
      <c r="AL92" s="332" t="e">
        <f t="shared" si="42"/>
        <v>#N/A</v>
      </c>
      <c r="AM92" s="332" t="e">
        <f t="shared" si="43"/>
        <v>#N/A</v>
      </c>
      <c r="AN92" s="332" t="e">
        <f t="shared" si="44"/>
        <v>#N/A</v>
      </c>
      <c r="AO92" s="332" t="e">
        <f t="shared" si="45"/>
        <v>#N/A</v>
      </c>
      <c r="AP92" s="332" t="e">
        <f t="shared" si="46"/>
        <v>#N/A</v>
      </c>
      <c r="AQ92" s="332" t="e">
        <f t="shared" si="47"/>
        <v>#N/A</v>
      </c>
      <c r="AR92" s="332" t="e">
        <f t="shared" si="48"/>
        <v>#N/A</v>
      </c>
      <c r="AS92" s="332" t="e">
        <f t="shared" si="49"/>
        <v>#N/A</v>
      </c>
      <c r="AT92" s="332" t="e">
        <f t="shared" si="50"/>
        <v>#N/A</v>
      </c>
      <c r="AU92" s="332" t="e">
        <f t="shared" si="51"/>
        <v>#N/A</v>
      </c>
      <c r="AV92" s="332" t="e">
        <f t="shared" si="52"/>
        <v>#N/A</v>
      </c>
      <c r="AW92" s="332" t="e">
        <f t="shared" si="53"/>
        <v>#N/A</v>
      </c>
      <c r="AX92" s="332" t="e">
        <f t="shared" si="54"/>
        <v>#N/A</v>
      </c>
      <c r="AY92" s="332" t="e">
        <f t="shared" si="55"/>
        <v>#N/A</v>
      </c>
      <c r="AZ92" s="332" t="e">
        <f t="shared" si="56"/>
        <v>#N/A</v>
      </c>
      <c r="BA92" s="332" t="e">
        <f t="shared" si="57"/>
        <v>#N/A</v>
      </c>
      <c r="BB92" s="332" t="e">
        <f t="shared" si="58"/>
        <v>#N/A</v>
      </c>
      <c r="BC92" s="332" t="e">
        <f t="shared" si="59"/>
        <v>#N/A</v>
      </c>
      <c r="BD92" s="332" t="e">
        <f t="shared" si="60"/>
        <v>#N/A</v>
      </c>
      <c r="BE92" s="332" t="e">
        <f t="shared" si="61"/>
        <v>#N/A</v>
      </c>
      <c r="BF92" s="332" t="e">
        <f t="shared" si="62"/>
        <v>#N/A</v>
      </c>
      <c r="BG92" s="332" t="e">
        <f t="shared" si="63"/>
        <v>#N/A</v>
      </c>
      <c r="BH92" s="332" t="e">
        <f t="shared" si="64"/>
        <v>#N/A</v>
      </c>
      <c r="BI92" s="332" t="e">
        <f t="shared" si="65"/>
        <v>#N/A</v>
      </c>
      <c r="BJ92" s="332" t="e">
        <f t="shared" si="66"/>
        <v>#N/A</v>
      </c>
      <c r="BK92" s="332" t="e">
        <f t="shared" si="67"/>
        <v>#N/A</v>
      </c>
      <c r="BL92" s="535"/>
    </row>
    <row r="93" spans="1:64" ht="31.8" thickBot="1" x14ac:dyDescent="0.3">
      <c r="A93" s="400">
        <v>84</v>
      </c>
      <c r="B93" s="417" t="e">
        <f>CONCATENATED!E258</f>
        <v>#REF!</v>
      </c>
      <c r="C93" s="417" t="e">
        <f>CONCATENATED!F258</f>
        <v>#REF!</v>
      </c>
      <c r="D93" s="417" t="e">
        <f>CONCATENATED!G258</f>
        <v>#REF!</v>
      </c>
      <c r="E93" s="417" t="e">
        <f>CONCATENATED!H258</f>
        <v>#REF!</v>
      </c>
      <c r="F93" s="417" t="e">
        <f>CONCATENATED!I258</f>
        <v>#REF!</v>
      </c>
      <c r="G93" s="417" t="e">
        <f>CONCATENATED!J258</f>
        <v>#REF!</v>
      </c>
      <c r="H93" s="417" t="e">
        <f>CONCATENATED!K258</f>
        <v>#REF!</v>
      </c>
      <c r="I93" s="417" t="str">
        <f>CONCATENATED!L258</f>
        <v xml:space="preserve">BSME/SEP2020/J-FT [Y2S1  (50) Students] :  </v>
      </c>
      <c r="J93" s="417" t="str">
        <f>CONCATENATED!M258</f>
        <v xml:space="preserve">BSME/AUG2021/J-FT [Y1S2  (55) Students] :  </v>
      </c>
      <c r="K93" s="417" t="e">
        <f>CONCATENATED!N258</f>
        <v>#REF!</v>
      </c>
      <c r="L93" s="417" t="e">
        <f>CONCATENATED!O258</f>
        <v>#REF!</v>
      </c>
      <c r="M93" s="417" t="str">
        <f>CONCATENATED!P258</f>
        <v xml:space="preserve">BTME/SEP2019/S-PT [Y3S1   (10) Students] :  </v>
      </c>
      <c r="N93" s="417" t="str">
        <f>CONCATENATED!Q258</f>
        <v xml:space="preserve">BTME/AUG2021/S-PT [Y2S2   (10) Students] :  </v>
      </c>
      <c r="O93" s="417" t="e">
        <f>CONCATENATED!R258</f>
        <v>#REF!</v>
      </c>
      <c r="P93" s="417" t="e">
        <f>CONCATENATED!S258</f>
        <v>#REF!</v>
      </c>
      <c r="Q93" s="417" t="str">
        <f>CONCATENATED!T258</f>
        <v xml:space="preserve">BTME/AUG2021/J&amp;S-FT [Y1S1  (52) Students] :  </v>
      </c>
      <c r="R93" s="417" t="e">
        <f>CONCATENATED!U258</f>
        <v>#REF!</v>
      </c>
      <c r="S93" s="417" t="e">
        <f>CONCATENATED!V258</f>
        <v>#REF!</v>
      </c>
      <c r="T93" s="417" t="e">
        <f>CONCATENATED!W258</f>
        <v>#REF!</v>
      </c>
      <c r="U93" s="417" t="e">
        <f>CONCATENATED!X258</f>
        <v>#REF!</v>
      </c>
      <c r="V93" s="417" t="e">
        <f>CONCATENATED!Y258</f>
        <v>#REF!</v>
      </c>
      <c r="W93" s="417" t="e">
        <f>CONCATENATED!Z258</f>
        <v>#REF!</v>
      </c>
      <c r="X93" s="417" t="e">
        <f>CONCATENATED!AA258</f>
        <v>#REF!</v>
      </c>
      <c r="Y93" s="417" t="e">
        <f>CONCATENATED!AB258</f>
        <v>#REF!</v>
      </c>
      <c r="Z93" s="417" t="str">
        <f>CONCATENATED!AC258</f>
        <v xml:space="preserve">DMAE/SEP20201J&amp;S-FT [Y1S2   (60) Students] :  </v>
      </c>
      <c r="AA93" s="417" t="e">
        <f>CONCATENATED!AD258</f>
        <v>#REF!</v>
      </c>
      <c r="AB93" s="417" t="e">
        <f>CONCATENATED!AE258</f>
        <v>#REF!</v>
      </c>
      <c r="AC93" s="535"/>
      <c r="AD93" s="345" t="e">
        <f t="shared" si="35"/>
        <v>#N/A</v>
      </c>
      <c r="AE93" s="345" t="e">
        <f t="shared" si="36"/>
        <v>#N/A</v>
      </c>
      <c r="AF93" s="345" t="e">
        <f t="shared" si="34"/>
        <v>#N/A</v>
      </c>
      <c r="AG93" s="345" t="e">
        <f t="shared" si="37"/>
        <v>#N/A</v>
      </c>
      <c r="AH93" s="345" t="e">
        <f t="shared" si="38"/>
        <v>#N/A</v>
      </c>
      <c r="AI93" s="345" t="e">
        <f t="shared" si="39"/>
        <v>#N/A</v>
      </c>
      <c r="AJ93" s="345" t="e">
        <f t="shared" si="40"/>
        <v>#N/A</v>
      </c>
      <c r="AK93" s="345" t="e">
        <f t="shared" si="41"/>
        <v>#N/A</v>
      </c>
      <c r="AL93" s="345" t="e">
        <f t="shared" si="42"/>
        <v>#N/A</v>
      </c>
      <c r="AM93" s="345" t="e">
        <f t="shared" si="43"/>
        <v>#N/A</v>
      </c>
      <c r="AN93" s="345" t="e">
        <f t="shared" si="44"/>
        <v>#N/A</v>
      </c>
      <c r="AO93" s="345" t="e">
        <f t="shared" si="45"/>
        <v>#N/A</v>
      </c>
      <c r="AP93" s="345" t="e">
        <f t="shared" si="46"/>
        <v>#N/A</v>
      </c>
      <c r="AQ93" s="345" t="e">
        <f t="shared" si="47"/>
        <v>#N/A</v>
      </c>
      <c r="AR93" s="345" t="e">
        <f t="shared" si="48"/>
        <v>#N/A</v>
      </c>
      <c r="AS93" s="345" t="e">
        <f t="shared" si="49"/>
        <v>#N/A</v>
      </c>
      <c r="AT93" s="345" t="e">
        <f t="shared" si="50"/>
        <v>#N/A</v>
      </c>
      <c r="AU93" s="345" t="e">
        <f t="shared" si="51"/>
        <v>#N/A</v>
      </c>
      <c r="AV93" s="345" t="e">
        <f t="shared" si="52"/>
        <v>#N/A</v>
      </c>
      <c r="AW93" s="345" t="e">
        <f t="shared" si="53"/>
        <v>#N/A</v>
      </c>
      <c r="AX93" s="345" t="e">
        <f t="shared" si="54"/>
        <v>#N/A</v>
      </c>
      <c r="AY93" s="345" t="e">
        <f t="shared" si="55"/>
        <v>#N/A</v>
      </c>
      <c r="AZ93" s="345" t="e">
        <f t="shared" si="56"/>
        <v>#N/A</v>
      </c>
      <c r="BA93" s="345" t="e">
        <f t="shared" si="57"/>
        <v>#N/A</v>
      </c>
      <c r="BB93" s="345" t="e">
        <f t="shared" si="58"/>
        <v>#N/A</v>
      </c>
      <c r="BC93" s="345" t="e">
        <f t="shared" si="59"/>
        <v>#N/A</v>
      </c>
      <c r="BD93" s="345" t="e">
        <f t="shared" si="60"/>
        <v>#N/A</v>
      </c>
      <c r="BE93" s="345" t="e">
        <f t="shared" si="61"/>
        <v>#N/A</v>
      </c>
      <c r="BF93" s="345" t="e">
        <f t="shared" si="62"/>
        <v>#N/A</v>
      </c>
      <c r="BG93" s="345" t="e">
        <f t="shared" si="63"/>
        <v>#N/A</v>
      </c>
      <c r="BH93" s="345" t="e">
        <f t="shared" si="64"/>
        <v>#N/A</v>
      </c>
      <c r="BI93" s="345" t="e">
        <f t="shared" si="65"/>
        <v>#N/A</v>
      </c>
      <c r="BJ93" s="345" t="e">
        <f t="shared" si="66"/>
        <v>#N/A</v>
      </c>
      <c r="BK93" s="345" t="e">
        <f t="shared" si="67"/>
        <v>#N/A</v>
      </c>
      <c r="BL93" s="535"/>
    </row>
    <row r="94" spans="1:64" ht="31.8" thickBot="1" x14ac:dyDescent="0.3">
      <c r="A94" s="406">
        <v>85</v>
      </c>
      <c r="B94" s="417" t="e">
        <f>CONCATENATED!E261</f>
        <v>#REF!</v>
      </c>
      <c r="C94" s="417" t="e">
        <f>CONCATENATED!F261</f>
        <v>#REF!</v>
      </c>
      <c r="D94" s="417" t="e">
        <f>CONCATENATED!G261</f>
        <v>#REF!</v>
      </c>
      <c r="E94" s="417" t="e">
        <f>CONCATENATED!H261</f>
        <v>#REF!</v>
      </c>
      <c r="F94" s="417" t="e">
        <f>CONCATENATED!I261</f>
        <v>#REF!</v>
      </c>
      <c r="G94" s="417" t="e">
        <f>CONCATENATED!J261</f>
        <v>#REF!</v>
      </c>
      <c r="H94" s="417" t="e">
        <f>CONCATENATED!K261</f>
        <v>#REF!</v>
      </c>
      <c r="I94" s="417" t="str">
        <f>CONCATENATED!L261</f>
        <v xml:space="preserve">BSME/SEP2020/J-FT [Y2S1  (50) Students] :  </v>
      </c>
      <c r="J94" s="417" t="str">
        <f>CONCATENATED!M261</f>
        <v xml:space="preserve">BSME/AUG2021/J-FT [Y1S2  (55) Students] :  </v>
      </c>
      <c r="K94" s="417" t="e">
        <f>CONCATENATED!N261</f>
        <v>#REF!</v>
      </c>
      <c r="L94" s="417" t="e">
        <f>CONCATENATED!O261</f>
        <v>#REF!</v>
      </c>
      <c r="M94" s="417" t="str">
        <f>CONCATENATED!P261</f>
        <v xml:space="preserve">BTME/SEP2019/S-PT [Y3S1   (10) Students] :  </v>
      </c>
      <c r="N94" s="417" t="str">
        <f>CONCATENATED!Q261</f>
        <v xml:space="preserve">BTME/AUG2021/S-PT [Y2S2   (10) Students] :  </v>
      </c>
      <c r="O94" s="417" t="e">
        <f>CONCATENATED!R261</f>
        <v>#REF!</v>
      </c>
      <c r="P94" s="417" t="e">
        <f>CONCATENATED!S261</f>
        <v>#REF!</v>
      </c>
      <c r="Q94" s="417" t="str">
        <f>CONCATENATED!T261</f>
        <v xml:space="preserve">BTME/AUG2021/J&amp;S-FT [Y1S1  (52) Students] :  </v>
      </c>
      <c r="R94" s="417" t="e">
        <f>CONCATENATED!U261</f>
        <v>#REF!</v>
      </c>
      <c r="S94" s="417" t="e">
        <f>CONCATENATED!V261</f>
        <v>#REF!</v>
      </c>
      <c r="T94" s="417" t="e">
        <f>CONCATENATED!W261</f>
        <v>#REF!</v>
      </c>
      <c r="U94" s="417" t="e">
        <f>CONCATENATED!X261</f>
        <v>#REF!</v>
      </c>
      <c r="V94" s="417" t="e">
        <f>CONCATENATED!Y261</f>
        <v>#REF!</v>
      </c>
      <c r="W94" s="417" t="e">
        <f>CONCATENATED!Z261</f>
        <v>#REF!</v>
      </c>
      <c r="X94" s="417" t="e">
        <f>CONCATENATED!AA261</f>
        <v>#REF!</v>
      </c>
      <c r="Y94" s="417" t="e">
        <f>CONCATENATED!AB261</f>
        <v>#REF!</v>
      </c>
      <c r="Z94" s="417" t="str">
        <f>CONCATENATED!AC261</f>
        <v xml:space="preserve">DMAE/SEP20201J&amp;S-FT [Y1S2   (60) Students] :  </v>
      </c>
      <c r="AA94" s="417" t="e">
        <f>CONCATENATED!AD261</f>
        <v>#REF!</v>
      </c>
      <c r="AB94" s="417" t="e">
        <f>CONCATENATED!AE261</f>
        <v>#REF!</v>
      </c>
      <c r="AC94" s="535"/>
      <c r="AD94" s="345" t="e">
        <f t="shared" si="35"/>
        <v>#N/A</v>
      </c>
      <c r="AE94" s="345" t="e">
        <f t="shared" si="36"/>
        <v>#N/A</v>
      </c>
      <c r="AF94" s="345" t="e">
        <f t="shared" si="34"/>
        <v>#N/A</v>
      </c>
      <c r="AG94" s="345" t="e">
        <f t="shared" si="37"/>
        <v>#N/A</v>
      </c>
      <c r="AH94" s="345" t="e">
        <f t="shared" si="38"/>
        <v>#N/A</v>
      </c>
      <c r="AI94" s="345" t="e">
        <f t="shared" si="39"/>
        <v>#N/A</v>
      </c>
      <c r="AJ94" s="345" t="e">
        <f t="shared" si="40"/>
        <v>#N/A</v>
      </c>
      <c r="AK94" s="345" t="e">
        <f t="shared" si="41"/>
        <v>#N/A</v>
      </c>
      <c r="AL94" s="345" t="e">
        <f t="shared" si="42"/>
        <v>#N/A</v>
      </c>
      <c r="AM94" s="345" t="e">
        <f t="shared" si="43"/>
        <v>#N/A</v>
      </c>
      <c r="AN94" s="345" t="e">
        <f t="shared" si="44"/>
        <v>#N/A</v>
      </c>
      <c r="AO94" s="345" t="e">
        <f t="shared" si="45"/>
        <v>#N/A</v>
      </c>
      <c r="AP94" s="345" t="e">
        <f t="shared" si="46"/>
        <v>#N/A</v>
      </c>
      <c r="AQ94" s="345" t="e">
        <f t="shared" si="47"/>
        <v>#N/A</v>
      </c>
      <c r="AR94" s="345" t="e">
        <f t="shared" si="48"/>
        <v>#N/A</v>
      </c>
      <c r="AS94" s="345" t="e">
        <f t="shared" si="49"/>
        <v>#N/A</v>
      </c>
      <c r="AT94" s="345" t="e">
        <f t="shared" si="50"/>
        <v>#N/A</v>
      </c>
      <c r="AU94" s="345" t="e">
        <f t="shared" si="51"/>
        <v>#N/A</v>
      </c>
      <c r="AV94" s="345" t="e">
        <f t="shared" si="52"/>
        <v>#N/A</v>
      </c>
      <c r="AW94" s="345" t="e">
        <f t="shared" si="53"/>
        <v>#N/A</v>
      </c>
      <c r="AX94" s="345" t="e">
        <f t="shared" si="54"/>
        <v>#N/A</v>
      </c>
      <c r="AY94" s="345" t="e">
        <f t="shared" si="55"/>
        <v>#N/A</v>
      </c>
      <c r="AZ94" s="345" t="e">
        <f t="shared" si="56"/>
        <v>#N/A</v>
      </c>
      <c r="BA94" s="345" t="e">
        <f t="shared" si="57"/>
        <v>#N/A</v>
      </c>
      <c r="BB94" s="345" t="e">
        <f t="shared" si="58"/>
        <v>#N/A</v>
      </c>
      <c r="BC94" s="345" t="e">
        <f t="shared" si="59"/>
        <v>#N/A</v>
      </c>
      <c r="BD94" s="345" t="e">
        <f t="shared" si="60"/>
        <v>#N/A</v>
      </c>
      <c r="BE94" s="345" t="e">
        <f t="shared" si="61"/>
        <v>#N/A</v>
      </c>
      <c r="BF94" s="345" t="e">
        <f t="shared" si="62"/>
        <v>#N/A</v>
      </c>
      <c r="BG94" s="345" t="e">
        <f t="shared" si="63"/>
        <v>#N/A</v>
      </c>
      <c r="BH94" s="345" t="e">
        <f t="shared" si="64"/>
        <v>#N/A</v>
      </c>
      <c r="BI94" s="345" t="e">
        <f t="shared" si="65"/>
        <v>#N/A</v>
      </c>
      <c r="BJ94" s="345" t="e">
        <f t="shared" si="66"/>
        <v>#N/A</v>
      </c>
      <c r="BK94" s="345" t="e">
        <f t="shared" si="67"/>
        <v>#N/A</v>
      </c>
      <c r="BL94" s="535"/>
    </row>
    <row r="95" spans="1:64" ht="31.8" thickBot="1" x14ac:dyDescent="0.3">
      <c r="A95" s="400">
        <v>86</v>
      </c>
      <c r="B95" s="418" t="e">
        <f>CONCATENATED!E264</f>
        <v>#REF!</v>
      </c>
      <c r="C95" s="418" t="e">
        <f>CONCATENATED!F264</f>
        <v>#REF!</v>
      </c>
      <c r="D95" s="418" t="e">
        <f>CONCATENATED!G264</f>
        <v>#REF!</v>
      </c>
      <c r="E95" s="418" t="e">
        <f>CONCATENATED!H264</f>
        <v>#REF!</v>
      </c>
      <c r="F95" s="418" t="e">
        <f>CONCATENATED!I264</f>
        <v>#REF!</v>
      </c>
      <c r="G95" s="418" t="e">
        <f>CONCATENATED!J264</f>
        <v>#REF!</v>
      </c>
      <c r="H95" s="418" t="e">
        <f>CONCATENATED!K264</f>
        <v>#REF!</v>
      </c>
      <c r="I95" s="418" t="str">
        <f>CONCATENATED!L264</f>
        <v xml:space="preserve">BSME/SEP2020/J-FT [Y2S1  (50) Students] :  </v>
      </c>
      <c r="J95" s="418" t="str">
        <f>CONCATENATED!M264</f>
        <v xml:space="preserve">BSME/AUG2021/J-FT [Y1S2  (55) Students] :  </v>
      </c>
      <c r="K95" s="418" t="e">
        <f>CONCATENATED!N264</f>
        <v>#REF!</v>
      </c>
      <c r="L95" s="418" t="e">
        <f>CONCATENATED!O264</f>
        <v>#REF!</v>
      </c>
      <c r="M95" s="418" t="str">
        <f>CONCATENATED!P264</f>
        <v xml:space="preserve">BTME/SEP2019/S-PT [Y3S1   (10) Students] :  </v>
      </c>
      <c r="N95" s="418" t="str">
        <f>CONCATENATED!Q264</f>
        <v xml:space="preserve">BTME/AUG2021/S-PT [Y2S2   (10) Students] :  </v>
      </c>
      <c r="O95" s="418" t="e">
        <f>CONCATENATED!R264</f>
        <v>#REF!</v>
      </c>
      <c r="P95" s="418" t="e">
        <f>CONCATENATED!S264</f>
        <v>#REF!</v>
      </c>
      <c r="Q95" s="418" t="str">
        <f>CONCATENATED!T264</f>
        <v xml:space="preserve">BTME/AUG2021/J&amp;S-FT [Y1S1  (52) Students] :  </v>
      </c>
      <c r="R95" s="418" t="e">
        <f>CONCATENATED!U264</f>
        <v>#REF!</v>
      </c>
      <c r="S95" s="418" t="e">
        <f>CONCATENATED!V264</f>
        <v>#REF!</v>
      </c>
      <c r="T95" s="418" t="e">
        <f>CONCATENATED!W264</f>
        <v>#REF!</v>
      </c>
      <c r="U95" s="418" t="e">
        <f>CONCATENATED!X264</f>
        <v>#REF!</v>
      </c>
      <c r="V95" s="418" t="e">
        <f>CONCATENATED!Y264</f>
        <v>#REF!</v>
      </c>
      <c r="W95" s="418" t="e">
        <f>CONCATENATED!Z264</f>
        <v>#REF!</v>
      </c>
      <c r="X95" s="418" t="e">
        <f>CONCATENATED!AA264</f>
        <v>#REF!</v>
      </c>
      <c r="Y95" s="418" t="e">
        <f>CONCATENATED!AB264</f>
        <v>#REF!</v>
      </c>
      <c r="Z95" s="418" t="str">
        <f>CONCATENATED!AC264</f>
        <v xml:space="preserve">DMAE/SEP20201J&amp;S-FT [Y1S2   (60) Students] :  </v>
      </c>
      <c r="AA95" s="418" t="e">
        <f>CONCATENATED!AD264</f>
        <v>#REF!</v>
      </c>
      <c r="AB95" s="418" t="e">
        <f>CONCATENATED!AE264</f>
        <v>#REF!</v>
      </c>
      <c r="AC95" s="535"/>
      <c r="AD95" s="320" t="e">
        <f t="shared" si="35"/>
        <v>#N/A</v>
      </c>
      <c r="AE95" s="320" t="e">
        <f t="shared" si="36"/>
        <v>#N/A</v>
      </c>
      <c r="AF95" s="320" t="e">
        <f t="shared" si="34"/>
        <v>#N/A</v>
      </c>
      <c r="AG95" s="320" t="e">
        <f t="shared" si="37"/>
        <v>#N/A</v>
      </c>
      <c r="AH95" s="320" t="e">
        <f t="shared" si="38"/>
        <v>#N/A</v>
      </c>
      <c r="AI95" s="320" t="e">
        <f t="shared" si="39"/>
        <v>#N/A</v>
      </c>
      <c r="AJ95" s="320" t="e">
        <f t="shared" si="40"/>
        <v>#N/A</v>
      </c>
      <c r="AK95" s="320" t="e">
        <f t="shared" si="41"/>
        <v>#N/A</v>
      </c>
      <c r="AL95" s="320" t="e">
        <f t="shared" si="42"/>
        <v>#N/A</v>
      </c>
      <c r="AM95" s="320" t="e">
        <f t="shared" si="43"/>
        <v>#N/A</v>
      </c>
      <c r="AN95" s="320" t="e">
        <f t="shared" si="44"/>
        <v>#N/A</v>
      </c>
      <c r="AO95" s="320" t="e">
        <f t="shared" si="45"/>
        <v>#N/A</v>
      </c>
      <c r="AP95" s="320" t="e">
        <f t="shared" si="46"/>
        <v>#N/A</v>
      </c>
      <c r="AQ95" s="320" t="e">
        <f t="shared" si="47"/>
        <v>#N/A</v>
      </c>
      <c r="AR95" s="320" t="e">
        <f t="shared" si="48"/>
        <v>#N/A</v>
      </c>
      <c r="AS95" s="320" t="e">
        <f t="shared" si="49"/>
        <v>#N/A</v>
      </c>
      <c r="AT95" s="320" t="e">
        <f t="shared" si="50"/>
        <v>#N/A</v>
      </c>
      <c r="AU95" s="320" t="e">
        <f t="shared" si="51"/>
        <v>#N/A</v>
      </c>
      <c r="AV95" s="320" t="e">
        <f t="shared" si="52"/>
        <v>#N/A</v>
      </c>
      <c r="AW95" s="320" t="e">
        <f t="shared" si="53"/>
        <v>#N/A</v>
      </c>
      <c r="AX95" s="320" t="e">
        <f t="shared" si="54"/>
        <v>#N/A</v>
      </c>
      <c r="AY95" s="320" t="e">
        <f t="shared" si="55"/>
        <v>#N/A</v>
      </c>
      <c r="AZ95" s="320" t="e">
        <f t="shared" si="56"/>
        <v>#N/A</v>
      </c>
      <c r="BA95" s="320" t="e">
        <f t="shared" si="57"/>
        <v>#N/A</v>
      </c>
      <c r="BB95" s="320" t="e">
        <f t="shared" si="58"/>
        <v>#N/A</v>
      </c>
      <c r="BC95" s="320" t="e">
        <f t="shared" si="59"/>
        <v>#N/A</v>
      </c>
      <c r="BD95" s="320" t="e">
        <f t="shared" si="60"/>
        <v>#N/A</v>
      </c>
      <c r="BE95" s="320" t="e">
        <f t="shared" si="61"/>
        <v>#N/A</v>
      </c>
      <c r="BF95" s="320" t="e">
        <f t="shared" si="62"/>
        <v>#N/A</v>
      </c>
      <c r="BG95" s="320" t="e">
        <f t="shared" si="63"/>
        <v>#N/A</v>
      </c>
      <c r="BH95" s="320" t="e">
        <f t="shared" si="64"/>
        <v>#N/A</v>
      </c>
      <c r="BI95" s="320" t="e">
        <f t="shared" si="65"/>
        <v>#N/A</v>
      </c>
      <c r="BJ95" s="320" t="e">
        <f t="shared" si="66"/>
        <v>#N/A</v>
      </c>
      <c r="BK95" s="320" t="e">
        <f t="shared" si="67"/>
        <v>#N/A</v>
      </c>
      <c r="BL95" s="535"/>
    </row>
    <row r="96" spans="1:64" ht="31.8" thickBot="1" x14ac:dyDescent="0.3">
      <c r="A96" s="400">
        <v>87</v>
      </c>
      <c r="B96" s="417" t="e">
        <f>CONCATENATED!E267</f>
        <v>#REF!</v>
      </c>
      <c r="C96" s="417" t="e">
        <f>CONCATENATED!F267</f>
        <v>#REF!</v>
      </c>
      <c r="D96" s="417" t="e">
        <f>CONCATENATED!G267</f>
        <v>#REF!</v>
      </c>
      <c r="E96" s="417" t="e">
        <f>CONCATENATED!H267</f>
        <v>#REF!</v>
      </c>
      <c r="F96" s="417" t="e">
        <f>CONCATENATED!I267</f>
        <v>#REF!</v>
      </c>
      <c r="G96" s="417" t="e">
        <f>CONCATENATED!J267</f>
        <v>#REF!</v>
      </c>
      <c r="H96" s="417" t="e">
        <f>CONCATENATED!K267</f>
        <v>#REF!</v>
      </c>
      <c r="I96" s="417" t="str">
        <f>CONCATENATED!L267</f>
        <v xml:space="preserve">BSME/SEP2020/J-FT [Y2S1  (50) Students] :  </v>
      </c>
      <c r="J96" s="417" t="str">
        <f>CONCATENATED!M267</f>
        <v xml:space="preserve">BSME/AUG2021/J-FT [Y1S2  (55) Students] :  </v>
      </c>
      <c r="K96" s="417" t="e">
        <f>CONCATENATED!N267</f>
        <v>#REF!</v>
      </c>
      <c r="L96" s="417" t="e">
        <f>CONCATENATED!O267</f>
        <v>#REF!</v>
      </c>
      <c r="M96" s="417" t="str">
        <f>CONCATENATED!P267</f>
        <v xml:space="preserve">BTME/SEP2019/S-PT [Y3S1   (10) Students] :  </v>
      </c>
      <c r="N96" s="417" t="str">
        <f>CONCATENATED!Q267</f>
        <v xml:space="preserve">BTME/AUG2021/S-PT [Y2S2   (10) Students] :  </v>
      </c>
      <c r="O96" s="417" t="e">
        <f>CONCATENATED!R267</f>
        <v>#REF!</v>
      </c>
      <c r="P96" s="417" t="e">
        <f>CONCATENATED!S267</f>
        <v>#REF!</v>
      </c>
      <c r="Q96" s="417" t="str">
        <f>CONCATENATED!T267</f>
        <v xml:space="preserve">BTME/AUG2021/J&amp;S-FT [Y1S1  (52) Students] :  </v>
      </c>
      <c r="R96" s="417" t="e">
        <f>CONCATENATED!U267</f>
        <v>#REF!</v>
      </c>
      <c r="S96" s="417" t="e">
        <f>CONCATENATED!V267</f>
        <v>#REF!</v>
      </c>
      <c r="T96" s="417" t="e">
        <f>CONCATENATED!W267</f>
        <v>#REF!</v>
      </c>
      <c r="U96" s="417" t="e">
        <f>CONCATENATED!X267</f>
        <v>#REF!</v>
      </c>
      <c r="V96" s="417" t="e">
        <f>CONCATENATED!Y267</f>
        <v>#REF!</v>
      </c>
      <c r="W96" s="417" t="e">
        <f>CONCATENATED!Z267</f>
        <v>#REF!</v>
      </c>
      <c r="X96" s="417" t="e">
        <f>CONCATENATED!AA267</f>
        <v>#REF!</v>
      </c>
      <c r="Y96" s="417" t="e">
        <f>CONCATENATED!AB267</f>
        <v>#REF!</v>
      </c>
      <c r="Z96" s="417" t="str">
        <f>CONCATENATED!AC267</f>
        <v xml:space="preserve">DMAE/SEP20201J&amp;S-FT [Y1S2   (60) Students] :  </v>
      </c>
      <c r="AA96" s="417" t="e">
        <f>CONCATENATED!AD267</f>
        <v>#REF!</v>
      </c>
      <c r="AB96" s="417" t="e">
        <f>CONCATENATED!AE267</f>
        <v>#REF!</v>
      </c>
      <c r="AC96" s="535"/>
      <c r="AD96" s="389" t="e">
        <f t="shared" si="35"/>
        <v>#N/A</v>
      </c>
      <c r="AE96" s="389" t="e">
        <f t="shared" si="36"/>
        <v>#N/A</v>
      </c>
      <c r="AF96" s="389" t="e">
        <f t="shared" si="34"/>
        <v>#N/A</v>
      </c>
      <c r="AG96" s="389" t="e">
        <f t="shared" si="37"/>
        <v>#N/A</v>
      </c>
      <c r="AH96" s="389" t="e">
        <f t="shared" si="38"/>
        <v>#N/A</v>
      </c>
      <c r="AI96" s="389" t="e">
        <f t="shared" si="39"/>
        <v>#N/A</v>
      </c>
      <c r="AJ96" s="389" t="e">
        <f t="shared" si="40"/>
        <v>#N/A</v>
      </c>
      <c r="AK96" s="389" t="e">
        <f t="shared" si="41"/>
        <v>#N/A</v>
      </c>
      <c r="AL96" s="389" t="e">
        <f t="shared" si="42"/>
        <v>#N/A</v>
      </c>
      <c r="AM96" s="389" t="e">
        <f t="shared" si="43"/>
        <v>#N/A</v>
      </c>
      <c r="AN96" s="389" t="e">
        <f t="shared" si="44"/>
        <v>#N/A</v>
      </c>
      <c r="AO96" s="389" t="e">
        <f t="shared" si="45"/>
        <v>#N/A</v>
      </c>
      <c r="AP96" s="389" t="e">
        <f t="shared" si="46"/>
        <v>#N/A</v>
      </c>
      <c r="AQ96" s="389" t="e">
        <f t="shared" si="47"/>
        <v>#N/A</v>
      </c>
      <c r="AR96" s="389" t="e">
        <f t="shared" si="48"/>
        <v>#N/A</v>
      </c>
      <c r="AS96" s="389" t="e">
        <f t="shared" si="49"/>
        <v>#N/A</v>
      </c>
      <c r="AT96" s="389" t="e">
        <f t="shared" si="50"/>
        <v>#N/A</v>
      </c>
      <c r="AU96" s="389" t="e">
        <f t="shared" si="51"/>
        <v>#N/A</v>
      </c>
      <c r="AV96" s="389" t="e">
        <f t="shared" si="52"/>
        <v>#N/A</v>
      </c>
      <c r="AW96" s="389" t="e">
        <f t="shared" si="53"/>
        <v>#N/A</v>
      </c>
      <c r="AX96" s="389" t="e">
        <f t="shared" si="54"/>
        <v>#N/A</v>
      </c>
      <c r="AY96" s="389" t="e">
        <f t="shared" si="55"/>
        <v>#N/A</v>
      </c>
      <c r="AZ96" s="389" t="e">
        <f t="shared" si="56"/>
        <v>#N/A</v>
      </c>
      <c r="BA96" s="389" t="e">
        <f t="shared" si="57"/>
        <v>#N/A</v>
      </c>
      <c r="BB96" s="389" t="e">
        <f t="shared" si="58"/>
        <v>#N/A</v>
      </c>
      <c r="BC96" s="389" t="e">
        <f t="shared" si="59"/>
        <v>#N/A</v>
      </c>
      <c r="BD96" s="389" t="e">
        <f t="shared" si="60"/>
        <v>#N/A</v>
      </c>
      <c r="BE96" s="389" t="e">
        <f t="shared" si="61"/>
        <v>#N/A</v>
      </c>
      <c r="BF96" s="389" t="e">
        <f t="shared" si="62"/>
        <v>#N/A</v>
      </c>
      <c r="BG96" s="389" t="e">
        <f t="shared" si="63"/>
        <v>#N/A</v>
      </c>
      <c r="BH96" s="389" t="e">
        <f t="shared" si="64"/>
        <v>#N/A</v>
      </c>
      <c r="BI96" s="389" t="e">
        <f t="shared" si="65"/>
        <v>#N/A</v>
      </c>
      <c r="BJ96" s="389" t="e">
        <f t="shared" si="66"/>
        <v>#N/A</v>
      </c>
      <c r="BK96" s="389" t="e">
        <f t="shared" si="67"/>
        <v>#N/A</v>
      </c>
      <c r="BL96" s="535"/>
    </row>
    <row r="97" spans="1:64" ht="31.8" thickBot="1" x14ac:dyDescent="0.3">
      <c r="A97" s="400">
        <v>88</v>
      </c>
      <c r="B97" s="417" t="e">
        <f>CONCATENATED!E270</f>
        <v>#REF!</v>
      </c>
      <c r="C97" s="417" t="e">
        <f>CONCATENATED!F270</f>
        <v>#REF!</v>
      </c>
      <c r="D97" s="417" t="e">
        <f>CONCATENATED!G270</f>
        <v>#REF!</v>
      </c>
      <c r="E97" s="417" t="e">
        <f>CONCATENATED!H270</f>
        <v>#REF!</v>
      </c>
      <c r="F97" s="417" t="e">
        <f>CONCATENATED!I270</f>
        <v>#REF!</v>
      </c>
      <c r="G97" s="417" t="e">
        <f>CONCATENATED!J270</f>
        <v>#REF!</v>
      </c>
      <c r="H97" s="417" t="e">
        <f>CONCATENATED!K270</f>
        <v>#REF!</v>
      </c>
      <c r="I97" s="417" t="str">
        <f>CONCATENATED!L270</f>
        <v xml:space="preserve">BSME/SEP2020/J-FT [Y2S1  (50) Students] :  </v>
      </c>
      <c r="J97" s="417" t="str">
        <f>CONCATENATED!M270</f>
        <v xml:space="preserve">BSME/AUG2021/J-FT [Y1S2  (55) Students] :  </v>
      </c>
      <c r="K97" s="417" t="e">
        <f>CONCATENATED!N270</f>
        <v>#REF!</v>
      </c>
      <c r="L97" s="417" t="e">
        <f>CONCATENATED!O270</f>
        <v>#REF!</v>
      </c>
      <c r="M97" s="417" t="str">
        <f>CONCATENATED!P270</f>
        <v xml:space="preserve">BTME/SEP2019/S-PT [Y3S1   (10) Students] :  </v>
      </c>
      <c r="N97" s="417" t="str">
        <f>CONCATENATED!Q270</f>
        <v xml:space="preserve">BTME/AUG2021/S-PT [Y2S2   (10) Students] :  </v>
      </c>
      <c r="O97" s="417" t="e">
        <f>CONCATENATED!R270</f>
        <v>#REF!</v>
      </c>
      <c r="P97" s="417" t="e">
        <f>CONCATENATED!S270</f>
        <v>#REF!</v>
      </c>
      <c r="Q97" s="417" t="str">
        <f>CONCATENATED!T270</f>
        <v xml:space="preserve">BTME/AUG2021/J&amp;S-FT [Y1S1  (52) Students] :  </v>
      </c>
      <c r="R97" s="417" t="e">
        <f>CONCATENATED!U270</f>
        <v>#REF!</v>
      </c>
      <c r="S97" s="417" t="e">
        <f>CONCATENATED!V270</f>
        <v>#REF!</v>
      </c>
      <c r="T97" s="417" t="e">
        <f>CONCATENATED!W270</f>
        <v>#REF!</v>
      </c>
      <c r="U97" s="417" t="e">
        <f>CONCATENATED!X270</f>
        <v>#REF!</v>
      </c>
      <c r="V97" s="417" t="e">
        <f>CONCATENATED!Y270</f>
        <v>#REF!</v>
      </c>
      <c r="W97" s="417" t="e">
        <f>CONCATENATED!Z270</f>
        <v>#REF!</v>
      </c>
      <c r="X97" s="417" t="e">
        <f>CONCATENATED!AA270</f>
        <v>#REF!</v>
      </c>
      <c r="Y97" s="417" t="e">
        <f>CONCATENATED!AB270</f>
        <v>#REF!</v>
      </c>
      <c r="Z97" s="417" t="str">
        <f>CONCATENATED!AC270</f>
        <v xml:space="preserve">DMAE/SEP20201J&amp;S-FT [Y1S2   (60) Students] :  </v>
      </c>
      <c r="AA97" s="417" t="e">
        <f>CONCATENATED!AD270</f>
        <v>#REF!</v>
      </c>
      <c r="AB97" s="417" t="e">
        <f>CONCATENATED!AE270</f>
        <v>#REF!</v>
      </c>
      <c r="AC97" s="535"/>
      <c r="AD97" s="390" t="e">
        <f t="shared" si="35"/>
        <v>#N/A</v>
      </c>
      <c r="AE97" s="390" t="e">
        <f t="shared" si="36"/>
        <v>#N/A</v>
      </c>
      <c r="AF97" s="390" t="e">
        <f t="shared" si="34"/>
        <v>#N/A</v>
      </c>
      <c r="AG97" s="390" t="e">
        <f t="shared" si="37"/>
        <v>#N/A</v>
      </c>
      <c r="AH97" s="390" t="e">
        <f t="shared" si="38"/>
        <v>#N/A</v>
      </c>
      <c r="AI97" s="390" t="e">
        <f t="shared" si="39"/>
        <v>#N/A</v>
      </c>
      <c r="AJ97" s="390" t="e">
        <f t="shared" si="40"/>
        <v>#N/A</v>
      </c>
      <c r="AK97" s="390" t="e">
        <f t="shared" si="41"/>
        <v>#N/A</v>
      </c>
      <c r="AL97" s="390" t="e">
        <f t="shared" si="42"/>
        <v>#N/A</v>
      </c>
      <c r="AM97" s="390" t="e">
        <f t="shared" si="43"/>
        <v>#N/A</v>
      </c>
      <c r="AN97" s="390" t="e">
        <f t="shared" si="44"/>
        <v>#N/A</v>
      </c>
      <c r="AO97" s="390" t="e">
        <f t="shared" si="45"/>
        <v>#N/A</v>
      </c>
      <c r="AP97" s="390" t="e">
        <f t="shared" si="46"/>
        <v>#N/A</v>
      </c>
      <c r="AQ97" s="390" t="e">
        <f t="shared" si="47"/>
        <v>#N/A</v>
      </c>
      <c r="AR97" s="390" t="e">
        <f t="shared" si="48"/>
        <v>#N/A</v>
      </c>
      <c r="AS97" s="390" t="e">
        <f t="shared" si="49"/>
        <v>#N/A</v>
      </c>
      <c r="AT97" s="390" t="e">
        <f t="shared" si="50"/>
        <v>#N/A</v>
      </c>
      <c r="AU97" s="390" t="e">
        <f t="shared" si="51"/>
        <v>#N/A</v>
      </c>
      <c r="AV97" s="390" t="e">
        <f t="shared" si="52"/>
        <v>#N/A</v>
      </c>
      <c r="AW97" s="390" t="e">
        <f t="shared" si="53"/>
        <v>#N/A</v>
      </c>
      <c r="AX97" s="390" t="e">
        <f t="shared" si="54"/>
        <v>#N/A</v>
      </c>
      <c r="AY97" s="390" t="e">
        <f t="shared" si="55"/>
        <v>#N/A</v>
      </c>
      <c r="AZ97" s="390" t="e">
        <f t="shared" si="56"/>
        <v>#N/A</v>
      </c>
      <c r="BA97" s="390" t="e">
        <f t="shared" si="57"/>
        <v>#N/A</v>
      </c>
      <c r="BB97" s="390" t="e">
        <f t="shared" si="58"/>
        <v>#N/A</v>
      </c>
      <c r="BC97" s="390" t="e">
        <f t="shared" si="59"/>
        <v>#N/A</v>
      </c>
      <c r="BD97" s="390" t="e">
        <f t="shared" si="60"/>
        <v>#N/A</v>
      </c>
      <c r="BE97" s="390" t="e">
        <f t="shared" si="61"/>
        <v>#N/A</v>
      </c>
      <c r="BF97" s="390" t="e">
        <f t="shared" si="62"/>
        <v>#N/A</v>
      </c>
      <c r="BG97" s="390" t="e">
        <f t="shared" si="63"/>
        <v>#N/A</v>
      </c>
      <c r="BH97" s="390" t="e">
        <f t="shared" si="64"/>
        <v>#N/A</v>
      </c>
      <c r="BI97" s="390" t="e">
        <f t="shared" si="65"/>
        <v>#N/A</v>
      </c>
      <c r="BJ97" s="390" t="e">
        <f t="shared" si="66"/>
        <v>#N/A</v>
      </c>
      <c r="BK97" s="390" t="e">
        <f t="shared" si="67"/>
        <v>#N/A</v>
      </c>
      <c r="BL97" s="535"/>
    </row>
    <row r="98" spans="1:64" ht="31.8" thickBot="1" x14ac:dyDescent="0.3">
      <c r="A98" s="400">
        <v>89</v>
      </c>
      <c r="B98" s="417" t="e">
        <f>CONCATENATED!E273</f>
        <v>#REF!</v>
      </c>
      <c r="C98" s="417" t="e">
        <f>CONCATENATED!F273</f>
        <v>#REF!</v>
      </c>
      <c r="D98" s="417" t="e">
        <f>CONCATENATED!G273</f>
        <v>#REF!</v>
      </c>
      <c r="E98" s="417" t="e">
        <f>CONCATENATED!H273</f>
        <v>#REF!</v>
      </c>
      <c r="F98" s="417" t="e">
        <f>CONCATENATED!I273</f>
        <v>#REF!</v>
      </c>
      <c r="G98" s="417" t="e">
        <f>CONCATENATED!J273</f>
        <v>#REF!</v>
      </c>
      <c r="H98" s="417" t="e">
        <f>CONCATENATED!K273</f>
        <v>#REF!</v>
      </c>
      <c r="I98" s="417" t="str">
        <f>CONCATENATED!L273</f>
        <v xml:space="preserve">BSME/SEP2020/J-FT [Y2S1  (50) Students] :  </v>
      </c>
      <c r="J98" s="417" t="str">
        <f>CONCATENATED!M273</f>
        <v xml:space="preserve">BSME/AUG2021/J-FT [Y1S2  (55) Students] :  </v>
      </c>
      <c r="K98" s="417" t="e">
        <f>CONCATENATED!N273</f>
        <v>#REF!</v>
      </c>
      <c r="L98" s="417" t="e">
        <f>CONCATENATED!O273</f>
        <v>#REF!</v>
      </c>
      <c r="M98" s="417" t="str">
        <f>CONCATENATED!P273</f>
        <v xml:space="preserve">BTME/SEP2019/S-PT [Y3S1   (10) Students] :  </v>
      </c>
      <c r="N98" s="417" t="str">
        <f>CONCATENATED!Q273</f>
        <v xml:space="preserve">BTME/AUG2021/S-PT [Y2S2   (10) Students] :  </v>
      </c>
      <c r="O98" s="417" t="e">
        <f>CONCATENATED!R273</f>
        <v>#REF!</v>
      </c>
      <c r="P98" s="417" t="e">
        <f>CONCATENATED!S273</f>
        <v>#REF!</v>
      </c>
      <c r="Q98" s="417" t="str">
        <f>CONCATENATED!T273</f>
        <v xml:space="preserve">BTME/AUG2021/J&amp;S-FT [Y1S1  (52) Students] :  </v>
      </c>
      <c r="R98" s="417" t="e">
        <f>CONCATENATED!U273</f>
        <v>#REF!</v>
      </c>
      <c r="S98" s="417" t="e">
        <f>CONCATENATED!V273</f>
        <v>#REF!</v>
      </c>
      <c r="T98" s="417" t="e">
        <f>CONCATENATED!W273</f>
        <v>#REF!</v>
      </c>
      <c r="U98" s="417" t="e">
        <f>CONCATENATED!X273</f>
        <v>#REF!</v>
      </c>
      <c r="V98" s="417" t="e">
        <f>CONCATENATED!Y273</f>
        <v>#REF!</v>
      </c>
      <c r="W98" s="417" t="e">
        <f>CONCATENATED!Z273</f>
        <v>#REF!</v>
      </c>
      <c r="X98" s="417" t="e">
        <f>CONCATENATED!AA273</f>
        <v>#REF!</v>
      </c>
      <c r="Y98" s="417" t="e">
        <f>CONCATENATED!AB273</f>
        <v>#REF!</v>
      </c>
      <c r="Z98" s="417" t="str">
        <f>CONCATENATED!AC273</f>
        <v xml:space="preserve">DMAE/SEP20201J&amp;S-FT [Y1S2   (60) Students] :  </v>
      </c>
      <c r="AA98" s="417" t="e">
        <f>CONCATENATED!AD273</f>
        <v>#REF!</v>
      </c>
      <c r="AB98" s="417" t="e">
        <f>CONCATENATED!AE273</f>
        <v>#REF!</v>
      </c>
      <c r="AC98" s="535"/>
      <c r="AD98" s="391" t="e">
        <f t="shared" si="35"/>
        <v>#N/A</v>
      </c>
      <c r="AE98" s="391" t="e">
        <f t="shared" si="36"/>
        <v>#N/A</v>
      </c>
      <c r="AF98" s="391" t="e">
        <f t="shared" si="34"/>
        <v>#N/A</v>
      </c>
      <c r="AG98" s="391" t="e">
        <f t="shared" si="37"/>
        <v>#N/A</v>
      </c>
      <c r="AH98" s="391" t="e">
        <f t="shared" si="38"/>
        <v>#N/A</v>
      </c>
      <c r="AI98" s="391" t="e">
        <f t="shared" si="39"/>
        <v>#N/A</v>
      </c>
      <c r="AJ98" s="391" t="e">
        <f t="shared" si="40"/>
        <v>#N/A</v>
      </c>
      <c r="AK98" s="391" t="e">
        <f t="shared" si="41"/>
        <v>#N/A</v>
      </c>
      <c r="AL98" s="391" t="e">
        <f t="shared" si="42"/>
        <v>#N/A</v>
      </c>
      <c r="AM98" s="391" t="e">
        <f t="shared" si="43"/>
        <v>#N/A</v>
      </c>
      <c r="AN98" s="391" t="e">
        <f t="shared" si="44"/>
        <v>#N/A</v>
      </c>
      <c r="AO98" s="391" t="e">
        <f t="shared" si="45"/>
        <v>#N/A</v>
      </c>
      <c r="AP98" s="391" t="e">
        <f t="shared" si="46"/>
        <v>#N/A</v>
      </c>
      <c r="AQ98" s="391" t="e">
        <f t="shared" si="47"/>
        <v>#N/A</v>
      </c>
      <c r="AR98" s="391" t="e">
        <f t="shared" si="48"/>
        <v>#N/A</v>
      </c>
      <c r="AS98" s="391" t="e">
        <f t="shared" si="49"/>
        <v>#N/A</v>
      </c>
      <c r="AT98" s="391" t="e">
        <f t="shared" si="50"/>
        <v>#N/A</v>
      </c>
      <c r="AU98" s="391" t="e">
        <f t="shared" si="51"/>
        <v>#N/A</v>
      </c>
      <c r="AV98" s="391" t="e">
        <f t="shared" si="52"/>
        <v>#N/A</v>
      </c>
      <c r="AW98" s="391" t="e">
        <f t="shared" si="53"/>
        <v>#N/A</v>
      </c>
      <c r="AX98" s="391" t="e">
        <f t="shared" si="54"/>
        <v>#N/A</v>
      </c>
      <c r="AY98" s="391" t="e">
        <f t="shared" si="55"/>
        <v>#N/A</v>
      </c>
      <c r="AZ98" s="391" t="e">
        <f t="shared" si="56"/>
        <v>#N/A</v>
      </c>
      <c r="BA98" s="391" t="e">
        <f t="shared" si="57"/>
        <v>#N/A</v>
      </c>
      <c r="BB98" s="391" t="e">
        <f t="shared" si="58"/>
        <v>#N/A</v>
      </c>
      <c r="BC98" s="391" t="e">
        <f t="shared" si="59"/>
        <v>#N/A</v>
      </c>
      <c r="BD98" s="391" t="e">
        <f t="shared" si="60"/>
        <v>#N/A</v>
      </c>
      <c r="BE98" s="391" t="e">
        <f t="shared" si="61"/>
        <v>#N/A</v>
      </c>
      <c r="BF98" s="391" t="e">
        <f t="shared" si="62"/>
        <v>#N/A</v>
      </c>
      <c r="BG98" s="391" t="e">
        <f t="shared" si="63"/>
        <v>#N/A</v>
      </c>
      <c r="BH98" s="391" t="e">
        <f t="shared" si="64"/>
        <v>#N/A</v>
      </c>
      <c r="BI98" s="391" t="e">
        <f t="shared" si="65"/>
        <v>#N/A</v>
      </c>
      <c r="BJ98" s="391" t="e">
        <f t="shared" si="66"/>
        <v>#N/A</v>
      </c>
      <c r="BK98" s="391" t="e">
        <f t="shared" si="67"/>
        <v>#N/A</v>
      </c>
      <c r="BL98" s="535"/>
    </row>
    <row r="99" spans="1:64" ht="31.8" thickBot="1" x14ac:dyDescent="0.3">
      <c r="A99" s="400">
        <v>90</v>
      </c>
      <c r="B99" s="417" t="e">
        <f>CONCATENATED!E276</f>
        <v>#REF!</v>
      </c>
      <c r="C99" s="417" t="e">
        <f>CONCATENATED!F276</f>
        <v>#REF!</v>
      </c>
      <c r="D99" s="417" t="e">
        <f>CONCATENATED!G276</f>
        <v>#REF!</v>
      </c>
      <c r="E99" s="417" t="e">
        <f>CONCATENATED!H276</f>
        <v>#REF!</v>
      </c>
      <c r="F99" s="417" t="e">
        <f>CONCATENATED!I276</f>
        <v>#REF!</v>
      </c>
      <c r="G99" s="417" t="e">
        <f>CONCATENATED!J276</f>
        <v>#REF!</v>
      </c>
      <c r="H99" s="417" t="e">
        <f>CONCATENATED!K276</f>
        <v>#REF!</v>
      </c>
      <c r="I99" s="417" t="str">
        <f>CONCATENATED!L276</f>
        <v xml:space="preserve">BSME/SEP2020/J-FT [Y2S1  (50) Students] :  </v>
      </c>
      <c r="J99" s="417" t="str">
        <f>CONCATENATED!M276</f>
        <v xml:space="preserve">BSME/AUG2021/J-FT [Y1S2  (55) Students] :  </v>
      </c>
      <c r="K99" s="417" t="e">
        <f>CONCATENATED!N276</f>
        <v>#REF!</v>
      </c>
      <c r="L99" s="417" t="e">
        <f>CONCATENATED!O276</f>
        <v>#REF!</v>
      </c>
      <c r="M99" s="417" t="str">
        <f>CONCATENATED!P276</f>
        <v xml:space="preserve">BTME/SEP2019/S-PT [Y3S1   (10) Students] :  </v>
      </c>
      <c r="N99" s="417" t="str">
        <f>CONCATENATED!Q276</f>
        <v xml:space="preserve">BTME/AUG2021/S-PT [Y2S2   (10) Students] :  </v>
      </c>
      <c r="O99" s="417" t="e">
        <f>CONCATENATED!R276</f>
        <v>#REF!</v>
      </c>
      <c r="P99" s="417" t="e">
        <f>CONCATENATED!S276</f>
        <v>#REF!</v>
      </c>
      <c r="Q99" s="417" t="str">
        <f>CONCATENATED!T276</f>
        <v xml:space="preserve">BTME/AUG2021/J&amp;S-FT [Y1S1  (52) Students] :  </v>
      </c>
      <c r="R99" s="417" t="e">
        <f>CONCATENATED!U276</f>
        <v>#REF!</v>
      </c>
      <c r="S99" s="417" t="e">
        <f>CONCATENATED!V276</f>
        <v>#REF!</v>
      </c>
      <c r="T99" s="417" t="e">
        <f>CONCATENATED!W276</f>
        <v>#REF!</v>
      </c>
      <c r="U99" s="417" t="e">
        <f>CONCATENATED!X276</f>
        <v>#REF!</v>
      </c>
      <c r="V99" s="417" t="e">
        <f>CONCATENATED!Y276</f>
        <v>#REF!</v>
      </c>
      <c r="W99" s="417" t="e">
        <f>CONCATENATED!Z276</f>
        <v>#REF!</v>
      </c>
      <c r="X99" s="417" t="e">
        <f>CONCATENATED!AA276</f>
        <v>#REF!</v>
      </c>
      <c r="Y99" s="417" t="e">
        <f>CONCATENATED!AB276</f>
        <v>#REF!</v>
      </c>
      <c r="Z99" s="417" t="str">
        <f>CONCATENATED!AC276</f>
        <v xml:space="preserve">DMAE/SEP20201J&amp;S-FT [Y1S2   (60) Students] :  </v>
      </c>
      <c r="AA99" s="417" t="e">
        <f>CONCATENATED!AD276</f>
        <v>#REF!</v>
      </c>
      <c r="AB99" s="417" t="e">
        <f>CONCATENATED!AE276</f>
        <v>#REF!</v>
      </c>
      <c r="AC99" s="535"/>
      <c r="AD99" s="390" t="e">
        <f t="shared" si="35"/>
        <v>#N/A</v>
      </c>
      <c r="AE99" s="390" t="e">
        <f t="shared" si="36"/>
        <v>#N/A</v>
      </c>
      <c r="AF99" s="390" t="e">
        <f t="shared" si="34"/>
        <v>#N/A</v>
      </c>
      <c r="AG99" s="390" t="e">
        <f t="shared" si="37"/>
        <v>#N/A</v>
      </c>
      <c r="AH99" s="390" t="e">
        <f t="shared" si="38"/>
        <v>#N/A</v>
      </c>
      <c r="AI99" s="390" t="e">
        <f t="shared" si="39"/>
        <v>#N/A</v>
      </c>
      <c r="AJ99" s="390" t="e">
        <f t="shared" si="40"/>
        <v>#N/A</v>
      </c>
      <c r="AK99" s="390" t="e">
        <f t="shared" si="41"/>
        <v>#N/A</v>
      </c>
      <c r="AL99" s="390" t="e">
        <f t="shared" si="42"/>
        <v>#N/A</v>
      </c>
      <c r="AM99" s="390" t="e">
        <f t="shared" si="43"/>
        <v>#N/A</v>
      </c>
      <c r="AN99" s="390" t="e">
        <f t="shared" si="44"/>
        <v>#N/A</v>
      </c>
      <c r="AO99" s="390" t="e">
        <f t="shared" si="45"/>
        <v>#N/A</v>
      </c>
      <c r="AP99" s="390" t="e">
        <f t="shared" si="46"/>
        <v>#N/A</v>
      </c>
      <c r="AQ99" s="390" t="e">
        <f t="shared" si="47"/>
        <v>#N/A</v>
      </c>
      <c r="AR99" s="390" t="e">
        <f t="shared" si="48"/>
        <v>#N/A</v>
      </c>
      <c r="AS99" s="390" t="e">
        <f t="shared" si="49"/>
        <v>#N/A</v>
      </c>
      <c r="AT99" s="390" t="e">
        <f t="shared" si="50"/>
        <v>#N/A</v>
      </c>
      <c r="AU99" s="390" t="e">
        <f t="shared" si="51"/>
        <v>#N/A</v>
      </c>
      <c r="AV99" s="390" t="e">
        <f t="shared" si="52"/>
        <v>#N/A</v>
      </c>
      <c r="AW99" s="390" t="e">
        <f t="shared" si="53"/>
        <v>#N/A</v>
      </c>
      <c r="AX99" s="390" t="e">
        <f t="shared" si="54"/>
        <v>#N/A</v>
      </c>
      <c r="AY99" s="390" t="e">
        <f t="shared" si="55"/>
        <v>#N/A</v>
      </c>
      <c r="AZ99" s="390" t="e">
        <f t="shared" si="56"/>
        <v>#N/A</v>
      </c>
      <c r="BA99" s="390" t="e">
        <f t="shared" si="57"/>
        <v>#N/A</v>
      </c>
      <c r="BB99" s="390" t="e">
        <f t="shared" si="58"/>
        <v>#N/A</v>
      </c>
      <c r="BC99" s="390" t="e">
        <f t="shared" si="59"/>
        <v>#N/A</v>
      </c>
      <c r="BD99" s="390" t="e">
        <f t="shared" si="60"/>
        <v>#N/A</v>
      </c>
      <c r="BE99" s="390" t="e">
        <f t="shared" si="61"/>
        <v>#N/A</v>
      </c>
      <c r="BF99" s="390" t="e">
        <f t="shared" si="62"/>
        <v>#N/A</v>
      </c>
      <c r="BG99" s="390" t="e">
        <f t="shared" si="63"/>
        <v>#N/A</v>
      </c>
      <c r="BH99" s="390" t="e">
        <f t="shared" si="64"/>
        <v>#N/A</v>
      </c>
      <c r="BI99" s="390" t="e">
        <f t="shared" si="65"/>
        <v>#N/A</v>
      </c>
      <c r="BJ99" s="390" t="e">
        <f t="shared" si="66"/>
        <v>#N/A</v>
      </c>
      <c r="BK99" s="390" t="e">
        <f t="shared" si="67"/>
        <v>#N/A</v>
      </c>
      <c r="BL99" s="535"/>
    </row>
    <row r="100" spans="1:64" ht="31.8" thickBot="1" x14ac:dyDescent="0.3">
      <c r="A100" s="400">
        <v>91</v>
      </c>
      <c r="B100" s="417" t="e">
        <f>CONCATENATED!E279</f>
        <v>#REF!</v>
      </c>
      <c r="C100" s="417" t="e">
        <f>CONCATENATED!F279</f>
        <v>#REF!</v>
      </c>
      <c r="D100" s="417" t="e">
        <f>CONCATENATED!G279</f>
        <v>#REF!</v>
      </c>
      <c r="E100" s="417" t="e">
        <f>CONCATENATED!H279</f>
        <v>#REF!</v>
      </c>
      <c r="F100" s="417" t="e">
        <f>CONCATENATED!I279</f>
        <v>#REF!</v>
      </c>
      <c r="G100" s="417" t="e">
        <f>CONCATENATED!J279</f>
        <v>#REF!</v>
      </c>
      <c r="H100" s="417" t="e">
        <f>CONCATENATED!K279</f>
        <v>#REF!</v>
      </c>
      <c r="I100" s="417" t="str">
        <f>CONCATENATED!L279</f>
        <v xml:space="preserve">BSME/SEP2020/J-FT [Y2S1  (50) Students] :  </v>
      </c>
      <c r="J100" s="417" t="str">
        <f>CONCATENATED!M279</f>
        <v xml:space="preserve">BSME/AUG2021/J-FT [Y1S2  (55) Students] :  </v>
      </c>
      <c r="K100" s="417" t="e">
        <f>CONCATENATED!N279</f>
        <v>#REF!</v>
      </c>
      <c r="L100" s="417" t="e">
        <f>CONCATENATED!O279</f>
        <v>#REF!</v>
      </c>
      <c r="M100" s="417" t="str">
        <f>CONCATENATED!P279</f>
        <v xml:space="preserve">BTME/SEP2019/S-PT [Y3S1   (10) Students] :  </v>
      </c>
      <c r="N100" s="417" t="str">
        <f>CONCATENATED!Q279</f>
        <v xml:space="preserve">BTME/AUG2021/S-PT [Y2S2   (10) Students] :  </v>
      </c>
      <c r="O100" s="417" t="e">
        <f>CONCATENATED!R279</f>
        <v>#REF!</v>
      </c>
      <c r="P100" s="417" t="e">
        <f>CONCATENATED!S279</f>
        <v>#REF!</v>
      </c>
      <c r="Q100" s="417" t="str">
        <f>CONCATENATED!T279</f>
        <v xml:space="preserve">BTME/AUG2021/J&amp;S-FT [Y1S1  (52) Students] :  </v>
      </c>
      <c r="R100" s="417" t="e">
        <f>CONCATENATED!U279</f>
        <v>#REF!</v>
      </c>
      <c r="S100" s="417" t="e">
        <f>CONCATENATED!V279</f>
        <v>#REF!</v>
      </c>
      <c r="T100" s="417" t="e">
        <f>CONCATENATED!W279</f>
        <v>#REF!</v>
      </c>
      <c r="U100" s="417" t="e">
        <f>CONCATENATED!X279</f>
        <v>#REF!</v>
      </c>
      <c r="V100" s="417" t="e">
        <f>CONCATENATED!Y279</f>
        <v>#REF!</v>
      </c>
      <c r="W100" s="417" t="e">
        <f>CONCATENATED!Z279</f>
        <v>#REF!</v>
      </c>
      <c r="X100" s="417" t="e">
        <f>CONCATENATED!AA279</f>
        <v>#REF!</v>
      </c>
      <c r="Y100" s="417" t="e">
        <f>CONCATENATED!AB279</f>
        <v>#REF!</v>
      </c>
      <c r="Z100" s="417" t="str">
        <f>CONCATENATED!AC279</f>
        <v xml:space="preserve">DMAE/SEP20201J&amp;S-FT [Y1S2   (60) Students] :  </v>
      </c>
      <c r="AA100" s="417" t="e">
        <f>CONCATENATED!AD279</f>
        <v>#REF!</v>
      </c>
      <c r="AB100" s="417" t="e">
        <f>CONCATENATED!AE279</f>
        <v>#REF!</v>
      </c>
      <c r="AC100" s="535"/>
      <c r="AD100" s="390" t="e">
        <f t="shared" si="35"/>
        <v>#N/A</v>
      </c>
      <c r="AE100" s="390" t="e">
        <f t="shared" si="36"/>
        <v>#N/A</v>
      </c>
      <c r="AF100" s="390" t="e">
        <f t="shared" si="34"/>
        <v>#N/A</v>
      </c>
      <c r="AG100" s="390" t="e">
        <f t="shared" si="37"/>
        <v>#N/A</v>
      </c>
      <c r="AH100" s="390" t="e">
        <f t="shared" si="38"/>
        <v>#N/A</v>
      </c>
      <c r="AI100" s="390" t="e">
        <f t="shared" si="39"/>
        <v>#N/A</v>
      </c>
      <c r="AJ100" s="390" t="e">
        <f t="shared" si="40"/>
        <v>#N/A</v>
      </c>
      <c r="AK100" s="390" t="e">
        <f t="shared" si="41"/>
        <v>#N/A</v>
      </c>
      <c r="AL100" s="390" t="e">
        <f t="shared" si="42"/>
        <v>#N/A</v>
      </c>
      <c r="AM100" s="390" t="e">
        <f t="shared" si="43"/>
        <v>#N/A</v>
      </c>
      <c r="AN100" s="390" t="e">
        <f t="shared" si="44"/>
        <v>#N/A</v>
      </c>
      <c r="AO100" s="390" t="e">
        <f t="shared" si="45"/>
        <v>#N/A</v>
      </c>
      <c r="AP100" s="390" t="e">
        <f t="shared" si="46"/>
        <v>#N/A</v>
      </c>
      <c r="AQ100" s="390" t="e">
        <f t="shared" si="47"/>
        <v>#N/A</v>
      </c>
      <c r="AR100" s="390" t="e">
        <f t="shared" si="48"/>
        <v>#N/A</v>
      </c>
      <c r="AS100" s="390" t="e">
        <f t="shared" si="49"/>
        <v>#N/A</v>
      </c>
      <c r="AT100" s="390" t="e">
        <f t="shared" si="50"/>
        <v>#N/A</v>
      </c>
      <c r="AU100" s="390" t="e">
        <f t="shared" si="51"/>
        <v>#N/A</v>
      </c>
      <c r="AV100" s="390" t="e">
        <f t="shared" si="52"/>
        <v>#N/A</v>
      </c>
      <c r="AW100" s="390" t="e">
        <f t="shared" si="53"/>
        <v>#N/A</v>
      </c>
      <c r="AX100" s="390" t="e">
        <f t="shared" si="54"/>
        <v>#N/A</v>
      </c>
      <c r="AY100" s="390" t="e">
        <f t="shared" si="55"/>
        <v>#N/A</v>
      </c>
      <c r="AZ100" s="390" t="e">
        <f t="shared" si="56"/>
        <v>#N/A</v>
      </c>
      <c r="BA100" s="390" t="e">
        <f t="shared" si="57"/>
        <v>#N/A</v>
      </c>
      <c r="BB100" s="390" t="e">
        <f t="shared" si="58"/>
        <v>#N/A</v>
      </c>
      <c r="BC100" s="390" t="e">
        <f t="shared" si="59"/>
        <v>#N/A</v>
      </c>
      <c r="BD100" s="390" t="e">
        <f t="shared" si="60"/>
        <v>#N/A</v>
      </c>
      <c r="BE100" s="390" t="e">
        <f t="shared" si="61"/>
        <v>#N/A</v>
      </c>
      <c r="BF100" s="390" t="e">
        <f t="shared" si="62"/>
        <v>#N/A</v>
      </c>
      <c r="BG100" s="390" t="e">
        <f t="shared" si="63"/>
        <v>#N/A</v>
      </c>
      <c r="BH100" s="390" t="e">
        <f t="shared" si="64"/>
        <v>#N/A</v>
      </c>
      <c r="BI100" s="390" t="e">
        <f t="shared" si="65"/>
        <v>#N/A</v>
      </c>
      <c r="BJ100" s="390" t="e">
        <f t="shared" si="66"/>
        <v>#N/A</v>
      </c>
      <c r="BK100" s="390" t="e">
        <f t="shared" si="67"/>
        <v>#N/A</v>
      </c>
      <c r="BL100" s="535"/>
    </row>
    <row r="101" spans="1:64" ht="31.8" thickBot="1" x14ac:dyDescent="0.3">
      <c r="B101" s="417" t="e">
        <f>CONCATENATED!E282</f>
        <v>#REF!</v>
      </c>
      <c r="C101" s="417" t="e">
        <f>CONCATENATED!F282</f>
        <v>#REF!</v>
      </c>
      <c r="D101" s="417" t="e">
        <f>CONCATENATED!G282</f>
        <v>#REF!</v>
      </c>
      <c r="E101" s="417" t="e">
        <f>CONCATENATED!H282</f>
        <v>#REF!</v>
      </c>
      <c r="F101" s="417" t="e">
        <f>CONCATENATED!I282</f>
        <v>#REF!</v>
      </c>
      <c r="G101" s="417" t="e">
        <f>CONCATENATED!J282</f>
        <v>#REF!</v>
      </c>
      <c r="H101" s="417" t="e">
        <f>CONCATENATED!K282</f>
        <v>#REF!</v>
      </c>
      <c r="I101" s="417" t="str">
        <f>CONCATENATED!L282</f>
        <v xml:space="preserve">BSME/SEP2020/J-FT [Y2S1  (50) Students] :  </v>
      </c>
      <c r="J101" s="417" t="str">
        <f>CONCATENATED!M282</f>
        <v xml:space="preserve">BSME/AUG2021/J-FT [Y1S2  (55) Students] :  </v>
      </c>
      <c r="K101" s="417" t="e">
        <f>CONCATENATED!N282</f>
        <v>#REF!</v>
      </c>
      <c r="L101" s="417" t="e">
        <f>CONCATENATED!O282</f>
        <v>#REF!</v>
      </c>
      <c r="M101" s="417" t="str">
        <f>CONCATENATED!P282</f>
        <v xml:space="preserve">BTME/SEP2019/S-PT [Y3S1   (10) Students] :  </v>
      </c>
      <c r="N101" s="417" t="str">
        <f>CONCATENATED!Q282</f>
        <v xml:space="preserve">BTME/AUG2021/S-PT [Y2S2   (10) Students] :  </v>
      </c>
      <c r="O101" s="417" t="e">
        <f>CONCATENATED!R282</f>
        <v>#REF!</v>
      </c>
      <c r="P101" s="417" t="e">
        <f>CONCATENATED!S282</f>
        <v>#REF!</v>
      </c>
      <c r="Q101" s="417" t="str">
        <f>CONCATENATED!T282</f>
        <v xml:space="preserve">BTME/AUG2021/J&amp;S-FT [Y1S1  (52) Students] :  </v>
      </c>
      <c r="R101" s="417" t="e">
        <f>CONCATENATED!U282</f>
        <v>#REF!</v>
      </c>
      <c r="S101" s="417" t="e">
        <f>CONCATENATED!V282</f>
        <v>#REF!</v>
      </c>
      <c r="T101" s="417" t="e">
        <f>CONCATENATED!W282</f>
        <v>#REF!</v>
      </c>
      <c r="U101" s="417" t="e">
        <f>CONCATENATED!X282</f>
        <v>#REF!</v>
      </c>
      <c r="V101" s="417" t="e">
        <f>CONCATENATED!Y282</f>
        <v>#REF!</v>
      </c>
      <c r="W101" s="417" t="e">
        <f>CONCATENATED!Z282</f>
        <v>#REF!</v>
      </c>
      <c r="X101" s="417" t="e">
        <f>CONCATENATED!AA282</f>
        <v>#REF!</v>
      </c>
      <c r="Y101" s="417" t="e">
        <f>CONCATENATED!AB282</f>
        <v>#REF!</v>
      </c>
      <c r="Z101" s="417" t="str">
        <f>CONCATENATED!AC282</f>
        <v xml:space="preserve">DMAE/SEP20201J&amp;S-FT [Y1S2   (60) Students] :  </v>
      </c>
      <c r="AA101" s="417" t="e">
        <f>CONCATENATED!AD282</f>
        <v>#REF!</v>
      </c>
      <c r="AB101" s="417" t="e">
        <f>CONCATENATED!AE282</f>
        <v>#REF!</v>
      </c>
      <c r="AC101" s="536"/>
      <c r="AD101" s="390" t="e">
        <f t="shared" si="35"/>
        <v>#N/A</v>
      </c>
      <c r="AE101" s="390" t="e">
        <f t="shared" si="36"/>
        <v>#N/A</v>
      </c>
      <c r="AF101" s="390" t="e">
        <f t="shared" si="34"/>
        <v>#N/A</v>
      </c>
      <c r="AG101" s="390" t="e">
        <f t="shared" si="37"/>
        <v>#N/A</v>
      </c>
      <c r="AH101" s="390" t="e">
        <f t="shared" si="38"/>
        <v>#N/A</v>
      </c>
      <c r="AI101" s="390" t="e">
        <f t="shared" si="39"/>
        <v>#N/A</v>
      </c>
      <c r="AJ101" s="390" t="e">
        <f t="shared" si="40"/>
        <v>#N/A</v>
      </c>
      <c r="AK101" s="390" t="e">
        <f t="shared" si="41"/>
        <v>#N/A</v>
      </c>
      <c r="AL101" s="390" t="e">
        <f t="shared" si="42"/>
        <v>#N/A</v>
      </c>
      <c r="AM101" s="390" t="e">
        <f t="shared" si="43"/>
        <v>#N/A</v>
      </c>
      <c r="AN101" s="390" t="e">
        <f t="shared" si="44"/>
        <v>#N/A</v>
      </c>
      <c r="AO101" s="390" t="e">
        <f t="shared" si="45"/>
        <v>#N/A</v>
      </c>
      <c r="AP101" s="390" t="e">
        <f t="shared" si="46"/>
        <v>#N/A</v>
      </c>
      <c r="AQ101" s="390" t="e">
        <f t="shared" si="47"/>
        <v>#N/A</v>
      </c>
      <c r="AR101" s="390" t="e">
        <f t="shared" si="48"/>
        <v>#N/A</v>
      </c>
      <c r="AS101" s="390" t="e">
        <f t="shared" si="49"/>
        <v>#N/A</v>
      </c>
      <c r="AT101" s="390" t="e">
        <f t="shared" si="50"/>
        <v>#N/A</v>
      </c>
      <c r="AU101" s="390" t="e">
        <f t="shared" si="51"/>
        <v>#N/A</v>
      </c>
      <c r="AV101" s="390" t="e">
        <f t="shared" si="52"/>
        <v>#N/A</v>
      </c>
      <c r="AW101" s="390" t="e">
        <f t="shared" si="53"/>
        <v>#N/A</v>
      </c>
      <c r="AX101" s="390" t="e">
        <f t="shared" si="54"/>
        <v>#N/A</v>
      </c>
      <c r="AY101" s="390" t="e">
        <f t="shared" si="55"/>
        <v>#N/A</v>
      </c>
      <c r="AZ101" s="390" t="e">
        <f t="shared" si="56"/>
        <v>#N/A</v>
      </c>
      <c r="BA101" s="390" t="e">
        <f t="shared" si="57"/>
        <v>#N/A</v>
      </c>
      <c r="BB101" s="390" t="e">
        <f t="shared" si="58"/>
        <v>#N/A</v>
      </c>
      <c r="BC101" s="390" t="e">
        <f t="shared" si="59"/>
        <v>#N/A</v>
      </c>
      <c r="BD101" s="390" t="e">
        <f t="shared" si="60"/>
        <v>#N/A</v>
      </c>
      <c r="BE101" s="390" t="e">
        <f t="shared" si="61"/>
        <v>#N/A</v>
      </c>
      <c r="BF101" s="390" t="e">
        <f t="shared" si="62"/>
        <v>#N/A</v>
      </c>
      <c r="BG101" s="390" t="e">
        <f t="shared" si="63"/>
        <v>#N/A</v>
      </c>
      <c r="BH101" s="390" t="e">
        <f t="shared" si="64"/>
        <v>#N/A</v>
      </c>
      <c r="BI101" s="390" t="e">
        <f t="shared" si="65"/>
        <v>#N/A</v>
      </c>
      <c r="BJ101" s="390" t="e">
        <f t="shared" si="66"/>
        <v>#N/A</v>
      </c>
      <c r="BK101" s="390" t="e">
        <f t="shared" si="67"/>
        <v>#N/A</v>
      </c>
      <c r="BL101" s="536"/>
    </row>
  </sheetData>
  <autoFilter ref="A1:BL101"/>
  <mergeCells count="14">
    <mergeCell ref="AC89:AC101"/>
    <mergeCell ref="BL89:BL101"/>
    <mergeCell ref="AC46:AC58"/>
    <mergeCell ref="BL46:BL58"/>
    <mergeCell ref="AC60:AC72"/>
    <mergeCell ref="BL60:BL72"/>
    <mergeCell ref="AC74:AC86"/>
    <mergeCell ref="BL74:BL86"/>
    <mergeCell ref="AC4:AC16"/>
    <mergeCell ref="BL4:BL16"/>
    <mergeCell ref="AC18:AC30"/>
    <mergeCell ref="BL18:BL30"/>
    <mergeCell ref="AC32:AC44"/>
    <mergeCell ref="BL32:BL44"/>
  </mergeCells>
  <pageMargins left="0.7" right="0.7" top="0.75" bottom="0.75" header="0.3" footer="0.3"/>
  <ignoredErrors>
    <ignoredError sqref="AA4"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Z101"/>
  <sheetViews>
    <sheetView workbookViewId="0">
      <selection activeCell="I5" sqref="I5"/>
    </sheetView>
  </sheetViews>
  <sheetFormatPr defaultColWidth="8.90625" defaultRowHeight="15" x14ac:dyDescent="0.25"/>
  <cols>
    <col min="1" max="1" width="8.90625" style="392"/>
    <col min="2" max="2" width="10.90625" style="392" customWidth="1"/>
    <col min="3" max="3" width="10.08984375" style="392" customWidth="1"/>
    <col min="4" max="4" width="16.36328125" style="392" bestFit="1" customWidth="1"/>
    <col min="5" max="5" width="12.6328125" style="392" customWidth="1"/>
    <col min="6" max="6" width="18.90625" style="392" customWidth="1"/>
    <col min="7" max="7" width="14.90625" style="392" customWidth="1"/>
    <col min="8" max="8" width="17.36328125" style="392" customWidth="1"/>
    <col min="9" max="9" width="21.36328125" style="392" customWidth="1"/>
    <col min="10" max="10" width="15.90625" style="392" customWidth="1"/>
    <col min="11" max="11" width="11.90625" style="392" customWidth="1"/>
    <col min="12" max="12" width="14.6328125" style="392" customWidth="1"/>
    <col min="13" max="13" width="14.54296875" style="392" customWidth="1"/>
    <col min="14" max="14" width="15.54296875" style="392" customWidth="1"/>
    <col min="15" max="15" width="11.6328125" style="392" customWidth="1"/>
    <col min="16" max="16" width="11.453125" style="392" customWidth="1"/>
    <col min="17" max="17" width="12.453125" style="392" customWidth="1"/>
    <col min="18" max="18" width="13.36328125" style="392" customWidth="1"/>
    <col min="19" max="19" width="11.6328125" style="392" customWidth="1"/>
    <col min="20" max="20" width="13.54296875" style="392" customWidth="1"/>
    <col min="21" max="21" width="11.90625" style="392" customWidth="1"/>
    <col min="22" max="22" width="13.1796875" style="392" customWidth="1"/>
    <col min="23" max="23" width="15.6328125" style="392" customWidth="1"/>
    <col min="24" max="24" width="15.54296875" style="392" bestFit="1" customWidth="1"/>
    <col min="25" max="25" width="16.6328125" style="392" bestFit="1" customWidth="1"/>
    <col min="26" max="26" width="15.54296875" style="392" bestFit="1" customWidth="1"/>
    <col min="27" max="27" width="16.54296875" style="392" customWidth="1"/>
    <col min="28" max="28" width="15.54296875" style="392" customWidth="1"/>
    <col min="29" max="29" width="14.453125" style="392" customWidth="1"/>
    <col min="30" max="30" width="17.54296875" style="392" customWidth="1"/>
    <col min="31" max="31" width="14.54296875" style="392" customWidth="1"/>
    <col min="32" max="32" width="15.453125" style="392" customWidth="1"/>
    <col min="33" max="33" width="14.1796875" style="392" customWidth="1"/>
    <col min="34" max="34" width="10.6328125" style="392" customWidth="1"/>
    <col min="35" max="35" width="15.90625" style="392" customWidth="1"/>
    <col min="36" max="16384" width="8.90625" style="392"/>
  </cols>
  <sheetData>
    <row r="1" spans="1:104" s="325" customFormat="1" x14ac:dyDescent="0.25">
      <c r="A1" s="319"/>
      <c r="B1" s="321" t="s">
        <v>25</v>
      </c>
      <c r="C1" s="321" t="s">
        <v>28</v>
      </c>
      <c r="D1" s="321" t="s">
        <v>21</v>
      </c>
      <c r="E1" s="322" t="s">
        <v>24</v>
      </c>
      <c r="F1" s="321" t="s">
        <v>19</v>
      </c>
      <c r="G1" s="321" t="s">
        <v>29</v>
      </c>
      <c r="H1" s="321" t="s">
        <v>4</v>
      </c>
      <c r="I1" s="323" t="s">
        <v>13</v>
      </c>
      <c r="J1" s="321" t="s">
        <v>20</v>
      </c>
      <c r="K1" s="321" t="s">
        <v>27</v>
      </c>
      <c r="L1" s="321" t="s">
        <v>5</v>
      </c>
      <c r="M1" s="324" t="s">
        <v>26</v>
      </c>
      <c r="N1" s="321" t="s">
        <v>15</v>
      </c>
      <c r="O1" s="321" t="s">
        <v>6</v>
      </c>
      <c r="P1" s="321" t="s">
        <v>14</v>
      </c>
      <c r="Q1" s="322" t="s">
        <v>46</v>
      </c>
      <c r="R1" s="321" t="s">
        <v>16</v>
      </c>
      <c r="S1" s="321" t="s">
        <v>18</v>
      </c>
      <c r="T1" s="321" t="s">
        <v>17</v>
      </c>
      <c r="U1" s="321" t="s">
        <v>23</v>
      </c>
      <c r="V1" s="321" t="s">
        <v>76</v>
      </c>
      <c r="W1" s="321" t="s">
        <v>178</v>
      </c>
      <c r="X1" s="321" t="s">
        <v>83</v>
      </c>
      <c r="Y1" s="321" t="s">
        <v>175</v>
      </c>
      <c r="Z1" s="321" t="s">
        <v>149</v>
      </c>
      <c r="AA1" s="321" t="s">
        <v>176</v>
      </c>
      <c r="AB1" s="321" t="s">
        <v>177</v>
      </c>
      <c r="AC1" s="321" t="s">
        <v>86</v>
      </c>
      <c r="AD1" s="321" t="s">
        <v>85</v>
      </c>
      <c r="AE1" s="321" t="s">
        <v>84</v>
      </c>
      <c r="AF1" s="321" t="s">
        <v>136</v>
      </c>
      <c r="AG1" s="321" t="s">
        <v>93</v>
      </c>
      <c r="AH1" s="322" t="s">
        <v>87</v>
      </c>
      <c r="AI1" s="321" t="s">
        <v>92</v>
      </c>
      <c r="AJ1" s="319"/>
    </row>
    <row r="2" spans="1:104" s="325" customFormat="1" x14ac:dyDescent="0.25">
      <c r="A2" s="319"/>
      <c r="B2" s="326">
        <v>40</v>
      </c>
      <c r="C2" s="326">
        <v>30</v>
      </c>
      <c r="D2" s="326">
        <v>40</v>
      </c>
      <c r="E2" s="327">
        <v>30</v>
      </c>
      <c r="F2" s="326">
        <v>30</v>
      </c>
      <c r="G2" s="326">
        <v>20</v>
      </c>
      <c r="H2" s="326">
        <v>40</v>
      </c>
      <c r="I2" s="327">
        <v>35</v>
      </c>
      <c r="J2" s="327">
        <v>40</v>
      </c>
      <c r="K2" s="327">
        <v>35</v>
      </c>
      <c r="L2" s="327">
        <v>70</v>
      </c>
      <c r="M2" s="327">
        <v>35</v>
      </c>
      <c r="N2" s="326">
        <v>20</v>
      </c>
      <c r="O2" s="326">
        <v>70</v>
      </c>
      <c r="P2" s="326">
        <v>35</v>
      </c>
      <c r="Q2" s="327">
        <v>35</v>
      </c>
      <c r="R2" s="326">
        <v>70</v>
      </c>
      <c r="S2" s="326">
        <v>45</v>
      </c>
      <c r="T2" s="326">
        <v>45</v>
      </c>
      <c r="U2" s="326">
        <v>45</v>
      </c>
      <c r="V2" s="326">
        <v>40</v>
      </c>
      <c r="W2" s="326">
        <v>30</v>
      </c>
      <c r="X2" s="326">
        <v>80</v>
      </c>
      <c r="Y2" s="326">
        <v>80</v>
      </c>
      <c r="Z2" s="326"/>
      <c r="AA2" s="326">
        <v>80</v>
      </c>
      <c r="AB2" s="326">
        <v>20</v>
      </c>
      <c r="AC2" s="326">
        <v>80</v>
      </c>
      <c r="AD2" s="326">
        <v>80</v>
      </c>
      <c r="AE2" s="326">
        <v>60</v>
      </c>
      <c r="AF2" s="326">
        <v>60</v>
      </c>
      <c r="AG2" s="326">
        <v>60</v>
      </c>
      <c r="AH2" s="327">
        <v>60</v>
      </c>
      <c r="AI2" s="326">
        <v>200</v>
      </c>
      <c r="AJ2" s="319"/>
    </row>
    <row r="3" spans="1:104" s="325" customFormat="1" ht="15.6" thickBot="1" x14ac:dyDescent="0.3">
      <c r="A3" s="319"/>
      <c r="B3" s="328" t="s">
        <v>40</v>
      </c>
      <c r="C3" s="328" t="s">
        <v>31</v>
      </c>
      <c r="D3" s="328" t="s">
        <v>35</v>
      </c>
      <c r="E3" s="329" t="s">
        <v>32</v>
      </c>
      <c r="F3" s="328" t="s">
        <v>33</v>
      </c>
      <c r="G3" s="328" t="s">
        <v>34</v>
      </c>
      <c r="H3" s="328" t="s">
        <v>36</v>
      </c>
      <c r="I3" s="329" t="s">
        <v>37</v>
      </c>
      <c r="J3" s="329" t="s">
        <v>38</v>
      </c>
      <c r="K3" s="329" t="s">
        <v>39</v>
      </c>
      <c r="L3" s="329" t="s">
        <v>41</v>
      </c>
      <c r="M3" s="329" t="s">
        <v>42</v>
      </c>
      <c r="N3" s="328" t="s">
        <v>43</v>
      </c>
      <c r="O3" s="328" t="s">
        <v>44</v>
      </c>
      <c r="P3" s="328" t="s">
        <v>45</v>
      </c>
      <c r="Q3" s="329" t="s">
        <v>47</v>
      </c>
      <c r="R3" s="328" t="s">
        <v>48</v>
      </c>
      <c r="S3" s="328" t="s">
        <v>49</v>
      </c>
      <c r="T3" s="328" t="s">
        <v>50</v>
      </c>
      <c r="U3" s="328" t="s">
        <v>51</v>
      </c>
      <c r="V3" s="328" t="s">
        <v>52</v>
      </c>
      <c r="W3" s="328" t="s">
        <v>54</v>
      </c>
      <c r="X3" s="328" t="s">
        <v>55</v>
      </c>
      <c r="Y3" s="328" t="s">
        <v>56</v>
      </c>
      <c r="Z3" s="328"/>
      <c r="AA3" s="328" t="s">
        <v>58</v>
      </c>
      <c r="AB3" s="328" t="s">
        <v>179</v>
      </c>
      <c r="AC3" s="328" t="s">
        <v>137</v>
      </c>
      <c r="AD3" s="328" t="s">
        <v>137</v>
      </c>
      <c r="AE3" s="328" t="s">
        <v>137</v>
      </c>
      <c r="AF3" s="328" t="s">
        <v>137</v>
      </c>
      <c r="AG3" s="328" t="s">
        <v>137</v>
      </c>
      <c r="AH3" s="329" t="s">
        <v>137</v>
      </c>
      <c r="AI3" s="328" t="s">
        <v>137</v>
      </c>
      <c r="AJ3" s="319"/>
    </row>
    <row r="4" spans="1:104" s="338" customFormat="1" ht="75" x14ac:dyDescent="0.25">
      <c r="A4" s="533" t="s">
        <v>180</v>
      </c>
      <c r="B4" s="333" t="e">
        <f>IF(MATCHED!AD4=1,MATCHED!$B4,IF(MATCHED!AD4=2,MATCHED!$C4,IF(MATCHED!AD4=3,MATCHED!$D4,IF(MATCHED!AD4=4,MATCHED!$E4,IF(MATCHED!AD4=3,MATCHED!$F4,IF(MATCHED!AD4=6,MATCHED!$G4,IF(MATCHED!AD4=7,MATCHED!$H4,"")))))))&amp;IF(MATCHED!AD4=8,MATCHED!$I4,IF(MATCHED!AD4=9,MATCHED!$J4,IF(MATCHED!AD4=10,MATCHED!$K4,IF(MATCHED!AD4=11,MATCHED!$L4,IF(MATCHED!AD4=12,MATCHED!$M4,IF(MATCHED!AD4=13,MATCHED!$N4,IF(MATCHED!AD4=14,MATCHED!$O4,"")))))))&amp;IF(MATCHED!AD4=15,MATCHED!$P4,IF(MATCHED!AD4=16,MATCHED!$Q4,IF(MATCHED!AD4=17,MATCHED!$R4,IF(MATCHED!AD4=18,MATCHED!$S4,IF(MATCHED!AD4=19,MATCHED!$T4,IF(MATCHED!AD4=20,MATCHED!$U4,IF(MATCHED!AD4=21,MATCHED!$V4,)))))))&amp;IF(MATCHED!AD4=22,MATCHED!$W4,IF(MATCHED!AD4=23,MATCHED!$X4,IF(MATCHED!AD4=24,MATCHED!$Y4,IF(MATCHED!AD4=25,MATCHED!$Z4,IF(MATCHED!AD4=26,MATCHED!$AA4,IF(MATCHED!AD4=27,MATCHED!$AB4,"."))))))</f>
        <v>#N/A</v>
      </c>
      <c r="C4" s="334" t="e">
        <f>IF(MATCHED!AE4=1,MATCHED!$B4,IF(MATCHED!AE4=2,MATCHED!$C4,IF(MATCHED!AE4=3,MATCHED!$D4,IF(MATCHED!AE4=4,MATCHED!$E4,IF(MATCHED!AE4=3,MATCHED!$F4,IF(MATCHED!AE4=6,MATCHED!$G4,IF(MATCHED!AE4=7,MATCHED!$H4,"")))))))&amp;IF(MATCHED!AE4=8,MATCHED!$I4,IF(MATCHED!AE4=9,MATCHED!$J4,IF(MATCHED!AE4=10,MATCHED!$K4,IF(MATCHED!AE4=11,MATCHED!$L4,IF(MATCHED!AE4=12,MATCHED!$M4,IF(MATCHED!AE4=13,MATCHED!$N4,IF(MATCHED!AE4=14,MATCHED!$O4,"")))))))&amp;IF(MATCHED!AE4=15,MATCHED!$P4,IF(MATCHED!AE4=16,MATCHED!$Q4,IF(MATCHED!AE4=17,MATCHED!$R4,IF(MATCHED!AE4=18,MATCHED!$S4,IF(MATCHED!AE4=19,MATCHED!$T4,IF(MATCHED!AE4=20,MATCHED!$U4,IF(MATCHED!AE4=21,MATCHED!$V4,)))))))&amp;IF(MATCHED!AE4=22,MATCHED!$W4,IF(MATCHED!AE4=23,MATCHED!$X4,IF(MATCHED!AE4=24,MATCHED!$Y4,IF(MATCHED!AE4=25,MATCHED!$Z4,IF(MATCHED!AE4=26,MATCHED!$AA4,IF(MATCHED!AE4=27,MATCHED!$AB4,"."))))))</f>
        <v>#N/A</v>
      </c>
      <c r="D4" s="334" t="e">
        <f>IF(MATCHED!AF4=1,MATCHED!$B4,IF(MATCHED!AF4=2,MATCHED!$C4,IF(MATCHED!AF4=3,MATCHED!$D4,IF(MATCHED!AF4=4,MATCHED!$E4,IF(MATCHED!AF4=3,MATCHED!$F4,IF(MATCHED!AF4=6,MATCHED!$G4,IF(MATCHED!AF4=7,MATCHED!$H4,"")))))))&amp;IF(MATCHED!AF4=8,MATCHED!$I4,IF(MATCHED!AF4=9,MATCHED!$J4,IF(MATCHED!AF4=10,MATCHED!$K4,IF(MATCHED!AF4=11,MATCHED!$L4,IF(MATCHED!AF4=12,MATCHED!$M4,IF(MATCHED!AF4=13,MATCHED!$N4,IF(MATCHED!AF4=14,MATCHED!$O4,"")))))))&amp;IF(MATCHED!AF4=15,MATCHED!$P4,IF(MATCHED!AF4=16,MATCHED!$Q4,IF(MATCHED!AF4=17,MATCHED!$R4,IF(MATCHED!AF4=18,MATCHED!$S4,IF(MATCHED!AF4=19,MATCHED!$T4,IF(MATCHED!AF4=20,MATCHED!$U4,IF(MATCHED!AF4=21,MATCHED!$V4,)))))))&amp;IF(MATCHED!AF4=22,MATCHED!$W4,IF(MATCHED!AF4=23,MATCHED!$X4,IF(MATCHED!AF4=24,MATCHED!$Y4,IF(MATCHED!AF4=25,MATCHED!$Z4,IF(MATCHED!AF4=26,MATCHED!$AA4,IF(MATCHED!AF4=27,MATCHED!$AB4,"."))))))</f>
        <v>#N/A</v>
      </c>
      <c r="E4" s="334" t="e">
        <f>IF(MATCHED!AG4=1,MATCHED!$B4,IF(MATCHED!AG4=2,MATCHED!$C4,IF(MATCHED!AG4=3,MATCHED!$D4,IF(MATCHED!AG4=4,MATCHED!$E4,IF(MATCHED!AG4=3,MATCHED!$F4,IF(MATCHED!AG4=6,MATCHED!$G4,IF(MATCHED!AG4=7,MATCHED!$H4,"")))))))&amp;IF(MATCHED!AG4=8,MATCHED!$I4,IF(MATCHED!AG4=9,MATCHED!$J4,IF(MATCHED!AG4=10,MATCHED!$K4,IF(MATCHED!AG4=11,MATCHED!$L4,IF(MATCHED!AG4=12,MATCHED!$M4,IF(MATCHED!AG4=13,MATCHED!$N4,IF(MATCHED!AG4=14,MATCHED!$O4,"")))))))&amp;IF(MATCHED!AG4=15,MATCHED!$P4,IF(MATCHED!AG4=16,MATCHED!$Q4,IF(MATCHED!AG4=17,MATCHED!$R4,IF(MATCHED!AG4=18,MATCHED!$S4,IF(MATCHED!AG4=19,MATCHED!$T4,IF(MATCHED!AG4=20,MATCHED!$U4,IF(MATCHED!AG4=21,MATCHED!$V4,)))))))&amp;IF(MATCHED!AG4=22,MATCHED!$W4,IF(MATCHED!AG4=23,MATCHED!$X4,IF(MATCHED!AG4=24,MATCHED!$Y4,IF(MATCHED!AG4=25,MATCHED!$Z4,IF(MATCHED!AG4=26,MATCHED!$AA4,IF(MATCHED!AG4=27,MATCHED!$AB4,"."))))))</f>
        <v>#N/A</v>
      </c>
      <c r="F4" s="334" t="e">
        <f>IF(MATCHED!AH4=1,MATCHED!$B4,IF(MATCHED!AH4=2,MATCHED!$C4,IF(MATCHED!AH4=3,MATCHED!$D4,IF(MATCHED!AH4=4,MATCHED!$E4,IF(MATCHED!AH4=3,MATCHED!$F4,IF(MATCHED!AH4=6,MATCHED!$G4,IF(MATCHED!AH4=7,MATCHED!$H4,"")))))))&amp;IF(MATCHED!AH4=8,MATCHED!$I4,IF(MATCHED!AH4=9,MATCHED!$J4,IF(MATCHED!AH4=10,MATCHED!$K4,IF(MATCHED!AH4=11,MATCHED!$L4,IF(MATCHED!AH4=12,MATCHED!$M4,IF(MATCHED!AH4=13,MATCHED!$N4,IF(MATCHED!AH4=14,MATCHED!$O4,"")))))))&amp;IF(MATCHED!AH4=15,MATCHED!$P4,IF(MATCHED!AH4=16,MATCHED!$Q4,IF(MATCHED!AH4=17,MATCHED!$R4,IF(MATCHED!AH4=18,MATCHED!$S4,IF(MATCHED!AH4=19,MATCHED!$T4,IF(MATCHED!AH4=20,MATCHED!$U4,IF(MATCHED!AH4=21,MATCHED!$V4,)))))))&amp;IF(MATCHED!AH4=22,MATCHED!$W4,IF(MATCHED!AH4=23,MATCHED!$X4,IF(MATCHED!AH4=24,MATCHED!$Y4,IF(MATCHED!AH4=25,MATCHED!$Z4,IF(MATCHED!AH4=26,MATCHED!$AA4,IF(MATCHED!AH4=27,MATCHED!$AB4,"."))))))</f>
        <v>#N/A</v>
      </c>
      <c r="G4" s="334" t="e">
        <f>IF(MATCHED!AI4=1,MATCHED!$B4,IF(MATCHED!AI4=2,MATCHED!$C4,IF(MATCHED!AI4=3,MATCHED!$D4,IF(MATCHED!AI4=4,MATCHED!$E4,IF(MATCHED!AI4=3,MATCHED!$F4,IF(MATCHED!AI4=6,MATCHED!$G4,IF(MATCHED!AI4=7,MATCHED!$H4,"")))))))&amp;IF(MATCHED!AI4=8,MATCHED!$I4,IF(MATCHED!AI4=9,MATCHED!$J4,IF(MATCHED!AI4=10,MATCHED!$K4,IF(MATCHED!AI4=11,MATCHED!$L4,IF(MATCHED!AI4=12,MATCHED!$M4,IF(MATCHED!AI4=13,MATCHED!$N4,IF(MATCHED!AI4=14,MATCHED!$O4,"")))))))&amp;IF(MATCHED!AI4=15,MATCHED!$P4,IF(MATCHED!AI4=16,MATCHED!$Q4,IF(MATCHED!AI4=17,MATCHED!$R4,IF(MATCHED!AI4=18,MATCHED!$S4,IF(MATCHED!AI4=19,MATCHED!$T4,IF(MATCHED!AI4=20,MATCHED!$U4,IF(MATCHED!AI4=21,MATCHED!$V4,)))))))&amp;IF(MATCHED!AI4=22,MATCHED!$W4,IF(MATCHED!AI4=23,MATCHED!$X4,IF(MATCHED!AI4=24,MATCHED!$Y4,IF(MATCHED!AI4=25,MATCHED!$Z4,IF(MATCHED!AI4=26,MATCHED!$AA4,IF(MATCHED!AI4=27,MATCHED!$AB4,"."))))))</f>
        <v>#N/A</v>
      </c>
      <c r="H4" s="335" t="e">
        <f>IF(MATCHED!AJ4=1,MATCHED!$B4,IF(MATCHED!AJ4=2,MATCHED!$C4,IF(MATCHED!AJ4=3,MATCHED!$D4,IF(MATCHED!AJ4=4,MATCHED!$E4,IF(MATCHED!AJ4=3,MATCHED!$F4,IF(MATCHED!AJ4=6,MATCHED!$G4,IF(MATCHED!AJ4=7,MATCHED!$H4,"")))))))&amp;IF(MATCHED!AJ4=8,MATCHED!$I4,IF(MATCHED!AJ4=9,MATCHED!$J4,IF(MATCHED!AJ4=10,MATCHED!$K4,IF(MATCHED!AJ4=11,MATCHED!$L4,IF(MATCHED!AJ4=12,MATCHED!$M4,IF(MATCHED!AJ4=13,MATCHED!$N4,IF(MATCHED!AJ4=14,MATCHED!$O4,"")))))))&amp;IF(MATCHED!AJ4=15,MATCHED!$P4,IF(MATCHED!AJ4=16,MATCHED!$Q4,IF(MATCHED!AJ4=17,MATCHED!$R4,IF(MATCHED!AJ4=18,MATCHED!$S4,IF(MATCHED!AJ4=19,MATCHED!$T4,IF(MATCHED!AJ4=20,MATCHED!$U4,IF(MATCHED!AJ4=21,MATCHED!$V4,)))))))&amp;IF(MATCHED!AJ4=22,MATCHED!$W4,IF(MATCHED!AJ4=23,MATCHED!$X4,IF(MATCHED!AJ4=24,MATCHED!$Y4,IF(MATCHED!AJ4=25,MATCHED!$Z4,IF(MATCHED!AJ4=26,MATCHED!$AA4,IF(MATCHED!AJ4=27,MATCHED!$AB4,"."))))))</f>
        <v>#N/A</v>
      </c>
      <c r="I4" s="335" t="e">
        <f>IF(MATCHED!AK4=1,MATCHED!$B4,IF(MATCHED!AK4=2,MATCHED!$C4,IF(MATCHED!AK4=3,MATCHED!$D4,IF(MATCHED!AK4=4,MATCHED!$E4,IF(MATCHED!AK4=3,MATCHED!$F4,IF(MATCHED!AK4=6,MATCHED!$G4,IF(MATCHED!AK4=7,MATCHED!$H4,"")))))))&amp;IF(MATCHED!AK4=8,MATCHED!$I4,IF(MATCHED!AK4=9,MATCHED!$J4,IF(MATCHED!AK4=10,MATCHED!$K4,IF(MATCHED!AK4=11,MATCHED!$L4,IF(MATCHED!AK4=12,MATCHED!$M4,IF(MATCHED!AK4=13,MATCHED!$N4,IF(MATCHED!AK4=14,MATCHED!$O4,"")))))))&amp;IF(MATCHED!AK4=15,MATCHED!$P4,IF(MATCHED!AK4=16,MATCHED!$Q4,IF(MATCHED!AK4=17,MATCHED!$R4,IF(MATCHED!AK4=18,MATCHED!$S4,IF(MATCHED!AK4=19,MATCHED!$T4,IF(MATCHED!AK4=20,MATCHED!$U4,IF(MATCHED!AK4=21,MATCHED!$V4,)))))))&amp;IF(MATCHED!AK4=22,MATCHED!$W4,IF(MATCHED!AK4=23,MATCHED!$X4,IF(MATCHED!AK4=24,MATCHED!$Y4,IF(MATCHED!AK4=25,MATCHED!$Z4,IF(MATCHED!AK4=26,MATCHED!$AA4,IF(MATCHED!AK4=27,MATCHED!$AB4,"."))))))</f>
        <v>#N/A</v>
      </c>
      <c r="J4" s="335" t="e">
        <f>IF(MATCHED!AL4=1,MATCHED!$B4,IF(MATCHED!AL4=2,MATCHED!$C4,IF(MATCHED!AL4=3,MATCHED!$D4,IF(MATCHED!AL4=4,MATCHED!$E4,IF(MATCHED!AL4=3,MATCHED!$F4,IF(MATCHED!AL4=6,MATCHED!$G4,IF(MATCHED!AL4=7,MATCHED!$H4,"")))))))&amp;IF(MATCHED!AL4=8,MATCHED!$I4,IF(MATCHED!AL4=9,MATCHED!$J4,IF(MATCHED!AL4=10,MATCHED!$K4,IF(MATCHED!AL4=11,MATCHED!$L4,IF(MATCHED!AL4=12,MATCHED!$M4,IF(MATCHED!AL4=13,MATCHED!$N4,IF(MATCHED!AL4=14,MATCHED!$O4,"")))))))&amp;IF(MATCHED!AL4=15,MATCHED!$P4,IF(MATCHED!AL4=16,MATCHED!$Q4,IF(MATCHED!AL4=17,MATCHED!$R4,IF(MATCHED!AL4=18,MATCHED!$S4,IF(MATCHED!AL4=19,MATCHED!$T4,IF(MATCHED!AL4=20,MATCHED!$U4,IF(MATCHED!AL4=21,MATCHED!$V4,)))))))&amp;IF(MATCHED!AL4=22,MATCHED!$W4,IF(MATCHED!AL4=23,MATCHED!$X4,IF(MATCHED!AL4=24,MATCHED!$Y4,IF(MATCHED!AL4=25,MATCHED!$Z4,IF(MATCHED!AL4=26,MATCHED!$AA4,IF(MATCHED!AL4=27,MATCHED!$AB4,"."))))))</f>
        <v>#N/A</v>
      </c>
      <c r="K4" s="334" t="e">
        <f>IF(MATCHED!AM4=1,MATCHED!$B4,IF(MATCHED!AM4=2,MATCHED!$C4,IF(MATCHED!AM4=3,MATCHED!$D4,IF(MATCHED!AM4=4,MATCHED!$E4,IF(MATCHED!AM4=3,MATCHED!$F4,IF(MATCHED!AM4=6,MATCHED!$G4,IF(MATCHED!AM4=7,MATCHED!$H4,"")))))))&amp;IF(MATCHED!AM4=8,MATCHED!$I4,IF(MATCHED!AM4=9,MATCHED!$J4,IF(MATCHED!AM4=10,MATCHED!$K4,IF(MATCHED!AM4=11,MATCHED!$L4,IF(MATCHED!AM4=12,MATCHED!$M4,IF(MATCHED!AM4=13,MATCHED!$N4,IF(MATCHED!AM4=14,MATCHED!$O4,"")))))))&amp;IF(MATCHED!AM4=15,MATCHED!$P4,IF(MATCHED!AM4=16,MATCHED!$Q4,IF(MATCHED!AM4=17,MATCHED!$R4,IF(MATCHED!AM4=18,MATCHED!$S4,IF(MATCHED!AM4=19,MATCHED!$T4,IF(MATCHED!AM4=20,MATCHED!$U4,IF(MATCHED!AM4=21,MATCHED!$V4,)))))))&amp;IF(MATCHED!AM4=22,MATCHED!$W4,IF(MATCHED!AM4=23,MATCHED!$X4,IF(MATCHED!AM4=24,MATCHED!$Y4,IF(MATCHED!AM4=25,MATCHED!$Z4,IF(MATCHED!AM4=26,MATCHED!$AA4,IF(MATCHED!AM4=27,MATCHED!$AB4,"."))))))</f>
        <v>#N/A</v>
      </c>
      <c r="L4" s="334" t="e">
        <f>IF(MATCHED!AN4=1,MATCHED!$B4,IF(MATCHED!AN4=2,MATCHED!$C4,IF(MATCHED!AN4=3,MATCHED!$D4,IF(MATCHED!AN4=4,MATCHED!$E4,IF(MATCHED!AN4=3,MATCHED!$F4,IF(MATCHED!AN4=6,MATCHED!$G4,IF(MATCHED!AN4=7,MATCHED!$H4,"")))))))&amp;IF(MATCHED!AN4=8,MATCHED!$I4,IF(MATCHED!AN4=9,MATCHED!$J4,IF(MATCHED!AN4=10,MATCHED!$K4,IF(MATCHED!AN4=11,MATCHED!$L4,IF(MATCHED!AN4=12,MATCHED!$M4,IF(MATCHED!AN4=13,MATCHED!$N4,IF(MATCHED!AN4=14,MATCHED!$O4,"")))))))&amp;IF(MATCHED!AN4=15,MATCHED!$P4,IF(MATCHED!AN4=16,MATCHED!$Q4,IF(MATCHED!AN4=17,MATCHED!$R4,IF(MATCHED!AN4=18,MATCHED!$S4,IF(MATCHED!AN4=19,MATCHED!$T4,IF(MATCHED!AN4=20,MATCHED!$U4,IF(MATCHED!AN4=21,MATCHED!$V4,)))))))&amp;IF(MATCHED!AN4=22,MATCHED!$W4,IF(MATCHED!AN4=23,MATCHED!$X4,IF(MATCHED!AN4=24,MATCHED!$Y4,IF(MATCHED!AN4=25,MATCHED!$Z4,IF(MATCHED!AN4=26,MATCHED!$AA4,IF(MATCHED!AN4=27,MATCHED!$AB4,"."))))))</f>
        <v>#N/A</v>
      </c>
      <c r="M4" s="334" t="e">
        <f>IF(MATCHED!AO4=1,MATCHED!$B4,IF(MATCHED!AO4=2,MATCHED!$C4,IF(MATCHED!AO4=3,MATCHED!$D4,IF(MATCHED!AO4=4,MATCHED!$E4,IF(MATCHED!AO4=3,MATCHED!$F4,IF(MATCHED!AO4=6,MATCHED!$G4,IF(MATCHED!AO4=7,MATCHED!$H4,"")))))))&amp;IF(MATCHED!AO4=8,MATCHED!$I4,IF(MATCHED!AO4=9,MATCHED!$J4,IF(MATCHED!AO4=10,MATCHED!$K4,IF(MATCHED!AO4=11,MATCHED!$L4,IF(MATCHED!AO4=12,MATCHED!$M4,IF(MATCHED!AO4=13,MATCHED!$N4,IF(MATCHED!AO4=14,MATCHED!$O4,"")))))))&amp;IF(MATCHED!AO4=15,MATCHED!$P4,IF(MATCHED!AO4=16,MATCHED!$Q4,IF(MATCHED!AO4=17,MATCHED!$R4,IF(MATCHED!AO4=18,MATCHED!$S4,IF(MATCHED!AO4=19,MATCHED!$T4,IF(MATCHED!AO4=20,MATCHED!$U4,IF(MATCHED!AO4=21,MATCHED!$V4,)))))))&amp;IF(MATCHED!AO4=22,MATCHED!$W4,IF(MATCHED!AO4=23,MATCHED!$X4,IF(MATCHED!AO4=24,MATCHED!$Y4,IF(MATCHED!AO4=25,MATCHED!$Z4,IF(MATCHED!AO4=26,MATCHED!$AA4,IF(MATCHED!AO4=27,MATCHED!$AB4,"."))))))</f>
        <v>#N/A</v>
      </c>
      <c r="N4" s="336" t="e">
        <f>IF(MATCHED!AP4=1,MATCHED!$B4,IF(MATCHED!AP4=2,MATCHED!$C4,IF(MATCHED!AP4=3,MATCHED!$D4,IF(MATCHED!AP4=4,MATCHED!$E4,IF(MATCHED!AP4=3,MATCHED!$F4,IF(MATCHED!AP4=6,MATCHED!$G4,IF(MATCHED!AP4=7,MATCHED!$H4,"")))))))&amp;IF(MATCHED!AP4=8,MATCHED!$I4,IF(MATCHED!AP4=9,MATCHED!$J4,IF(MATCHED!AP4=10,MATCHED!$K4,IF(MATCHED!AP4=11,MATCHED!$L4,IF(MATCHED!AP4=12,MATCHED!$M4,IF(MATCHED!AP4=13,MATCHED!$N4,IF(MATCHED!AP4=14,MATCHED!$O4,"")))))))&amp;IF(MATCHED!AP4=15,MATCHED!$P4,IF(MATCHED!AP4=16,MATCHED!$Q4,IF(MATCHED!AP4=17,MATCHED!$R4,IF(MATCHED!AP4=18,MATCHED!$S4,IF(MATCHED!AP4=19,MATCHED!$T4,IF(MATCHED!AP4=20,MATCHED!$U4,IF(MATCHED!AP4=21,MATCHED!$V4,)))))))&amp;IF(MATCHED!AP4=22,MATCHED!$W4,IF(MATCHED!AP4=23,MATCHED!$X4,IF(MATCHED!AP4=24,MATCHED!$Y4,IF(MATCHED!AP4=25,MATCHED!$Z4,IF(MATCHED!AP4=26,MATCHED!$AA4,IF(MATCHED!AP4=27,MATCHED!$AB4,"."))))))</f>
        <v>#N/A</v>
      </c>
      <c r="O4" s="334" t="e">
        <f>IF(MATCHED!AQ4=1,MATCHED!$B4,IF(MATCHED!AQ4=2,MATCHED!$C4,IF(MATCHED!AQ4=3,MATCHED!$D4,IF(MATCHED!AQ4=4,MATCHED!$E4,IF(MATCHED!AQ4=3,MATCHED!$F4,IF(MATCHED!AQ4=6,MATCHED!$G4,IF(MATCHED!AQ4=7,MATCHED!$H4,"")))))))&amp;IF(MATCHED!AQ4=8,MATCHED!$I4,IF(MATCHED!AQ4=9,MATCHED!$J4,IF(MATCHED!AQ4=10,MATCHED!$K4,IF(MATCHED!AQ4=11,MATCHED!$L4,IF(MATCHED!AQ4=12,MATCHED!$M4,IF(MATCHED!AQ4=13,MATCHED!$N4,IF(MATCHED!AQ4=14,MATCHED!$O4,"")))))))&amp;IF(MATCHED!AQ4=15,MATCHED!$P4,IF(MATCHED!AQ4=16,MATCHED!$Q4,IF(MATCHED!AQ4=17,MATCHED!$R4,IF(MATCHED!AQ4=18,MATCHED!$S4,IF(MATCHED!AQ4=19,MATCHED!$T4,IF(MATCHED!AQ4=20,MATCHED!$U4,IF(MATCHED!AQ4=21,MATCHED!$V4,)))))))&amp;IF(MATCHED!AQ4=22,MATCHED!$W4,IF(MATCHED!AQ4=23,MATCHED!$X4,IF(MATCHED!AQ4=24,MATCHED!$Y4,IF(MATCHED!AQ4=25,MATCHED!$Z4,IF(MATCHED!AQ4=26,MATCHED!$AA4,IF(MATCHED!AQ4=27,MATCHED!$AB4,"."))))))</f>
        <v>#N/A</v>
      </c>
      <c r="P4" s="334" t="e">
        <f>IF(MATCHED!AR4=1,MATCHED!$B4,IF(MATCHED!AR4=2,MATCHED!$C4,IF(MATCHED!AR4=3,MATCHED!$D4,IF(MATCHED!AR4=4,MATCHED!$E4,IF(MATCHED!AR4=3,MATCHED!$F4,IF(MATCHED!AR4=6,MATCHED!$G4,IF(MATCHED!AR4=7,MATCHED!$H4,"")))))))&amp;IF(MATCHED!AR4=8,MATCHED!$I4,IF(MATCHED!AR4=9,MATCHED!$J4,IF(MATCHED!AR4=10,MATCHED!$K4,IF(MATCHED!AR4=11,MATCHED!$L4,IF(MATCHED!AR4=12,MATCHED!$M4,IF(MATCHED!AR4=13,MATCHED!$N4,IF(MATCHED!AR4=14,MATCHED!$O4,"")))))))&amp;IF(MATCHED!AR4=15,MATCHED!$P4,IF(MATCHED!AR4=16,MATCHED!$Q4,IF(MATCHED!AR4=17,MATCHED!$R4,IF(MATCHED!AR4=18,MATCHED!$S4,IF(MATCHED!AR4=19,MATCHED!$T4,IF(MATCHED!AR4=20,MATCHED!$U4,IF(MATCHED!AR4=21,MATCHED!$V4,)))))))&amp;IF(MATCHED!AR4=22,MATCHED!$W4,IF(MATCHED!AR4=23,MATCHED!$X4,IF(MATCHED!AR4=24,MATCHED!$Y4,IF(MATCHED!AR4=25,MATCHED!$Z4,IF(MATCHED!AR4=26,MATCHED!$AA4,IF(MATCHED!AR4=27,MATCHED!$AB4,"."))))))</f>
        <v>#N/A</v>
      </c>
      <c r="Q4" s="337" t="e">
        <f>IF(MATCHED!AS4=1,MATCHED!$B4,IF(MATCHED!AS4=2,MATCHED!$C4,IF(MATCHED!AS4=3,MATCHED!$D4,IF(MATCHED!AS4=4,MATCHED!$E4,IF(MATCHED!AS4=3,MATCHED!$F4,IF(MATCHED!AS4=6,MATCHED!$G4,IF(MATCHED!AS4=7,MATCHED!$H4,"")))))))&amp;IF(MATCHED!AS4=8,MATCHED!$I4,IF(MATCHED!AS4=9,MATCHED!$J4,IF(MATCHED!AS4=10,MATCHED!$K4,IF(MATCHED!AS4=11,MATCHED!$L4,IF(MATCHED!AS4=12,MATCHED!$M4,IF(MATCHED!AS4=13,MATCHED!$N4,IF(MATCHED!AS4=14,MATCHED!$O4,"")))))))&amp;IF(MATCHED!AS4=15,MATCHED!$P4,IF(MATCHED!AS4=16,MATCHED!$Q4,IF(MATCHED!AS4=17,MATCHED!$R4,IF(MATCHED!AS4=18,MATCHED!$S4,IF(MATCHED!AS4=19,MATCHED!$T4,IF(MATCHED!AS4=20,MATCHED!$U4,IF(MATCHED!AS4=21,MATCHED!$V4,)))))))&amp;IF(MATCHED!AS4=22,MATCHED!$W4,IF(MATCHED!AS4=23,MATCHED!$X4,IF(MATCHED!AS4=24,MATCHED!$Y4,IF(MATCHED!AS4=25,MATCHED!$Z4,IF(MATCHED!AS4=26,MATCHED!$AA4,IF(MATCHED!AS4=27,MATCHED!$AB4,"."))))))</f>
        <v>#N/A</v>
      </c>
      <c r="R4" s="335" t="e">
        <f>IF(MATCHED!AT4=1,MATCHED!$B4,IF(MATCHED!AT4=2,MATCHED!$C4,IF(MATCHED!AT4=3,MATCHED!$D4,IF(MATCHED!AT4=4,MATCHED!$E4,IF(MATCHED!AT4=3,MATCHED!$F4,IF(MATCHED!AT4=6,MATCHED!$G4,IF(MATCHED!AT4=7,MATCHED!$H4,"")))))))&amp;IF(MATCHED!AT4=8,MATCHED!$I4,IF(MATCHED!AT4=9,MATCHED!$J4,IF(MATCHED!AT4=10,MATCHED!$K4,IF(MATCHED!AT4=11,MATCHED!$L4,IF(MATCHED!AT4=12,MATCHED!$M4,IF(MATCHED!AT4=13,MATCHED!$N4,IF(MATCHED!AT4=14,MATCHED!$O4,"")))))))&amp;IF(MATCHED!AT4=15,MATCHED!$P4,IF(MATCHED!AT4=16,MATCHED!$Q4,IF(MATCHED!AT4=17,MATCHED!$R4,IF(MATCHED!AT4=18,MATCHED!$S4,IF(MATCHED!AT4=19,MATCHED!$T4,IF(MATCHED!AT4=20,MATCHED!$U4,IF(MATCHED!AT4=21,MATCHED!$V4,)))))))&amp;IF(MATCHED!AT4=22,MATCHED!$W4,IF(MATCHED!AT4=23,MATCHED!$X4,IF(MATCHED!AT4=24,MATCHED!$Y4,IF(MATCHED!AT4=25,MATCHED!$Z4,IF(MATCHED!AT4=26,MATCHED!$AA4,IF(MATCHED!AT4=27,MATCHED!$AB4,"."))))))</f>
        <v>#N/A</v>
      </c>
      <c r="S4" s="335" t="e">
        <f>IF(MATCHED!AU4=1,MATCHED!$B4,IF(MATCHED!AU4=2,MATCHED!$C4,IF(MATCHED!AU4=3,MATCHED!$D4,IF(MATCHED!AU4=4,MATCHED!$E4,IF(MATCHED!AU4=3,MATCHED!$F4,IF(MATCHED!AU4=6,MATCHED!$G4,IF(MATCHED!AU4=7,MATCHED!$H4,"")))))))&amp;IF(MATCHED!AU4=8,MATCHED!$I4,IF(MATCHED!AU4=9,MATCHED!$J4,IF(MATCHED!AU4=10,MATCHED!$K4,IF(MATCHED!AU4=11,MATCHED!$L4,IF(MATCHED!AU4=12,MATCHED!$M4,IF(MATCHED!AU4=13,MATCHED!$N4,IF(MATCHED!AU4=14,MATCHED!$O4,"")))))))&amp;IF(MATCHED!AU4=15,MATCHED!$P4,IF(MATCHED!AU4=16,MATCHED!$Q4,IF(MATCHED!AU4=17,MATCHED!$R4,IF(MATCHED!AU4=18,MATCHED!$S4,IF(MATCHED!AU4=19,MATCHED!$T4,IF(MATCHED!AU4=20,MATCHED!$U4,IF(MATCHED!AU4=21,MATCHED!$V4,)))))))&amp;IF(MATCHED!AU4=22,MATCHED!$W4,IF(MATCHED!AU4=23,MATCHED!$X4,IF(MATCHED!AU4=24,MATCHED!$Y4,IF(MATCHED!AU4=25,MATCHED!$Z4,IF(MATCHED!AU4=26,MATCHED!$AA4,IF(MATCHED!AU4=27,MATCHED!$AB4,"."))))))</f>
        <v>#N/A</v>
      </c>
      <c r="T4" s="334" t="e">
        <f>IF(MATCHED!AV4=1,MATCHED!$B4,IF(MATCHED!AV4=2,MATCHED!$C4,IF(MATCHED!AV4=3,MATCHED!$D4,IF(MATCHED!AV4=4,MATCHED!$E4,IF(MATCHED!AV4=3,MATCHED!$F4,IF(MATCHED!AV4=6,MATCHED!$G4,IF(MATCHED!AV4=7,MATCHED!$H4,"")))))))&amp;IF(MATCHED!AV4=8,MATCHED!$I4,IF(MATCHED!AV4=9,MATCHED!$J4,IF(MATCHED!AV4=10,MATCHED!$K4,IF(MATCHED!AV4=11,MATCHED!$L4,IF(MATCHED!AV4=12,MATCHED!$M4,IF(MATCHED!AV4=13,MATCHED!$N4,IF(MATCHED!AV4=14,MATCHED!$O4,"")))))))&amp;IF(MATCHED!AV4=15,MATCHED!$P4,IF(MATCHED!AV4=16,MATCHED!$Q4,IF(MATCHED!AV4=17,MATCHED!$R4,IF(MATCHED!AV4=18,MATCHED!$S4,IF(MATCHED!AV4=19,MATCHED!$T4,IF(MATCHED!AV4=20,MATCHED!$U4,IF(MATCHED!AV4=21,MATCHED!$V4,)))))))&amp;IF(MATCHED!AV4=22,MATCHED!$W4,IF(MATCHED!AV4=23,MATCHED!$X4,IF(MATCHED!AV4=24,MATCHED!$Y4,IF(MATCHED!AV4=25,MATCHED!$Z4,IF(MATCHED!AV4=26,MATCHED!$AA4,IF(MATCHED!AV4=27,MATCHED!$AB4,"."))))))</f>
        <v>#N/A</v>
      </c>
      <c r="U4" s="334" t="e">
        <f>IF(MATCHED!AW4=1,MATCHED!$B4,IF(MATCHED!AW4=2,MATCHED!$C4,IF(MATCHED!AW4=3,MATCHED!$D4,IF(MATCHED!AW4=4,MATCHED!$E4,IF(MATCHED!AW4=3,MATCHED!$F4,IF(MATCHED!AW4=6,MATCHED!$G4,IF(MATCHED!AW4=7,MATCHED!$H4,"")))))))&amp;IF(MATCHED!AW4=8,MATCHED!$I4,IF(MATCHED!AW4=9,MATCHED!$J4,IF(MATCHED!AW4=10,MATCHED!$K4,IF(MATCHED!AW4=11,MATCHED!$L4,IF(MATCHED!AW4=12,MATCHED!$M4,IF(MATCHED!AW4=13,MATCHED!$N4,IF(MATCHED!AW4=14,MATCHED!$O4,"")))))))&amp;IF(MATCHED!AW4=15,MATCHED!$P4,IF(MATCHED!AW4=16,MATCHED!$Q4,IF(MATCHED!AW4=17,MATCHED!$R4,IF(MATCHED!AW4=18,MATCHED!$S4,IF(MATCHED!AW4=19,MATCHED!$T4,IF(MATCHED!AW4=20,MATCHED!$U4,IF(MATCHED!AW4=21,MATCHED!$V4,)))))))&amp;IF(MATCHED!AW4=22,MATCHED!$W4,IF(MATCHED!AW4=23,MATCHED!$X4,IF(MATCHED!AW4=24,MATCHED!$Y4,IF(MATCHED!AW4=25,MATCHED!$Z4,IF(MATCHED!AW4=26,MATCHED!$AA4,IF(MATCHED!AW4=27,MATCHED!$AB4,"."))))))</f>
        <v>#N/A</v>
      </c>
      <c r="V4" s="334" t="e">
        <f>IF(MATCHED!AX4=1,MATCHED!$B4,IF(MATCHED!AX4=2,MATCHED!$C4,IF(MATCHED!AX4=3,MATCHED!$D4,IF(MATCHED!AX4=4,MATCHED!$E4,IF(MATCHED!AX4=3,MATCHED!$F4,IF(MATCHED!AX4=6,MATCHED!$G4,IF(MATCHED!AX4=7,MATCHED!$H4,"")))))))&amp;IF(MATCHED!AX4=8,MATCHED!$I4,IF(MATCHED!AX4=9,MATCHED!$J4,IF(MATCHED!AX4=10,MATCHED!$K4,IF(MATCHED!AX4=11,MATCHED!$L4,IF(MATCHED!AX4=12,MATCHED!$M4,IF(MATCHED!AX4=13,MATCHED!$N4,IF(MATCHED!AX4=14,MATCHED!$O4,"")))))))&amp;IF(MATCHED!AX4=15,MATCHED!$P4,IF(MATCHED!AX4=16,MATCHED!$Q4,IF(MATCHED!AX4=17,MATCHED!$R4,IF(MATCHED!AX4=18,MATCHED!$S4,IF(MATCHED!AX4=19,MATCHED!$T4,IF(MATCHED!AX4=20,MATCHED!$U4,IF(MATCHED!AX4=21,MATCHED!$V4,)))))))&amp;IF(MATCHED!AX4=22,MATCHED!$W4,IF(MATCHED!AX4=23,MATCHED!$X4,IF(MATCHED!AX4=24,MATCHED!$Y4,IF(MATCHED!AX4=25,MATCHED!$Z4,IF(MATCHED!AX4=26,MATCHED!$AA4,IF(MATCHED!AX4=27,MATCHED!$AB4,"."))))))</f>
        <v>#N/A</v>
      </c>
      <c r="W4" s="334" t="e">
        <f>IF(MATCHED!AY4=1,MATCHED!$B4,IF(MATCHED!AY4=2,MATCHED!$C4,IF(MATCHED!AY4=3,MATCHED!$D4,IF(MATCHED!AY4=4,MATCHED!$E4,IF(MATCHED!AY4=3,MATCHED!$F4,IF(MATCHED!AY4=6,MATCHED!$G4,IF(MATCHED!AY4=7,MATCHED!$H4,"")))))))&amp;IF(MATCHED!AY4=8,MATCHED!$I4,IF(MATCHED!AY4=9,MATCHED!$J4,IF(MATCHED!AY4=10,MATCHED!$K4,IF(MATCHED!AY4=11,MATCHED!$L4,IF(MATCHED!AY4=12,MATCHED!$M4,IF(MATCHED!AY4=13,MATCHED!$N4,IF(MATCHED!AY4=14,MATCHED!$O4,"")))))))&amp;IF(MATCHED!AY4=15,MATCHED!$P4,IF(MATCHED!AY4=16,MATCHED!$Q4,IF(MATCHED!AY4=17,MATCHED!$R4,IF(MATCHED!AY4=18,MATCHED!$S4,IF(MATCHED!AY4=19,MATCHED!$T4,IF(MATCHED!AY4=20,MATCHED!$U4,IF(MATCHED!AY4=21,MATCHED!$V4,)))))))&amp;IF(MATCHED!AY4=22,MATCHED!$W4,IF(MATCHED!AY4=23,MATCHED!$X4,IF(MATCHED!AY4=24,MATCHED!$Y4,IF(MATCHED!AY4=25,MATCHED!$Z4,IF(MATCHED!AY4=26,MATCHED!$AA4,IF(MATCHED!AY4=27,MATCHED!$AB4,"."))))))</f>
        <v>#N/A</v>
      </c>
      <c r="X4" s="334" t="e">
        <f>IF(MATCHED!AZ4=1,MATCHED!$B4,IF(MATCHED!AZ4=2,MATCHED!$C4,IF(MATCHED!AZ4=3,MATCHED!$D4,IF(MATCHED!AZ4=4,MATCHED!$E4,IF(MATCHED!AZ4=3,MATCHED!$F4,IF(MATCHED!AZ4=6,MATCHED!$G4,IF(MATCHED!AZ4=7,MATCHED!$H4,"")))))))&amp;IF(MATCHED!AZ4=8,MATCHED!$I4,IF(MATCHED!AZ4=9,MATCHED!$J4,IF(MATCHED!AZ4=10,MATCHED!$K4,IF(MATCHED!AZ4=11,MATCHED!$L4,IF(MATCHED!AZ4=12,MATCHED!$M4,IF(MATCHED!AZ4=13,MATCHED!$N4,IF(MATCHED!AZ4=14,MATCHED!$O4,"")))))))&amp;IF(MATCHED!AZ4=15,MATCHED!$P4,IF(MATCHED!AZ4=16,MATCHED!$Q4,IF(MATCHED!AZ4=17,MATCHED!$R4,IF(MATCHED!AZ4=18,MATCHED!$S4,IF(MATCHED!AZ4=19,MATCHED!$T4,IF(MATCHED!AZ4=20,MATCHED!$U4,IF(MATCHED!AZ4=21,MATCHED!$V4,)))))))&amp;IF(MATCHED!AZ4=22,MATCHED!$W4,IF(MATCHED!AZ4=23,MATCHED!$X4,IF(MATCHED!AZ4=24,MATCHED!$Y4,IF(MATCHED!AZ4=25,MATCHED!$Z4,IF(MATCHED!AZ4=26,MATCHED!$AA4,IF(MATCHED!AZ4=27,MATCHED!$AB4,"."))))))</f>
        <v>#N/A</v>
      </c>
      <c r="Y4" s="334" t="e">
        <f>IF(MATCHED!BA4=1,MATCHED!$B4,IF(MATCHED!BA4=2,MATCHED!$C4,IF(MATCHED!BA4=3,MATCHED!$D4,IF(MATCHED!BA4=4,MATCHED!$E4,IF(MATCHED!BA4=3,MATCHED!$F4,IF(MATCHED!BA4=6,MATCHED!$G4,IF(MATCHED!BA4=7,MATCHED!$H4,"")))))))&amp;IF(MATCHED!BA4=8,MATCHED!$I4,IF(MATCHED!BA4=9,MATCHED!$J4,IF(MATCHED!BA4=10,MATCHED!$K4,IF(MATCHED!BA4=11,MATCHED!$L4,IF(MATCHED!BA4=12,MATCHED!$M4,IF(MATCHED!BA4=13,MATCHED!$N4,IF(MATCHED!BA4=14,MATCHED!$O4,"")))))))&amp;IF(MATCHED!BA4=15,MATCHED!$P4,IF(MATCHED!BA4=16,MATCHED!$Q4,IF(MATCHED!BA4=17,MATCHED!$R4,IF(MATCHED!BA4=18,MATCHED!$S4,IF(MATCHED!BA4=19,MATCHED!$T4,IF(MATCHED!BA4=20,MATCHED!$U4,IF(MATCHED!BA4=21,MATCHED!$V4,)))))))&amp;IF(MATCHED!BA4=22,MATCHED!$W4,IF(MATCHED!BA4=23,MATCHED!$X4,IF(MATCHED!BA4=24,MATCHED!$Y4,IF(MATCHED!BA4=25,MATCHED!$Z4,IF(MATCHED!BA4=26,MATCHED!$AA4,IF(MATCHED!BA4=27,MATCHED!$AB4,"."))))))</f>
        <v>#N/A</v>
      </c>
      <c r="Z4" s="334" t="e">
        <f>IF(MATCHED!BB4=1,MATCHED!$B4,IF(MATCHED!BB4=2,MATCHED!$C4,IF(MATCHED!BB4=3,MATCHED!$D4,IF(MATCHED!BB4=4,MATCHED!$E4,IF(MATCHED!BB4=3,MATCHED!$F4,IF(MATCHED!BB4=6,MATCHED!$G4,IF(MATCHED!BB4=7,MATCHED!$H4,"")))))))&amp;IF(MATCHED!BB4=8,MATCHED!$I4,IF(MATCHED!BB4=9,MATCHED!$J4,IF(MATCHED!BB4=10,MATCHED!$K4,IF(MATCHED!BB4=11,MATCHED!$L4,IF(MATCHED!BB4=12,MATCHED!$M4,IF(MATCHED!BB4=13,MATCHED!$N4,IF(MATCHED!BB4=14,MATCHED!$O4,"")))))))&amp;IF(MATCHED!BB4=15,MATCHED!$P4,IF(MATCHED!BB4=16,MATCHED!$Q4,IF(MATCHED!BB4=17,MATCHED!$R4,IF(MATCHED!BB4=18,MATCHED!$S4,IF(MATCHED!BB4=19,MATCHED!$T4,IF(MATCHED!BB4=20,MATCHED!$U4,IF(MATCHED!BB4=21,MATCHED!$V4,)))))))&amp;IF(MATCHED!BB4=22,MATCHED!$W4,IF(MATCHED!BB4=23,MATCHED!$X4,IF(MATCHED!BB4=24,MATCHED!$Y4,IF(MATCHED!BB4=25,MATCHED!$Z4,IF(MATCHED!BB4=26,MATCHED!$AA4,IF(MATCHED!BB4=27,MATCHED!$AB4,"."))))))</f>
        <v>#N/A</v>
      </c>
      <c r="AA4" s="334" t="e">
        <f>IF(MATCHED!BC4=1,MATCHED!$B4,IF(MATCHED!BC4=2,MATCHED!$C4,IF(MATCHED!BC4=3,MATCHED!$D4,IF(MATCHED!BC4=4,MATCHED!$E4,IF(MATCHED!BC4=3,MATCHED!$F4,IF(MATCHED!BC4=6,MATCHED!$G4,IF(MATCHED!BC4=7,MATCHED!$H4,"")))))))&amp;IF(MATCHED!BC4=8,MATCHED!$I4,IF(MATCHED!BC4=9,MATCHED!$J4,IF(MATCHED!BC4=10,MATCHED!$K4,IF(MATCHED!BC4=11,MATCHED!$L4,IF(MATCHED!BC4=12,MATCHED!$M4,IF(MATCHED!BC4=13,MATCHED!$N4,IF(MATCHED!BC4=14,MATCHED!$O4,"")))))))&amp;IF(MATCHED!BC4=15,MATCHED!$P4,IF(MATCHED!BC4=16,MATCHED!$Q4,IF(MATCHED!BC4=17,MATCHED!$R4,IF(MATCHED!BC4=18,MATCHED!$S4,IF(MATCHED!BC4=19,MATCHED!$T4,IF(MATCHED!BC4=20,MATCHED!$U4,IF(MATCHED!BC4=21,MATCHED!$V4,)))))))&amp;IF(MATCHED!BC4=22,MATCHED!$W4,IF(MATCHED!BC4=23,MATCHED!$X4,IF(MATCHED!BC4=24,MATCHED!$Y4,IF(MATCHED!BC4=25,MATCHED!$Z4,IF(MATCHED!BC4=26,MATCHED!$AA4,IF(MATCHED!BC4=27,MATCHED!$AB4,"."))))))</f>
        <v>#N/A</v>
      </c>
      <c r="AB4" s="334" t="e">
        <f>IF(MATCHED!BD4=1,MATCHED!$B4,IF(MATCHED!BD4=2,MATCHED!$C4,IF(MATCHED!BD4=3,MATCHED!$D4,IF(MATCHED!BD4=4,MATCHED!$E4,IF(MATCHED!BD4=3,MATCHED!$F4,IF(MATCHED!BD4=6,MATCHED!$G4,IF(MATCHED!BD4=7,MATCHED!$H4,"")))))))&amp;IF(MATCHED!BD4=8,MATCHED!$I4,IF(MATCHED!BD4=9,MATCHED!$J4,IF(MATCHED!BD4=10,MATCHED!$K4,IF(MATCHED!BD4=11,MATCHED!$L4,IF(MATCHED!BD4=12,MATCHED!$M4,IF(MATCHED!BD4=13,MATCHED!$N4,IF(MATCHED!BD4=14,MATCHED!$O4,"")))))))&amp;IF(MATCHED!BD4=15,MATCHED!$P4,IF(MATCHED!BD4=16,MATCHED!$Q4,IF(MATCHED!BD4=17,MATCHED!$R4,IF(MATCHED!BD4=18,MATCHED!$S4,IF(MATCHED!BD4=19,MATCHED!$T4,IF(MATCHED!BD4=20,MATCHED!$U4,IF(MATCHED!BD4=21,MATCHED!$V4,)))))))&amp;IF(MATCHED!BD4=22,MATCHED!$W4,IF(MATCHED!BD4=23,MATCHED!$X4,IF(MATCHED!BD4=24,MATCHED!$Y4,IF(MATCHED!BD4=25,MATCHED!$Z4,IF(MATCHED!BD4=26,MATCHED!$AA4,IF(MATCHED!BD4=27,MATCHED!$AB4,"."))))))</f>
        <v>#N/A</v>
      </c>
      <c r="AC4" s="334" t="e">
        <f>IF(MATCHED!BE4=1,MATCHED!$B4,IF(MATCHED!BE4=2,MATCHED!$C4,IF(MATCHED!BE4=3,MATCHED!$D4,IF(MATCHED!BE4=4,MATCHED!$E4,IF(MATCHED!BE4=3,MATCHED!$F4,IF(MATCHED!BE4=6,MATCHED!$G4,IF(MATCHED!BE4=7,MATCHED!$H4,"")))))))&amp;IF(MATCHED!BE4=8,MATCHED!$I4,IF(MATCHED!BE4=9,MATCHED!$J4,IF(MATCHED!BE4=10,MATCHED!$K4,IF(MATCHED!BE4=11,MATCHED!$L4,IF(MATCHED!BE4=12,MATCHED!$M4,IF(MATCHED!BE4=13,MATCHED!$N4,IF(MATCHED!BE4=14,MATCHED!$O4,"")))))))&amp;IF(MATCHED!BE4=15,MATCHED!$P4,IF(MATCHED!BE4=16,MATCHED!$Q4,IF(MATCHED!BE4=17,MATCHED!$R4,IF(MATCHED!BE4=18,MATCHED!$S4,IF(MATCHED!BE4=19,MATCHED!$T4,IF(MATCHED!BE4=20,MATCHED!$U4,IF(MATCHED!BE4=21,MATCHED!$V4,)))))))&amp;IF(MATCHED!BE4=22,MATCHED!$W4,IF(MATCHED!BE4=23,MATCHED!$X4,IF(MATCHED!BE4=24,MATCHED!$Y4,IF(MATCHED!BE4=25,MATCHED!$Z4,IF(MATCHED!BE4=26,MATCHED!$AA4,IF(MATCHED!BE4=27,MATCHED!$AB4,"."))))))</f>
        <v>#N/A</v>
      </c>
      <c r="AD4" s="334" t="e">
        <f>IF(MATCHED!BF4=1,MATCHED!$B4,IF(MATCHED!BF4=2,MATCHED!$C4,IF(MATCHED!BF4=3,MATCHED!$D4,IF(MATCHED!BF4=4,MATCHED!$E4,IF(MATCHED!BF4=3,MATCHED!$F4,IF(MATCHED!BF4=6,MATCHED!$G4,IF(MATCHED!BF4=7,MATCHED!$H4,"")))))))&amp;IF(MATCHED!BF4=8,MATCHED!$I4,IF(MATCHED!BF4=9,MATCHED!$J4,IF(MATCHED!BF4=10,MATCHED!$K4,IF(MATCHED!BF4=11,MATCHED!$L4,IF(MATCHED!BF4=12,MATCHED!$M4,IF(MATCHED!BF4=13,MATCHED!$N4,IF(MATCHED!BF4=14,MATCHED!$O4,"")))))))&amp;IF(MATCHED!BF4=15,MATCHED!$P4,IF(MATCHED!BF4=16,MATCHED!$Q4,IF(MATCHED!BF4=17,MATCHED!$R4,IF(MATCHED!BF4=18,MATCHED!$S4,IF(MATCHED!BF4=19,MATCHED!$T4,IF(MATCHED!BF4=20,MATCHED!$U4,IF(MATCHED!BF4=21,MATCHED!$V4,)))))))&amp;IF(MATCHED!BF4=22,MATCHED!$W4,IF(MATCHED!BF4=23,MATCHED!$X4,IF(MATCHED!BF4=24,MATCHED!$Y4,IF(MATCHED!BF4=25,MATCHED!$Z4,IF(MATCHED!BF4=26,MATCHED!$AA4,IF(MATCHED!BF4=27,MATCHED!$AB4,"."))))))</f>
        <v>#N/A</v>
      </c>
      <c r="AE4" s="334" t="e">
        <f>IF(MATCHED!BG4=1,MATCHED!$B4,IF(MATCHED!BG4=2,MATCHED!$C4,IF(MATCHED!BG4=3,MATCHED!$D4,IF(MATCHED!BG4=4,MATCHED!$E4,IF(MATCHED!BG4=3,MATCHED!$F4,IF(MATCHED!BG4=6,MATCHED!$G4,IF(MATCHED!BG4=7,MATCHED!$H4,"")))))))&amp;IF(MATCHED!BG4=8,MATCHED!$I4,IF(MATCHED!BG4=9,MATCHED!$J4,IF(MATCHED!BG4=10,MATCHED!$K4,IF(MATCHED!BG4=11,MATCHED!$L4,IF(MATCHED!BG4=12,MATCHED!$M4,IF(MATCHED!BG4=13,MATCHED!$N4,IF(MATCHED!BG4=14,MATCHED!$O4,"")))))))&amp;IF(MATCHED!BG4=15,MATCHED!$P4,IF(MATCHED!BG4=16,MATCHED!$Q4,IF(MATCHED!BG4=17,MATCHED!$R4,IF(MATCHED!BG4=18,MATCHED!$S4,IF(MATCHED!BG4=19,MATCHED!$T4,IF(MATCHED!BG4=20,MATCHED!$U4,IF(MATCHED!BG4=21,MATCHED!$V4,)))))))&amp;IF(MATCHED!BG4=22,MATCHED!$W4,IF(MATCHED!BG4=23,MATCHED!$X4,IF(MATCHED!BG4=24,MATCHED!$Y4,IF(MATCHED!BG4=25,MATCHED!$Z4,IF(MATCHED!BG4=26,MATCHED!$AA4,IF(MATCHED!BG4=27,MATCHED!$AB4,"."))))))</f>
        <v>#N/A</v>
      </c>
      <c r="AF4" s="334" t="e">
        <f>IF(MATCHED!BH4=1,MATCHED!$B4,IF(MATCHED!BH4=2,MATCHED!$C4,IF(MATCHED!BH4=3,MATCHED!$D4,IF(MATCHED!BH4=4,MATCHED!$E4,IF(MATCHED!BH4=3,MATCHED!$F4,IF(MATCHED!BH4=6,MATCHED!$G4,IF(MATCHED!BH4=7,MATCHED!$H4,"")))))))&amp;IF(MATCHED!BH4=8,MATCHED!$I4,IF(MATCHED!BH4=9,MATCHED!$J4,IF(MATCHED!BH4=10,MATCHED!$K4,IF(MATCHED!BH4=11,MATCHED!$L4,IF(MATCHED!BH4=12,MATCHED!$M4,IF(MATCHED!BH4=13,MATCHED!$N4,IF(MATCHED!BH4=14,MATCHED!$O4,"")))))))&amp;IF(MATCHED!BH4=15,MATCHED!$P4,IF(MATCHED!BH4=16,MATCHED!$Q4,IF(MATCHED!BH4=17,MATCHED!$R4,IF(MATCHED!BH4=18,MATCHED!$S4,IF(MATCHED!BH4=19,MATCHED!$T4,IF(MATCHED!BH4=20,MATCHED!$U4,IF(MATCHED!BH4=21,MATCHED!$V4,)))))))&amp;IF(MATCHED!BH4=22,MATCHED!$W4,IF(MATCHED!BH4=23,MATCHED!$X4,IF(MATCHED!BH4=24,MATCHED!$Y4,IF(MATCHED!BH4=25,MATCHED!$Z4,IF(MATCHED!BH4=26,MATCHED!$AA4,IF(MATCHED!BH4=27,MATCHED!$AB4,"."))))))</f>
        <v>#N/A</v>
      </c>
      <c r="AG4" s="334" t="e">
        <f>IF(MATCHED!BI4=1,MATCHED!$B4,IF(MATCHED!BI4=2,MATCHED!$C4,IF(MATCHED!BI4=3,MATCHED!$D4,IF(MATCHED!BI4=4,MATCHED!$E4,IF(MATCHED!BI4=3,MATCHED!$F4,IF(MATCHED!BI4=6,MATCHED!$G4,IF(MATCHED!BI4=7,MATCHED!$H4,"")))))))&amp;IF(MATCHED!BI4=8,MATCHED!$I4,IF(MATCHED!BI4=9,MATCHED!$J4,IF(MATCHED!BI4=10,MATCHED!$K4,IF(MATCHED!BI4=11,MATCHED!$L4,IF(MATCHED!BI4=12,MATCHED!$M4,IF(MATCHED!BI4=13,MATCHED!$N4,IF(MATCHED!BI4=14,MATCHED!$O4,"")))))))&amp;IF(MATCHED!BI4=15,MATCHED!$P4,IF(MATCHED!BI4=16,MATCHED!$Q4,IF(MATCHED!BI4=17,MATCHED!$R4,IF(MATCHED!BI4=18,MATCHED!$S4,IF(MATCHED!BI4=19,MATCHED!$T4,IF(MATCHED!BI4=20,MATCHED!$U4,IF(MATCHED!BI4=21,MATCHED!$V4,)))))))&amp;IF(MATCHED!BI4=22,MATCHED!$W4,IF(MATCHED!BI4=23,MATCHED!$X4,IF(MATCHED!BI4=24,MATCHED!$Y4,IF(MATCHED!BI4=25,MATCHED!$Z4,IF(MATCHED!BI4=26,MATCHED!$AA4,IF(MATCHED!BI4=27,MATCHED!$AB4,"."))))))</f>
        <v>#N/A</v>
      </c>
      <c r="AH4" s="334" t="e">
        <f>IF(MATCHED!BJ4=1,MATCHED!$B4,IF(MATCHED!BJ4=2,MATCHED!$C4,IF(MATCHED!BJ4=3,MATCHED!$D4,IF(MATCHED!BJ4=4,MATCHED!$E4,IF(MATCHED!BJ4=3,MATCHED!$F4,IF(MATCHED!BJ4=6,MATCHED!$G4,IF(MATCHED!BJ4=7,MATCHED!$H4,"")))))))&amp;IF(MATCHED!BJ4=8,MATCHED!$I4,IF(MATCHED!BJ4=9,MATCHED!$J4,IF(MATCHED!BJ4=10,MATCHED!$K4,IF(MATCHED!BJ4=11,MATCHED!$L4,IF(MATCHED!BJ4=12,MATCHED!$M4,IF(MATCHED!BJ4=13,MATCHED!$N4,IF(MATCHED!BJ4=14,MATCHED!$O4,"")))))))&amp;IF(MATCHED!BJ4=15,MATCHED!$P4,IF(MATCHED!BJ4=16,MATCHED!$Q4,IF(MATCHED!BJ4=17,MATCHED!$R4,IF(MATCHED!BJ4=18,MATCHED!$S4,IF(MATCHED!BJ4=19,MATCHED!$T4,IF(MATCHED!BJ4=20,MATCHED!$U4,IF(MATCHED!BJ4=21,MATCHED!$V4,)))))))&amp;IF(MATCHED!BJ4=22,MATCHED!$W4,IF(MATCHED!BJ4=23,MATCHED!$X4,IF(MATCHED!BJ4=24,MATCHED!$Y4,IF(MATCHED!BJ4=25,MATCHED!$Z4,IF(MATCHED!BJ4=26,MATCHED!$AA4,IF(MATCHED!BJ4=27,MATCHED!$AB4,"."))))))</f>
        <v>#N/A</v>
      </c>
      <c r="AI4" s="334" t="e">
        <f>IF(MATCHED!BK4=1,MATCHED!$B4,IF(MATCHED!BK4=2,MATCHED!$C4,IF(MATCHED!BK4=3,MATCHED!$D4,IF(MATCHED!BK4=4,MATCHED!$E4,IF(MATCHED!BK4=3,MATCHED!$F4,IF(MATCHED!BK4=6,MATCHED!$G4,IF(MATCHED!BK4=7,MATCHED!$H4,"")))))))&amp;IF(MATCHED!BK4=8,MATCHED!$I4,IF(MATCHED!BK4=9,MATCHED!$J4,IF(MATCHED!BK4=10,MATCHED!$K4,IF(MATCHED!BK4=11,MATCHED!$L4,IF(MATCHED!BK4=12,MATCHED!$M4,IF(MATCHED!BK4=13,MATCHED!$N4,IF(MATCHED!BK4=14,MATCHED!$O4,"")))))))&amp;IF(MATCHED!BK4=15,MATCHED!$P4,IF(MATCHED!BK4=16,MATCHED!$Q4,IF(MATCHED!BK4=17,MATCHED!$R4,IF(MATCHED!BK4=18,MATCHED!$S4,IF(MATCHED!BK4=19,MATCHED!$T4,IF(MATCHED!BK4=20,MATCHED!$U4,IF(MATCHED!BK4=21,MATCHED!$V4,)))))))&amp;IF(MATCHED!BK4=22,MATCHED!$W4,IF(MATCHED!BK4=23,MATCHED!$X4,IF(MATCHED!BK4=24,MATCHED!$Y4,IF(MATCHED!BK4=25,MATCHED!$Z4,IF(MATCHED!BK4=26,MATCHED!$AA4,IF(MATCHED!BK4=27,MATCHED!$AB4,"."))))))</f>
        <v>#N/A</v>
      </c>
      <c r="AJ4" s="533" t="s">
        <v>180</v>
      </c>
      <c r="CZ4" s="338" t="e">
        <f>IF(#REF!=0,MATERTT!#REF!,IF(MATERTT!#REF!=0,MATERTT!#REF!,IF(MATERTT!B4="#N/A",0,IF)))</f>
        <v>#REF!</v>
      </c>
    </row>
    <row r="5" spans="1:104" s="338" customFormat="1" x14ac:dyDescent="0.25">
      <c r="A5" s="534"/>
      <c r="B5" s="419" t="e">
        <f>IF(MATCHED!AD5=1,MATCHED!$B5,IF(MATCHED!AD5=2,MATCHED!$C5,IF(MATCHED!AD5=3,MATCHED!$D5,IF(MATCHED!AD5=4,MATCHED!$E5,IF(MATCHED!AD5=3,MATCHED!$F5,IF(MATCHED!AD5=6,MATCHED!$G5,IF(MATCHED!AD5=7,MATCHED!$H5,"")))))))&amp;IF(MATCHED!AD5=8,MATCHED!$I5,IF(MATCHED!AD5=9,MATCHED!$J5,IF(MATCHED!AD5=10,MATCHED!$K5,IF(MATCHED!AD5=11,MATCHED!$L5,IF(MATCHED!AD5=12,MATCHED!$M5,IF(MATCHED!AD5=13,MATCHED!$N5,IF(MATCHED!AD5=14,MATCHED!$O5,"")))))))&amp;IF(MATCHED!AD5=15,MATCHED!$P5,IF(MATCHED!AD5=16,MATCHED!$Q5,IF(MATCHED!AD5=17,MATCHED!$R5,IF(MATCHED!AD5=18,MATCHED!$S5,IF(MATCHED!AD5=19,MATCHED!$T5,IF(MATCHED!AD5=20,MATCHED!$U5,IF(MATCHED!AD5=21,MATCHED!$V5,)))))))&amp;IF(MATCHED!AD5=22,MATCHED!$W5,IF(MATCHED!AD5=23,MATCHED!$X5,IF(MATCHED!AD5=24,MATCHED!$Y5,IF(MATCHED!AD5=25,MATCHED!$Z5,IF(MATCHED!AD5=26,MATCHED!$AA5,IF(MATCHED!AD5=27,MATCHED!$AB5,"."))))))</f>
        <v>#N/A</v>
      </c>
      <c r="C5" s="420" t="e">
        <f>IF(MATCHED!AE5=1,MATCHED!$B5,IF(MATCHED!AE5=2,MATCHED!$C5,IF(MATCHED!AE5=3,MATCHED!$D5,IF(MATCHED!AE5=4,MATCHED!$E5,IF(MATCHED!AE5=3,MATCHED!$F5,IF(MATCHED!AE5=6,MATCHED!$G5,IF(MATCHED!AE5=7,MATCHED!$H5,"")))))))&amp;IF(MATCHED!AE5=8,MATCHED!$I5,IF(MATCHED!AE5=9,MATCHED!$J5,IF(MATCHED!AE5=10,MATCHED!$K5,IF(MATCHED!AE5=11,MATCHED!$L5,IF(MATCHED!AE5=12,MATCHED!$M5,IF(MATCHED!AE5=13,MATCHED!$N5,IF(MATCHED!AE5=14,MATCHED!$O5,"")))))))&amp;IF(MATCHED!AE5=15,MATCHED!$P5,IF(MATCHED!AE5=16,MATCHED!$Q5,IF(MATCHED!AE5=17,MATCHED!$R5,IF(MATCHED!AE5=18,MATCHED!$S5,IF(MATCHED!AE5=19,MATCHED!$T5,IF(MATCHED!AE5=20,MATCHED!$U5,IF(MATCHED!AE5=21,MATCHED!$V5,)))))))&amp;IF(MATCHED!AE5=22,MATCHED!$W5,IF(MATCHED!AE5=23,MATCHED!$X5,IF(MATCHED!AE5=24,MATCHED!$Y5,IF(MATCHED!AE5=25,MATCHED!$Z5,IF(MATCHED!AE5=26,MATCHED!$AA5,IF(MATCHED!AE5=27,MATCHED!$AB5,"."))))))</f>
        <v>#N/A</v>
      </c>
      <c r="D5" s="420" t="e">
        <f>IF(MATCHED!AF5=1,MATCHED!$B5,IF(MATCHED!AF5=2,MATCHED!$C5,IF(MATCHED!AF5=3,MATCHED!$D5,IF(MATCHED!AF5=4,MATCHED!$E5,IF(MATCHED!AF5=3,MATCHED!$F5,IF(MATCHED!AF5=6,MATCHED!$G5,IF(MATCHED!AF5=7,MATCHED!$H5,"")))))))&amp;IF(MATCHED!AF5=8,MATCHED!$I5,IF(MATCHED!AF5=9,MATCHED!$J5,IF(MATCHED!AF5=10,MATCHED!$K5,IF(MATCHED!AF5=11,MATCHED!$L5,IF(MATCHED!AF5=12,MATCHED!$M5,IF(MATCHED!AF5=13,MATCHED!$N5,IF(MATCHED!AF5=14,MATCHED!$O5,"")))))))&amp;IF(MATCHED!AF5=15,MATCHED!$P5,IF(MATCHED!AF5=16,MATCHED!$Q5,IF(MATCHED!AF5=17,MATCHED!$R5,IF(MATCHED!AF5=18,MATCHED!$S5,IF(MATCHED!AF5=19,MATCHED!$T5,IF(MATCHED!AF5=20,MATCHED!$U5,IF(MATCHED!AF5=21,MATCHED!$V5,)))))))&amp;IF(MATCHED!AF5=22,MATCHED!$W5,IF(MATCHED!AF5=23,MATCHED!$X5,IF(MATCHED!AF5=24,MATCHED!$Y5,IF(MATCHED!AF5=25,MATCHED!$Z5,IF(MATCHED!AF5=26,MATCHED!$AA5,IF(MATCHED!AF5=27,MATCHED!$AB5,"."))))))</f>
        <v>#N/A</v>
      </c>
      <c r="E5" s="420" t="e">
        <f>IF(MATCHED!AG5=1,MATCHED!$B5,IF(MATCHED!AG5=2,MATCHED!$C5,IF(MATCHED!AG5=3,MATCHED!$D5,IF(MATCHED!AG5=4,MATCHED!$E5,IF(MATCHED!AG5=3,MATCHED!$F5,IF(MATCHED!AG5=6,MATCHED!$G5,IF(MATCHED!AG5=7,MATCHED!$H5,"")))))))&amp;IF(MATCHED!AG5=8,MATCHED!$I5,IF(MATCHED!AG5=9,MATCHED!$J5,IF(MATCHED!AG5=10,MATCHED!$K5,IF(MATCHED!AG5=11,MATCHED!$L5,IF(MATCHED!AG5=12,MATCHED!$M5,IF(MATCHED!AG5=13,MATCHED!$N5,IF(MATCHED!AG5=14,MATCHED!$O5,"")))))))&amp;IF(MATCHED!AG5=15,MATCHED!$P5,IF(MATCHED!AG5=16,MATCHED!$Q5,IF(MATCHED!AG5=17,MATCHED!$R5,IF(MATCHED!AG5=18,MATCHED!$S5,IF(MATCHED!AG5=19,MATCHED!$T5,IF(MATCHED!AG5=20,MATCHED!$U5,IF(MATCHED!AG5=21,MATCHED!$V5,)))))))&amp;IF(MATCHED!AG5=22,MATCHED!$W5,IF(MATCHED!AG5=23,MATCHED!$X5,IF(MATCHED!AG5=24,MATCHED!$Y5,IF(MATCHED!AG5=25,MATCHED!$Z5,IF(MATCHED!AG5=26,MATCHED!$AA5,IF(MATCHED!AG5=27,MATCHED!$AB5,"."))))))</f>
        <v>#N/A</v>
      </c>
      <c r="F5" s="420" t="e">
        <f>IF(MATCHED!AH5=1,MATCHED!$B5,IF(MATCHED!AH5=2,MATCHED!$C5,IF(MATCHED!AH5=3,MATCHED!$D5,IF(MATCHED!AH5=4,MATCHED!$E5,IF(MATCHED!AH5=3,MATCHED!$F5,IF(MATCHED!AH5=6,MATCHED!$G5,IF(MATCHED!AH5=7,MATCHED!$H5,"")))))))&amp;IF(MATCHED!AH5=8,MATCHED!$I5,IF(MATCHED!AH5=9,MATCHED!$J5,IF(MATCHED!AH5=10,MATCHED!$K5,IF(MATCHED!AH5=11,MATCHED!$L5,IF(MATCHED!AH5=12,MATCHED!$M5,IF(MATCHED!AH5=13,MATCHED!$N5,IF(MATCHED!AH5=14,MATCHED!$O5,"")))))))&amp;IF(MATCHED!AH5=15,MATCHED!$P5,IF(MATCHED!AH5=16,MATCHED!$Q5,IF(MATCHED!AH5=17,MATCHED!$R5,IF(MATCHED!AH5=18,MATCHED!$S5,IF(MATCHED!AH5=19,MATCHED!$T5,IF(MATCHED!AH5=20,MATCHED!$U5,IF(MATCHED!AH5=21,MATCHED!$V5,)))))))&amp;IF(MATCHED!AH5=22,MATCHED!$W5,IF(MATCHED!AH5=23,MATCHED!$X5,IF(MATCHED!AH5=24,MATCHED!$Y5,IF(MATCHED!AH5=25,MATCHED!$Z5,IF(MATCHED!AH5=26,MATCHED!$AA5,IF(MATCHED!AH5=27,MATCHED!$AB5,"."))))))</f>
        <v>#N/A</v>
      </c>
      <c r="G5" s="420" t="e">
        <f>IF(MATCHED!AI5=1,MATCHED!$B5,IF(MATCHED!AI5=2,MATCHED!$C5,IF(MATCHED!AI5=3,MATCHED!$D5,IF(MATCHED!AI5=4,MATCHED!$E5,IF(MATCHED!AI5=3,MATCHED!$F5,IF(MATCHED!AI5=6,MATCHED!$G5,IF(MATCHED!AI5=7,MATCHED!$H5,"")))))))&amp;IF(MATCHED!AI5=8,MATCHED!$I5,IF(MATCHED!AI5=9,MATCHED!$J5,IF(MATCHED!AI5=10,MATCHED!$K5,IF(MATCHED!AI5=11,MATCHED!$L5,IF(MATCHED!AI5=12,MATCHED!$M5,IF(MATCHED!AI5=13,MATCHED!$N5,IF(MATCHED!AI5=14,MATCHED!$O5,"")))))))&amp;IF(MATCHED!AI5=15,MATCHED!$P5,IF(MATCHED!AI5=16,MATCHED!$Q5,IF(MATCHED!AI5=17,MATCHED!$R5,IF(MATCHED!AI5=18,MATCHED!$S5,IF(MATCHED!AI5=19,MATCHED!$T5,IF(MATCHED!AI5=20,MATCHED!$U5,IF(MATCHED!AI5=21,MATCHED!$V5,)))))))&amp;IF(MATCHED!AI5=22,MATCHED!$W5,IF(MATCHED!AI5=23,MATCHED!$X5,IF(MATCHED!AI5=24,MATCHED!$Y5,IF(MATCHED!AI5=25,MATCHED!$Z5,IF(MATCHED!AI5=26,MATCHED!$AA5,IF(MATCHED!AI5=27,MATCHED!$AB5,"."))))))</f>
        <v>#N/A</v>
      </c>
      <c r="H5" s="421" t="e">
        <f>IF(MATCHED!AJ5=1,MATCHED!$B5,IF(MATCHED!AJ5=2,MATCHED!$C5,IF(MATCHED!AJ5=3,MATCHED!$D5,IF(MATCHED!AJ5=4,MATCHED!$E5,IF(MATCHED!AJ5=3,MATCHED!$F5,IF(MATCHED!AJ5=6,MATCHED!$G5,IF(MATCHED!AJ5=7,MATCHED!$H5,"")))))))&amp;IF(MATCHED!AJ5=8,MATCHED!$I5,IF(MATCHED!AJ5=9,MATCHED!$J5,IF(MATCHED!AJ5=10,MATCHED!$K5,IF(MATCHED!AJ5=11,MATCHED!$L5,IF(MATCHED!AJ5=12,MATCHED!$M5,IF(MATCHED!AJ5=13,MATCHED!$N5,IF(MATCHED!AJ5=14,MATCHED!$O5,"")))))))&amp;IF(MATCHED!AJ5=15,MATCHED!$P5,IF(MATCHED!AJ5=16,MATCHED!$Q5,IF(MATCHED!AJ5=17,MATCHED!$R5,IF(MATCHED!AJ5=18,MATCHED!$S5,IF(MATCHED!AJ5=19,MATCHED!$T5,IF(MATCHED!AJ5=20,MATCHED!$U5,IF(MATCHED!AJ5=21,MATCHED!$V5,)))))))&amp;IF(MATCHED!AJ5=22,MATCHED!$W5,IF(MATCHED!AJ5=23,MATCHED!$X5,IF(MATCHED!AJ5=24,MATCHED!$Y5,IF(MATCHED!AJ5=25,MATCHED!$Z5,IF(MATCHED!AJ5=26,MATCHED!$AA5,IF(MATCHED!AJ5=27,MATCHED!$AB5,"."))))))</f>
        <v>#N/A</v>
      </c>
      <c r="I5" s="421" t="e">
        <f>IF(MATCHED!AK5=1,MATCHED!$B5,IF(MATCHED!AK5=2,MATCHED!$C5,IF(MATCHED!AK5=3,MATCHED!$D5,IF(MATCHED!AK5=4,MATCHED!$E5,IF(MATCHED!AK5=3,MATCHED!$F5,IF(MATCHED!AK5=6,MATCHED!$G5,IF(MATCHED!AK5=7,MATCHED!$H5,"")))))))&amp;IF(MATCHED!AK5=8,MATCHED!$I5,IF(MATCHED!AK5=9,MATCHED!$J5,IF(MATCHED!AK5=10,MATCHED!$K5,IF(MATCHED!AK5=11,MATCHED!$L5,IF(MATCHED!AK5=12,MATCHED!$M5,IF(MATCHED!AK5=13,MATCHED!$N5,IF(MATCHED!AK5=14,MATCHED!$O5,"")))))))&amp;IF(MATCHED!AK5=15,MATCHED!$P5,IF(MATCHED!AK5=16,MATCHED!$Q5,IF(MATCHED!AK5=17,MATCHED!$R5,IF(MATCHED!AK5=18,MATCHED!$S5,IF(MATCHED!AK5=19,MATCHED!$T5,IF(MATCHED!AK5=20,MATCHED!$U5,IF(MATCHED!AK5=21,MATCHED!$V5,)))))))&amp;IF(MATCHED!AK5=22,MATCHED!$W5,IF(MATCHED!AK5=23,MATCHED!$X5,IF(MATCHED!AK5=24,MATCHED!$Y5,IF(MATCHED!AK5=25,MATCHED!$Z5,IF(MATCHED!AK5=26,MATCHED!$AA5,IF(MATCHED!AK5=27,MATCHED!$AB5,"."))))))</f>
        <v>#N/A</v>
      </c>
      <c r="J5" s="421" t="e">
        <f>IF(MATCHED!AL5=1,MATCHED!$B5,IF(MATCHED!AL5=2,MATCHED!$C5,IF(MATCHED!AL5=3,MATCHED!$D5,IF(MATCHED!AL5=4,MATCHED!$E5,IF(MATCHED!AL5=3,MATCHED!$F5,IF(MATCHED!AL5=6,MATCHED!$G5,IF(MATCHED!AL5=7,MATCHED!$H5,"")))))))&amp;IF(MATCHED!AL5=8,MATCHED!$I5,IF(MATCHED!AL5=9,MATCHED!$J5,IF(MATCHED!AL5=10,MATCHED!$K5,IF(MATCHED!AL5=11,MATCHED!$L5,IF(MATCHED!AL5=12,MATCHED!$M5,IF(MATCHED!AL5=13,MATCHED!$N5,IF(MATCHED!AL5=14,MATCHED!$O5,"")))))))&amp;IF(MATCHED!AL5=15,MATCHED!$P5,IF(MATCHED!AL5=16,MATCHED!$Q5,IF(MATCHED!AL5=17,MATCHED!$R5,IF(MATCHED!AL5=18,MATCHED!$S5,IF(MATCHED!AL5=19,MATCHED!$T5,IF(MATCHED!AL5=20,MATCHED!$U5,IF(MATCHED!AL5=21,MATCHED!$V5,)))))))&amp;IF(MATCHED!AL5=22,MATCHED!$W5,IF(MATCHED!AL5=23,MATCHED!$X5,IF(MATCHED!AL5=24,MATCHED!$Y5,IF(MATCHED!AL5=25,MATCHED!$Z5,IF(MATCHED!AL5=26,MATCHED!$AA5,IF(MATCHED!AL5=27,MATCHED!$AB5,"."))))))</f>
        <v>#N/A</v>
      </c>
      <c r="K5" s="420" t="e">
        <f>IF(MATCHED!AM5=1,MATCHED!$B5,IF(MATCHED!AM5=2,MATCHED!$C5,IF(MATCHED!AM5=3,MATCHED!$D5,IF(MATCHED!AM5=4,MATCHED!$E5,IF(MATCHED!AM5=3,MATCHED!$F5,IF(MATCHED!AM5=6,MATCHED!$G5,IF(MATCHED!AM5=7,MATCHED!$H5,"")))))))&amp;IF(MATCHED!AM5=8,MATCHED!$I5,IF(MATCHED!AM5=9,MATCHED!$J5,IF(MATCHED!AM5=10,MATCHED!$K5,IF(MATCHED!AM5=11,MATCHED!$L5,IF(MATCHED!AM5=12,MATCHED!$M5,IF(MATCHED!AM5=13,MATCHED!$N5,IF(MATCHED!AM5=14,MATCHED!$O5,"")))))))&amp;IF(MATCHED!AM5=15,MATCHED!$P5,IF(MATCHED!AM5=16,MATCHED!$Q5,IF(MATCHED!AM5=17,MATCHED!$R5,IF(MATCHED!AM5=18,MATCHED!$S5,IF(MATCHED!AM5=19,MATCHED!$T5,IF(MATCHED!AM5=20,MATCHED!$U5,IF(MATCHED!AM5=21,MATCHED!$V5,)))))))&amp;IF(MATCHED!AM5=22,MATCHED!$W5,IF(MATCHED!AM5=23,MATCHED!$X5,IF(MATCHED!AM5=24,MATCHED!$Y5,IF(MATCHED!AM5=25,MATCHED!$Z5,IF(MATCHED!AM5=26,MATCHED!$AA5,IF(MATCHED!AM5=27,MATCHED!$AB5,"."))))))</f>
        <v>#N/A</v>
      </c>
      <c r="L5" s="420" t="e">
        <f>IF(MATCHED!AN5=1,MATCHED!$B5,IF(MATCHED!AN5=2,MATCHED!$C5,IF(MATCHED!AN5=3,MATCHED!$D5,IF(MATCHED!AN5=4,MATCHED!$E5,IF(MATCHED!AN5=3,MATCHED!$F5,IF(MATCHED!AN5=6,MATCHED!$G5,IF(MATCHED!AN5=7,MATCHED!$H5,"")))))))&amp;IF(MATCHED!AN5=8,MATCHED!$I5,IF(MATCHED!AN5=9,MATCHED!$J5,IF(MATCHED!AN5=10,MATCHED!$K5,IF(MATCHED!AN5=11,MATCHED!$L5,IF(MATCHED!AN5=12,MATCHED!$M5,IF(MATCHED!AN5=13,MATCHED!$N5,IF(MATCHED!AN5=14,MATCHED!$O5,"")))))))&amp;IF(MATCHED!AN5=15,MATCHED!$P5,IF(MATCHED!AN5=16,MATCHED!$Q5,IF(MATCHED!AN5=17,MATCHED!$R5,IF(MATCHED!AN5=18,MATCHED!$S5,IF(MATCHED!AN5=19,MATCHED!$T5,IF(MATCHED!AN5=20,MATCHED!$U5,IF(MATCHED!AN5=21,MATCHED!$V5,)))))))&amp;IF(MATCHED!AN5=22,MATCHED!$W5,IF(MATCHED!AN5=23,MATCHED!$X5,IF(MATCHED!AN5=24,MATCHED!$Y5,IF(MATCHED!AN5=25,MATCHED!$Z5,IF(MATCHED!AN5=26,MATCHED!$AA5,IF(MATCHED!AN5=27,MATCHED!$AB5,"."))))))</f>
        <v>#N/A</v>
      </c>
      <c r="M5" s="420" t="e">
        <f>IF(MATCHED!AO5=1,MATCHED!$B5,IF(MATCHED!AO5=2,MATCHED!$C5,IF(MATCHED!AO5=3,MATCHED!$D5,IF(MATCHED!AO5=4,MATCHED!$E5,IF(MATCHED!AO5=3,MATCHED!$F5,IF(MATCHED!AO5=6,MATCHED!$G5,IF(MATCHED!AO5=7,MATCHED!$H5,"")))))))&amp;IF(MATCHED!AO5=8,MATCHED!$I5,IF(MATCHED!AO5=9,MATCHED!$J5,IF(MATCHED!AO5=10,MATCHED!$K5,IF(MATCHED!AO5=11,MATCHED!$L5,IF(MATCHED!AO5=12,MATCHED!$M5,IF(MATCHED!AO5=13,MATCHED!$N5,IF(MATCHED!AO5=14,MATCHED!$O5,"")))))))&amp;IF(MATCHED!AO5=15,MATCHED!$P5,IF(MATCHED!AO5=16,MATCHED!$Q5,IF(MATCHED!AO5=17,MATCHED!$R5,IF(MATCHED!AO5=18,MATCHED!$S5,IF(MATCHED!AO5=19,MATCHED!$T5,IF(MATCHED!AO5=20,MATCHED!$U5,IF(MATCHED!AO5=21,MATCHED!$V5,)))))))&amp;IF(MATCHED!AO5=22,MATCHED!$W5,IF(MATCHED!AO5=23,MATCHED!$X5,IF(MATCHED!AO5=24,MATCHED!$Y5,IF(MATCHED!AO5=25,MATCHED!$Z5,IF(MATCHED!AO5=26,MATCHED!$AA5,IF(MATCHED!AO5=27,MATCHED!$AB5,"."))))))</f>
        <v>#N/A</v>
      </c>
      <c r="N5" s="421" t="e">
        <f>IF(MATCHED!AP5=1,MATCHED!$B5,IF(MATCHED!AP5=2,MATCHED!$C5,IF(MATCHED!AP5=3,MATCHED!$D5,IF(MATCHED!AP5=4,MATCHED!$E5,IF(MATCHED!AP5=3,MATCHED!$F5,IF(MATCHED!AP5=6,MATCHED!$G5,IF(MATCHED!AP5=7,MATCHED!$H5,"")))))))&amp;IF(MATCHED!AP5=8,MATCHED!$I5,IF(MATCHED!AP5=9,MATCHED!$J5,IF(MATCHED!AP5=10,MATCHED!$K5,IF(MATCHED!AP5=11,MATCHED!$L5,IF(MATCHED!AP5=12,MATCHED!$M5,IF(MATCHED!AP5=13,MATCHED!$N5,IF(MATCHED!AP5=14,MATCHED!$O5,"")))))))&amp;IF(MATCHED!AP5=15,MATCHED!$P5,IF(MATCHED!AP5=16,MATCHED!$Q5,IF(MATCHED!AP5=17,MATCHED!$R5,IF(MATCHED!AP5=18,MATCHED!$S5,IF(MATCHED!AP5=19,MATCHED!$T5,IF(MATCHED!AP5=20,MATCHED!$U5,IF(MATCHED!AP5=21,MATCHED!$V5,)))))))&amp;IF(MATCHED!AP5=22,MATCHED!$W5,IF(MATCHED!AP5=23,MATCHED!$X5,IF(MATCHED!AP5=24,MATCHED!$Y5,IF(MATCHED!AP5=25,MATCHED!$Z5,IF(MATCHED!AP5=26,MATCHED!$AA5,IF(MATCHED!AP5=27,MATCHED!$AB5,"."))))))</f>
        <v>#N/A</v>
      </c>
      <c r="O5" s="420" t="e">
        <f>IF(MATCHED!AQ5=1,MATCHED!$B5,IF(MATCHED!AQ5=2,MATCHED!$C5,IF(MATCHED!AQ5=3,MATCHED!$D5,IF(MATCHED!AQ5=4,MATCHED!$E5,IF(MATCHED!AQ5=3,MATCHED!$F5,IF(MATCHED!AQ5=6,MATCHED!$G5,IF(MATCHED!AQ5=7,MATCHED!$H5,"")))))))&amp;IF(MATCHED!AQ5=8,MATCHED!$I5,IF(MATCHED!AQ5=9,MATCHED!$J5,IF(MATCHED!AQ5=10,MATCHED!$K5,IF(MATCHED!AQ5=11,MATCHED!$L5,IF(MATCHED!AQ5=12,MATCHED!$M5,IF(MATCHED!AQ5=13,MATCHED!$N5,IF(MATCHED!AQ5=14,MATCHED!$O5,"")))))))&amp;IF(MATCHED!AQ5=15,MATCHED!$P5,IF(MATCHED!AQ5=16,MATCHED!$Q5,IF(MATCHED!AQ5=17,MATCHED!$R5,IF(MATCHED!AQ5=18,MATCHED!$S5,IF(MATCHED!AQ5=19,MATCHED!$T5,IF(MATCHED!AQ5=20,MATCHED!$U5,IF(MATCHED!AQ5=21,MATCHED!$V5,)))))))&amp;IF(MATCHED!AQ5=22,MATCHED!$W5,IF(MATCHED!AQ5=23,MATCHED!$X5,IF(MATCHED!AQ5=24,MATCHED!$Y5,IF(MATCHED!AQ5=25,MATCHED!$Z5,IF(MATCHED!AQ5=26,MATCHED!$AA5,IF(MATCHED!AQ5=27,MATCHED!$AB5,"."))))))</f>
        <v>#N/A</v>
      </c>
      <c r="P5" s="420" t="e">
        <f>IF(MATCHED!AR5=1,MATCHED!$B5,IF(MATCHED!AR5=2,MATCHED!$C5,IF(MATCHED!AR5=3,MATCHED!$D5,IF(MATCHED!AR5=4,MATCHED!$E5,IF(MATCHED!AR5=3,MATCHED!$F5,IF(MATCHED!AR5=6,MATCHED!$G5,IF(MATCHED!AR5=7,MATCHED!$H5,"")))))))&amp;IF(MATCHED!AR5=8,MATCHED!$I5,IF(MATCHED!AR5=9,MATCHED!$J5,IF(MATCHED!AR5=10,MATCHED!$K5,IF(MATCHED!AR5=11,MATCHED!$L5,IF(MATCHED!AR5=12,MATCHED!$M5,IF(MATCHED!AR5=13,MATCHED!$N5,IF(MATCHED!AR5=14,MATCHED!$O5,"")))))))&amp;IF(MATCHED!AR5=15,MATCHED!$P5,IF(MATCHED!AR5=16,MATCHED!$Q5,IF(MATCHED!AR5=17,MATCHED!$R5,IF(MATCHED!AR5=18,MATCHED!$S5,IF(MATCHED!AR5=19,MATCHED!$T5,IF(MATCHED!AR5=20,MATCHED!$U5,IF(MATCHED!AR5=21,MATCHED!$V5,)))))))&amp;IF(MATCHED!AR5=22,MATCHED!$W5,IF(MATCHED!AR5=23,MATCHED!$X5,IF(MATCHED!AR5=24,MATCHED!$Y5,IF(MATCHED!AR5=25,MATCHED!$Z5,IF(MATCHED!AR5=26,MATCHED!$AA5,IF(MATCHED!AR5=27,MATCHED!$AB5,"."))))))</f>
        <v>#N/A</v>
      </c>
      <c r="Q5" s="422" t="e">
        <f>IF(MATCHED!AS5=1,MATCHED!$B5,IF(MATCHED!AS5=2,MATCHED!$C5,IF(MATCHED!AS5=3,MATCHED!$D5,IF(MATCHED!AS5=4,MATCHED!$E5,IF(MATCHED!AS5=3,MATCHED!$F5,IF(MATCHED!AS5=6,MATCHED!$G5,IF(MATCHED!AS5=7,MATCHED!$H5,"")))))))&amp;IF(MATCHED!AS5=8,MATCHED!$I5,IF(MATCHED!AS5=9,MATCHED!$J5,IF(MATCHED!AS5=10,MATCHED!$K5,IF(MATCHED!AS5=11,MATCHED!$L5,IF(MATCHED!AS5=12,MATCHED!$M5,IF(MATCHED!AS5=13,MATCHED!$N5,IF(MATCHED!AS5=14,MATCHED!$O5,"")))))))&amp;IF(MATCHED!AS5=15,MATCHED!$P5,IF(MATCHED!AS5=16,MATCHED!$Q5,IF(MATCHED!AS5=17,MATCHED!$R5,IF(MATCHED!AS5=18,MATCHED!$S5,IF(MATCHED!AS5=19,MATCHED!$T5,IF(MATCHED!AS5=20,MATCHED!$U5,IF(MATCHED!AS5=21,MATCHED!$V5,)))))))&amp;IF(MATCHED!AS5=22,MATCHED!$W5,IF(MATCHED!AS5=23,MATCHED!$X5,IF(MATCHED!AS5=24,MATCHED!$Y5,IF(MATCHED!AS5=25,MATCHED!$Z5,IF(MATCHED!AS5=26,MATCHED!$AA5,IF(MATCHED!AS5=27,MATCHED!$AB5,"."))))))</f>
        <v>#N/A</v>
      </c>
      <c r="R5" s="421" t="e">
        <f>IF(MATCHED!AT5=1,MATCHED!$B5,IF(MATCHED!AT5=2,MATCHED!$C5,IF(MATCHED!AT5=3,MATCHED!$D5,IF(MATCHED!AT5=4,MATCHED!$E5,IF(MATCHED!AT5=3,MATCHED!$F5,IF(MATCHED!AT5=6,MATCHED!$G5,IF(MATCHED!AT5=7,MATCHED!$H5,"")))))))&amp;IF(MATCHED!AT5=8,MATCHED!$I5,IF(MATCHED!AT5=9,MATCHED!$J5,IF(MATCHED!AT5=10,MATCHED!$K5,IF(MATCHED!AT5=11,MATCHED!$L5,IF(MATCHED!AT5=12,MATCHED!$M5,IF(MATCHED!AT5=13,MATCHED!$N5,IF(MATCHED!AT5=14,MATCHED!$O5,"")))))))&amp;IF(MATCHED!AT5=15,MATCHED!$P5,IF(MATCHED!AT5=16,MATCHED!$Q5,IF(MATCHED!AT5=17,MATCHED!$R5,IF(MATCHED!AT5=18,MATCHED!$S5,IF(MATCHED!AT5=19,MATCHED!$T5,IF(MATCHED!AT5=20,MATCHED!$U5,IF(MATCHED!AT5=21,MATCHED!$V5,)))))))&amp;IF(MATCHED!AT5=22,MATCHED!$W5,IF(MATCHED!AT5=23,MATCHED!$X5,IF(MATCHED!AT5=24,MATCHED!$Y5,IF(MATCHED!AT5=25,MATCHED!$Z5,IF(MATCHED!AT5=26,MATCHED!$AA5,IF(MATCHED!AT5=27,MATCHED!$AB5,"."))))))</f>
        <v>#N/A</v>
      </c>
      <c r="S5" s="421" t="e">
        <f>IF(MATCHED!AU5=1,MATCHED!$B5,IF(MATCHED!AU5=2,MATCHED!$C5,IF(MATCHED!AU5=3,MATCHED!$D5,IF(MATCHED!AU5=4,MATCHED!$E5,IF(MATCHED!AU5=3,MATCHED!$F5,IF(MATCHED!AU5=6,MATCHED!$G5,IF(MATCHED!AU5=7,MATCHED!$H5,"")))))))&amp;IF(MATCHED!AU5=8,MATCHED!$I5,IF(MATCHED!AU5=9,MATCHED!$J5,IF(MATCHED!AU5=10,MATCHED!$K5,IF(MATCHED!AU5=11,MATCHED!$L5,IF(MATCHED!AU5=12,MATCHED!$M5,IF(MATCHED!AU5=13,MATCHED!$N5,IF(MATCHED!AU5=14,MATCHED!$O5,"")))))))&amp;IF(MATCHED!AU5=15,MATCHED!$P5,IF(MATCHED!AU5=16,MATCHED!$Q5,IF(MATCHED!AU5=17,MATCHED!$R5,IF(MATCHED!AU5=18,MATCHED!$S5,IF(MATCHED!AU5=19,MATCHED!$T5,IF(MATCHED!AU5=20,MATCHED!$U5,IF(MATCHED!AU5=21,MATCHED!$V5,)))))))&amp;IF(MATCHED!AU5=22,MATCHED!$W5,IF(MATCHED!AU5=23,MATCHED!$X5,IF(MATCHED!AU5=24,MATCHED!$Y5,IF(MATCHED!AU5=25,MATCHED!$Z5,IF(MATCHED!AU5=26,MATCHED!$AA5,IF(MATCHED!AU5=27,MATCHED!$AB5,"."))))))</f>
        <v>#N/A</v>
      </c>
      <c r="T5" s="420" t="e">
        <f>IF(MATCHED!AV5=1,MATCHED!$B5,IF(MATCHED!AV5=2,MATCHED!$C5,IF(MATCHED!AV5=3,MATCHED!$D5,IF(MATCHED!AV5=4,MATCHED!$E5,IF(MATCHED!AV5=3,MATCHED!$F5,IF(MATCHED!AV5=6,MATCHED!$G5,IF(MATCHED!AV5=7,MATCHED!$H5,"")))))))&amp;IF(MATCHED!AV5=8,MATCHED!$I5,IF(MATCHED!AV5=9,MATCHED!$J5,IF(MATCHED!AV5=10,MATCHED!$K5,IF(MATCHED!AV5=11,MATCHED!$L5,IF(MATCHED!AV5=12,MATCHED!$M5,IF(MATCHED!AV5=13,MATCHED!$N5,IF(MATCHED!AV5=14,MATCHED!$O5,"")))))))&amp;IF(MATCHED!AV5=15,MATCHED!$P5,IF(MATCHED!AV5=16,MATCHED!$Q5,IF(MATCHED!AV5=17,MATCHED!$R5,IF(MATCHED!AV5=18,MATCHED!$S5,IF(MATCHED!AV5=19,MATCHED!$T5,IF(MATCHED!AV5=20,MATCHED!$U5,IF(MATCHED!AV5=21,MATCHED!$V5,)))))))&amp;IF(MATCHED!AV5=22,MATCHED!$W5,IF(MATCHED!AV5=23,MATCHED!$X5,IF(MATCHED!AV5=24,MATCHED!$Y5,IF(MATCHED!AV5=25,MATCHED!$Z5,IF(MATCHED!AV5=26,MATCHED!$AA5,IF(MATCHED!AV5=27,MATCHED!$AB5,"."))))))</f>
        <v>#N/A</v>
      </c>
      <c r="U5" s="420" t="e">
        <f>IF(MATCHED!AW5=1,MATCHED!$B5,IF(MATCHED!AW5=2,MATCHED!$C5,IF(MATCHED!AW5=3,MATCHED!$D5,IF(MATCHED!AW5=4,MATCHED!$E5,IF(MATCHED!AW5=3,MATCHED!$F5,IF(MATCHED!AW5=6,MATCHED!$G5,IF(MATCHED!AW5=7,MATCHED!$H5,"")))))))&amp;IF(MATCHED!AW5=8,MATCHED!$I5,IF(MATCHED!AW5=9,MATCHED!$J5,IF(MATCHED!AW5=10,MATCHED!$K5,IF(MATCHED!AW5=11,MATCHED!$L5,IF(MATCHED!AW5=12,MATCHED!$M5,IF(MATCHED!AW5=13,MATCHED!$N5,IF(MATCHED!AW5=14,MATCHED!$O5,"")))))))&amp;IF(MATCHED!AW5=15,MATCHED!$P5,IF(MATCHED!AW5=16,MATCHED!$Q5,IF(MATCHED!AW5=17,MATCHED!$R5,IF(MATCHED!AW5=18,MATCHED!$S5,IF(MATCHED!AW5=19,MATCHED!$T5,IF(MATCHED!AW5=20,MATCHED!$U5,IF(MATCHED!AW5=21,MATCHED!$V5,)))))))&amp;IF(MATCHED!AW5=22,MATCHED!$W5,IF(MATCHED!AW5=23,MATCHED!$X5,IF(MATCHED!AW5=24,MATCHED!$Y5,IF(MATCHED!AW5=25,MATCHED!$Z5,IF(MATCHED!AW5=26,MATCHED!$AA5,IF(MATCHED!AW5=27,MATCHED!$AB5,"."))))))</f>
        <v>#N/A</v>
      </c>
      <c r="V5" s="420" t="e">
        <f>IF(MATCHED!AX5=1,MATCHED!$B5,IF(MATCHED!AX5=2,MATCHED!$C5,IF(MATCHED!AX5=3,MATCHED!$D5,IF(MATCHED!AX5=4,MATCHED!$E5,IF(MATCHED!AX5=3,MATCHED!$F5,IF(MATCHED!AX5=6,MATCHED!$G5,IF(MATCHED!AX5=7,MATCHED!$H5,"")))))))&amp;IF(MATCHED!AX5=8,MATCHED!$I5,IF(MATCHED!AX5=9,MATCHED!$J5,IF(MATCHED!AX5=10,MATCHED!$K5,IF(MATCHED!AX5=11,MATCHED!$L5,IF(MATCHED!AX5=12,MATCHED!$M5,IF(MATCHED!AX5=13,MATCHED!$N5,IF(MATCHED!AX5=14,MATCHED!$O5,"")))))))&amp;IF(MATCHED!AX5=15,MATCHED!$P5,IF(MATCHED!AX5=16,MATCHED!$Q5,IF(MATCHED!AX5=17,MATCHED!$R5,IF(MATCHED!AX5=18,MATCHED!$S5,IF(MATCHED!AX5=19,MATCHED!$T5,IF(MATCHED!AX5=20,MATCHED!$U5,IF(MATCHED!AX5=21,MATCHED!$V5,)))))))&amp;IF(MATCHED!AX5=22,MATCHED!$W5,IF(MATCHED!AX5=23,MATCHED!$X5,IF(MATCHED!AX5=24,MATCHED!$Y5,IF(MATCHED!AX5=25,MATCHED!$Z5,IF(MATCHED!AX5=26,MATCHED!$AA5,IF(MATCHED!AX5=27,MATCHED!$AB5,"."))))))</f>
        <v>#N/A</v>
      </c>
      <c r="W5" s="420" t="e">
        <f>IF(MATCHED!AY5=1,MATCHED!$B5,IF(MATCHED!AY5=2,MATCHED!$C5,IF(MATCHED!AY5=3,MATCHED!$D5,IF(MATCHED!AY5=4,MATCHED!$E5,IF(MATCHED!AY5=3,MATCHED!$F5,IF(MATCHED!AY5=6,MATCHED!$G5,IF(MATCHED!AY5=7,MATCHED!$H5,"")))))))&amp;IF(MATCHED!AY5=8,MATCHED!$I5,IF(MATCHED!AY5=9,MATCHED!$J5,IF(MATCHED!AY5=10,MATCHED!$K5,IF(MATCHED!AY5=11,MATCHED!$L5,IF(MATCHED!AY5=12,MATCHED!$M5,IF(MATCHED!AY5=13,MATCHED!$N5,IF(MATCHED!AY5=14,MATCHED!$O5,"")))))))&amp;IF(MATCHED!AY5=15,MATCHED!$P5,IF(MATCHED!AY5=16,MATCHED!$Q5,IF(MATCHED!AY5=17,MATCHED!$R5,IF(MATCHED!AY5=18,MATCHED!$S5,IF(MATCHED!AY5=19,MATCHED!$T5,IF(MATCHED!AY5=20,MATCHED!$U5,IF(MATCHED!AY5=21,MATCHED!$V5,)))))))&amp;IF(MATCHED!AY5=22,MATCHED!$W5,IF(MATCHED!AY5=23,MATCHED!$X5,IF(MATCHED!AY5=24,MATCHED!$Y5,IF(MATCHED!AY5=25,MATCHED!$Z5,IF(MATCHED!AY5=26,MATCHED!$AA5,IF(MATCHED!AY5=27,MATCHED!$AB5,"."))))))</f>
        <v>#N/A</v>
      </c>
      <c r="X5" s="420" t="e">
        <f>IF(MATCHED!AZ5=1,MATCHED!$B5,IF(MATCHED!AZ5=2,MATCHED!$C5,IF(MATCHED!AZ5=3,MATCHED!$D5,IF(MATCHED!AZ5=4,MATCHED!$E5,IF(MATCHED!AZ5=3,MATCHED!$F5,IF(MATCHED!AZ5=6,MATCHED!$G5,IF(MATCHED!AZ5=7,MATCHED!$H5,"")))))))&amp;IF(MATCHED!AZ5=8,MATCHED!$I5,IF(MATCHED!AZ5=9,MATCHED!$J5,IF(MATCHED!AZ5=10,MATCHED!$K5,IF(MATCHED!AZ5=11,MATCHED!$L5,IF(MATCHED!AZ5=12,MATCHED!$M5,IF(MATCHED!AZ5=13,MATCHED!$N5,IF(MATCHED!AZ5=14,MATCHED!$O5,"")))))))&amp;IF(MATCHED!AZ5=15,MATCHED!$P5,IF(MATCHED!AZ5=16,MATCHED!$Q5,IF(MATCHED!AZ5=17,MATCHED!$R5,IF(MATCHED!AZ5=18,MATCHED!$S5,IF(MATCHED!AZ5=19,MATCHED!$T5,IF(MATCHED!AZ5=20,MATCHED!$U5,IF(MATCHED!AZ5=21,MATCHED!$V5,)))))))&amp;IF(MATCHED!AZ5=22,MATCHED!$W5,IF(MATCHED!AZ5=23,MATCHED!$X5,IF(MATCHED!AZ5=24,MATCHED!$Y5,IF(MATCHED!AZ5=25,MATCHED!$Z5,IF(MATCHED!AZ5=26,MATCHED!$AA5,IF(MATCHED!AZ5=27,MATCHED!$AB5,"."))))))</f>
        <v>#N/A</v>
      </c>
      <c r="Y5" s="420" t="e">
        <f>IF(MATCHED!BA5=1,MATCHED!$B5,IF(MATCHED!BA5=2,MATCHED!$C5,IF(MATCHED!BA5=3,MATCHED!$D5,IF(MATCHED!BA5=4,MATCHED!$E5,IF(MATCHED!BA5=3,MATCHED!$F5,IF(MATCHED!BA5=6,MATCHED!$G5,IF(MATCHED!BA5=7,MATCHED!$H5,"")))))))&amp;IF(MATCHED!BA5=8,MATCHED!$I5,IF(MATCHED!BA5=9,MATCHED!$J5,IF(MATCHED!BA5=10,MATCHED!$K5,IF(MATCHED!BA5=11,MATCHED!$L5,IF(MATCHED!BA5=12,MATCHED!$M5,IF(MATCHED!BA5=13,MATCHED!$N5,IF(MATCHED!BA5=14,MATCHED!$O5,"")))))))&amp;IF(MATCHED!BA5=15,MATCHED!$P5,IF(MATCHED!BA5=16,MATCHED!$Q5,IF(MATCHED!BA5=17,MATCHED!$R5,IF(MATCHED!BA5=18,MATCHED!$S5,IF(MATCHED!BA5=19,MATCHED!$T5,IF(MATCHED!BA5=20,MATCHED!$U5,IF(MATCHED!BA5=21,MATCHED!$V5,)))))))&amp;IF(MATCHED!BA5=22,MATCHED!$W5,IF(MATCHED!BA5=23,MATCHED!$X5,IF(MATCHED!BA5=24,MATCHED!$Y5,IF(MATCHED!BA5=25,MATCHED!$Z5,IF(MATCHED!BA5=26,MATCHED!$AA5,IF(MATCHED!BA5=27,MATCHED!$AB5,"."))))))</f>
        <v>#N/A</v>
      </c>
      <c r="Z5" s="420" t="e">
        <f>IF(MATCHED!BB5=1,MATCHED!$B5,IF(MATCHED!BB5=2,MATCHED!$C5,IF(MATCHED!BB5=3,MATCHED!$D5,IF(MATCHED!BB5=4,MATCHED!$E5,IF(MATCHED!BB5=3,MATCHED!$F5,IF(MATCHED!BB5=6,MATCHED!$G5,IF(MATCHED!BB5=7,MATCHED!$H5,"")))))))&amp;IF(MATCHED!BB5=8,MATCHED!$I5,IF(MATCHED!BB5=9,MATCHED!$J5,IF(MATCHED!BB5=10,MATCHED!$K5,IF(MATCHED!BB5=11,MATCHED!$L5,IF(MATCHED!BB5=12,MATCHED!$M5,IF(MATCHED!BB5=13,MATCHED!$N5,IF(MATCHED!BB5=14,MATCHED!$O5,"")))))))&amp;IF(MATCHED!BB5=15,MATCHED!$P5,IF(MATCHED!BB5=16,MATCHED!$Q5,IF(MATCHED!BB5=17,MATCHED!$R5,IF(MATCHED!BB5=18,MATCHED!$S5,IF(MATCHED!BB5=19,MATCHED!$T5,IF(MATCHED!BB5=20,MATCHED!$U5,IF(MATCHED!BB5=21,MATCHED!$V5,)))))))&amp;IF(MATCHED!BB5=22,MATCHED!$W5,IF(MATCHED!BB5=23,MATCHED!$X5,IF(MATCHED!BB5=24,MATCHED!$Y5,IF(MATCHED!BB5=25,MATCHED!$Z5,IF(MATCHED!BB5=26,MATCHED!$AA5,IF(MATCHED!BB5=27,MATCHED!$AB5,"."))))))</f>
        <v>#N/A</v>
      </c>
      <c r="AA5" s="420" t="e">
        <f>IF(MATCHED!BC5=1,MATCHED!$B5,IF(MATCHED!BC5=2,MATCHED!$C5,IF(MATCHED!BC5=3,MATCHED!$D5,IF(MATCHED!BC5=4,MATCHED!$E5,IF(MATCHED!BC5=3,MATCHED!$F5,IF(MATCHED!BC5=6,MATCHED!$G5,IF(MATCHED!BC5=7,MATCHED!$H5,"")))))))&amp;IF(MATCHED!BC5=8,MATCHED!$I5,IF(MATCHED!BC5=9,MATCHED!$J5,IF(MATCHED!BC5=10,MATCHED!$K5,IF(MATCHED!BC5=11,MATCHED!$L5,IF(MATCHED!BC5=12,MATCHED!$M5,IF(MATCHED!BC5=13,MATCHED!$N5,IF(MATCHED!BC5=14,MATCHED!$O5,"")))))))&amp;IF(MATCHED!BC5=15,MATCHED!$P5,IF(MATCHED!BC5=16,MATCHED!$Q5,IF(MATCHED!BC5=17,MATCHED!$R5,IF(MATCHED!BC5=18,MATCHED!$S5,IF(MATCHED!BC5=19,MATCHED!$T5,IF(MATCHED!BC5=20,MATCHED!$U5,IF(MATCHED!BC5=21,MATCHED!$V5,)))))))&amp;IF(MATCHED!BC5=22,MATCHED!$W5,IF(MATCHED!BC5=23,MATCHED!$X5,IF(MATCHED!BC5=24,MATCHED!$Y5,IF(MATCHED!BC5=25,MATCHED!$Z5,IF(MATCHED!BC5=26,MATCHED!$AA5,IF(MATCHED!BC5=27,MATCHED!$AB5,"."))))))</f>
        <v>#N/A</v>
      </c>
      <c r="AB5" s="420" t="e">
        <f>IF(MATCHED!BD5=1,MATCHED!$B5,IF(MATCHED!BD5=2,MATCHED!$C5,IF(MATCHED!BD5=3,MATCHED!$D5,IF(MATCHED!BD5=4,MATCHED!$E5,IF(MATCHED!BD5=3,MATCHED!$F5,IF(MATCHED!BD5=6,MATCHED!$G5,IF(MATCHED!BD5=7,MATCHED!$H5,"")))))))&amp;IF(MATCHED!BD5=8,MATCHED!$I5,IF(MATCHED!BD5=9,MATCHED!$J5,IF(MATCHED!BD5=10,MATCHED!$K5,IF(MATCHED!BD5=11,MATCHED!$L5,IF(MATCHED!BD5=12,MATCHED!$M5,IF(MATCHED!BD5=13,MATCHED!$N5,IF(MATCHED!BD5=14,MATCHED!$O5,"")))))))&amp;IF(MATCHED!BD5=15,MATCHED!$P5,IF(MATCHED!BD5=16,MATCHED!$Q5,IF(MATCHED!BD5=17,MATCHED!$R5,IF(MATCHED!BD5=18,MATCHED!$S5,IF(MATCHED!BD5=19,MATCHED!$T5,IF(MATCHED!BD5=20,MATCHED!$U5,IF(MATCHED!BD5=21,MATCHED!$V5,)))))))&amp;IF(MATCHED!BD5=22,MATCHED!$W5,IF(MATCHED!BD5=23,MATCHED!$X5,IF(MATCHED!BD5=24,MATCHED!$Y5,IF(MATCHED!BD5=25,MATCHED!$Z5,IF(MATCHED!BD5=26,MATCHED!$AA5,IF(MATCHED!BD5=27,MATCHED!$AB5,"."))))))</f>
        <v>#N/A</v>
      </c>
      <c r="AC5" s="420" t="e">
        <f>IF(MATCHED!BE5=1,MATCHED!$B5,IF(MATCHED!BE5=2,MATCHED!$C5,IF(MATCHED!BE5=3,MATCHED!$D5,IF(MATCHED!BE5=4,MATCHED!$E5,IF(MATCHED!BE5=3,MATCHED!$F5,IF(MATCHED!BE5=6,MATCHED!$G5,IF(MATCHED!BE5=7,MATCHED!$H5,"")))))))&amp;IF(MATCHED!BE5=8,MATCHED!$I5,IF(MATCHED!BE5=9,MATCHED!$J5,IF(MATCHED!BE5=10,MATCHED!$K5,IF(MATCHED!BE5=11,MATCHED!$L5,IF(MATCHED!BE5=12,MATCHED!$M5,IF(MATCHED!BE5=13,MATCHED!$N5,IF(MATCHED!BE5=14,MATCHED!$O5,"")))))))&amp;IF(MATCHED!BE5=15,MATCHED!$P5,IF(MATCHED!BE5=16,MATCHED!$Q5,IF(MATCHED!BE5=17,MATCHED!$R5,IF(MATCHED!BE5=18,MATCHED!$S5,IF(MATCHED!BE5=19,MATCHED!$T5,IF(MATCHED!BE5=20,MATCHED!$U5,IF(MATCHED!BE5=21,MATCHED!$V5,)))))))&amp;IF(MATCHED!BE5=22,MATCHED!$W5,IF(MATCHED!BE5=23,MATCHED!$X5,IF(MATCHED!BE5=24,MATCHED!$Y5,IF(MATCHED!BE5=25,MATCHED!$Z5,IF(MATCHED!BE5=26,MATCHED!$AA5,IF(MATCHED!BE5=27,MATCHED!$AB5,"."))))))</f>
        <v>#N/A</v>
      </c>
      <c r="AD5" s="420" t="e">
        <f>IF(MATCHED!BF5=1,MATCHED!$B5,IF(MATCHED!BF5=2,MATCHED!$C5,IF(MATCHED!BF5=3,MATCHED!$D5,IF(MATCHED!BF5=4,MATCHED!$E5,IF(MATCHED!BF5=3,MATCHED!$F5,IF(MATCHED!BF5=6,MATCHED!$G5,IF(MATCHED!BF5=7,MATCHED!$H5,"")))))))&amp;IF(MATCHED!BF5=8,MATCHED!$I5,IF(MATCHED!BF5=9,MATCHED!$J5,IF(MATCHED!BF5=10,MATCHED!$K5,IF(MATCHED!BF5=11,MATCHED!$L5,IF(MATCHED!BF5=12,MATCHED!$M5,IF(MATCHED!BF5=13,MATCHED!$N5,IF(MATCHED!BF5=14,MATCHED!$O5,"")))))))&amp;IF(MATCHED!BF5=15,MATCHED!$P5,IF(MATCHED!BF5=16,MATCHED!$Q5,IF(MATCHED!BF5=17,MATCHED!$R5,IF(MATCHED!BF5=18,MATCHED!$S5,IF(MATCHED!BF5=19,MATCHED!$T5,IF(MATCHED!BF5=20,MATCHED!$U5,IF(MATCHED!BF5=21,MATCHED!$V5,)))))))&amp;IF(MATCHED!BF5=22,MATCHED!$W5,IF(MATCHED!BF5=23,MATCHED!$X5,IF(MATCHED!BF5=24,MATCHED!$Y5,IF(MATCHED!BF5=25,MATCHED!$Z5,IF(MATCHED!BF5=26,MATCHED!$AA5,IF(MATCHED!BF5=27,MATCHED!$AB5,"."))))))</f>
        <v>#N/A</v>
      </c>
      <c r="AE5" s="420" t="e">
        <f>IF(MATCHED!BG5=1,MATCHED!$B5,IF(MATCHED!BG5=2,MATCHED!$C5,IF(MATCHED!BG5=3,MATCHED!$D5,IF(MATCHED!BG5=4,MATCHED!$E5,IF(MATCHED!BG5=3,MATCHED!$F5,IF(MATCHED!BG5=6,MATCHED!$G5,IF(MATCHED!BG5=7,MATCHED!$H5,"")))))))&amp;IF(MATCHED!BG5=8,MATCHED!$I5,IF(MATCHED!BG5=9,MATCHED!$J5,IF(MATCHED!BG5=10,MATCHED!$K5,IF(MATCHED!BG5=11,MATCHED!$L5,IF(MATCHED!BG5=12,MATCHED!$M5,IF(MATCHED!BG5=13,MATCHED!$N5,IF(MATCHED!BG5=14,MATCHED!$O5,"")))))))&amp;IF(MATCHED!BG5=15,MATCHED!$P5,IF(MATCHED!BG5=16,MATCHED!$Q5,IF(MATCHED!BG5=17,MATCHED!$R5,IF(MATCHED!BG5=18,MATCHED!$S5,IF(MATCHED!BG5=19,MATCHED!$T5,IF(MATCHED!BG5=20,MATCHED!$U5,IF(MATCHED!BG5=21,MATCHED!$V5,)))))))&amp;IF(MATCHED!BG5=22,MATCHED!$W5,IF(MATCHED!BG5=23,MATCHED!$X5,IF(MATCHED!BG5=24,MATCHED!$Y5,IF(MATCHED!BG5=25,MATCHED!$Z5,IF(MATCHED!BG5=26,MATCHED!$AA5,IF(MATCHED!BG5=27,MATCHED!$AB5,"."))))))</f>
        <v>#N/A</v>
      </c>
      <c r="AF5" s="420" t="e">
        <f>IF(MATCHED!BH5=1,MATCHED!$B5,IF(MATCHED!BH5=2,MATCHED!$C5,IF(MATCHED!BH5=3,MATCHED!$D5,IF(MATCHED!BH5=4,MATCHED!$E5,IF(MATCHED!BH5=3,MATCHED!$F5,IF(MATCHED!BH5=6,MATCHED!$G5,IF(MATCHED!BH5=7,MATCHED!$H5,"")))))))&amp;IF(MATCHED!BH5=8,MATCHED!$I5,IF(MATCHED!BH5=9,MATCHED!$J5,IF(MATCHED!BH5=10,MATCHED!$K5,IF(MATCHED!BH5=11,MATCHED!$L5,IF(MATCHED!BH5=12,MATCHED!$M5,IF(MATCHED!BH5=13,MATCHED!$N5,IF(MATCHED!BH5=14,MATCHED!$O5,"")))))))&amp;IF(MATCHED!BH5=15,MATCHED!$P5,IF(MATCHED!BH5=16,MATCHED!$Q5,IF(MATCHED!BH5=17,MATCHED!$R5,IF(MATCHED!BH5=18,MATCHED!$S5,IF(MATCHED!BH5=19,MATCHED!$T5,IF(MATCHED!BH5=20,MATCHED!$U5,IF(MATCHED!BH5=21,MATCHED!$V5,)))))))&amp;IF(MATCHED!BH5=22,MATCHED!$W5,IF(MATCHED!BH5=23,MATCHED!$X5,IF(MATCHED!BH5=24,MATCHED!$Y5,IF(MATCHED!BH5=25,MATCHED!$Z5,IF(MATCHED!BH5=26,MATCHED!$AA5,IF(MATCHED!BH5=27,MATCHED!$AB5,"."))))))</f>
        <v>#N/A</v>
      </c>
      <c r="AG5" s="420" t="e">
        <f>IF(MATCHED!BI5=1,MATCHED!$B5,IF(MATCHED!BI5=2,MATCHED!$C5,IF(MATCHED!BI5=3,MATCHED!$D5,IF(MATCHED!BI5=4,MATCHED!$E5,IF(MATCHED!BI5=3,MATCHED!$F5,IF(MATCHED!BI5=6,MATCHED!$G5,IF(MATCHED!BI5=7,MATCHED!$H5,"")))))))&amp;IF(MATCHED!BI5=8,MATCHED!$I5,IF(MATCHED!BI5=9,MATCHED!$J5,IF(MATCHED!BI5=10,MATCHED!$K5,IF(MATCHED!BI5=11,MATCHED!$L5,IF(MATCHED!BI5=12,MATCHED!$M5,IF(MATCHED!BI5=13,MATCHED!$N5,IF(MATCHED!BI5=14,MATCHED!$O5,"")))))))&amp;IF(MATCHED!BI5=15,MATCHED!$P5,IF(MATCHED!BI5=16,MATCHED!$Q5,IF(MATCHED!BI5=17,MATCHED!$R5,IF(MATCHED!BI5=18,MATCHED!$S5,IF(MATCHED!BI5=19,MATCHED!$T5,IF(MATCHED!BI5=20,MATCHED!$U5,IF(MATCHED!BI5=21,MATCHED!$V5,)))))))&amp;IF(MATCHED!BI5=22,MATCHED!$W5,IF(MATCHED!BI5=23,MATCHED!$X5,IF(MATCHED!BI5=24,MATCHED!$Y5,IF(MATCHED!BI5=25,MATCHED!$Z5,IF(MATCHED!BI5=26,MATCHED!$AA5,IF(MATCHED!BI5=27,MATCHED!$AB5,"."))))))</f>
        <v>#N/A</v>
      </c>
      <c r="AH5" s="420" t="e">
        <f>IF(MATCHED!BJ5=1,MATCHED!$B5,IF(MATCHED!BJ5=2,MATCHED!$C5,IF(MATCHED!BJ5=3,MATCHED!$D5,IF(MATCHED!BJ5=4,MATCHED!$E5,IF(MATCHED!BJ5=3,MATCHED!$F5,IF(MATCHED!BJ5=6,MATCHED!$G5,IF(MATCHED!BJ5=7,MATCHED!$H5,"")))))))&amp;IF(MATCHED!BJ5=8,MATCHED!$I5,IF(MATCHED!BJ5=9,MATCHED!$J5,IF(MATCHED!BJ5=10,MATCHED!$K5,IF(MATCHED!BJ5=11,MATCHED!$L5,IF(MATCHED!BJ5=12,MATCHED!$M5,IF(MATCHED!BJ5=13,MATCHED!$N5,IF(MATCHED!BJ5=14,MATCHED!$O5,"")))))))&amp;IF(MATCHED!BJ5=15,MATCHED!$P5,IF(MATCHED!BJ5=16,MATCHED!$Q5,IF(MATCHED!BJ5=17,MATCHED!$R5,IF(MATCHED!BJ5=18,MATCHED!$S5,IF(MATCHED!BJ5=19,MATCHED!$T5,IF(MATCHED!BJ5=20,MATCHED!$U5,IF(MATCHED!BJ5=21,MATCHED!$V5,)))))))&amp;IF(MATCHED!BJ5=22,MATCHED!$W5,IF(MATCHED!BJ5=23,MATCHED!$X5,IF(MATCHED!BJ5=24,MATCHED!$Y5,IF(MATCHED!BJ5=25,MATCHED!$Z5,IF(MATCHED!BJ5=26,MATCHED!$AA5,IF(MATCHED!BJ5=27,MATCHED!$AB5,"."))))))</f>
        <v>#N/A</v>
      </c>
      <c r="AI5" s="420" t="e">
        <f>IF(MATCHED!BK5=1,MATCHED!$B5,IF(MATCHED!BK5=2,MATCHED!$C5,IF(MATCHED!BK5=3,MATCHED!$D5,IF(MATCHED!BK5=4,MATCHED!$E5,IF(MATCHED!BK5=3,MATCHED!$F5,IF(MATCHED!BK5=6,MATCHED!$G5,IF(MATCHED!BK5=7,MATCHED!$H5,"")))))))&amp;IF(MATCHED!BK5=8,MATCHED!$I5,IF(MATCHED!BK5=9,MATCHED!$J5,IF(MATCHED!BK5=10,MATCHED!$K5,IF(MATCHED!BK5=11,MATCHED!$L5,IF(MATCHED!BK5=12,MATCHED!$M5,IF(MATCHED!BK5=13,MATCHED!$N5,IF(MATCHED!BK5=14,MATCHED!$O5,"")))))))&amp;IF(MATCHED!BK5=15,MATCHED!$P5,IF(MATCHED!BK5=16,MATCHED!$Q5,IF(MATCHED!BK5=17,MATCHED!$R5,IF(MATCHED!BK5=18,MATCHED!$S5,IF(MATCHED!BK5=19,MATCHED!$T5,IF(MATCHED!BK5=20,MATCHED!$U5,IF(MATCHED!BK5=21,MATCHED!$V5,)))))))&amp;IF(MATCHED!BK5=22,MATCHED!$W5,IF(MATCHED!BK5=23,MATCHED!$X5,IF(MATCHED!BK5=24,MATCHED!$Y5,IF(MATCHED!BK5=25,MATCHED!$Z5,IF(MATCHED!BK5=26,MATCHED!$AA5,IF(MATCHED!BK5=27,MATCHED!$AB5,"."))))))</f>
        <v>#N/A</v>
      </c>
      <c r="AJ5" s="534"/>
    </row>
    <row r="6" spans="1:104" s="338" customFormat="1" x14ac:dyDescent="0.25">
      <c r="A6" s="534"/>
      <c r="B6" s="333" t="e">
        <f>IF(MATCHED!AD6=1,MATCHED!$B6,IF(MATCHED!AD6=2,MATCHED!$C6,IF(MATCHED!AD6=3,MATCHED!$D6,IF(MATCHED!AD6=4,MATCHED!$E6,IF(MATCHED!AD6=3,MATCHED!$F6,IF(MATCHED!AD6=6,MATCHED!$G6,IF(MATCHED!AD6=7,MATCHED!$H6,"")))))))&amp;IF(MATCHED!AD6=8,MATCHED!$I6,IF(MATCHED!AD6=9,MATCHED!$J6,IF(MATCHED!AD6=10,MATCHED!$K6,IF(MATCHED!AD6=11,MATCHED!$L6,IF(MATCHED!AD6=12,MATCHED!$M6,IF(MATCHED!AD6=13,MATCHED!$N6,IF(MATCHED!AD6=14,MATCHED!$O6,"")))))))&amp;IF(MATCHED!AD6=15,MATCHED!$P6,IF(MATCHED!AD6=16,MATCHED!$Q6,IF(MATCHED!AD6=17,MATCHED!$R6,IF(MATCHED!AD6=18,MATCHED!$S6,IF(MATCHED!AD6=19,MATCHED!$T6,IF(MATCHED!AD6=20,MATCHED!$U6,IF(MATCHED!AD6=21,MATCHED!$V6,)))))))&amp;IF(MATCHED!AD6=22,MATCHED!$W6,IF(MATCHED!AD6=23,MATCHED!$X6,IF(MATCHED!AD6=24,MATCHED!$Y6,IF(MATCHED!AD6=25,MATCHED!$Z6,IF(MATCHED!AD6=26,MATCHED!$AA6,IF(MATCHED!AD6=27,MATCHED!$AB6,"."))))))</f>
        <v>#N/A</v>
      </c>
      <c r="C6" s="334" t="e">
        <f>IF(MATCHED!AE6=1,MATCHED!$B6,IF(MATCHED!AE6=2,MATCHED!$C6,IF(MATCHED!AE6=3,MATCHED!$D6,IF(MATCHED!AE6=4,MATCHED!$E6,IF(MATCHED!AE6=3,MATCHED!$F6,IF(MATCHED!AE6=6,MATCHED!$G6,IF(MATCHED!AE6=7,MATCHED!$H6,"")))))))&amp;IF(MATCHED!AE6=8,MATCHED!$I6,IF(MATCHED!AE6=9,MATCHED!$J6,IF(MATCHED!AE6=10,MATCHED!$K6,IF(MATCHED!AE6=11,MATCHED!$L6,IF(MATCHED!AE6=12,MATCHED!$M6,IF(MATCHED!AE6=13,MATCHED!$N6,IF(MATCHED!AE6=14,MATCHED!$O6,"")))))))&amp;IF(MATCHED!AE6=15,MATCHED!$P6,IF(MATCHED!AE6=16,MATCHED!$Q6,IF(MATCHED!AE6=17,MATCHED!$R6,IF(MATCHED!AE6=18,MATCHED!$S6,IF(MATCHED!AE6=19,MATCHED!$T6,IF(MATCHED!AE6=20,MATCHED!$U6,IF(MATCHED!AE6=21,MATCHED!$V6,)))))))&amp;IF(MATCHED!AE6=22,MATCHED!$W6,IF(MATCHED!AE6=23,MATCHED!$X6,IF(MATCHED!AE6=24,MATCHED!$Y6,IF(MATCHED!AE6=25,MATCHED!$Z6,IF(MATCHED!AE6=26,MATCHED!$AA6,IF(MATCHED!AE6=27,MATCHED!$AB6,"."))))))</f>
        <v>#N/A</v>
      </c>
      <c r="D6" s="334" t="e">
        <f>IF(MATCHED!AF6=1,MATCHED!$B6,IF(MATCHED!AF6=2,MATCHED!$C6,IF(MATCHED!AF6=3,MATCHED!$D6,IF(MATCHED!AF6=4,MATCHED!$E6,IF(MATCHED!AF6=3,MATCHED!$F6,IF(MATCHED!AF6=6,MATCHED!$G6,IF(MATCHED!AF6=7,MATCHED!$H6,"")))))))&amp;IF(MATCHED!AF6=8,MATCHED!$I6,IF(MATCHED!AF6=9,MATCHED!$J6,IF(MATCHED!AF6=10,MATCHED!$K6,IF(MATCHED!AF6=11,MATCHED!$L6,IF(MATCHED!AF6=12,MATCHED!$M6,IF(MATCHED!AF6=13,MATCHED!$N6,IF(MATCHED!AF6=14,MATCHED!$O6,"")))))))&amp;IF(MATCHED!AF6=15,MATCHED!$P6,IF(MATCHED!AF6=16,MATCHED!$Q6,IF(MATCHED!AF6=17,MATCHED!$R6,IF(MATCHED!AF6=18,MATCHED!$S6,IF(MATCHED!AF6=19,MATCHED!$T6,IF(MATCHED!AF6=20,MATCHED!$U6,IF(MATCHED!AF6=21,MATCHED!$V6,)))))))&amp;IF(MATCHED!AF6=22,MATCHED!$W6,IF(MATCHED!AF6=23,MATCHED!$X6,IF(MATCHED!AF6=24,MATCHED!$Y6,IF(MATCHED!AF6=25,MATCHED!$Z6,IF(MATCHED!AF6=26,MATCHED!$AA6,IF(MATCHED!AF6=27,MATCHED!$AB6,"."))))))</f>
        <v>#N/A</v>
      </c>
      <c r="E6" s="334" t="e">
        <f>IF(MATCHED!AG6=1,MATCHED!$B6,IF(MATCHED!AG6=2,MATCHED!$C6,IF(MATCHED!AG6=3,MATCHED!$D6,IF(MATCHED!AG6=4,MATCHED!$E6,IF(MATCHED!AG6=3,MATCHED!$F6,IF(MATCHED!AG6=6,MATCHED!$G6,IF(MATCHED!AG6=7,MATCHED!$H6,"")))))))&amp;IF(MATCHED!AG6=8,MATCHED!$I6,IF(MATCHED!AG6=9,MATCHED!$J6,IF(MATCHED!AG6=10,MATCHED!$K6,IF(MATCHED!AG6=11,MATCHED!$L6,IF(MATCHED!AG6=12,MATCHED!$M6,IF(MATCHED!AG6=13,MATCHED!$N6,IF(MATCHED!AG6=14,MATCHED!$O6,"")))))))&amp;IF(MATCHED!AG6=15,MATCHED!$P6,IF(MATCHED!AG6=16,MATCHED!$Q6,IF(MATCHED!AG6=17,MATCHED!$R6,IF(MATCHED!AG6=18,MATCHED!$S6,IF(MATCHED!AG6=19,MATCHED!$T6,IF(MATCHED!AG6=20,MATCHED!$U6,IF(MATCHED!AG6=21,MATCHED!$V6,)))))))&amp;IF(MATCHED!AG6=22,MATCHED!$W6,IF(MATCHED!AG6=23,MATCHED!$X6,IF(MATCHED!AG6=24,MATCHED!$Y6,IF(MATCHED!AG6=25,MATCHED!$Z6,IF(MATCHED!AG6=26,MATCHED!$AA6,IF(MATCHED!AG6=27,MATCHED!$AB6,"."))))))</f>
        <v>#N/A</v>
      </c>
      <c r="F6" s="334" t="e">
        <f>IF(MATCHED!AH6=1,MATCHED!$B6,IF(MATCHED!AH6=2,MATCHED!$C6,IF(MATCHED!AH6=3,MATCHED!$D6,IF(MATCHED!AH6=4,MATCHED!$E6,IF(MATCHED!AH6=3,MATCHED!$F6,IF(MATCHED!AH6=6,MATCHED!$G6,IF(MATCHED!AH6=7,MATCHED!$H6,"")))))))&amp;IF(MATCHED!AH6=8,MATCHED!$I6,IF(MATCHED!AH6=9,MATCHED!$J6,IF(MATCHED!AH6=10,MATCHED!$K6,IF(MATCHED!AH6=11,MATCHED!$L6,IF(MATCHED!AH6=12,MATCHED!$M6,IF(MATCHED!AH6=13,MATCHED!$N6,IF(MATCHED!AH6=14,MATCHED!$O6,"")))))))&amp;IF(MATCHED!AH6=15,MATCHED!$P6,IF(MATCHED!AH6=16,MATCHED!$Q6,IF(MATCHED!AH6=17,MATCHED!$R6,IF(MATCHED!AH6=18,MATCHED!$S6,IF(MATCHED!AH6=19,MATCHED!$T6,IF(MATCHED!AH6=20,MATCHED!$U6,IF(MATCHED!AH6=21,MATCHED!$V6,)))))))&amp;IF(MATCHED!AH6=22,MATCHED!$W6,IF(MATCHED!AH6=23,MATCHED!$X6,IF(MATCHED!AH6=24,MATCHED!$Y6,IF(MATCHED!AH6=25,MATCHED!$Z6,IF(MATCHED!AH6=26,MATCHED!$AA6,IF(MATCHED!AH6=27,MATCHED!$AB6,"."))))))</f>
        <v>#N/A</v>
      </c>
      <c r="G6" s="334" t="e">
        <f>IF(MATCHED!AI6=1,MATCHED!$B6,IF(MATCHED!AI6=2,MATCHED!$C6,IF(MATCHED!AI6=3,MATCHED!$D6,IF(MATCHED!AI6=4,MATCHED!$E6,IF(MATCHED!AI6=3,MATCHED!$F6,IF(MATCHED!AI6=6,MATCHED!$G6,IF(MATCHED!AI6=7,MATCHED!$H6,"")))))))&amp;IF(MATCHED!AI6=8,MATCHED!$I6,IF(MATCHED!AI6=9,MATCHED!$J6,IF(MATCHED!AI6=10,MATCHED!$K6,IF(MATCHED!AI6=11,MATCHED!$L6,IF(MATCHED!AI6=12,MATCHED!$M6,IF(MATCHED!AI6=13,MATCHED!$N6,IF(MATCHED!AI6=14,MATCHED!$O6,"")))))))&amp;IF(MATCHED!AI6=15,MATCHED!$P6,IF(MATCHED!AI6=16,MATCHED!$Q6,IF(MATCHED!AI6=17,MATCHED!$R6,IF(MATCHED!AI6=18,MATCHED!$S6,IF(MATCHED!AI6=19,MATCHED!$T6,IF(MATCHED!AI6=20,MATCHED!$U6,IF(MATCHED!AI6=21,MATCHED!$V6,)))))))&amp;IF(MATCHED!AI6=22,MATCHED!$W6,IF(MATCHED!AI6=23,MATCHED!$X6,IF(MATCHED!AI6=24,MATCHED!$Y6,IF(MATCHED!AI6=25,MATCHED!$Z6,IF(MATCHED!AI6=26,MATCHED!$AA6,IF(MATCHED!AI6=27,MATCHED!$AB6,"."))))))</f>
        <v>#N/A</v>
      </c>
      <c r="H6" s="335" t="e">
        <f>IF(MATCHED!AJ6=1,MATCHED!$B6,IF(MATCHED!AJ6=2,MATCHED!$C6,IF(MATCHED!AJ6=3,MATCHED!$D6,IF(MATCHED!AJ6=4,MATCHED!$E6,IF(MATCHED!AJ6=3,MATCHED!$F6,IF(MATCHED!AJ6=6,MATCHED!$G6,IF(MATCHED!AJ6=7,MATCHED!$H6,"")))))))&amp;IF(MATCHED!AJ6=8,MATCHED!$I6,IF(MATCHED!AJ6=9,MATCHED!$J6,IF(MATCHED!AJ6=10,MATCHED!$K6,IF(MATCHED!AJ6=11,MATCHED!$L6,IF(MATCHED!AJ6=12,MATCHED!$M6,IF(MATCHED!AJ6=13,MATCHED!$N6,IF(MATCHED!AJ6=14,MATCHED!$O6,"")))))))&amp;IF(MATCHED!AJ6=15,MATCHED!$P6,IF(MATCHED!AJ6=16,MATCHED!$Q6,IF(MATCHED!AJ6=17,MATCHED!$R6,IF(MATCHED!AJ6=18,MATCHED!$S6,IF(MATCHED!AJ6=19,MATCHED!$T6,IF(MATCHED!AJ6=20,MATCHED!$U6,IF(MATCHED!AJ6=21,MATCHED!$V6,)))))))&amp;IF(MATCHED!AJ6=22,MATCHED!$W6,IF(MATCHED!AJ6=23,MATCHED!$X6,IF(MATCHED!AJ6=24,MATCHED!$Y6,IF(MATCHED!AJ6=25,MATCHED!$Z6,IF(MATCHED!AJ6=26,MATCHED!$AA6,IF(MATCHED!AJ6=27,MATCHED!$AB6,"."))))))</f>
        <v>#N/A</v>
      </c>
      <c r="I6" s="335" t="e">
        <f>IF(MATCHED!AK6=1,MATCHED!$B6,IF(MATCHED!AK6=2,MATCHED!$C6,IF(MATCHED!AK6=3,MATCHED!$D6,IF(MATCHED!AK6=4,MATCHED!$E6,IF(MATCHED!AK6=3,MATCHED!$F6,IF(MATCHED!AK6=6,MATCHED!$G6,IF(MATCHED!AK6=7,MATCHED!$H6,"")))))))&amp;IF(MATCHED!AK6=8,MATCHED!$I6,IF(MATCHED!AK6=9,MATCHED!$J6,IF(MATCHED!AK6=10,MATCHED!$K6,IF(MATCHED!AK6=11,MATCHED!$L6,IF(MATCHED!AK6=12,MATCHED!$M6,IF(MATCHED!AK6=13,MATCHED!$N6,IF(MATCHED!AK6=14,MATCHED!$O6,"")))))))&amp;IF(MATCHED!AK6=15,MATCHED!$P6,IF(MATCHED!AK6=16,MATCHED!$Q6,IF(MATCHED!AK6=17,MATCHED!$R6,IF(MATCHED!AK6=18,MATCHED!$S6,IF(MATCHED!AK6=19,MATCHED!$T6,IF(MATCHED!AK6=20,MATCHED!$U6,IF(MATCHED!AK6=21,MATCHED!$V6,)))))))&amp;IF(MATCHED!AK6=22,MATCHED!$W6,IF(MATCHED!AK6=23,MATCHED!$X6,IF(MATCHED!AK6=24,MATCHED!$Y6,IF(MATCHED!AK6=25,MATCHED!$Z6,IF(MATCHED!AK6=26,MATCHED!$AA6,IF(MATCHED!AK6=27,MATCHED!$AB6,"."))))))</f>
        <v>#N/A</v>
      </c>
      <c r="J6" s="335" t="e">
        <f>IF(MATCHED!AL6=1,MATCHED!$B6,IF(MATCHED!AL6=2,MATCHED!$C6,IF(MATCHED!AL6=3,MATCHED!$D6,IF(MATCHED!AL6=4,MATCHED!$E6,IF(MATCHED!AL6=3,MATCHED!$F6,IF(MATCHED!AL6=6,MATCHED!$G6,IF(MATCHED!AL6=7,MATCHED!$H6,"")))))))&amp;IF(MATCHED!AL6=8,MATCHED!$I6,IF(MATCHED!AL6=9,MATCHED!$J6,IF(MATCHED!AL6=10,MATCHED!$K6,IF(MATCHED!AL6=11,MATCHED!$L6,IF(MATCHED!AL6=12,MATCHED!$M6,IF(MATCHED!AL6=13,MATCHED!$N6,IF(MATCHED!AL6=14,MATCHED!$O6,"")))))))&amp;IF(MATCHED!AL6=15,MATCHED!$P6,IF(MATCHED!AL6=16,MATCHED!$Q6,IF(MATCHED!AL6=17,MATCHED!$R6,IF(MATCHED!AL6=18,MATCHED!$S6,IF(MATCHED!AL6=19,MATCHED!$T6,IF(MATCHED!AL6=20,MATCHED!$U6,IF(MATCHED!AL6=21,MATCHED!$V6,)))))))&amp;IF(MATCHED!AL6=22,MATCHED!$W6,IF(MATCHED!AL6=23,MATCHED!$X6,IF(MATCHED!AL6=24,MATCHED!$Y6,IF(MATCHED!AL6=25,MATCHED!$Z6,IF(MATCHED!AL6=26,MATCHED!$AA6,IF(MATCHED!AL6=27,MATCHED!$AB6,"."))))))</f>
        <v>#N/A</v>
      </c>
      <c r="K6" s="334" t="e">
        <f>IF(MATCHED!AM6=1,MATCHED!$B6,IF(MATCHED!AM6=2,MATCHED!$C6,IF(MATCHED!AM6=3,MATCHED!$D6,IF(MATCHED!AM6=4,MATCHED!$E6,IF(MATCHED!AM6=3,MATCHED!$F6,IF(MATCHED!AM6=6,MATCHED!$G6,IF(MATCHED!AM6=7,MATCHED!$H6,"")))))))&amp;IF(MATCHED!AM6=8,MATCHED!$I6,IF(MATCHED!AM6=9,MATCHED!$J6,IF(MATCHED!AM6=10,MATCHED!$K6,IF(MATCHED!AM6=11,MATCHED!$L6,IF(MATCHED!AM6=12,MATCHED!$M6,IF(MATCHED!AM6=13,MATCHED!$N6,IF(MATCHED!AM6=14,MATCHED!$O6,"")))))))&amp;IF(MATCHED!AM6=15,MATCHED!$P6,IF(MATCHED!AM6=16,MATCHED!$Q6,IF(MATCHED!AM6=17,MATCHED!$R6,IF(MATCHED!AM6=18,MATCHED!$S6,IF(MATCHED!AM6=19,MATCHED!$T6,IF(MATCHED!AM6=20,MATCHED!$U6,IF(MATCHED!AM6=21,MATCHED!$V6,)))))))&amp;IF(MATCHED!AM6=22,MATCHED!$W6,IF(MATCHED!AM6=23,MATCHED!$X6,IF(MATCHED!AM6=24,MATCHED!$Y6,IF(MATCHED!AM6=25,MATCHED!$Z6,IF(MATCHED!AM6=26,MATCHED!$AA6,IF(MATCHED!AM6=27,MATCHED!$AB6,"."))))))</f>
        <v>#N/A</v>
      </c>
      <c r="L6" s="334" t="e">
        <f>IF(MATCHED!AN6=1,MATCHED!$B6,IF(MATCHED!AN6=2,MATCHED!$C6,IF(MATCHED!AN6=3,MATCHED!$D6,IF(MATCHED!AN6=4,MATCHED!$E6,IF(MATCHED!AN6=3,MATCHED!$F6,IF(MATCHED!AN6=6,MATCHED!$G6,IF(MATCHED!AN6=7,MATCHED!$H6,"")))))))&amp;IF(MATCHED!AN6=8,MATCHED!$I6,IF(MATCHED!AN6=9,MATCHED!$J6,IF(MATCHED!AN6=10,MATCHED!$K6,IF(MATCHED!AN6=11,MATCHED!$L6,IF(MATCHED!AN6=12,MATCHED!$M6,IF(MATCHED!AN6=13,MATCHED!$N6,IF(MATCHED!AN6=14,MATCHED!$O6,"")))))))&amp;IF(MATCHED!AN6=15,MATCHED!$P6,IF(MATCHED!AN6=16,MATCHED!$Q6,IF(MATCHED!AN6=17,MATCHED!$R6,IF(MATCHED!AN6=18,MATCHED!$S6,IF(MATCHED!AN6=19,MATCHED!$T6,IF(MATCHED!AN6=20,MATCHED!$U6,IF(MATCHED!AN6=21,MATCHED!$V6,)))))))&amp;IF(MATCHED!AN6=22,MATCHED!$W6,IF(MATCHED!AN6=23,MATCHED!$X6,IF(MATCHED!AN6=24,MATCHED!$Y6,IF(MATCHED!AN6=25,MATCHED!$Z6,IF(MATCHED!AN6=26,MATCHED!$AA6,IF(MATCHED!AN6=27,MATCHED!$AB6,"."))))))</f>
        <v>#N/A</v>
      </c>
      <c r="M6" s="334" t="e">
        <f>IF(MATCHED!AO6=1,MATCHED!$B6,IF(MATCHED!AO6=2,MATCHED!$C6,IF(MATCHED!AO6=3,MATCHED!$D6,IF(MATCHED!AO6=4,MATCHED!$E6,IF(MATCHED!AO6=3,MATCHED!$F6,IF(MATCHED!AO6=6,MATCHED!$G6,IF(MATCHED!AO6=7,MATCHED!$H6,"")))))))&amp;IF(MATCHED!AO6=8,MATCHED!$I6,IF(MATCHED!AO6=9,MATCHED!$J6,IF(MATCHED!AO6=10,MATCHED!$K6,IF(MATCHED!AO6=11,MATCHED!$L6,IF(MATCHED!AO6=12,MATCHED!$M6,IF(MATCHED!AO6=13,MATCHED!$N6,IF(MATCHED!AO6=14,MATCHED!$O6,"")))))))&amp;IF(MATCHED!AO6=15,MATCHED!$P6,IF(MATCHED!AO6=16,MATCHED!$Q6,IF(MATCHED!AO6=17,MATCHED!$R6,IF(MATCHED!AO6=18,MATCHED!$S6,IF(MATCHED!AO6=19,MATCHED!$T6,IF(MATCHED!AO6=20,MATCHED!$U6,IF(MATCHED!AO6=21,MATCHED!$V6,)))))))&amp;IF(MATCHED!AO6=22,MATCHED!$W6,IF(MATCHED!AO6=23,MATCHED!$X6,IF(MATCHED!AO6=24,MATCHED!$Y6,IF(MATCHED!AO6=25,MATCHED!$Z6,IF(MATCHED!AO6=26,MATCHED!$AA6,IF(MATCHED!AO6=27,MATCHED!$AB6,"."))))))</f>
        <v>#N/A</v>
      </c>
      <c r="N6" s="335" t="e">
        <f>IF(MATCHED!AP6=1,MATCHED!$B6,IF(MATCHED!AP6=2,MATCHED!$C6,IF(MATCHED!AP6=3,MATCHED!$D6,IF(MATCHED!AP6=4,MATCHED!$E6,IF(MATCHED!AP6=3,MATCHED!$F6,IF(MATCHED!AP6=6,MATCHED!$G6,IF(MATCHED!AP6=7,MATCHED!$H6,"")))))))&amp;IF(MATCHED!AP6=8,MATCHED!$I6,IF(MATCHED!AP6=9,MATCHED!$J6,IF(MATCHED!AP6=10,MATCHED!$K6,IF(MATCHED!AP6=11,MATCHED!$L6,IF(MATCHED!AP6=12,MATCHED!$M6,IF(MATCHED!AP6=13,MATCHED!$N6,IF(MATCHED!AP6=14,MATCHED!$O6,"")))))))&amp;IF(MATCHED!AP6=15,MATCHED!$P6,IF(MATCHED!AP6=16,MATCHED!$Q6,IF(MATCHED!AP6=17,MATCHED!$R6,IF(MATCHED!AP6=18,MATCHED!$S6,IF(MATCHED!AP6=19,MATCHED!$T6,IF(MATCHED!AP6=20,MATCHED!$U6,IF(MATCHED!AP6=21,MATCHED!$V6,)))))))&amp;IF(MATCHED!AP6=22,MATCHED!$W6,IF(MATCHED!AP6=23,MATCHED!$X6,IF(MATCHED!AP6=24,MATCHED!$Y6,IF(MATCHED!AP6=25,MATCHED!$Z6,IF(MATCHED!AP6=26,MATCHED!$AA6,IF(MATCHED!AP6=27,MATCHED!$AB6,"."))))))</f>
        <v>#N/A</v>
      </c>
      <c r="O6" s="334" t="e">
        <f>IF(MATCHED!AQ6=1,MATCHED!$B6,IF(MATCHED!AQ6=2,MATCHED!$C6,IF(MATCHED!AQ6=3,MATCHED!$D6,IF(MATCHED!AQ6=4,MATCHED!$E6,IF(MATCHED!AQ6=3,MATCHED!$F6,IF(MATCHED!AQ6=6,MATCHED!$G6,IF(MATCHED!AQ6=7,MATCHED!$H6,"")))))))&amp;IF(MATCHED!AQ6=8,MATCHED!$I6,IF(MATCHED!AQ6=9,MATCHED!$J6,IF(MATCHED!AQ6=10,MATCHED!$K6,IF(MATCHED!AQ6=11,MATCHED!$L6,IF(MATCHED!AQ6=12,MATCHED!$M6,IF(MATCHED!AQ6=13,MATCHED!$N6,IF(MATCHED!AQ6=14,MATCHED!$O6,"")))))))&amp;IF(MATCHED!AQ6=15,MATCHED!$P6,IF(MATCHED!AQ6=16,MATCHED!$Q6,IF(MATCHED!AQ6=17,MATCHED!$R6,IF(MATCHED!AQ6=18,MATCHED!$S6,IF(MATCHED!AQ6=19,MATCHED!$T6,IF(MATCHED!AQ6=20,MATCHED!$U6,IF(MATCHED!AQ6=21,MATCHED!$V6,)))))))&amp;IF(MATCHED!AQ6=22,MATCHED!$W6,IF(MATCHED!AQ6=23,MATCHED!$X6,IF(MATCHED!AQ6=24,MATCHED!$Y6,IF(MATCHED!AQ6=25,MATCHED!$Z6,IF(MATCHED!AQ6=26,MATCHED!$AA6,IF(MATCHED!AQ6=27,MATCHED!$AB6,"."))))))</f>
        <v>#N/A</v>
      </c>
      <c r="P6" s="334" t="e">
        <f>IF(MATCHED!AR6=1,MATCHED!$B6,IF(MATCHED!AR6=2,MATCHED!$C6,IF(MATCHED!AR6=3,MATCHED!$D6,IF(MATCHED!AR6=4,MATCHED!$E6,IF(MATCHED!AR6=3,MATCHED!$F6,IF(MATCHED!AR6=6,MATCHED!$G6,IF(MATCHED!AR6=7,MATCHED!$H6,"")))))))&amp;IF(MATCHED!AR6=8,MATCHED!$I6,IF(MATCHED!AR6=9,MATCHED!$J6,IF(MATCHED!AR6=10,MATCHED!$K6,IF(MATCHED!AR6=11,MATCHED!$L6,IF(MATCHED!AR6=12,MATCHED!$M6,IF(MATCHED!AR6=13,MATCHED!$N6,IF(MATCHED!AR6=14,MATCHED!$O6,"")))))))&amp;IF(MATCHED!AR6=15,MATCHED!$P6,IF(MATCHED!AR6=16,MATCHED!$Q6,IF(MATCHED!AR6=17,MATCHED!$R6,IF(MATCHED!AR6=18,MATCHED!$S6,IF(MATCHED!AR6=19,MATCHED!$T6,IF(MATCHED!AR6=20,MATCHED!$U6,IF(MATCHED!AR6=21,MATCHED!$V6,)))))))&amp;IF(MATCHED!AR6=22,MATCHED!$W6,IF(MATCHED!AR6=23,MATCHED!$X6,IF(MATCHED!AR6=24,MATCHED!$Y6,IF(MATCHED!AR6=25,MATCHED!$Z6,IF(MATCHED!AR6=26,MATCHED!$AA6,IF(MATCHED!AR6=27,MATCHED!$AB6,"."))))))</f>
        <v>#N/A</v>
      </c>
      <c r="Q6" s="337" t="e">
        <f>IF(MATCHED!AS6=1,MATCHED!$B6,IF(MATCHED!AS6=2,MATCHED!$C6,IF(MATCHED!AS6=3,MATCHED!$D6,IF(MATCHED!AS6=4,MATCHED!$E6,IF(MATCHED!AS6=3,MATCHED!$F6,IF(MATCHED!AS6=6,MATCHED!$G6,IF(MATCHED!AS6=7,MATCHED!$H6,"")))))))&amp;IF(MATCHED!AS6=8,MATCHED!$I6,IF(MATCHED!AS6=9,MATCHED!$J6,IF(MATCHED!AS6=10,MATCHED!$K6,IF(MATCHED!AS6=11,MATCHED!$L6,IF(MATCHED!AS6=12,MATCHED!$M6,IF(MATCHED!AS6=13,MATCHED!$N6,IF(MATCHED!AS6=14,MATCHED!$O6,"")))))))&amp;IF(MATCHED!AS6=15,MATCHED!$P6,IF(MATCHED!AS6=16,MATCHED!$Q6,IF(MATCHED!AS6=17,MATCHED!$R6,IF(MATCHED!AS6=18,MATCHED!$S6,IF(MATCHED!AS6=19,MATCHED!$T6,IF(MATCHED!AS6=20,MATCHED!$U6,IF(MATCHED!AS6=21,MATCHED!$V6,)))))))&amp;IF(MATCHED!AS6=22,MATCHED!$W6,IF(MATCHED!AS6=23,MATCHED!$X6,IF(MATCHED!AS6=24,MATCHED!$Y6,IF(MATCHED!AS6=25,MATCHED!$Z6,IF(MATCHED!AS6=26,MATCHED!$AA6,IF(MATCHED!AS6=27,MATCHED!$AB6,"."))))))</f>
        <v>#N/A</v>
      </c>
      <c r="R6" s="335" t="e">
        <f>IF(MATCHED!AT6=1,MATCHED!$B6,IF(MATCHED!AT6=2,MATCHED!$C6,IF(MATCHED!AT6=3,MATCHED!$D6,IF(MATCHED!AT6=4,MATCHED!$E6,IF(MATCHED!AT6=3,MATCHED!$F6,IF(MATCHED!AT6=6,MATCHED!$G6,IF(MATCHED!AT6=7,MATCHED!$H6,"")))))))&amp;IF(MATCHED!AT6=8,MATCHED!$I6,IF(MATCHED!AT6=9,MATCHED!$J6,IF(MATCHED!AT6=10,MATCHED!$K6,IF(MATCHED!AT6=11,MATCHED!$L6,IF(MATCHED!AT6=12,MATCHED!$M6,IF(MATCHED!AT6=13,MATCHED!$N6,IF(MATCHED!AT6=14,MATCHED!$O6,"")))))))&amp;IF(MATCHED!AT6=15,MATCHED!$P6,IF(MATCHED!AT6=16,MATCHED!$Q6,IF(MATCHED!AT6=17,MATCHED!$R6,IF(MATCHED!AT6=18,MATCHED!$S6,IF(MATCHED!AT6=19,MATCHED!$T6,IF(MATCHED!AT6=20,MATCHED!$U6,IF(MATCHED!AT6=21,MATCHED!$V6,)))))))&amp;IF(MATCHED!AT6=22,MATCHED!$W6,IF(MATCHED!AT6=23,MATCHED!$X6,IF(MATCHED!AT6=24,MATCHED!$Y6,IF(MATCHED!AT6=25,MATCHED!$Z6,IF(MATCHED!AT6=26,MATCHED!$AA6,IF(MATCHED!AT6=27,MATCHED!$AB6,"."))))))</f>
        <v>#N/A</v>
      </c>
      <c r="S6" s="335" t="e">
        <f>IF(MATCHED!AU6=1,MATCHED!$B6,IF(MATCHED!AU6=2,MATCHED!$C6,IF(MATCHED!AU6=3,MATCHED!$D6,IF(MATCHED!AU6=4,MATCHED!$E6,IF(MATCHED!AU6=3,MATCHED!$F6,IF(MATCHED!AU6=6,MATCHED!$G6,IF(MATCHED!AU6=7,MATCHED!$H6,"")))))))&amp;IF(MATCHED!AU6=8,MATCHED!$I6,IF(MATCHED!AU6=9,MATCHED!$J6,IF(MATCHED!AU6=10,MATCHED!$K6,IF(MATCHED!AU6=11,MATCHED!$L6,IF(MATCHED!AU6=12,MATCHED!$M6,IF(MATCHED!AU6=13,MATCHED!$N6,IF(MATCHED!AU6=14,MATCHED!$O6,"")))))))&amp;IF(MATCHED!AU6=15,MATCHED!$P6,IF(MATCHED!AU6=16,MATCHED!$Q6,IF(MATCHED!AU6=17,MATCHED!$R6,IF(MATCHED!AU6=18,MATCHED!$S6,IF(MATCHED!AU6=19,MATCHED!$T6,IF(MATCHED!AU6=20,MATCHED!$U6,IF(MATCHED!AU6=21,MATCHED!$V6,)))))))&amp;IF(MATCHED!AU6=22,MATCHED!$W6,IF(MATCHED!AU6=23,MATCHED!$X6,IF(MATCHED!AU6=24,MATCHED!$Y6,IF(MATCHED!AU6=25,MATCHED!$Z6,IF(MATCHED!AU6=26,MATCHED!$AA6,IF(MATCHED!AU6=27,MATCHED!$AB6,"."))))))</f>
        <v>#N/A</v>
      </c>
      <c r="T6" s="334" t="e">
        <f>IF(MATCHED!AV6=1,MATCHED!$B6,IF(MATCHED!AV6=2,MATCHED!$C6,IF(MATCHED!AV6=3,MATCHED!$D6,IF(MATCHED!AV6=4,MATCHED!$E6,IF(MATCHED!AV6=3,MATCHED!$F6,IF(MATCHED!AV6=6,MATCHED!$G6,IF(MATCHED!AV6=7,MATCHED!$H6,"")))))))&amp;IF(MATCHED!AV6=8,MATCHED!$I6,IF(MATCHED!AV6=9,MATCHED!$J6,IF(MATCHED!AV6=10,MATCHED!$K6,IF(MATCHED!AV6=11,MATCHED!$L6,IF(MATCHED!AV6=12,MATCHED!$M6,IF(MATCHED!AV6=13,MATCHED!$N6,IF(MATCHED!AV6=14,MATCHED!$O6,"")))))))&amp;IF(MATCHED!AV6=15,MATCHED!$P6,IF(MATCHED!AV6=16,MATCHED!$Q6,IF(MATCHED!AV6=17,MATCHED!$R6,IF(MATCHED!AV6=18,MATCHED!$S6,IF(MATCHED!AV6=19,MATCHED!$T6,IF(MATCHED!AV6=20,MATCHED!$U6,IF(MATCHED!AV6=21,MATCHED!$V6,)))))))&amp;IF(MATCHED!AV6=22,MATCHED!$W6,IF(MATCHED!AV6=23,MATCHED!$X6,IF(MATCHED!AV6=24,MATCHED!$Y6,IF(MATCHED!AV6=25,MATCHED!$Z6,IF(MATCHED!AV6=26,MATCHED!$AA6,IF(MATCHED!AV6=27,MATCHED!$AB6,"."))))))</f>
        <v>#N/A</v>
      </c>
      <c r="U6" s="334" t="e">
        <f>IF(MATCHED!AW6=1,MATCHED!$B6,IF(MATCHED!AW6=2,MATCHED!$C6,IF(MATCHED!AW6=3,MATCHED!$D6,IF(MATCHED!AW6=4,MATCHED!$E6,IF(MATCHED!AW6=3,MATCHED!$F6,IF(MATCHED!AW6=6,MATCHED!$G6,IF(MATCHED!AW6=7,MATCHED!$H6,"")))))))&amp;IF(MATCHED!AW6=8,MATCHED!$I6,IF(MATCHED!AW6=9,MATCHED!$J6,IF(MATCHED!AW6=10,MATCHED!$K6,IF(MATCHED!AW6=11,MATCHED!$L6,IF(MATCHED!AW6=12,MATCHED!$M6,IF(MATCHED!AW6=13,MATCHED!$N6,IF(MATCHED!AW6=14,MATCHED!$O6,"")))))))&amp;IF(MATCHED!AW6=15,MATCHED!$P6,IF(MATCHED!AW6=16,MATCHED!$Q6,IF(MATCHED!AW6=17,MATCHED!$R6,IF(MATCHED!AW6=18,MATCHED!$S6,IF(MATCHED!AW6=19,MATCHED!$T6,IF(MATCHED!AW6=20,MATCHED!$U6,IF(MATCHED!AW6=21,MATCHED!$V6,)))))))&amp;IF(MATCHED!AW6=22,MATCHED!$W6,IF(MATCHED!AW6=23,MATCHED!$X6,IF(MATCHED!AW6=24,MATCHED!$Y6,IF(MATCHED!AW6=25,MATCHED!$Z6,IF(MATCHED!AW6=26,MATCHED!$AA6,IF(MATCHED!AW6=27,MATCHED!$AB6,"."))))))</f>
        <v>#N/A</v>
      </c>
      <c r="V6" s="334" t="e">
        <f>IF(MATCHED!AX6=1,MATCHED!$B6,IF(MATCHED!AX6=2,MATCHED!$C6,IF(MATCHED!AX6=3,MATCHED!$D6,IF(MATCHED!AX6=4,MATCHED!$E6,IF(MATCHED!AX6=3,MATCHED!$F6,IF(MATCHED!AX6=6,MATCHED!$G6,IF(MATCHED!AX6=7,MATCHED!$H6,"")))))))&amp;IF(MATCHED!AX6=8,MATCHED!$I6,IF(MATCHED!AX6=9,MATCHED!$J6,IF(MATCHED!AX6=10,MATCHED!$K6,IF(MATCHED!AX6=11,MATCHED!$L6,IF(MATCHED!AX6=12,MATCHED!$M6,IF(MATCHED!AX6=13,MATCHED!$N6,IF(MATCHED!AX6=14,MATCHED!$O6,"")))))))&amp;IF(MATCHED!AX6=15,MATCHED!$P6,IF(MATCHED!AX6=16,MATCHED!$Q6,IF(MATCHED!AX6=17,MATCHED!$R6,IF(MATCHED!AX6=18,MATCHED!$S6,IF(MATCHED!AX6=19,MATCHED!$T6,IF(MATCHED!AX6=20,MATCHED!$U6,IF(MATCHED!AX6=21,MATCHED!$V6,)))))))&amp;IF(MATCHED!AX6=22,MATCHED!$W6,IF(MATCHED!AX6=23,MATCHED!$X6,IF(MATCHED!AX6=24,MATCHED!$Y6,IF(MATCHED!AX6=25,MATCHED!$Z6,IF(MATCHED!AX6=26,MATCHED!$AA6,IF(MATCHED!AX6=27,MATCHED!$AB6,"."))))))</f>
        <v>#N/A</v>
      </c>
      <c r="W6" s="334" t="e">
        <f>IF(MATCHED!AY6=1,MATCHED!$B6,IF(MATCHED!AY6=2,MATCHED!$C6,IF(MATCHED!AY6=3,MATCHED!$D6,IF(MATCHED!AY6=4,MATCHED!$E6,IF(MATCHED!AY6=3,MATCHED!$F6,IF(MATCHED!AY6=6,MATCHED!$G6,IF(MATCHED!AY6=7,MATCHED!$H6,"")))))))&amp;IF(MATCHED!AY6=8,MATCHED!$I6,IF(MATCHED!AY6=9,MATCHED!$J6,IF(MATCHED!AY6=10,MATCHED!$K6,IF(MATCHED!AY6=11,MATCHED!$L6,IF(MATCHED!AY6=12,MATCHED!$M6,IF(MATCHED!AY6=13,MATCHED!$N6,IF(MATCHED!AY6=14,MATCHED!$O6,"")))))))&amp;IF(MATCHED!AY6=15,MATCHED!$P6,IF(MATCHED!AY6=16,MATCHED!$Q6,IF(MATCHED!AY6=17,MATCHED!$R6,IF(MATCHED!AY6=18,MATCHED!$S6,IF(MATCHED!AY6=19,MATCHED!$T6,IF(MATCHED!AY6=20,MATCHED!$U6,IF(MATCHED!AY6=21,MATCHED!$V6,)))))))&amp;IF(MATCHED!AY6=22,MATCHED!$W6,IF(MATCHED!AY6=23,MATCHED!$X6,IF(MATCHED!AY6=24,MATCHED!$Y6,IF(MATCHED!AY6=25,MATCHED!$Z6,IF(MATCHED!AY6=26,MATCHED!$AA6,IF(MATCHED!AY6=27,MATCHED!$AB6,"."))))))</f>
        <v>#N/A</v>
      </c>
      <c r="X6" s="334" t="e">
        <f>IF(MATCHED!AZ6=1,MATCHED!$B6,IF(MATCHED!AZ6=2,MATCHED!$C6,IF(MATCHED!AZ6=3,MATCHED!$D6,IF(MATCHED!AZ6=4,MATCHED!$E6,IF(MATCHED!AZ6=3,MATCHED!$F6,IF(MATCHED!AZ6=6,MATCHED!$G6,IF(MATCHED!AZ6=7,MATCHED!$H6,"")))))))&amp;IF(MATCHED!AZ6=8,MATCHED!$I6,IF(MATCHED!AZ6=9,MATCHED!$J6,IF(MATCHED!AZ6=10,MATCHED!$K6,IF(MATCHED!AZ6=11,MATCHED!$L6,IF(MATCHED!AZ6=12,MATCHED!$M6,IF(MATCHED!AZ6=13,MATCHED!$N6,IF(MATCHED!AZ6=14,MATCHED!$O6,"")))))))&amp;IF(MATCHED!AZ6=15,MATCHED!$P6,IF(MATCHED!AZ6=16,MATCHED!$Q6,IF(MATCHED!AZ6=17,MATCHED!$R6,IF(MATCHED!AZ6=18,MATCHED!$S6,IF(MATCHED!AZ6=19,MATCHED!$T6,IF(MATCHED!AZ6=20,MATCHED!$U6,IF(MATCHED!AZ6=21,MATCHED!$V6,)))))))&amp;IF(MATCHED!AZ6=22,MATCHED!$W6,IF(MATCHED!AZ6=23,MATCHED!$X6,IF(MATCHED!AZ6=24,MATCHED!$Y6,IF(MATCHED!AZ6=25,MATCHED!$Z6,IF(MATCHED!AZ6=26,MATCHED!$AA6,IF(MATCHED!AZ6=27,MATCHED!$AB6,"."))))))</f>
        <v>#N/A</v>
      </c>
      <c r="Y6" s="334" t="e">
        <f>IF(MATCHED!BA6=1,MATCHED!$B6,IF(MATCHED!BA6=2,MATCHED!$C6,IF(MATCHED!BA6=3,MATCHED!$D6,IF(MATCHED!BA6=4,MATCHED!$E6,IF(MATCHED!BA6=3,MATCHED!$F6,IF(MATCHED!BA6=6,MATCHED!$G6,IF(MATCHED!BA6=7,MATCHED!$H6,"")))))))&amp;IF(MATCHED!BA6=8,MATCHED!$I6,IF(MATCHED!BA6=9,MATCHED!$J6,IF(MATCHED!BA6=10,MATCHED!$K6,IF(MATCHED!BA6=11,MATCHED!$L6,IF(MATCHED!BA6=12,MATCHED!$M6,IF(MATCHED!BA6=13,MATCHED!$N6,IF(MATCHED!BA6=14,MATCHED!$O6,"")))))))&amp;IF(MATCHED!BA6=15,MATCHED!$P6,IF(MATCHED!BA6=16,MATCHED!$Q6,IF(MATCHED!BA6=17,MATCHED!$R6,IF(MATCHED!BA6=18,MATCHED!$S6,IF(MATCHED!BA6=19,MATCHED!$T6,IF(MATCHED!BA6=20,MATCHED!$U6,IF(MATCHED!BA6=21,MATCHED!$V6,)))))))&amp;IF(MATCHED!BA6=22,MATCHED!$W6,IF(MATCHED!BA6=23,MATCHED!$X6,IF(MATCHED!BA6=24,MATCHED!$Y6,IF(MATCHED!BA6=25,MATCHED!$Z6,IF(MATCHED!BA6=26,MATCHED!$AA6,IF(MATCHED!BA6=27,MATCHED!$AB6,"."))))))</f>
        <v>#N/A</v>
      </c>
      <c r="Z6" s="334" t="e">
        <f>IF(MATCHED!BB6=1,MATCHED!$B6,IF(MATCHED!BB6=2,MATCHED!$C6,IF(MATCHED!BB6=3,MATCHED!$D6,IF(MATCHED!BB6=4,MATCHED!$E6,IF(MATCHED!BB6=3,MATCHED!$F6,IF(MATCHED!BB6=6,MATCHED!$G6,IF(MATCHED!BB6=7,MATCHED!$H6,"")))))))&amp;IF(MATCHED!BB6=8,MATCHED!$I6,IF(MATCHED!BB6=9,MATCHED!$J6,IF(MATCHED!BB6=10,MATCHED!$K6,IF(MATCHED!BB6=11,MATCHED!$L6,IF(MATCHED!BB6=12,MATCHED!$M6,IF(MATCHED!BB6=13,MATCHED!$N6,IF(MATCHED!BB6=14,MATCHED!$O6,"")))))))&amp;IF(MATCHED!BB6=15,MATCHED!$P6,IF(MATCHED!BB6=16,MATCHED!$Q6,IF(MATCHED!BB6=17,MATCHED!$R6,IF(MATCHED!BB6=18,MATCHED!$S6,IF(MATCHED!BB6=19,MATCHED!$T6,IF(MATCHED!BB6=20,MATCHED!$U6,IF(MATCHED!BB6=21,MATCHED!$V6,)))))))&amp;IF(MATCHED!BB6=22,MATCHED!$W6,IF(MATCHED!BB6=23,MATCHED!$X6,IF(MATCHED!BB6=24,MATCHED!$Y6,IF(MATCHED!BB6=25,MATCHED!$Z6,IF(MATCHED!BB6=26,MATCHED!$AA6,IF(MATCHED!BB6=27,MATCHED!$AB6,"."))))))</f>
        <v>#N/A</v>
      </c>
      <c r="AA6" s="334" t="e">
        <f>IF(MATCHED!BC6=1,MATCHED!$B6,IF(MATCHED!BC6=2,MATCHED!$C6,IF(MATCHED!BC6=3,MATCHED!$D6,IF(MATCHED!BC6=4,MATCHED!$E6,IF(MATCHED!BC6=3,MATCHED!$F6,IF(MATCHED!BC6=6,MATCHED!$G6,IF(MATCHED!BC6=7,MATCHED!$H6,"")))))))&amp;IF(MATCHED!BC6=8,MATCHED!$I6,IF(MATCHED!BC6=9,MATCHED!$J6,IF(MATCHED!BC6=10,MATCHED!$K6,IF(MATCHED!BC6=11,MATCHED!$L6,IF(MATCHED!BC6=12,MATCHED!$M6,IF(MATCHED!BC6=13,MATCHED!$N6,IF(MATCHED!BC6=14,MATCHED!$O6,"")))))))&amp;IF(MATCHED!BC6=15,MATCHED!$P6,IF(MATCHED!BC6=16,MATCHED!$Q6,IF(MATCHED!BC6=17,MATCHED!$R6,IF(MATCHED!BC6=18,MATCHED!$S6,IF(MATCHED!BC6=19,MATCHED!$T6,IF(MATCHED!BC6=20,MATCHED!$U6,IF(MATCHED!BC6=21,MATCHED!$V6,)))))))&amp;IF(MATCHED!BC6=22,MATCHED!$W6,IF(MATCHED!BC6=23,MATCHED!$X6,IF(MATCHED!BC6=24,MATCHED!$Y6,IF(MATCHED!BC6=25,MATCHED!$Z6,IF(MATCHED!BC6=26,MATCHED!$AA6,IF(MATCHED!BC6=27,MATCHED!$AB6,"."))))))</f>
        <v>#N/A</v>
      </c>
      <c r="AB6" s="334" t="e">
        <f>IF(MATCHED!BD6=1,MATCHED!$B6,IF(MATCHED!BD6=2,MATCHED!$C6,IF(MATCHED!BD6=3,MATCHED!$D6,IF(MATCHED!BD6=4,MATCHED!$E6,IF(MATCHED!BD6=3,MATCHED!$F6,IF(MATCHED!BD6=6,MATCHED!$G6,IF(MATCHED!BD6=7,MATCHED!$H6,"")))))))&amp;IF(MATCHED!BD6=8,MATCHED!$I6,IF(MATCHED!BD6=9,MATCHED!$J6,IF(MATCHED!BD6=10,MATCHED!$K6,IF(MATCHED!BD6=11,MATCHED!$L6,IF(MATCHED!BD6=12,MATCHED!$M6,IF(MATCHED!BD6=13,MATCHED!$N6,IF(MATCHED!BD6=14,MATCHED!$O6,"")))))))&amp;IF(MATCHED!BD6=15,MATCHED!$P6,IF(MATCHED!BD6=16,MATCHED!$Q6,IF(MATCHED!BD6=17,MATCHED!$R6,IF(MATCHED!BD6=18,MATCHED!$S6,IF(MATCHED!BD6=19,MATCHED!$T6,IF(MATCHED!BD6=20,MATCHED!$U6,IF(MATCHED!BD6=21,MATCHED!$V6,)))))))&amp;IF(MATCHED!BD6=22,MATCHED!$W6,IF(MATCHED!BD6=23,MATCHED!$X6,IF(MATCHED!BD6=24,MATCHED!$Y6,IF(MATCHED!BD6=25,MATCHED!$Z6,IF(MATCHED!BD6=26,MATCHED!$AA6,IF(MATCHED!BD6=27,MATCHED!$AB6,"."))))))</f>
        <v>#N/A</v>
      </c>
      <c r="AC6" s="334" t="e">
        <f>IF(MATCHED!BE6=1,MATCHED!$B6,IF(MATCHED!BE6=2,MATCHED!$C6,IF(MATCHED!BE6=3,MATCHED!$D6,IF(MATCHED!BE6=4,MATCHED!$E6,IF(MATCHED!BE6=3,MATCHED!$F6,IF(MATCHED!BE6=6,MATCHED!$G6,IF(MATCHED!BE6=7,MATCHED!$H6,"")))))))&amp;IF(MATCHED!BE6=8,MATCHED!$I6,IF(MATCHED!BE6=9,MATCHED!$J6,IF(MATCHED!BE6=10,MATCHED!$K6,IF(MATCHED!BE6=11,MATCHED!$L6,IF(MATCHED!BE6=12,MATCHED!$M6,IF(MATCHED!BE6=13,MATCHED!$N6,IF(MATCHED!BE6=14,MATCHED!$O6,"")))))))&amp;IF(MATCHED!BE6=15,MATCHED!$P6,IF(MATCHED!BE6=16,MATCHED!$Q6,IF(MATCHED!BE6=17,MATCHED!$R6,IF(MATCHED!BE6=18,MATCHED!$S6,IF(MATCHED!BE6=19,MATCHED!$T6,IF(MATCHED!BE6=20,MATCHED!$U6,IF(MATCHED!BE6=21,MATCHED!$V6,)))))))&amp;IF(MATCHED!BE6=22,MATCHED!$W6,IF(MATCHED!BE6=23,MATCHED!$X6,IF(MATCHED!BE6=24,MATCHED!$Y6,IF(MATCHED!BE6=25,MATCHED!$Z6,IF(MATCHED!BE6=26,MATCHED!$AA6,IF(MATCHED!BE6=27,MATCHED!$AB6,"."))))))</f>
        <v>#N/A</v>
      </c>
      <c r="AD6" s="334" t="e">
        <f>IF(MATCHED!BF6=1,MATCHED!$B6,IF(MATCHED!BF6=2,MATCHED!$C6,IF(MATCHED!BF6=3,MATCHED!$D6,IF(MATCHED!BF6=4,MATCHED!$E6,IF(MATCHED!BF6=3,MATCHED!$F6,IF(MATCHED!BF6=6,MATCHED!$G6,IF(MATCHED!BF6=7,MATCHED!$H6,"")))))))&amp;IF(MATCHED!BF6=8,MATCHED!$I6,IF(MATCHED!BF6=9,MATCHED!$J6,IF(MATCHED!BF6=10,MATCHED!$K6,IF(MATCHED!BF6=11,MATCHED!$L6,IF(MATCHED!BF6=12,MATCHED!$M6,IF(MATCHED!BF6=13,MATCHED!$N6,IF(MATCHED!BF6=14,MATCHED!$O6,"")))))))&amp;IF(MATCHED!BF6=15,MATCHED!$P6,IF(MATCHED!BF6=16,MATCHED!$Q6,IF(MATCHED!BF6=17,MATCHED!$R6,IF(MATCHED!BF6=18,MATCHED!$S6,IF(MATCHED!BF6=19,MATCHED!$T6,IF(MATCHED!BF6=20,MATCHED!$U6,IF(MATCHED!BF6=21,MATCHED!$V6,)))))))&amp;IF(MATCHED!BF6=22,MATCHED!$W6,IF(MATCHED!BF6=23,MATCHED!$X6,IF(MATCHED!BF6=24,MATCHED!$Y6,IF(MATCHED!BF6=25,MATCHED!$Z6,IF(MATCHED!BF6=26,MATCHED!$AA6,IF(MATCHED!BF6=27,MATCHED!$AB6,"."))))))</f>
        <v>#N/A</v>
      </c>
      <c r="AE6" s="334" t="e">
        <f>IF(MATCHED!BG6=1,MATCHED!$B6,IF(MATCHED!BG6=2,MATCHED!$C6,IF(MATCHED!BG6=3,MATCHED!$D6,IF(MATCHED!BG6=4,MATCHED!$E6,IF(MATCHED!BG6=3,MATCHED!$F6,IF(MATCHED!BG6=6,MATCHED!$G6,IF(MATCHED!BG6=7,MATCHED!$H6,"")))))))&amp;IF(MATCHED!BG6=8,MATCHED!$I6,IF(MATCHED!BG6=9,MATCHED!$J6,IF(MATCHED!BG6=10,MATCHED!$K6,IF(MATCHED!BG6=11,MATCHED!$L6,IF(MATCHED!BG6=12,MATCHED!$M6,IF(MATCHED!BG6=13,MATCHED!$N6,IF(MATCHED!BG6=14,MATCHED!$O6,"")))))))&amp;IF(MATCHED!BG6=15,MATCHED!$P6,IF(MATCHED!BG6=16,MATCHED!$Q6,IF(MATCHED!BG6=17,MATCHED!$R6,IF(MATCHED!BG6=18,MATCHED!$S6,IF(MATCHED!BG6=19,MATCHED!$T6,IF(MATCHED!BG6=20,MATCHED!$U6,IF(MATCHED!BG6=21,MATCHED!$V6,)))))))&amp;IF(MATCHED!BG6=22,MATCHED!$W6,IF(MATCHED!BG6=23,MATCHED!$X6,IF(MATCHED!BG6=24,MATCHED!$Y6,IF(MATCHED!BG6=25,MATCHED!$Z6,IF(MATCHED!BG6=26,MATCHED!$AA6,IF(MATCHED!BG6=27,MATCHED!$AB6,"."))))))</f>
        <v>#N/A</v>
      </c>
      <c r="AF6" s="334" t="e">
        <f>IF(MATCHED!BH6=1,MATCHED!$B6,IF(MATCHED!BH6=2,MATCHED!$C6,IF(MATCHED!BH6=3,MATCHED!$D6,IF(MATCHED!BH6=4,MATCHED!$E6,IF(MATCHED!BH6=3,MATCHED!$F6,IF(MATCHED!BH6=6,MATCHED!$G6,IF(MATCHED!BH6=7,MATCHED!$H6,"")))))))&amp;IF(MATCHED!BH6=8,MATCHED!$I6,IF(MATCHED!BH6=9,MATCHED!$J6,IF(MATCHED!BH6=10,MATCHED!$K6,IF(MATCHED!BH6=11,MATCHED!$L6,IF(MATCHED!BH6=12,MATCHED!$M6,IF(MATCHED!BH6=13,MATCHED!$N6,IF(MATCHED!BH6=14,MATCHED!$O6,"")))))))&amp;IF(MATCHED!BH6=15,MATCHED!$P6,IF(MATCHED!BH6=16,MATCHED!$Q6,IF(MATCHED!BH6=17,MATCHED!$R6,IF(MATCHED!BH6=18,MATCHED!$S6,IF(MATCHED!BH6=19,MATCHED!$T6,IF(MATCHED!BH6=20,MATCHED!$U6,IF(MATCHED!BH6=21,MATCHED!$V6,)))))))&amp;IF(MATCHED!BH6=22,MATCHED!$W6,IF(MATCHED!BH6=23,MATCHED!$X6,IF(MATCHED!BH6=24,MATCHED!$Y6,IF(MATCHED!BH6=25,MATCHED!$Z6,IF(MATCHED!BH6=26,MATCHED!$AA6,IF(MATCHED!BH6=27,MATCHED!$AB6,"."))))))</f>
        <v>#N/A</v>
      </c>
      <c r="AG6" s="334" t="e">
        <f>IF(MATCHED!BI6=1,MATCHED!$B6,IF(MATCHED!BI6=2,MATCHED!$C6,IF(MATCHED!BI6=3,MATCHED!$D6,IF(MATCHED!BI6=4,MATCHED!$E6,IF(MATCHED!BI6=3,MATCHED!$F6,IF(MATCHED!BI6=6,MATCHED!$G6,IF(MATCHED!BI6=7,MATCHED!$H6,"")))))))&amp;IF(MATCHED!BI6=8,MATCHED!$I6,IF(MATCHED!BI6=9,MATCHED!$J6,IF(MATCHED!BI6=10,MATCHED!$K6,IF(MATCHED!BI6=11,MATCHED!$L6,IF(MATCHED!BI6=12,MATCHED!$M6,IF(MATCHED!BI6=13,MATCHED!$N6,IF(MATCHED!BI6=14,MATCHED!$O6,"")))))))&amp;IF(MATCHED!BI6=15,MATCHED!$P6,IF(MATCHED!BI6=16,MATCHED!$Q6,IF(MATCHED!BI6=17,MATCHED!$R6,IF(MATCHED!BI6=18,MATCHED!$S6,IF(MATCHED!BI6=19,MATCHED!$T6,IF(MATCHED!BI6=20,MATCHED!$U6,IF(MATCHED!BI6=21,MATCHED!$V6,)))))))&amp;IF(MATCHED!BI6=22,MATCHED!$W6,IF(MATCHED!BI6=23,MATCHED!$X6,IF(MATCHED!BI6=24,MATCHED!$Y6,IF(MATCHED!BI6=25,MATCHED!$Z6,IF(MATCHED!BI6=26,MATCHED!$AA6,IF(MATCHED!BI6=27,MATCHED!$AB6,"."))))))</f>
        <v>#N/A</v>
      </c>
      <c r="AH6" s="334" t="e">
        <f>IF(MATCHED!BJ6=1,MATCHED!$B6,IF(MATCHED!BJ6=2,MATCHED!$C6,IF(MATCHED!BJ6=3,MATCHED!$D6,IF(MATCHED!BJ6=4,MATCHED!$E6,IF(MATCHED!BJ6=3,MATCHED!$F6,IF(MATCHED!BJ6=6,MATCHED!$G6,IF(MATCHED!BJ6=7,MATCHED!$H6,"")))))))&amp;IF(MATCHED!BJ6=8,MATCHED!$I6,IF(MATCHED!BJ6=9,MATCHED!$J6,IF(MATCHED!BJ6=10,MATCHED!$K6,IF(MATCHED!BJ6=11,MATCHED!$L6,IF(MATCHED!BJ6=12,MATCHED!$M6,IF(MATCHED!BJ6=13,MATCHED!$N6,IF(MATCHED!BJ6=14,MATCHED!$O6,"")))))))&amp;IF(MATCHED!BJ6=15,MATCHED!$P6,IF(MATCHED!BJ6=16,MATCHED!$Q6,IF(MATCHED!BJ6=17,MATCHED!$R6,IF(MATCHED!BJ6=18,MATCHED!$S6,IF(MATCHED!BJ6=19,MATCHED!$T6,IF(MATCHED!BJ6=20,MATCHED!$U6,IF(MATCHED!BJ6=21,MATCHED!$V6,)))))))&amp;IF(MATCHED!BJ6=22,MATCHED!$W6,IF(MATCHED!BJ6=23,MATCHED!$X6,IF(MATCHED!BJ6=24,MATCHED!$Y6,IF(MATCHED!BJ6=25,MATCHED!$Z6,IF(MATCHED!BJ6=26,MATCHED!$AA6,IF(MATCHED!BJ6=27,MATCHED!$AB6,"."))))))</f>
        <v>#N/A</v>
      </c>
      <c r="AI6" s="334" t="e">
        <f>IF(MATCHED!BK6=1,MATCHED!$B6,IF(MATCHED!BK6=2,MATCHED!$C6,IF(MATCHED!BK6=3,MATCHED!$D6,IF(MATCHED!BK6=4,MATCHED!$E6,IF(MATCHED!BK6=3,MATCHED!$F6,IF(MATCHED!BK6=6,MATCHED!$G6,IF(MATCHED!BK6=7,MATCHED!$H6,"")))))))&amp;IF(MATCHED!BK6=8,MATCHED!$I6,IF(MATCHED!BK6=9,MATCHED!$J6,IF(MATCHED!BK6=10,MATCHED!$K6,IF(MATCHED!BK6=11,MATCHED!$L6,IF(MATCHED!BK6=12,MATCHED!$M6,IF(MATCHED!BK6=13,MATCHED!$N6,IF(MATCHED!BK6=14,MATCHED!$O6,"")))))))&amp;IF(MATCHED!BK6=15,MATCHED!$P6,IF(MATCHED!BK6=16,MATCHED!$Q6,IF(MATCHED!BK6=17,MATCHED!$R6,IF(MATCHED!BK6=18,MATCHED!$S6,IF(MATCHED!BK6=19,MATCHED!$T6,IF(MATCHED!BK6=20,MATCHED!$U6,IF(MATCHED!BK6=21,MATCHED!$V6,)))))))&amp;IF(MATCHED!BK6=22,MATCHED!$W6,IF(MATCHED!BK6=23,MATCHED!$X6,IF(MATCHED!BK6=24,MATCHED!$Y6,IF(MATCHED!BK6=25,MATCHED!$Z6,IF(MATCHED!BK6=26,MATCHED!$AA6,IF(MATCHED!BK6=27,MATCHED!$AB6,"."))))))</f>
        <v>#N/A</v>
      </c>
      <c r="AJ6" s="534"/>
    </row>
    <row r="7" spans="1:104" s="338" customFormat="1" x14ac:dyDescent="0.25">
      <c r="A7" s="535"/>
      <c r="B7" s="333" t="e">
        <f>IF(MATCHED!AD7=1,MATCHED!$B7,IF(MATCHED!AD7=2,MATCHED!$C7,IF(MATCHED!AD7=3,MATCHED!$D7,IF(MATCHED!AD7=4,MATCHED!$E7,IF(MATCHED!AD7=3,MATCHED!$F7,IF(MATCHED!AD7=6,MATCHED!$G7,IF(MATCHED!AD7=7,MATCHED!$H7,"")))))))&amp;IF(MATCHED!AD7=8,MATCHED!$I7,IF(MATCHED!AD7=9,MATCHED!$J7,IF(MATCHED!AD7=10,MATCHED!$K7,IF(MATCHED!AD7=11,MATCHED!$L7,IF(MATCHED!AD7=12,MATCHED!$M7,IF(MATCHED!AD7=13,MATCHED!$N7,IF(MATCHED!AD7=14,MATCHED!$O7,"")))))))&amp;IF(MATCHED!AD7=15,MATCHED!$P7,IF(MATCHED!AD7=16,MATCHED!$Q7,IF(MATCHED!AD7=17,MATCHED!$R7,IF(MATCHED!AD7=18,MATCHED!$S7,IF(MATCHED!AD7=19,MATCHED!$T7,IF(MATCHED!AD7=20,MATCHED!$U7,IF(MATCHED!AD7=21,MATCHED!$V7,)))))))&amp;IF(MATCHED!AD7=22,MATCHED!$W7,IF(MATCHED!AD7=23,MATCHED!$X7,IF(MATCHED!AD7=24,MATCHED!$Y7,IF(MATCHED!AD7=25,MATCHED!$Z7,IF(MATCHED!AD7=26,MATCHED!$AA7,IF(MATCHED!AD7=27,MATCHED!$AB7,"."))))))</f>
        <v>#N/A</v>
      </c>
      <c r="C7" s="334" t="e">
        <f>IF(MATCHED!AE7=1,MATCHED!$B7,IF(MATCHED!AE7=2,MATCHED!$C7,IF(MATCHED!AE7=3,MATCHED!$D7,IF(MATCHED!AE7=4,MATCHED!$E7,IF(MATCHED!AE7=3,MATCHED!$F7,IF(MATCHED!AE7=6,MATCHED!$G7,IF(MATCHED!AE7=7,MATCHED!$H7,"")))))))&amp;IF(MATCHED!AE7=8,MATCHED!$I7,IF(MATCHED!AE7=9,MATCHED!$J7,IF(MATCHED!AE7=10,MATCHED!$K7,IF(MATCHED!AE7=11,MATCHED!$L7,IF(MATCHED!AE7=12,MATCHED!$M7,IF(MATCHED!AE7=13,MATCHED!$N7,IF(MATCHED!AE7=14,MATCHED!$O7,"")))))))&amp;IF(MATCHED!AE7=15,MATCHED!$P7,IF(MATCHED!AE7=16,MATCHED!$Q7,IF(MATCHED!AE7=17,MATCHED!$R7,IF(MATCHED!AE7=18,MATCHED!$S7,IF(MATCHED!AE7=19,MATCHED!$T7,IF(MATCHED!AE7=20,MATCHED!$U7,IF(MATCHED!AE7=21,MATCHED!$V7,)))))))&amp;IF(MATCHED!AE7=22,MATCHED!$W7,IF(MATCHED!AE7=23,MATCHED!$X7,IF(MATCHED!AE7=24,MATCHED!$Y7,IF(MATCHED!AE7=25,MATCHED!$Z7,IF(MATCHED!AE7=26,MATCHED!$AA7,IF(MATCHED!AE7=27,MATCHED!$AB7,"."))))))</f>
        <v>#N/A</v>
      </c>
      <c r="D7" s="334" t="e">
        <f>IF(MATCHED!AF7=1,MATCHED!$B7,IF(MATCHED!AF7=2,MATCHED!$C7,IF(MATCHED!AF7=3,MATCHED!$D7,IF(MATCHED!AF7=4,MATCHED!$E7,IF(MATCHED!AF7=3,MATCHED!$F7,IF(MATCHED!AF7=6,MATCHED!$G7,IF(MATCHED!AF7=7,MATCHED!$H7,"")))))))&amp;IF(MATCHED!AF7=8,MATCHED!$I7,IF(MATCHED!AF7=9,MATCHED!$J7,IF(MATCHED!AF7=10,MATCHED!$K7,IF(MATCHED!AF7=11,MATCHED!$L7,IF(MATCHED!AF7=12,MATCHED!$M7,IF(MATCHED!AF7=13,MATCHED!$N7,IF(MATCHED!AF7=14,MATCHED!$O7,"")))))))&amp;IF(MATCHED!AF7=15,MATCHED!$P7,IF(MATCHED!AF7=16,MATCHED!$Q7,IF(MATCHED!AF7=17,MATCHED!$R7,IF(MATCHED!AF7=18,MATCHED!$S7,IF(MATCHED!AF7=19,MATCHED!$T7,IF(MATCHED!AF7=20,MATCHED!$U7,IF(MATCHED!AF7=21,MATCHED!$V7,)))))))&amp;IF(MATCHED!AF7=22,MATCHED!$W7,IF(MATCHED!AF7=23,MATCHED!$X7,IF(MATCHED!AF7=24,MATCHED!$Y7,IF(MATCHED!AF7=25,MATCHED!$Z7,IF(MATCHED!AF7=26,MATCHED!$AA7,IF(MATCHED!AF7=27,MATCHED!$AB7,"."))))))</f>
        <v>#N/A</v>
      </c>
      <c r="E7" s="334" t="e">
        <f>IF(MATCHED!AG7=1,MATCHED!$B7,IF(MATCHED!AG7=2,MATCHED!$C7,IF(MATCHED!AG7=3,MATCHED!$D7,IF(MATCHED!AG7=4,MATCHED!$E7,IF(MATCHED!AG7=3,MATCHED!$F7,IF(MATCHED!AG7=6,MATCHED!$G7,IF(MATCHED!AG7=7,MATCHED!$H7,"")))))))&amp;IF(MATCHED!AG7=8,MATCHED!$I7,IF(MATCHED!AG7=9,MATCHED!$J7,IF(MATCHED!AG7=10,MATCHED!$K7,IF(MATCHED!AG7=11,MATCHED!$L7,IF(MATCHED!AG7=12,MATCHED!$M7,IF(MATCHED!AG7=13,MATCHED!$N7,IF(MATCHED!AG7=14,MATCHED!$O7,"")))))))&amp;IF(MATCHED!AG7=15,MATCHED!$P7,IF(MATCHED!AG7=16,MATCHED!$Q7,IF(MATCHED!AG7=17,MATCHED!$R7,IF(MATCHED!AG7=18,MATCHED!$S7,IF(MATCHED!AG7=19,MATCHED!$T7,IF(MATCHED!AG7=20,MATCHED!$U7,IF(MATCHED!AG7=21,MATCHED!$V7,)))))))&amp;IF(MATCHED!AG7=22,MATCHED!$W7,IF(MATCHED!AG7=23,MATCHED!$X7,IF(MATCHED!AG7=24,MATCHED!$Y7,IF(MATCHED!AG7=25,MATCHED!$Z7,IF(MATCHED!AG7=26,MATCHED!$AA7,IF(MATCHED!AG7=27,MATCHED!$AB7,"."))))))</f>
        <v>#N/A</v>
      </c>
      <c r="F7" s="334" t="e">
        <f>IF(MATCHED!AH7=1,MATCHED!$B7,IF(MATCHED!AH7=2,MATCHED!$C7,IF(MATCHED!AH7=3,MATCHED!$D7,IF(MATCHED!AH7=4,MATCHED!$E7,IF(MATCHED!AH7=3,MATCHED!$F7,IF(MATCHED!AH7=6,MATCHED!$G7,IF(MATCHED!AH7=7,MATCHED!$H7,"")))))))&amp;IF(MATCHED!AH7=8,MATCHED!$I7,IF(MATCHED!AH7=9,MATCHED!$J7,IF(MATCHED!AH7=10,MATCHED!$K7,IF(MATCHED!AH7=11,MATCHED!$L7,IF(MATCHED!AH7=12,MATCHED!$M7,IF(MATCHED!AH7=13,MATCHED!$N7,IF(MATCHED!AH7=14,MATCHED!$O7,"")))))))&amp;IF(MATCHED!AH7=15,MATCHED!$P7,IF(MATCHED!AH7=16,MATCHED!$Q7,IF(MATCHED!AH7=17,MATCHED!$R7,IF(MATCHED!AH7=18,MATCHED!$S7,IF(MATCHED!AH7=19,MATCHED!$T7,IF(MATCHED!AH7=20,MATCHED!$U7,IF(MATCHED!AH7=21,MATCHED!$V7,)))))))&amp;IF(MATCHED!AH7=22,MATCHED!$W7,IF(MATCHED!AH7=23,MATCHED!$X7,IF(MATCHED!AH7=24,MATCHED!$Y7,IF(MATCHED!AH7=25,MATCHED!$Z7,IF(MATCHED!AH7=26,MATCHED!$AA7,IF(MATCHED!AH7=27,MATCHED!$AB7,"."))))))</f>
        <v>#N/A</v>
      </c>
      <c r="G7" s="334" t="e">
        <f>IF(MATCHED!AI7=1,MATCHED!$B7,IF(MATCHED!AI7=2,MATCHED!$C7,IF(MATCHED!AI7=3,MATCHED!$D7,IF(MATCHED!AI7=4,MATCHED!$E7,IF(MATCHED!AI7=3,MATCHED!$F7,IF(MATCHED!AI7=6,MATCHED!$G7,IF(MATCHED!AI7=7,MATCHED!$H7,"")))))))&amp;IF(MATCHED!AI7=8,MATCHED!$I7,IF(MATCHED!AI7=9,MATCHED!$J7,IF(MATCHED!AI7=10,MATCHED!$K7,IF(MATCHED!AI7=11,MATCHED!$L7,IF(MATCHED!AI7=12,MATCHED!$M7,IF(MATCHED!AI7=13,MATCHED!$N7,IF(MATCHED!AI7=14,MATCHED!$O7,"")))))))&amp;IF(MATCHED!AI7=15,MATCHED!$P7,IF(MATCHED!AI7=16,MATCHED!$Q7,IF(MATCHED!AI7=17,MATCHED!$R7,IF(MATCHED!AI7=18,MATCHED!$S7,IF(MATCHED!AI7=19,MATCHED!$T7,IF(MATCHED!AI7=20,MATCHED!$U7,IF(MATCHED!AI7=21,MATCHED!$V7,)))))))&amp;IF(MATCHED!AI7=22,MATCHED!$W7,IF(MATCHED!AI7=23,MATCHED!$X7,IF(MATCHED!AI7=24,MATCHED!$Y7,IF(MATCHED!AI7=25,MATCHED!$Z7,IF(MATCHED!AI7=26,MATCHED!$AA7,IF(MATCHED!AI7=27,MATCHED!$AB7,"."))))))</f>
        <v>#N/A</v>
      </c>
      <c r="H7" s="335" t="e">
        <f>IF(MATCHED!AJ7=1,MATCHED!$B7,IF(MATCHED!AJ7=2,MATCHED!$C7,IF(MATCHED!AJ7=3,MATCHED!$D7,IF(MATCHED!AJ7=4,MATCHED!$E7,IF(MATCHED!AJ7=3,MATCHED!$F7,IF(MATCHED!AJ7=6,MATCHED!$G7,IF(MATCHED!AJ7=7,MATCHED!$H7,"")))))))&amp;IF(MATCHED!AJ7=8,MATCHED!$I7,IF(MATCHED!AJ7=9,MATCHED!$J7,IF(MATCHED!AJ7=10,MATCHED!$K7,IF(MATCHED!AJ7=11,MATCHED!$L7,IF(MATCHED!AJ7=12,MATCHED!$M7,IF(MATCHED!AJ7=13,MATCHED!$N7,IF(MATCHED!AJ7=14,MATCHED!$O7,"")))))))&amp;IF(MATCHED!AJ7=15,MATCHED!$P7,IF(MATCHED!AJ7=16,MATCHED!$Q7,IF(MATCHED!AJ7=17,MATCHED!$R7,IF(MATCHED!AJ7=18,MATCHED!$S7,IF(MATCHED!AJ7=19,MATCHED!$T7,IF(MATCHED!AJ7=20,MATCHED!$U7,IF(MATCHED!AJ7=21,MATCHED!$V7,)))))))&amp;IF(MATCHED!AJ7=22,MATCHED!$W7,IF(MATCHED!AJ7=23,MATCHED!$X7,IF(MATCHED!AJ7=24,MATCHED!$Y7,IF(MATCHED!AJ7=25,MATCHED!$Z7,IF(MATCHED!AJ7=26,MATCHED!$AA7,IF(MATCHED!AJ7=27,MATCHED!$AB7,"."))))))</f>
        <v>#N/A</v>
      </c>
      <c r="I7" s="335" t="e">
        <f>IF(MATCHED!AK7=1,MATCHED!$B7,IF(MATCHED!AK7=2,MATCHED!$C7,IF(MATCHED!AK7=3,MATCHED!$D7,IF(MATCHED!AK7=4,MATCHED!$E7,IF(MATCHED!AK7=3,MATCHED!$F7,IF(MATCHED!AK7=6,MATCHED!$G7,IF(MATCHED!AK7=7,MATCHED!$H7,"")))))))&amp;IF(MATCHED!AK7=8,MATCHED!$I7,IF(MATCHED!AK7=9,MATCHED!$J7,IF(MATCHED!AK7=10,MATCHED!$K7,IF(MATCHED!AK7=11,MATCHED!$L7,IF(MATCHED!AK7=12,MATCHED!$M7,IF(MATCHED!AK7=13,MATCHED!$N7,IF(MATCHED!AK7=14,MATCHED!$O7,"")))))))&amp;IF(MATCHED!AK7=15,MATCHED!$P7,IF(MATCHED!AK7=16,MATCHED!$Q7,IF(MATCHED!AK7=17,MATCHED!$R7,IF(MATCHED!AK7=18,MATCHED!$S7,IF(MATCHED!AK7=19,MATCHED!$T7,IF(MATCHED!AK7=20,MATCHED!$U7,IF(MATCHED!AK7=21,MATCHED!$V7,)))))))&amp;IF(MATCHED!AK7=22,MATCHED!$W7,IF(MATCHED!AK7=23,MATCHED!$X7,IF(MATCHED!AK7=24,MATCHED!$Y7,IF(MATCHED!AK7=25,MATCHED!$Z7,IF(MATCHED!AK7=26,MATCHED!$AA7,IF(MATCHED!AK7=27,MATCHED!$AB7,"."))))))</f>
        <v>#N/A</v>
      </c>
      <c r="J7" s="335" t="e">
        <f>IF(MATCHED!AL7=1,MATCHED!$B7,IF(MATCHED!AL7=2,MATCHED!$C7,IF(MATCHED!AL7=3,MATCHED!$D7,IF(MATCHED!AL7=4,MATCHED!$E7,IF(MATCHED!AL7=3,MATCHED!$F7,IF(MATCHED!AL7=6,MATCHED!$G7,IF(MATCHED!AL7=7,MATCHED!$H7,"")))))))&amp;IF(MATCHED!AL7=8,MATCHED!$I7,IF(MATCHED!AL7=9,MATCHED!$J7,IF(MATCHED!AL7=10,MATCHED!$K7,IF(MATCHED!AL7=11,MATCHED!$L7,IF(MATCHED!AL7=12,MATCHED!$M7,IF(MATCHED!AL7=13,MATCHED!$N7,IF(MATCHED!AL7=14,MATCHED!$O7,"")))))))&amp;IF(MATCHED!AL7=15,MATCHED!$P7,IF(MATCHED!AL7=16,MATCHED!$Q7,IF(MATCHED!AL7=17,MATCHED!$R7,IF(MATCHED!AL7=18,MATCHED!$S7,IF(MATCHED!AL7=19,MATCHED!$T7,IF(MATCHED!AL7=20,MATCHED!$U7,IF(MATCHED!AL7=21,MATCHED!$V7,)))))))&amp;IF(MATCHED!AL7=22,MATCHED!$W7,IF(MATCHED!AL7=23,MATCHED!$X7,IF(MATCHED!AL7=24,MATCHED!$Y7,IF(MATCHED!AL7=25,MATCHED!$Z7,IF(MATCHED!AL7=26,MATCHED!$AA7,IF(MATCHED!AL7=27,MATCHED!$AB7,"."))))))</f>
        <v>#N/A</v>
      </c>
      <c r="K7" s="334" t="e">
        <f>IF(MATCHED!AM7=1,MATCHED!$B7,IF(MATCHED!AM7=2,MATCHED!$C7,IF(MATCHED!AM7=3,MATCHED!$D7,IF(MATCHED!AM7=4,MATCHED!$E7,IF(MATCHED!AM7=3,MATCHED!$F7,IF(MATCHED!AM7=6,MATCHED!$G7,IF(MATCHED!AM7=7,MATCHED!$H7,"")))))))&amp;IF(MATCHED!AM7=8,MATCHED!$I7,IF(MATCHED!AM7=9,MATCHED!$J7,IF(MATCHED!AM7=10,MATCHED!$K7,IF(MATCHED!AM7=11,MATCHED!$L7,IF(MATCHED!AM7=12,MATCHED!$M7,IF(MATCHED!AM7=13,MATCHED!$N7,IF(MATCHED!AM7=14,MATCHED!$O7,"")))))))&amp;IF(MATCHED!AM7=15,MATCHED!$P7,IF(MATCHED!AM7=16,MATCHED!$Q7,IF(MATCHED!AM7=17,MATCHED!$R7,IF(MATCHED!AM7=18,MATCHED!$S7,IF(MATCHED!AM7=19,MATCHED!$T7,IF(MATCHED!AM7=20,MATCHED!$U7,IF(MATCHED!AM7=21,MATCHED!$V7,)))))))&amp;IF(MATCHED!AM7=22,MATCHED!$W7,IF(MATCHED!AM7=23,MATCHED!$X7,IF(MATCHED!AM7=24,MATCHED!$Y7,IF(MATCHED!AM7=25,MATCHED!$Z7,IF(MATCHED!AM7=26,MATCHED!$AA7,IF(MATCHED!AM7=27,MATCHED!$AB7,"."))))))</f>
        <v>#N/A</v>
      </c>
      <c r="L7" s="334" t="e">
        <f>IF(MATCHED!AN7=1,MATCHED!$B7,IF(MATCHED!AN7=2,MATCHED!$C7,IF(MATCHED!AN7=3,MATCHED!$D7,IF(MATCHED!AN7=4,MATCHED!$E7,IF(MATCHED!AN7=3,MATCHED!$F7,IF(MATCHED!AN7=6,MATCHED!$G7,IF(MATCHED!AN7=7,MATCHED!$H7,"")))))))&amp;IF(MATCHED!AN7=8,MATCHED!$I7,IF(MATCHED!AN7=9,MATCHED!$J7,IF(MATCHED!AN7=10,MATCHED!$K7,IF(MATCHED!AN7=11,MATCHED!$L7,IF(MATCHED!AN7=12,MATCHED!$M7,IF(MATCHED!AN7=13,MATCHED!$N7,IF(MATCHED!AN7=14,MATCHED!$O7,"")))))))&amp;IF(MATCHED!AN7=15,MATCHED!$P7,IF(MATCHED!AN7=16,MATCHED!$Q7,IF(MATCHED!AN7=17,MATCHED!$R7,IF(MATCHED!AN7=18,MATCHED!$S7,IF(MATCHED!AN7=19,MATCHED!$T7,IF(MATCHED!AN7=20,MATCHED!$U7,IF(MATCHED!AN7=21,MATCHED!$V7,)))))))&amp;IF(MATCHED!AN7=22,MATCHED!$W7,IF(MATCHED!AN7=23,MATCHED!$X7,IF(MATCHED!AN7=24,MATCHED!$Y7,IF(MATCHED!AN7=25,MATCHED!$Z7,IF(MATCHED!AN7=26,MATCHED!$AA7,IF(MATCHED!AN7=27,MATCHED!$AB7,"."))))))</f>
        <v>#N/A</v>
      </c>
      <c r="M7" s="334" t="e">
        <f>IF(MATCHED!AO7=1,MATCHED!$B7,IF(MATCHED!AO7=2,MATCHED!$C7,IF(MATCHED!AO7=3,MATCHED!$D7,IF(MATCHED!AO7=4,MATCHED!$E7,IF(MATCHED!AO7=3,MATCHED!$F7,IF(MATCHED!AO7=6,MATCHED!$G7,IF(MATCHED!AO7=7,MATCHED!$H7,"")))))))&amp;IF(MATCHED!AO7=8,MATCHED!$I7,IF(MATCHED!AO7=9,MATCHED!$J7,IF(MATCHED!AO7=10,MATCHED!$K7,IF(MATCHED!AO7=11,MATCHED!$L7,IF(MATCHED!AO7=12,MATCHED!$M7,IF(MATCHED!AO7=13,MATCHED!$N7,IF(MATCHED!AO7=14,MATCHED!$O7,"")))))))&amp;IF(MATCHED!AO7=15,MATCHED!$P7,IF(MATCHED!AO7=16,MATCHED!$Q7,IF(MATCHED!AO7=17,MATCHED!$R7,IF(MATCHED!AO7=18,MATCHED!$S7,IF(MATCHED!AO7=19,MATCHED!$T7,IF(MATCHED!AO7=20,MATCHED!$U7,IF(MATCHED!AO7=21,MATCHED!$V7,)))))))&amp;IF(MATCHED!AO7=22,MATCHED!$W7,IF(MATCHED!AO7=23,MATCHED!$X7,IF(MATCHED!AO7=24,MATCHED!$Y7,IF(MATCHED!AO7=25,MATCHED!$Z7,IF(MATCHED!AO7=26,MATCHED!$AA7,IF(MATCHED!AO7=27,MATCHED!$AB7,"."))))))</f>
        <v>#N/A</v>
      </c>
      <c r="N7" s="335" t="e">
        <f>IF(MATCHED!AP7=1,MATCHED!$B7,IF(MATCHED!AP7=2,MATCHED!$C7,IF(MATCHED!AP7=3,MATCHED!$D7,IF(MATCHED!AP7=4,MATCHED!$E7,IF(MATCHED!AP7=3,MATCHED!$F7,IF(MATCHED!AP7=6,MATCHED!$G7,IF(MATCHED!AP7=7,MATCHED!$H7,"")))))))&amp;IF(MATCHED!AP7=8,MATCHED!$I7,IF(MATCHED!AP7=9,MATCHED!$J7,IF(MATCHED!AP7=10,MATCHED!$K7,IF(MATCHED!AP7=11,MATCHED!$L7,IF(MATCHED!AP7=12,MATCHED!$M7,IF(MATCHED!AP7=13,MATCHED!$N7,IF(MATCHED!AP7=14,MATCHED!$O7,"")))))))&amp;IF(MATCHED!AP7=15,MATCHED!$P7,IF(MATCHED!AP7=16,MATCHED!$Q7,IF(MATCHED!AP7=17,MATCHED!$R7,IF(MATCHED!AP7=18,MATCHED!$S7,IF(MATCHED!AP7=19,MATCHED!$T7,IF(MATCHED!AP7=20,MATCHED!$U7,IF(MATCHED!AP7=21,MATCHED!$V7,)))))))&amp;IF(MATCHED!AP7=22,MATCHED!$W7,IF(MATCHED!AP7=23,MATCHED!$X7,IF(MATCHED!AP7=24,MATCHED!$Y7,IF(MATCHED!AP7=25,MATCHED!$Z7,IF(MATCHED!AP7=26,MATCHED!$AA7,IF(MATCHED!AP7=27,MATCHED!$AB7,"."))))))</f>
        <v>#N/A</v>
      </c>
      <c r="O7" s="334" t="e">
        <f>IF(MATCHED!AQ7=1,MATCHED!$B7,IF(MATCHED!AQ7=2,MATCHED!$C7,IF(MATCHED!AQ7=3,MATCHED!$D7,IF(MATCHED!AQ7=4,MATCHED!$E7,IF(MATCHED!AQ7=3,MATCHED!$F7,IF(MATCHED!AQ7=6,MATCHED!$G7,IF(MATCHED!AQ7=7,MATCHED!$H7,"")))))))&amp;IF(MATCHED!AQ7=8,MATCHED!$I7,IF(MATCHED!AQ7=9,MATCHED!$J7,IF(MATCHED!AQ7=10,MATCHED!$K7,IF(MATCHED!AQ7=11,MATCHED!$L7,IF(MATCHED!AQ7=12,MATCHED!$M7,IF(MATCHED!AQ7=13,MATCHED!$N7,IF(MATCHED!AQ7=14,MATCHED!$O7,"")))))))&amp;IF(MATCHED!AQ7=15,MATCHED!$P7,IF(MATCHED!AQ7=16,MATCHED!$Q7,IF(MATCHED!AQ7=17,MATCHED!$R7,IF(MATCHED!AQ7=18,MATCHED!$S7,IF(MATCHED!AQ7=19,MATCHED!$T7,IF(MATCHED!AQ7=20,MATCHED!$U7,IF(MATCHED!AQ7=21,MATCHED!$V7,)))))))&amp;IF(MATCHED!AQ7=22,MATCHED!$W7,IF(MATCHED!AQ7=23,MATCHED!$X7,IF(MATCHED!AQ7=24,MATCHED!$Y7,IF(MATCHED!AQ7=25,MATCHED!$Z7,IF(MATCHED!AQ7=26,MATCHED!$AA7,IF(MATCHED!AQ7=27,MATCHED!$AB7,"."))))))</f>
        <v>#N/A</v>
      </c>
      <c r="P7" s="334" t="e">
        <f>IF(MATCHED!AR7=1,MATCHED!$B7,IF(MATCHED!AR7=2,MATCHED!$C7,IF(MATCHED!AR7=3,MATCHED!$D7,IF(MATCHED!AR7=4,MATCHED!$E7,IF(MATCHED!AR7=3,MATCHED!$F7,IF(MATCHED!AR7=6,MATCHED!$G7,IF(MATCHED!AR7=7,MATCHED!$H7,"")))))))&amp;IF(MATCHED!AR7=8,MATCHED!$I7,IF(MATCHED!AR7=9,MATCHED!$J7,IF(MATCHED!AR7=10,MATCHED!$K7,IF(MATCHED!AR7=11,MATCHED!$L7,IF(MATCHED!AR7=12,MATCHED!$M7,IF(MATCHED!AR7=13,MATCHED!$N7,IF(MATCHED!AR7=14,MATCHED!$O7,"")))))))&amp;IF(MATCHED!AR7=15,MATCHED!$P7,IF(MATCHED!AR7=16,MATCHED!$Q7,IF(MATCHED!AR7=17,MATCHED!$R7,IF(MATCHED!AR7=18,MATCHED!$S7,IF(MATCHED!AR7=19,MATCHED!$T7,IF(MATCHED!AR7=20,MATCHED!$U7,IF(MATCHED!AR7=21,MATCHED!$V7,)))))))&amp;IF(MATCHED!AR7=22,MATCHED!$W7,IF(MATCHED!AR7=23,MATCHED!$X7,IF(MATCHED!AR7=24,MATCHED!$Y7,IF(MATCHED!AR7=25,MATCHED!$Z7,IF(MATCHED!AR7=26,MATCHED!$AA7,IF(MATCHED!AR7=27,MATCHED!$AB7,"."))))))</f>
        <v>#N/A</v>
      </c>
      <c r="Q7" s="337" t="e">
        <f>IF(MATCHED!AS7=1,MATCHED!$B7,IF(MATCHED!AS7=2,MATCHED!$C7,IF(MATCHED!AS7=3,MATCHED!$D7,IF(MATCHED!AS7=4,MATCHED!$E7,IF(MATCHED!AS7=3,MATCHED!$F7,IF(MATCHED!AS7=6,MATCHED!$G7,IF(MATCHED!AS7=7,MATCHED!$H7,"")))))))&amp;IF(MATCHED!AS7=8,MATCHED!$I7,IF(MATCHED!AS7=9,MATCHED!$J7,IF(MATCHED!AS7=10,MATCHED!$K7,IF(MATCHED!AS7=11,MATCHED!$L7,IF(MATCHED!AS7=12,MATCHED!$M7,IF(MATCHED!AS7=13,MATCHED!$N7,IF(MATCHED!AS7=14,MATCHED!$O7,"")))))))&amp;IF(MATCHED!AS7=15,MATCHED!$P7,IF(MATCHED!AS7=16,MATCHED!$Q7,IF(MATCHED!AS7=17,MATCHED!$R7,IF(MATCHED!AS7=18,MATCHED!$S7,IF(MATCHED!AS7=19,MATCHED!$T7,IF(MATCHED!AS7=20,MATCHED!$U7,IF(MATCHED!AS7=21,MATCHED!$V7,)))))))&amp;IF(MATCHED!AS7=22,MATCHED!$W7,IF(MATCHED!AS7=23,MATCHED!$X7,IF(MATCHED!AS7=24,MATCHED!$Y7,IF(MATCHED!AS7=25,MATCHED!$Z7,IF(MATCHED!AS7=26,MATCHED!$AA7,IF(MATCHED!AS7=27,MATCHED!$AB7,"."))))))</f>
        <v>#N/A</v>
      </c>
      <c r="R7" s="335" t="e">
        <f>IF(MATCHED!AT7=1,MATCHED!$B7,IF(MATCHED!AT7=2,MATCHED!$C7,IF(MATCHED!AT7=3,MATCHED!$D7,IF(MATCHED!AT7=4,MATCHED!$E7,IF(MATCHED!AT7=3,MATCHED!$F7,IF(MATCHED!AT7=6,MATCHED!$G7,IF(MATCHED!AT7=7,MATCHED!$H7,"")))))))&amp;IF(MATCHED!AT7=8,MATCHED!$I7,IF(MATCHED!AT7=9,MATCHED!$J7,IF(MATCHED!AT7=10,MATCHED!$K7,IF(MATCHED!AT7=11,MATCHED!$L7,IF(MATCHED!AT7=12,MATCHED!$M7,IF(MATCHED!AT7=13,MATCHED!$N7,IF(MATCHED!AT7=14,MATCHED!$O7,"")))))))&amp;IF(MATCHED!AT7=15,MATCHED!$P7,IF(MATCHED!AT7=16,MATCHED!$Q7,IF(MATCHED!AT7=17,MATCHED!$R7,IF(MATCHED!AT7=18,MATCHED!$S7,IF(MATCHED!AT7=19,MATCHED!$T7,IF(MATCHED!AT7=20,MATCHED!$U7,IF(MATCHED!AT7=21,MATCHED!$V7,)))))))&amp;IF(MATCHED!AT7=22,MATCHED!$W7,IF(MATCHED!AT7=23,MATCHED!$X7,IF(MATCHED!AT7=24,MATCHED!$Y7,IF(MATCHED!AT7=25,MATCHED!$Z7,IF(MATCHED!AT7=26,MATCHED!$AA7,IF(MATCHED!AT7=27,MATCHED!$AB7,"."))))))</f>
        <v>#N/A</v>
      </c>
      <c r="S7" s="335" t="e">
        <f>IF(MATCHED!AU7=1,MATCHED!$B7,IF(MATCHED!AU7=2,MATCHED!$C7,IF(MATCHED!AU7=3,MATCHED!$D7,IF(MATCHED!AU7=4,MATCHED!$E7,IF(MATCHED!AU7=3,MATCHED!$F7,IF(MATCHED!AU7=6,MATCHED!$G7,IF(MATCHED!AU7=7,MATCHED!$H7,"")))))))&amp;IF(MATCHED!AU7=8,MATCHED!$I7,IF(MATCHED!AU7=9,MATCHED!$J7,IF(MATCHED!AU7=10,MATCHED!$K7,IF(MATCHED!AU7=11,MATCHED!$L7,IF(MATCHED!AU7=12,MATCHED!$M7,IF(MATCHED!AU7=13,MATCHED!$N7,IF(MATCHED!AU7=14,MATCHED!$O7,"")))))))&amp;IF(MATCHED!AU7=15,MATCHED!$P7,IF(MATCHED!AU7=16,MATCHED!$Q7,IF(MATCHED!AU7=17,MATCHED!$R7,IF(MATCHED!AU7=18,MATCHED!$S7,IF(MATCHED!AU7=19,MATCHED!$T7,IF(MATCHED!AU7=20,MATCHED!$U7,IF(MATCHED!AU7=21,MATCHED!$V7,)))))))&amp;IF(MATCHED!AU7=22,MATCHED!$W7,IF(MATCHED!AU7=23,MATCHED!$X7,IF(MATCHED!AU7=24,MATCHED!$Y7,IF(MATCHED!AU7=25,MATCHED!$Z7,IF(MATCHED!AU7=26,MATCHED!$AA7,IF(MATCHED!AU7=27,MATCHED!$AB7,"."))))))</f>
        <v>#N/A</v>
      </c>
      <c r="T7" s="334" t="e">
        <f>IF(MATCHED!AV7=1,MATCHED!$B7,IF(MATCHED!AV7=2,MATCHED!$C7,IF(MATCHED!AV7=3,MATCHED!$D7,IF(MATCHED!AV7=4,MATCHED!$E7,IF(MATCHED!AV7=3,MATCHED!$F7,IF(MATCHED!AV7=6,MATCHED!$G7,IF(MATCHED!AV7=7,MATCHED!$H7,"")))))))&amp;IF(MATCHED!AV7=8,MATCHED!$I7,IF(MATCHED!AV7=9,MATCHED!$J7,IF(MATCHED!AV7=10,MATCHED!$K7,IF(MATCHED!AV7=11,MATCHED!$L7,IF(MATCHED!AV7=12,MATCHED!$M7,IF(MATCHED!AV7=13,MATCHED!$N7,IF(MATCHED!AV7=14,MATCHED!$O7,"")))))))&amp;IF(MATCHED!AV7=15,MATCHED!$P7,IF(MATCHED!AV7=16,MATCHED!$Q7,IF(MATCHED!AV7=17,MATCHED!$R7,IF(MATCHED!AV7=18,MATCHED!$S7,IF(MATCHED!AV7=19,MATCHED!$T7,IF(MATCHED!AV7=20,MATCHED!$U7,IF(MATCHED!AV7=21,MATCHED!$V7,)))))))&amp;IF(MATCHED!AV7=22,MATCHED!$W7,IF(MATCHED!AV7=23,MATCHED!$X7,IF(MATCHED!AV7=24,MATCHED!$Y7,IF(MATCHED!AV7=25,MATCHED!$Z7,IF(MATCHED!AV7=26,MATCHED!$AA7,IF(MATCHED!AV7=27,MATCHED!$AB7,"."))))))</f>
        <v>#N/A</v>
      </c>
      <c r="U7" s="335" t="e">
        <f>IF(MATCHED!AW7=1,MATCHED!$B7,IF(MATCHED!AW7=2,MATCHED!$C7,IF(MATCHED!AW7=3,MATCHED!$D7,IF(MATCHED!AW7=4,MATCHED!$E7,IF(MATCHED!AW7=3,MATCHED!$F7,IF(MATCHED!AW7=6,MATCHED!$G7,IF(MATCHED!AW7=7,MATCHED!$H7,"")))))))&amp;IF(MATCHED!AW7=8,MATCHED!$I7,IF(MATCHED!AW7=9,MATCHED!$J7,IF(MATCHED!AW7=10,MATCHED!$K7,IF(MATCHED!AW7=11,MATCHED!$L7,IF(MATCHED!AW7=12,MATCHED!$M7,IF(MATCHED!AW7=13,MATCHED!$N7,IF(MATCHED!AW7=14,MATCHED!$O7,"")))))))&amp;IF(MATCHED!AW7=15,MATCHED!$P7,IF(MATCHED!AW7=16,MATCHED!$Q7,IF(MATCHED!AW7=17,MATCHED!$R7,IF(MATCHED!AW7=18,MATCHED!$S7,IF(MATCHED!AW7=19,MATCHED!$T7,IF(MATCHED!AW7=20,MATCHED!$U7,IF(MATCHED!AW7=21,MATCHED!$V7,)))))))&amp;IF(MATCHED!AW7=22,MATCHED!$W7,IF(MATCHED!AW7=23,MATCHED!$X7,IF(MATCHED!AW7=24,MATCHED!$Y7,IF(MATCHED!AW7=25,MATCHED!$Z7,IF(MATCHED!AW7=26,MATCHED!$AA7,IF(MATCHED!AW7=27,MATCHED!$AB7,"."))))))</f>
        <v>#N/A</v>
      </c>
      <c r="V7" s="334" t="e">
        <f>IF(MATCHED!AX7=1,MATCHED!$B7,IF(MATCHED!AX7=2,MATCHED!$C7,IF(MATCHED!AX7=3,MATCHED!$D7,IF(MATCHED!AX7=4,MATCHED!$E7,IF(MATCHED!AX7=3,MATCHED!$F7,IF(MATCHED!AX7=6,MATCHED!$G7,IF(MATCHED!AX7=7,MATCHED!$H7,"")))))))&amp;IF(MATCHED!AX7=8,MATCHED!$I7,IF(MATCHED!AX7=9,MATCHED!$J7,IF(MATCHED!AX7=10,MATCHED!$K7,IF(MATCHED!AX7=11,MATCHED!$L7,IF(MATCHED!AX7=12,MATCHED!$M7,IF(MATCHED!AX7=13,MATCHED!$N7,IF(MATCHED!AX7=14,MATCHED!$O7,"")))))))&amp;IF(MATCHED!AX7=15,MATCHED!$P7,IF(MATCHED!AX7=16,MATCHED!$Q7,IF(MATCHED!AX7=17,MATCHED!$R7,IF(MATCHED!AX7=18,MATCHED!$S7,IF(MATCHED!AX7=19,MATCHED!$T7,IF(MATCHED!AX7=20,MATCHED!$U7,IF(MATCHED!AX7=21,MATCHED!$V7,)))))))&amp;IF(MATCHED!AX7=22,MATCHED!$W7,IF(MATCHED!AX7=23,MATCHED!$X7,IF(MATCHED!AX7=24,MATCHED!$Y7,IF(MATCHED!AX7=25,MATCHED!$Z7,IF(MATCHED!AX7=26,MATCHED!$AA7,IF(MATCHED!AX7=27,MATCHED!$AB7,"."))))))</f>
        <v>#N/A</v>
      </c>
      <c r="W7" s="334" t="e">
        <f>IF(MATCHED!AY7=1,MATCHED!$B7,IF(MATCHED!AY7=2,MATCHED!$C7,IF(MATCHED!AY7=3,MATCHED!$D7,IF(MATCHED!AY7=4,MATCHED!$E7,IF(MATCHED!AY7=3,MATCHED!$F7,IF(MATCHED!AY7=6,MATCHED!$G7,IF(MATCHED!AY7=7,MATCHED!$H7,"")))))))&amp;IF(MATCHED!AY7=8,MATCHED!$I7,IF(MATCHED!AY7=9,MATCHED!$J7,IF(MATCHED!AY7=10,MATCHED!$K7,IF(MATCHED!AY7=11,MATCHED!$L7,IF(MATCHED!AY7=12,MATCHED!$M7,IF(MATCHED!AY7=13,MATCHED!$N7,IF(MATCHED!AY7=14,MATCHED!$O7,"")))))))&amp;IF(MATCHED!AY7=15,MATCHED!$P7,IF(MATCHED!AY7=16,MATCHED!$Q7,IF(MATCHED!AY7=17,MATCHED!$R7,IF(MATCHED!AY7=18,MATCHED!$S7,IF(MATCHED!AY7=19,MATCHED!$T7,IF(MATCHED!AY7=20,MATCHED!$U7,IF(MATCHED!AY7=21,MATCHED!$V7,)))))))&amp;IF(MATCHED!AY7=22,MATCHED!$W7,IF(MATCHED!AY7=23,MATCHED!$X7,IF(MATCHED!AY7=24,MATCHED!$Y7,IF(MATCHED!AY7=25,MATCHED!$Z7,IF(MATCHED!AY7=26,MATCHED!$AA7,IF(MATCHED!AY7=27,MATCHED!$AB7,"."))))))</f>
        <v>#N/A</v>
      </c>
      <c r="X7" s="334" t="e">
        <f>IF(MATCHED!AZ7=1,MATCHED!$B7,IF(MATCHED!AZ7=2,MATCHED!$C7,IF(MATCHED!AZ7=3,MATCHED!$D7,IF(MATCHED!AZ7=4,MATCHED!$E7,IF(MATCHED!AZ7=3,MATCHED!$F7,IF(MATCHED!AZ7=6,MATCHED!$G7,IF(MATCHED!AZ7=7,MATCHED!$H7,"")))))))&amp;IF(MATCHED!AZ7=8,MATCHED!$I7,IF(MATCHED!AZ7=9,MATCHED!$J7,IF(MATCHED!AZ7=10,MATCHED!$K7,IF(MATCHED!AZ7=11,MATCHED!$L7,IF(MATCHED!AZ7=12,MATCHED!$M7,IF(MATCHED!AZ7=13,MATCHED!$N7,IF(MATCHED!AZ7=14,MATCHED!$O7,"")))))))&amp;IF(MATCHED!AZ7=15,MATCHED!$P7,IF(MATCHED!AZ7=16,MATCHED!$Q7,IF(MATCHED!AZ7=17,MATCHED!$R7,IF(MATCHED!AZ7=18,MATCHED!$S7,IF(MATCHED!AZ7=19,MATCHED!$T7,IF(MATCHED!AZ7=20,MATCHED!$U7,IF(MATCHED!AZ7=21,MATCHED!$V7,)))))))&amp;IF(MATCHED!AZ7=22,MATCHED!$W7,IF(MATCHED!AZ7=23,MATCHED!$X7,IF(MATCHED!AZ7=24,MATCHED!$Y7,IF(MATCHED!AZ7=25,MATCHED!$Z7,IF(MATCHED!AZ7=26,MATCHED!$AA7,IF(MATCHED!AZ7=27,MATCHED!$AB7,"."))))))</f>
        <v>#N/A</v>
      </c>
      <c r="Y7" s="334" t="e">
        <f>IF(MATCHED!BA7=1,MATCHED!$B7,IF(MATCHED!BA7=2,MATCHED!$C7,IF(MATCHED!BA7=3,MATCHED!$D7,IF(MATCHED!BA7=4,MATCHED!$E7,IF(MATCHED!BA7=3,MATCHED!$F7,IF(MATCHED!BA7=6,MATCHED!$G7,IF(MATCHED!BA7=7,MATCHED!$H7,"")))))))&amp;IF(MATCHED!BA7=8,MATCHED!$I7,IF(MATCHED!BA7=9,MATCHED!$J7,IF(MATCHED!BA7=10,MATCHED!$K7,IF(MATCHED!BA7=11,MATCHED!$L7,IF(MATCHED!BA7=12,MATCHED!$M7,IF(MATCHED!BA7=13,MATCHED!$N7,IF(MATCHED!BA7=14,MATCHED!$O7,"")))))))&amp;IF(MATCHED!BA7=15,MATCHED!$P7,IF(MATCHED!BA7=16,MATCHED!$Q7,IF(MATCHED!BA7=17,MATCHED!$R7,IF(MATCHED!BA7=18,MATCHED!$S7,IF(MATCHED!BA7=19,MATCHED!$T7,IF(MATCHED!BA7=20,MATCHED!$U7,IF(MATCHED!BA7=21,MATCHED!$V7,)))))))&amp;IF(MATCHED!BA7=22,MATCHED!$W7,IF(MATCHED!BA7=23,MATCHED!$X7,IF(MATCHED!BA7=24,MATCHED!$Y7,IF(MATCHED!BA7=25,MATCHED!$Z7,IF(MATCHED!BA7=26,MATCHED!$AA7,IF(MATCHED!BA7=27,MATCHED!$AB7,"."))))))</f>
        <v>#N/A</v>
      </c>
      <c r="Z7" s="334" t="e">
        <f>IF(MATCHED!BB7=1,MATCHED!$B7,IF(MATCHED!BB7=2,MATCHED!$C7,IF(MATCHED!BB7=3,MATCHED!$D7,IF(MATCHED!BB7=4,MATCHED!$E7,IF(MATCHED!BB7=3,MATCHED!$F7,IF(MATCHED!BB7=6,MATCHED!$G7,IF(MATCHED!BB7=7,MATCHED!$H7,"")))))))&amp;IF(MATCHED!BB7=8,MATCHED!$I7,IF(MATCHED!BB7=9,MATCHED!$J7,IF(MATCHED!BB7=10,MATCHED!$K7,IF(MATCHED!BB7=11,MATCHED!$L7,IF(MATCHED!BB7=12,MATCHED!$M7,IF(MATCHED!BB7=13,MATCHED!$N7,IF(MATCHED!BB7=14,MATCHED!$O7,"")))))))&amp;IF(MATCHED!BB7=15,MATCHED!$P7,IF(MATCHED!BB7=16,MATCHED!$Q7,IF(MATCHED!BB7=17,MATCHED!$R7,IF(MATCHED!BB7=18,MATCHED!$S7,IF(MATCHED!BB7=19,MATCHED!$T7,IF(MATCHED!BB7=20,MATCHED!$U7,IF(MATCHED!BB7=21,MATCHED!$V7,)))))))&amp;IF(MATCHED!BB7=22,MATCHED!$W7,IF(MATCHED!BB7=23,MATCHED!$X7,IF(MATCHED!BB7=24,MATCHED!$Y7,IF(MATCHED!BB7=25,MATCHED!$Z7,IF(MATCHED!BB7=26,MATCHED!$AA7,IF(MATCHED!BB7=27,MATCHED!$AB7,"."))))))</f>
        <v>#N/A</v>
      </c>
      <c r="AA7" s="334" t="e">
        <f>IF(MATCHED!BC7=1,MATCHED!$B7,IF(MATCHED!BC7=2,MATCHED!$C7,IF(MATCHED!BC7=3,MATCHED!$D7,IF(MATCHED!BC7=4,MATCHED!$E7,IF(MATCHED!BC7=3,MATCHED!$F7,IF(MATCHED!BC7=6,MATCHED!$G7,IF(MATCHED!BC7=7,MATCHED!$H7,"")))))))&amp;IF(MATCHED!BC7=8,MATCHED!$I7,IF(MATCHED!BC7=9,MATCHED!$J7,IF(MATCHED!BC7=10,MATCHED!$K7,IF(MATCHED!BC7=11,MATCHED!$L7,IF(MATCHED!BC7=12,MATCHED!$M7,IF(MATCHED!BC7=13,MATCHED!$N7,IF(MATCHED!BC7=14,MATCHED!$O7,"")))))))&amp;IF(MATCHED!BC7=15,MATCHED!$P7,IF(MATCHED!BC7=16,MATCHED!$Q7,IF(MATCHED!BC7=17,MATCHED!$R7,IF(MATCHED!BC7=18,MATCHED!$S7,IF(MATCHED!BC7=19,MATCHED!$T7,IF(MATCHED!BC7=20,MATCHED!$U7,IF(MATCHED!BC7=21,MATCHED!$V7,)))))))&amp;IF(MATCHED!BC7=22,MATCHED!$W7,IF(MATCHED!BC7=23,MATCHED!$X7,IF(MATCHED!BC7=24,MATCHED!$Y7,IF(MATCHED!BC7=25,MATCHED!$Z7,IF(MATCHED!BC7=26,MATCHED!$AA7,IF(MATCHED!BC7=27,MATCHED!$AB7,"."))))))</f>
        <v>#N/A</v>
      </c>
      <c r="AB7" s="334" t="e">
        <f>IF(MATCHED!BD7=1,MATCHED!$B7,IF(MATCHED!BD7=2,MATCHED!$C7,IF(MATCHED!BD7=3,MATCHED!$D7,IF(MATCHED!BD7=4,MATCHED!$E7,IF(MATCHED!BD7=3,MATCHED!$F7,IF(MATCHED!BD7=6,MATCHED!$G7,IF(MATCHED!BD7=7,MATCHED!$H7,"")))))))&amp;IF(MATCHED!BD7=8,MATCHED!$I7,IF(MATCHED!BD7=9,MATCHED!$J7,IF(MATCHED!BD7=10,MATCHED!$K7,IF(MATCHED!BD7=11,MATCHED!$L7,IF(MATCHED!BD7=12,MATCHED!$M7,IF(MATCHED!BD7=13,MATCHED!$N7,IF(MATCHED!BD7=14,MATCHED!$O7,"")))))))&amp;IF(MATCHED!BD7=15,MATCHED!$P7,IF(MATCHED!BD7=16,MATCHED!$Q7,IF(MATCHED!BD7=17,MATCHED!$R7,IF(MATCHED!BD7=18,MATCHED!$S7,IF(MATCHED!BD7=19,MATCHED!$T7,IF(MATCHED!BD7=20,MATCHED!$U7,IF(MATCHED!BD7=21,MATCHED!$V7,)))))))&amp;IF(MATCHED!BD7=22,MATCHED!$W7,IF(MATCHED!BD7=23,MATCHED!$X7,IF(MATCHED!BD7=24,MATCHED!$Y7,IF(MATCHED!BD7=25,MATCHED!$Z7,IF(MATCHED!BD7=26,MATCHED!$AA7,IF(MATCHED!BD7=27,MATCHED!$AB7,"."))))))</f>
        <v>#N/A</v>
      </c>
      <c r="AC7" s="334" t="e">
        <f>IF(MATCHED!BE7=1,MATCHED!$B7,IF(MATCHED!BE7=2,MATCHED!$C7,IF(MATCHED!BE7=3,MATCHED!$D7,IF(MATCHED!BE7=4,MATCHED!$E7,IF(MATCHED!BE7=3,MATCHED!$F7,IF(MATCHED!BE7=6,MATCHED!$G7,IF(MATCHED!BE7=7,MATCHED!$H7,"")))))))&amp;IF(MATCHED!BE7=8,MATCHED!$I7,IF(MATCHED!BE7=9,MATCHED!$J7,IF(MATCHED!BE7=10,MATCHED!$K7,IF(MATCHED!BE7=11,MATCHED!$L7,IF(MATCHED!BE7=12,MATCHED!$M7,IF(MATCHED!BE7=13,MATCHED!$N7,IF(MATCHED!BE7=14,MATCHED!$O7,"")))))))&amp;IF(MATCHED!BE7=15,MATCHED!$P7,IF(MATCHED!BE7=16,MATCHED!$Q7,IF(MATCHED!BE7=17,MATCHED!$R7,IF(MATCHED!BE7=18,MATCHED!$S7,IF(MATCHED!BE7=19,MATCHED!$T7,IF(MATCHED!BE7=20,MATCHED!$U7,IF(MATCHED!BE7=21,MATCHED!$V7,)))))))&amp;IF(MATCHED!BE7=22,MATCHED!$W7,IF(MATCHED!BE7=23,MATCHED!$X7,IF(MATCHED!BE7=24,MATCHED!$Y7,IF(MATCHED!BE7=25,MATCHED!$Z7,IF(MATCHED!BE7=26,MATCHED!$AA7,IF(MATCHED!BE7=27,MATCHED!$AB7,"."))))))</f>
        <v>#N/A</v>
      </c>
      <c r="AD7" s="334" t="e">
        <f>IF(MATCHED!BF7=1,MATCHED!$B7,IF(MATCHED!BF7=2,MATCHED!$C7,IF(MATCHED!BF7=3,MATCHED!$D7,IF(MATCHED!BF7=4,MATCHED!$E7,IF(MATCHED!BF7=3,MATCHED!$F7,IF(MATCHED!BF7=6,MATCHED!$G7,IF(MATCHED!BF7=7,MATCHED!$H7,"")))))))&amp;IF(MATCHED!BF7=8,MATCHED!$I7,IF(MATCHED!BF7=9,MATCHED!$J7,IF(MATCHED!BF7=10,MATCHED!$K7,IF(MATCHED!BF7=11,MATCHED!$L7,IF(MATCHED!BF7=12,MATCHED!$M7,IF(MATCHED!BF7=13,MATCHED!$N7,IF(MATCHED!BF7=14,MATCHED!$O7,"")))))))&amp;IF(MATCHED!BF7=15,MATCHED!$P7,IF(MATCHED!BF7=16,MATCHED!$Q7,IF(MATCHED!BF7=17,MATCHED!$R7,IF(MATCHED!BF7=18,MATCHED!$S7,IF(MATCHED!BF7=19,MATCHED!$T7,IF(MATCHED!BF7=20,MATCHED!$U7,IF(MATCHED!BF7=21,MATCHED!$V7,)))))))&amp;IF(MATCHED!BF7=22,MATCHED!$W7,IF(MATCHED!BF7=23,MATCHED!$X7,IF(MATCHED!BF7=24,MATCHED!$Y7,IF(MATCHED!BF7=25,MATCHED!$Z7,IF(MATCHED!BF7=26,MATCHED!$AA7,IF(MATCHED!BF7=27,MATCHED!$AB7,"."))))))</f>
        <v>#N/A</v>
      </c>
      <c r="AE7" s="334" t="e">
        <f>IF(MATCHED!BG7=1,MATCHED!$B7,IF(MATCHED!BG7=2,MATCHED!$C7,IF(MATCHED!BG7=3,MATCHED!$D7,IF(MATCHED!BG7=4,MATCHED!$E7,IF(MATCHED!BG7=3,MATCHED!$F7,IF(MATCHED!BG7=6,MATCHED!$G7,IF(MATCHED!BG7=7,MATCHED!$H7,"")))))))&amp;IF(MATCHED!BG7=8,MATCHED!$I7,IF(MATCHED!BG7=9,MATCHED!$J7,IF(MATCHED!BG7=10,MATCHED!$K7,IF(MATCHED!BG7=11,MATCHED!$L7,IF(MATCHED!BG7=12,MATCHED!$M7,IF(MATCHED!BG7=13,MATCHED!$N7,IF(MATCHED!BG7=14,MATCHED!$O7,"")))))))&amp;IF(MATCHED!BG7=15,MATCHED!$P7,IF(MATCHED!BG7=16,MATCHED!$Q7,IF(MATCHED!BG7=17,MATCHED!$R7,IF(MATCHED!BG7=18,MATCHED!$S7,IF(MATCHED!BG7=19,MATCHED!$T7,IF(MATCHED!BG7=20,MATCHED!$U7,IF(MATCHED!BG7=21,MATCHED!$V7,)))))))&amp;IF(MATCHED!BG7=22,MATCHED!$W7,IF(MATCHED!BG7=23,MATCHED!$X7,IF(MATCHED!BG7=24,MATCHED!$Y7,IF(MATCHED!BG7=25,MATCHED!$Z7,IF(MATCHED!BG7=26,MATCHED!$AA7,IF(MATCHED!BG7=27,MATCHED!$AB7,"."))))))</f>
        <v>#N/A</v>
      </c>
      <c r="AF7" s="334" t="e">
        <f>IF(MATCHED!BH7=1,MATCHED!$B7,IF(MATCHED!BH7=2,MATCHED!$C7,IF(MATCHED!BH7=3,MATCHED!$D7,IF(MATCHED!BH7=4,MATCHED!$E7,IF(MATCHED!BH7=3,MATCHED!$F7,IF(MATCHED!BH7=6,MATCHED!$G7,IF(MATCHED!BH7=7,MATCHED!$H7,"")))))))&amp;IF(MATCHED!BH7=8,MATCHED!$I7,IF(MATCHED!BH7=9,MATCHED!$J7,IF(MATCHED!BH7=10,MATCHED!$K7,IF(MATCHED!BH7=11,MATCHED!$L7,IF(MATCHED!BH7=12,MATCHED!$M7,IF(MATCHED!BH7=13,MATCHED!$N7,IF(MATCHED!BH7=14,MATCHED!$O7,"")))))))&amp;IF(MATCHED!BH7=15,MATCHED!$P7,IF(MATCHED!BH7=16,MATCHED!$Q7,IF(MATCHED!BH7=17,MATCHED!$R7,IF(MATCHED!BH7=18,MATCHED!$S7,IF(MATCHED!BH7=19,MATCHED!$T7,IF(MATCHED!BH7=20,MATCHED!$U7,IF(MATCHED!BH7=21,MATCHED!$V7,)))))))&amp;IF(MATCHED!BH7=22,MATCHED!$W7,IF(MATCHED!BH7=23,MATCHED!$X7,IF(MATCHED!BH7=24,MATCHED!$Y7,IF(MATCHED!BH7=25,MATCHED!$Z7,IF(MATCHED!BH7=26,MATCHED!$AA7,IF(MATCHED!BH7=27,MATCHED!$AB7,"."))))))</f>
        <v>#N/A</v>
      </c>
      <c r="AG7" s="334" t="e">
        <f>IF(MATCHED!BI7=1,MATCHED!$B7,IF(MATCHED!BI7=2,MATCHED!$C7,IF(MATCHED!BI7=3,MATCHED!$D7,IF(MATCHED!BI7=4,MATCHED!$E7,IF(MATCHED!BI7=3,MATCHED!$F7,IF(MATCHED!BI7=6,MATCHED!$G7,IF(MATCHED!BI7=7,MATCHED!$H7,"")))))))&amp;IF(MATCHED!BI7=8,MATCHED!$I7,IF(MATCHED!BI7=9,MATCHED!$J7,IF(MATCHED!BI7=10,MATCHED!$K7,IF(MATCHED!BI7=11,MATCHED!$L7,IF(MATCHED!BI7=12,MATCHED!$M7,IF(MATCHED!BI7=13,MATCHED!$N7,IF(MATCHED!BI7=14,MATCHED!$O7,"")))))))&amp;IF(MATCHED!BI7=15,MATCHED!$P7,IF(MATCHED!BI7=16,MATCHED!$Q7,IF(MATCHED!BI7=17,MATCHED!$R7,IF(MATCHED!BI7=18,MATCHED!$S7,IF(MATCHED!BI7=19,MATCHED!$T7,IF(MATCHED!BI7=20,MATCHED!$U7,IF(MATCHED!BI7=21,MATCHED!$V7,)))))))&amp;IF(MATCHED!BI7=22,MATCHED!$W7,IF(MATCHED!BI7=23,MATCHED!$X7,IF(MATCHED!BI7=24,MATCHED!$Y7,IF(MATCHED!BI7=25,MATCHED!$Z7,IF(MATCHED!BI7=26,MATCHED!$AA7,IF(MATCHED!BI7=27,MATCHED!$AB7,"."))))))</f>
        <v>#N/A</v>
      </c>
      <c r="AH7" s="334" t="e">
        <f>IF(MATCHED!BJ7=1,MATCHED!$B7,IF(MATCHED!BJ7=2,MATCHED!$C7,IF(MATCHED!BJ7=3,MATCHED!$D7,IF(MATCHED!BJ7=4,MATCHED!$E7,IF(MATCHED!BJ7=3,MATCHED!$F7,IF(MATCHED!BJ7=6,MATCHED!$G7,IF(MATCHED!BJ7=7,MATCHED!$H7,"")))))))&amp;IF(MATCHED!BJ7=8,MATCHED!$I7,IF(MATCHED!BJ7=9,MATCHED!$J7,IF(MATCHED!BJ7=10,MATCHED!$K7,IF(MATCHED!BJ7=11,MATCHED!$L7,IF(MATCHED!BJ7=12,MATCHED!$M7,IF(MATCHED!BJ7=13,MATCHED!$N7,IF(MATCHED!BJ7=14,MATCHED!$O7,"")))))))&amp;IF(MATCHED!BJ7=15,MATCHED!$P7,IF(MATCHED!BJ7=16,MATCHED!$Q7,IF(MATCHED!BJ7=17,MATCHED!$R7,IF(MATCHED!BJ7=18,MATCHED!$S7,IF(MATCHED!BJ7=19,MATCHED!$T7,IF(MATCHED!BJ7=20,MATCHED!$U7,IF(MATCHED!BJ7=21,MATCHED!$V7,)))))))&amp;IF(MATCHED!BJ7=22,MATCHED!$W7,IF(MATCHED!BJ7=23,MATCHED!$X7,IF(MATCHED!BJ7=24,MATCHED!$Y7,IF(MATCHED!BJ7=25,MATCHED!$Z7,IF(MATCHED!BJ7=26,MATCHED!$AA7,IF(MATCHED!BJ7=27,MATCHED!$AB7,"."))))))</f>
        <v>#N/A</v>
      </c>
      <c r="AI7" s="334" t="e">
        <f>IF(MATCHED!BK7=1,MATCHED!$B7,IF(MATCHED!BK7=2,MATCHED!$C7,IF(MATCHED!BK7=3,MATCHED!$D7,IF(MATCHED!BK7=4,MATCHED!$E7,IF(MATCHED!BK7=3,MATCHED!$F7,IF(MATCHED!BK7=6,MATCHED!$G7,IF(MATCHED!BK7=7,MATCHED!$H7,"")))))))&amp;IF(MATCHED!BK7=8,MATCHED!$I7,IF(MATCHED!BK7=9,MATCHED!$J7,IF(MATCHED!BK7=10,MATCHED!$K7,IF(MATCHED!BK7=11,MATCHED!$L7,IF(MATCHED!BK7=12,MATCHED!$M7,IF(MATCHED!BK7=13,MATCHED!$N7,IF(MATCHED!BK7=14,MATCHED!$O7,"")))))))&amp;IF(MATCHED!BK7=15,MATCHED!$P7,IF(MATCHED!BK7=16,MATCHED!$Q7,IF(MATCHED!BK7=17,MATCHED!$R7,IF(MATCHED!BK7=18,MATCHED!$S7,IF(MATCHED!BK7=19,MATCHED!$T7,IF(MATCHED!BK7=20,MATCHED!$U7,IF(MATCHED!BK7=21,MATCHED!$V7,)))))))&amp;IF(MATCHED!BK7=22,MATCHED!$W7,IF(MATCHED!BK7=23,MATCHED!$X7,IF(MATCHED!BK7=24,MATCHED!$Y7,IF(MATCHED!BK7=25,MATCHED!$Z7,IF(MATCHED!BK7=26,MATCHED!$AA7,IF(MATCHED!BK7=27,MATCHED!$AB7,"."))))))</f>
        <v>#N/A</v>
      </c>
      <c r="AJ7" s="535"/>
    </row>
    <row r="8" spans="1:104" s="338" customFormat="1" x14ac:dyDescent="0.25">
      <c r="A8" s="535"/>
      <c r="B8" s="333" t="e">
        <f>IF(MATCHED!AD8=1,MATCHED!$B8,IF(MATCHED!AD8=2,MATCHED!$C8,IF(MATCHED!AD8=3,MATCHED!$D8,IF(MATCHED!AD8=4,MATCHED!$E8,IF(MATCHED!AD8=3,MATCHED!$F8,IF(MATCHED!AD8=6,MATCHED!$G8,IF(MATCHED!AD8=7,MATCHED!$H8,"")))))))&amp;IF(MATCHED!AD8=8,MATCHED!$I8,IF(MATCHED!AD8=9,MATCHED!$J8,IF(MATCHED!AD8=10,MATCHED!$K8,IF(MATCHED!AD8=11,MATCHED!$L8,IF(MATCHED!AD8=12,MATCHED!$M8,IF(MATCHED!AD8=13,MATCHED!$N8,IF(MATCHED!AD8=14,MATCHED!$O8,"")))))))&amp;IF(MATCHED!AD8=15,MATCHED!$P8,IF(MATCHED!AD8=16,MATCHED!$Q8,IF(MATCHED!AD8=17,MATCHED!$R8,IF(MATCHED!AD8=18,MATCHED!$S8,IF(MATCHED!AD8=19,MATCHED!$T8,IF(MATCHED!AD8=20,MATCHED!$U8,IF(MATCHED!AD8=21,MATCHED!$V8,)))))))&amp;IF(MATCHED!AD8=22,MATCHED!$W8,IF(MATCHED!AD8=23,MATCHED!$X8,IF(MATCHED!AD8=24,MATCHED!$Y8,IF(MATCHED!AD8=25,MATCHED!$Z8,IF(MATCHED!AD8=26,MATCHED!$AA8,IF(MATCHED!AD8=27,MATCHED!$AB8,"."))))))</f>
        <v>#N/A</v>
      </c>
      <c r="C8" s="334" t="e">
        <f>IF(MATCHED!AE8=1,MATCHED!$B8,IF(MATCHED!AE8=2,MATCHED!$C8,IF(MATCHED!AE8=3,MATCHED!$D8,IF(MATCHED!AE8=4,MATCHED!$E8,IF(MATCHED!AE8=3,MATCHED!$F8,IF(MATCHED!AE8=6,MATCHED!$G8,IF(MATCHED!AE8=7,MATCHED!$H8,"")))))))&amp;IF(MATCHED!AE8=8,MATCHED!$I8,IF(MATCHED!AE8=9,MATCHED!$J8,IF(MATCHED!AE8=10,MATCHED!$K8,IF(MATCHED!AE8=11,MATCHED!$L8,IF(MATCHED!AE8=12,MATCHED!$M8,IF(MATCHED!AE8=13,MATCHED!$N8,IF(MATCHED!AE8=14,MATCHED!$O8,"")))))))&amp;IF(MATCHED!AE8=15,MATCHED!$P8,IF(MATCHED!AE8=16,MATCHED!$Q8,IF(MATCHED!AE8=17,MATCHED!$R8,IF(MATCHED!AE8=18,MATCHED!$S8,IF(MATCHED!AE8=19,MATCHED!$T8,IF(MATCHED!AE8=20,MATCHED!$U8,IF(MATCHED!AE8=21,MATCHED!$V8,)))))))&amp;IF(MATCHED!AE8=22,MATCHED!$W8,IF(MATCHED!AE8=23,MATCHED!$X8,IF(MATCHED!AE8=24,MATCHED!$Y8,IF(MATCHED!AE8=25,MATCHED!$Z8,IF(MATCHED!AE8=26,MATCHED!$AA8,IF(MATCHED!AE8=27,MATCHED!$AB8,"."))))))</f>
        <v>#N/A</v>
      </c>
      <c r="D8" s="334" t="e">
        <f>IF(MATCHED!AF8=1,MATCHED!$B8,IF(MATCHED!AF8=2,MATCHED!$C8,IF(MATCHED!AF8=3,MATCHED!$D8,IF(MATCHED!AF8=4,MATCHED!$E8,IF(MATCHED!AF8=3,MATCHED!$F8,IF(MATCHED!AF8=6,MATCHED!$G8,IF(MATCHED!AF8=7,MATCHED!$H8,"")))))))&amp;IF(MATCHED!AF8=8,MATCHED!$I8,IF(MATCHED!AF8=9,MATCHED!$J8,IF(MATCHED!AF8=10,MATCHED!$K8,IF(MATCHED!AF8=11,MATCHED!$L8,IF(MATCHED!AF8=12,MATCHED!$M8,IF(MATCHED!AF8=13,MATCHED!$N8,IF(MATCHED!AF8=14,MATCHED!$O8,"")))))))&amp;IF(MATCHED!AF8=15,MATCHED!$P8,IF(MATCHED!AF8=16,MATCHED!$Q8,IF(MATCHED!AF8=17,MATCHED!$R8,IF(MATCHED!AF8=18,MATCHED!$S8,IF(MATCHED!AF8=19,MATCHED!$T8,IF(MATCHED!AF8=20,MATCHED!$U8,IF(MATCHED!AF8=21,MATCHED!$V8,)))))))&amp;IF(MATCHED!AF8=22,MATCHED!$W8,IF(MATCHED!AF8=23,MATCHED!$X8,IF(MATCHED!AF8=24,MATCHED!$Y8,IF(MATCHED!AF8=25,MATCHED!$Z8,IF(MATCHED!AF8=26,MATCHED!$AA8,IF(MATCHED!AF8=27,MATCHED!$AB8,"."))))))</f>
        <v>#N/A</v>
      </c>
      <c r="E8" s="334" t="e">
        <f>IF(MATCHED!AG8=1,MATCHED!$B8,IF(MATCHED!AG8=2,MATCHED!$C8,IF(MATCHED!AG8=3,MATCHED!$D8,IF(MATCHED!AG8=4,MATCHED!$E8,IF(MATCHED!AG8=3,MATCHED!$F8,IF(MATCHED!AG8=6,MATCHED!$G8,IF(MATCHED!AG8=7,MATCHED!$H8,"")))))))&amp;IF(MATCHED!AG8=8,MATCHED!$I8,IF(MATCHED!AG8=9,MATCHED!$J8,IF(MATCHED!AG8=10,MATCHED!$K8,IF(MATCHED!AG8=11,MATCHED!$L8,IF(MATCHED!AG8=12,MATCHED!$M8,IF(MATCHED!AG8=13,MATCHED!$N8,IF(MATCHED!AG8=14,MATCHED!$O8,"")))))))&amp;IF(MATCHED!AG8=15,MATCHED!$P8,IF(MATCHED!AG8=16,MATCHED!$Q8,IF(MATCHED!AG8=17,MATCHED!$R8,IF(MATCHED!AG8=18,MATCHED!$S8,IF(MATCHED!AG8=19,MATCHED!$T8,IF(MATCHED!AG8=20,MATCHED!$U8,IF(MATCHED!AG8=21,MATCHED!$V8,)))))))&amp;IF(MATCHED!AG8=22,MATCHED!$W8,IF(MATCHED!AG8=23,MATCHED!$X8,IF(MATCHED!AG8=24,MATCHED!$Y8,IF(MATCHED!AG8=25,MATCHED!$Z8,IF(MATCHED!AG8=26,MATCHED!$AA8,IF(MATCHED!AG8=27,MATCHED!$AB8,"."))))))</f>
        <v>#N/A</v>
      </c>
      <c r="F8" s="334" t="e">
        <f>IF(MATCHED!AH8=1,MATCHED!$B8,IF(MATCHED!AH8=2,MATCHED!$C8,IF(MATCHED!AH8=3,MATCHED!$D8,IF(MATCHED!AH8=4,MATCHED!$E8,IF(MATCHED!AH8=3,MATCHED!$F8,IF(MATCHED!AH8=6,MATCHED!$G8,IF(MATCHED!AH8=7,MATCHED!$H8,"")))))))&amp;IF(MATCHED!AH8=8,MATCHED!$I8,IF(MATCHED!AH8=9,MATCHED!$J8,IF(MATCHED!AH8=10,MATCHED!$K8,IF(MATCHED!AH8=11,MATCHED!$L8,IF(MATCHED!AH8=12,MATCHED!$M8,IF(MATCHED!AH8=13,MATCHED!$N8,IF(MATCHED!AH8=14,MATCHED!$O8,"")))))))&amp;IF(MATCHED!AH8=15,MATCHED!$P8,IF(MATCHED!AH8=16,MATCHED!$Q8,IF(MATCHED!AH8=17,MATCHED!$R8,IF(MATCHED!AH8=18,MATCHED!$S8,IF(MATCHED!AH8=19,MATCHED!$T8,IF(MATCHED!AH8=20,MATCHED!$U8,IF(MATCHED!AH8=21,MATCHED!$V8,)))))))&amp;IF(MATCHED!AH8=22,MATCHED!$W8,IF(MATCHED!AH8=23,MATCHED!$X8,IF(MATCHED!AH8=24,MATCHED!$Y8,IF(MATCHED!AH8=25,MATCHED!$Z8,IF(MATCHED!AH8=26,MATCHED!$AA8,IF(MATCHED!AH8=27,MATCHED!$AB8,"."))))))</f>
        <v>#N/A</v>
      </c>
      <c r="G8" s="334" t="e">
        <f>IF(MATCHED!AI8=1,MATCHED!$B8,IF(MATCHED!AI8=2,MATCHED!$C8,IF(MATCHED!AI8=3,MATCHED!$D8,IF(MATCHED!AI8=4,MATCHED!$E8,IF(MATCHED!AI8=3,MATCHED!$F8,IF(MATCHED!AI8=6,MATCHED!$G8,IF(MATCHED!AI8=7,MATCHED!$H8,"")))))))&amp;IF(MATCHED!AI8=8,MATCHED!$I8,IF(MATCHED!AI8=9,MATCHED!$J8,IF(MATCHED!AI8=10,MATCHED!$K8,IF(MATCHED!AI8=11,MATCHED!$L8,IF(MATCHED!AI8=12,MATCHED!$M8,IF(MATCHED!AI8=13,MATCHED!$N8,IF(MATCHED!AI8=14,MATCHED!$O8,"")))))))&amp;IF(MATCHED!AI8=15,MATCHED!$P8,IF(MATCHED!AI8=16,MATCHED!$Q8,IF(MATCHED!AI8=17,MATCHED!$R8,IF(MATCHED!AI8=18,MATCHED!$S8,IF(MATCHED!AI8=19,MATCHED!$T8,IF(MATCHED!AI8=20,MATCHED!$U8,IF(MATCHED!AI8=21,MATCHED!$V8,)))))))&amp;IF(MATCHED!AI8=22,MATCHED!$W8,IF(MATCHED!AI8=23,MATCHED!$X8,IF(MATCHED!AI8=24,MATCHED!$Y8,IF(MATCHED!AI8=25,MATCHED!$Z8,IF(MATCHED!AI8=26,MATCHED!$AA8,IF(MATCHED!AI8=27,MATCHED!$AB8,"."))))))</f>
        <v>#N/A</v>
      </c>
      <c r="H8" s="335" t="e">
        <f>IF(MATCHED!AJ8=1,MATCHED!$B8,IF(MATCHED!AJ8=2,MATCHED!$C8,IF(MATCHED!AJ8=3,MATCHED!$D8,IF(MATCHED!AJ8=4,MATCHED!$E8,IF(MATCHED!AJ8=3,MATCHED!$F8,IF(MATCHED!AJ8=6,MATCHED!$G8,IF(MATCHED!AJ8=7,MATCHED!$H8,"")))))))&amp;IF(MATCHED!AJ8=8,MATCHED!$I8,IF(MATCHED!AJ8=9,MATCHED!$J8,IF(MATCHED!AJ8=10,MATCHED!$K8,IF(MATCHED!AJ8=11,MATCHED!$L8,IF(MATCHED!AJ8=12,MATCHED!$M8,IF(MATCHED!AJ8=13,MATCHED!$N8,IF(MATCHED!AJ8=14,MATCHED!$O8,"")))))))&amp;IF(MATCHED!AJ8=15,MATCHED!$P8,IF(MATCHED!AJ8=16,MATCHED!$Q8,IF(MATCHED!AJ8=17,MATCHED!$R8,IF(MATCHED!AJ8=18,MATCHED!$S8,IF(MATCHED!AJ8=19,MATCHED!$T8,IF(MATCHED!AJ8=20,MATCHED!$U8,IF(MATCHED!AJ8=21,MATCHED!$V8,)))))))&amp;IF(MATCHED!AJ8=22,MATCHED!$W8,IF(MATCHED!AJ8=23,MATCHED!$X8,IF(MATCHED!AJ8=24,MATCHED!$Y8,IF(MATCHED!AJ8=25,MATCHED!$Z8,IF(MATCHED!AJ8=26,MATCHED!$AA8,IF(MATCHED!AJ8=27,MATCHED!$AB8,"."))))))</f>
        <v>#N/A</v>
      </c>
      <c r="I8" s="335" t="e">
        <f>IF(MATCHED!AK8=1,MATCHED!$B8,IF(MATCHED!AK8=2,MATCHED!$C8,IF(MATCHED!AK8=3,MATCHED!$D8,IF(MATCHED!AK8=4,MATCHED!$E8,IF(MATCHED!AK8=3,MATCHED!$F8,IF(MATCHED!AK8=6,MATCHED!$G8,IF(MATCHED!AK8=7,MATCHED!$H8,"")))))))&amp;IF(MATCHED!AK8=8,MATCHED!$I8,IF(MATCHED!AK8=9,MATCHED!$J8,IF(MATCHED!AK8=10,MATCHED!$K8,IF(MATCHED!AK8=11,MATCHED!$L8,IF(MATCHED!AK8=12,MATCHED!$M8,IF(MATCHED!AK8=13,MATCHED!$N8,IF(MATCHED!AK8=14,MATCHED!$O8,"")))))))&amp;IF(MATCHED!AK8=15,MATCHED!$P8,IF(MATCHED!AK8=16,MATCHED!$Q8,IF(MATCHED!AK8=17,MATCHED!$R8,IF(MATCHED!AK8=18,MATCHED!$S8,IF(MATCHED!AK8=19,MATCHED!$T8,IF(MATCHED!AK8=20,MATCHED!$U8,IF(MATCHED!AK8=21,MATCHED!$V8,)))))))&amp;IF(MATCHED!AK8=22,MATCHED!$W8,IF(MATCHED!AK8=23,MATCHED!$X8,IF(MATCHED!AK8=24,MATCHED!$Y8,IF(MATCHED!AK8=25,MATCHED!$Z8,IF(MATCHED!AK8=26,MATCHED!$AA8,IF(MATCHED!AK8=27,MATCHED!$AB8,"."))))))</f>
        <v>#N/A</v>
      </c>
      <c r="J8" s="335" t="e">
        <f>IF(MATCHED!AL8=1,MATCHED!$B8,IF(MATCHED!AL8=2,MATCHED!$C8,IF(MATCHED!AL8=3,MATCHED!$D8,IF(MATCHED!AL8=4,MATCHED!$E8,IF(MATCHED!AL8=3,MATCHED!$F8,IF(MATCHED!AL8=6,MATCHED!$G8,IF(MATCHED!AL8=7,MATCHED!$H8,"")))))))&amp;IF(MATCHED!AL8=8,MATCHED!$I8,IF(MATCHED!AL8=9,MATCHED!$J8,IF(MATCHED!AL8=10,MATCHED!$K8,IF(MATCHED!AL8=11,MATCHED!$L8,IF(MATCHED!AL8=12,MATCHED!$M8,IF(MATCHED!AL8=13,MATCHED!$N8,IF(MATCHED!AL8=14,MATCHED!$O8,"")))))))&amp;IF(MATCHED!AL8=15,MATCHED!$P8,IF(MATCHED!AL8=16,MATCHED!$Q8,IF(MATCHED!AL8=17,MATCHED!$R8,IF(MATCHED!AL8=18,MATCHED!$S8,IF(MATCHED!AL8=19,MATCHED!$T8,IF(MATCHED!AL8=20,MATCHED!$U8,IF(MATCHED!AL8=21,MATCHED!$V8,)))))))&amp;IF(MATCHED!AL8=22,MATCHED!$W8,IF(MATCHED!AL8=23,MATCHED!$X8,IF(MATCHED!AL8=24,MATCHED!$Y8,IF(MATCHED!AL8=25,MATCHED!$Z8,IF(MATCHED!AL8=26,MATCHED!$AA8,IF(MATCHED!AL8=27,MATCHED!$AB8,"."))))))</f>
        <v>#N/A</v>
      </c>
      <c r="K8" s="334" t="e">
        <f>IF(MATCHED!AM8=1,MATCHED!$B8,IF(MATCHED!AM8=2,MATCHED!$C8,IF(MATCHED!AM8=3,MATCHED!$D8,IF(MATCHED!AM8=4,MATCHED!$E8,IF(MATCHED!AM8=3,MATCHED!$F8,IF(MATCHED!AM8=6,MATCHED!$G8,IF(MATCHED!AM8=7,MATCHED!$H8,"")))))))&amp;IF(MATCHED!AM8=8,MATCHED!$I8,IF(MATCHED!AM8=9,MATCHED!$J8,IF(MATCHED!AM8=10,MATCHED!$K8,IF(MATCHED!AM8=11,MATCHED!$L8,IF(MATCHED!AM8=12,MATCHED!$M8,IF(MATCHED!AM8=13,MATCHED!$N8,IF(MATCHED!AM8=14,MATCHED!$O8,"")))))))&amp;IF(MATCHED!AM8=15,MATCHED!$P8,IF(MATCHED!AM8=16,MATCHED!$Q8,IF(MATCHED!AM8=17,MATCHED!$R8,IF(MATCHED!AM8=18,MATCHED!$S8,IF(MATCHED!AM8=19,MATCHED!$T8,IF(MATCHED!AM8=20,MATCHED!$U8,IF(MATCHED!AM8=21,MATCHED!$V8,)))))))&amp;IF(MATCHED!AM8=22,MATCHED!$W8,IF(MATCHED!AM8=23,MATCHED!$X8,IF(MATCHED!AM8=24,MATCHED!$Y8,IF(MATCHED!AM8=25,MATCHED!$Z8,IF(MATCHED!AM8=26,MATCHED!$AA8,IF(MATCHED!AM8=27,MATCHED!$AB8,"."))))))</f>
        <v>#N/A</v>
      </c>
      <c r="L8" s="334" t="e">
        <f>IF(MATCHED!AN8=1,MATCHED!$B8,IF(MATCHED!AN8=2,MATCHED!$C8,IF(MATCHED!AN8=3,MATCHED!$D8,IF(MATCHED!AN8=4,MATCHED!$E8,IF(MATCHED!AN8=3,MATCHED!$F8,IF(MATCHED!AN8=6,MATCHED!$G8,IF(MATCHED!AN8=7,MATCHED!$H8,"")))))))&amp;IF(MATCHED!AN8=8,MATCHED!$I8,IF(MATCHED!AN8=9,MATCHED!$J8,IF(MATCHED!AN8=10,MATCHED!$K8,IF(MATCHED!AN8=11,MATCHED!$L8,IF(MATCHED!AN8=12,MATCHED!$M8,IF(MATCHED!AN8=13,MATCHED!$N8,IF(MATCHED!AN8=14,MATCHED!$O8,"")))))))&amp;IF(MATCHED!AN8=15,MATCHED!$P8,IF(MATCHED!AN8=16,MATCHED!$Q8,IF(MATCHED!AN8=17,MATCHED!$R8,IF(MATCHED!AN8=18,MATCHED!$S8,IF(MATCHED!AN8=19,MATCHED!$T8,IF(MATCHED!AN8=20,MATCHED!$U8,IF(MATCHED!AN8=21,MATCHED!$V8,)))))))&amp;IF(MATCHED!AN8=22,MATCHED!$W8,IF(MATCHED!AN8=23,MATCHED!$X8,IF(MATCHED!AN8=24,MATCHED!$Y8,IF(MATCHED!AN8=25,MATCHED!$Z8,IF(MATCHED!AN8=26,MATCHED!$AA8,IF(MATCHED!AN8=27,MATCHED!$AB8,"."))))))</f>
        <v>#N/A</v>
      </c>
      <c r="M8" s="334" t="e">
        <f>IF(MATCHED!AO8=1,MATCHED!$B8,IF(MATCHED!AO8=2,MATCHED!$C8,IF(MATCHED!AO8=3,MATCHED!$D8,IF(MATCHED!AO8=4,MATCHED!$E8,IF(MATCHED!AO8=3,MATCHED!$F8,IF(MATCHED!AO8=6,MATCHED!$G8,IF(MATCHED!AO8=7,MATCHED!$H8,"")))))))&amp;IF(MATCHED!AO8=8,MATCHED!$I8,IF(MATCHED!AO8=9,MATCHED!$J8,IF(MATCHED!AO8=10,MATCHED!$K8,IF(MATCHED!AO8=11,MATCHED!$L8,IF(MATCHED!AO8=12,MATCHED!$M8,IF(MATCHED!AO8=13,MATCHED!$N8,IF(MATCHED!AO8=14,MATCHED!$O8,"")))))))&amp;IF(MATCHED!AO8=15,MATCHED!$P8,IF(MATCHED!AO8=16,MATCHED!$Q8,IF(MATCHED!AO8=17,MATCHED!$R8,IF(MATCHED!AO8=18,MATCHED!$S8,IF(MATCHED!AO8=19,MATCHED!$T8,IF(MATCHED!AO8=20,MATCHED!$U8,IF(MATCHED!AO8=21,MATCHED!$V8,)))))))&amp;IF(MATCHED!AO8=22,MATCHED!$W8,IF(MATCHED!AO8=23,MATCHED!$X8,IF(MATCHED!AO8=24,MATCHED!$Y8,IF(MATCHED!AO8=25,MATCHED!$Z8,IF(MATCHED!AO8=26,MATCHED!$AA8,IF(MATCHED!AO8=27,MATCHED!$AB8,"."))))))</f>
        <v>#N/A</v>
      </c>
      <c r="N8" s="335" t="e">
        <f>IF(MATCHED!AP8=1,MATCHED!$B8,IF(MATCHED!AP8=2,MATCHED!$C8,IF(MATCHED!AP8=3,MATCHED!$D8,IF(MATCHED!AP8=4,MATCHED!$E8,IF(MATCHED!AP8=3,MATCHED!$F8,IF(MATCHED!AP8=6,MATCHED!$G8,IF(MATCHED!AP8=7,MATCHED!$H8,"")))))))&amp;IF(MATCHED!AP8=8,MATCHED!$I8,IF(MATCHED!AP8=9,MATCHED!$J8,IF(MATCHED!AP8=10,MATCHED!$K8,IF(MATCHED!AP8=11,MATCHED!$L8,IF(MATCHED!AP8=12,MATCHED!$M8,IF(MATCHED!AP8=13,MATCHED!$N8,IF(MATCHED!AP8=14,MATCHED!$O8,"")))))))&amp;IF(MATCHED!AP8=15,MATCHED!$P8,IF(MATCHED!AP8=16,MATCHED!$Q8,IF(MATCHED!AP8=17,MATCHED!$R8,IF(MATCHED!AP8=18,MATCHED!$S8,IF(MATCHED!AP8=19,MATCHED!$T8,IF(MATCHED!AP8=20,MATCHED!$U8,IF(MATCHED!AP8=21,MATCHED!$V8,)))))))&amp;IF(MATCHED!AP8=22,MATCHED!$W8,IF(MATCHED!AP8=23,MATCHED!$X8,IF(MATCHED!AP8=24,MATCHED!$Y8,IF(MATCHED!AP8=25,MATCHED!$Z8,IF(MATCHED!AP8=26,MATCHED!$AA8,IF(MATCHED!AP8=27,MATCHED!$AB8,"."))))))</f>
        <v>#N/A</v>
      </c>
      <c r="O8" s="334" t="e">
        <f>IF(MATCHED!AQ8=1,MATCHED!$B8,IF(MATCHED!AQ8=2,MATCHED!$C8,IF(MATCHED!AQ8=3,MATCHED!$D8,IF(MATCHED!AQ8=4,MATCHED!$E8,IF(MATCHED!AQ8=3,MATCHED!$F8,IF(MATCHED!AQ8=6,MATCHED!$G8,IF(MATCHED!AQ8=7,MATCHED!$H8,"")))))))&amp;IF(MATCHED!AQ8=8,MATCHED!$I8,IF(MATCHED!AQ8=9,MATCHED!$J8,IF(MATCHED!AQ8=10,MATCHED!$K8,IF(MATCHED!AQ8=11,MATCHED!$L8,IF(MATCHED!AQ8=12,MATCHED!$M8,IF(MATCHED!AQ8=13,MATCHED!$N8,IF(MATCHED!AQ8=14,MATCHED!$O8,"")))))))&amp;IF(MATCHED!AQ8=15,MATCHED!$P8,IF(MATCHED!AQ8=16,MATCHED!$Q8,IF(MATCHED!AQ8=17,MATCHED!$R8,IF(MATCHED!AQ8=18,MATCHED!$S8,IF(MATCHED!AQ8=19,MATCHED!$T8,IF(MATCHED!AQ8=20,MATCHED!$U8,IF(MATCHED!AQ8=21,MATCHED!$V8,)))))))&amp;IF(MATCHED!AQ8=22,MATCHED!$W8,IF(MATCHED!AQ8=23,MATCHED!$X8,IF(MATCHED!AQ8=24,MATCHED!$Y8,IF(MATCHED!AQ8=25,MATCHED!$Z8,IF(MATCHED!AQ8=26,MATCHED!$AA8,IF(MATCHED!AQ8=27,MATCHED!$AB8,"."))))))</f>
        <v>#N/A</v>
      </c>
      <c r="P8" s="334" t="e">
        <f>IF(MATCHED!AR8=1,MATCHED!$B8,IF(MATCHED!AR8=2,MATCHED!$C8,IF(MATCHED!AR8=3,MATCHED!$D8,IF(MATCHED!AR8=4,MATCHED!$E8,IF(MATCHED!AR8=3,MATCHED!$F8,IF(MATCHED!AR8=6,MATCHED!$G8,IF(MATCHED!AR8=7,MATCHED!$H8,"")))))))&amp;IF(MATCHED!AR8=8,MATCHED!$I8,IF(MATCHED!AR8=9,MATCHED!$J8,IF(MATCHED!AR8=10,MATCHED!$K8,IF(MATCHED!AR8=11,MATCHED!$L8,IF(MATCHED!AR8=12,MATCHED!$M8,IF(MATCHED!AR8=13,MATCHED!$N8,IF(MATCHED!AR8=14,MATCHED!$O8,"")))))))&amp;IF(MATCHED!AR8=15,MATCHED!$P8,IF(MATCHED!AR8=16,MATCHED!$Q8,IF(MATCHED!AR8=17,MATCHED!$R8,IF(MATCHED!AR8=18,MATCHED!$S8,IF(MATCHED!AR8=19,MATCHED!$T8,IF(MATCHED!AR8=20,MATCHED!$U8,IF(MATCHED!AR8=21,MATCHED!$V8,)))))))&amp;IF(MATCHED!AR8=22,MATCHED!$W8,IF(MATCHED!AR8=23,MATCHED!$X8,IF(MATCHED!AR8=24,MATCHED!$Y8,IF(MATCHED!AR8=25,MATCHED!$Z8,IF(MATCHED!AR8=26,MATCHED!$AA8,IF(MATCHED!AR8=27,MATCHED!$AB8,"."))))))</f>
        <v>#N/A</v>
      </c>
      <c r="Q8" s="337" t="e">
        <f>IF(MATCHED!AS8=1,MATCHED!$B8,IF(MATCHED!AS8=2,MATCHED!$C8,IF(MATCHED!AS8=3,MATCHED!$D8,IF(MATCHED!AS8=4,MATCHED!$E8,IF(MATCHED!AS8=3,MATCHED!$F8,IF(MATCHED!AS8=6,MATCHED!$G8,IF(MATCHED!AS8=7,MATCHED!$H8,"")))))))&amp;IF(MATCHED!AS8=8,MATCHED!$I8,IF(MATCHED!AS8=9,MATCHED!$J8,IF(MATCHED!AS8=10,MATCHED!$K8,IF(MATCHED!AS8=11,MATCHED!$L8,IF(MATCHED!AS8=12,MATCHED!$M8,IF(MATCHED!AS8=13,MATCHED!$N8,IF(MATCHED!AS8=14,MATCHED!$O8,"")))))))&amp;IF(MATCHED!AS8=15,MATCHED!$P8,IF(MATCHED!AS8=16,MATCHED!$Q8,IF(MATCHED!AS8=17,MATCHED!$R8,IF(MATCHED!AS8=18,MATCHED!$S8,IF(MATCHED!AS8=19,MATCHED!$T8,IF(MATCHED!AS8=20,MATCHED!$U8,IF(MATCHED!AS8=21,MATCHED!$V8,)))))))&amp;IF(MATCHED!AS8=22,MATCHED!$W8,IF(MATCHED!AS8=23,MATCHED!$X8,IF(MATCHED!AS8=24,MATCHED!$Y8,IF(MATCHED!AS8=25,MATCHED!$Z8,IF(MATCHED!AS8=26,MATCHED!$AA8,IF(MATCHED!AS8=27,MATCHED!$AB8,"."))))))</f>
        <v>#N/A</v>
      </c>
      <c r="R8" s="335" t="e">
        <f>IF(MATCHED!AT8=1,MATCHED!$B8,IF(MATCHED!AT8=2,MATCHED!$C8,IF(MATCHED!AT8=3,MATCHED!$D8,IF(MATCHED!AT8=4,MATCHED!$E8,IF(MATCHED!AT8=3,MATCHED!$F8,IF(MATCHED!AT8=6,MATCHED!$G8,IF(MATCHED!AT8=7,MATCHED!$H8,"")))))))&amp;IF(MATCHED!AT8=8,MATCHED!$I8,IF(MATCHED!AT8=9,MATCHED!$J8,IF(MATCHED!AT8=10,MATCHED!$K8,IF(MATCHED!AT8=11,MATCHED!$L8,IF(MATCHED!AT8=12,MATCHED!$M8,IF(MATCHED!AT8=13,MATCHED!$N8,IF(MATCHED!AT8=14,MATCHED!$O8,"")))))))&amp;IF(MATCHED!AT8=15,MATCHED!$P8,IF(MATCHED!AT8=16,MATCHED!$Q8,IF(MATCHED!AT8=17,MATCHED!$R8,IF(MATCHED!AT8=18,MATCHED!$S8,IF(MATCHED!AT8=19,MATCHED!$T8,IF(MATCHED!AT8=20,MATCHED!$U8,IF(MATCHED!AT8=21,MATCHED!$V8,)))))))&amp;IF(MATCHED!AT8=22,MATCHED!$W8,IF(MATCHED!AT8=23,MATCHED!$X8,IF(MATCHED!AT8=24,MATCHED!$Y8,IF(MATCHED!AT8=25,MATCHED!$Z8,IF(MATCHED!AT8=26,MATCHED!$AA8,IF(MATCHED!AT8=27,MATCHED!$AB8,"."))))))</f>
        <v>#N/A</v>
      </c>
      <c r="S8" s="335" t="e">
        <f>IF(MATCHED!AU8=1,MATCHED!$B8,IF(MATCHED!AU8=2,MATCHED!$C8,IF(MATCHED!AU8=3,MATCHED!$D8,IF(MATCHED!AU8=4,MATCHED!$E8,IF(MATCHED!AU8=3,MATCHED!$F8,IF(MATCHED!AU8=6,MATCHED!$G8,IF(MATCHED!AU8=7,MATCHED!$H8,"")))))))&amp;IF(MATCHED!AU8=8,MATCHED!$I8,IF(MATCHED!AU8=9,MATCHED!$J8,IF(MATCHED!AU8=10,MATCHED!$K8,IF(MATCHED!AU8=11,MATCHED!$L8,IF(MATCHED!AU8=12,MATCHED!$M8,IF(MATCHED!AU8=13,MATCHED!$N8,IF(MATCHED!AU8=14,MATCHED!$O8,"")))))))&amp;IF(MATCHED!AU8=15,MATCHED!$P8,IF(MATCHED!AU8=16,MATCHED!$Q8,IF(MATCHED!AU8=17,MATCHED!$R8,IF(MATCHED!AU8=18,MATCHED!$S8,IF(MATCHED!AU8=19,MATCHED!$T8,IF(MATCHED!AU8=20,MATCHED!$U8,IF(MATCHED!AU8=21,MATCHED!$V8,)))))))&amp;IF(MATCHED!AU8=22,MATCHED!$W8,IF(MATCHED!AU8=23,MATCHED!$X8,IF(MATCHED!AU8=24,MATCHED!$Y8,IF(MATCHED!AU8=25,MATCHED!$Z8,IF(MATCHED!AU8=26,MATCHED!$AA8,IF(MATCHED!AU8=27,MATCHED!$AB8,"."))))))</f>
        <v>#N/A</v>
      </c>
      <c r="T8" s="334" t="e">
        <f>IF(MATCHED!AV8=1,MATCHED!$B8,IF(MATCHED!AV8=2,MATCHED!$C8,IF(MATCHED!AV8=3,MATCHED!$D8,IF(MATCHED!AV8=4,MATCHED!$E8,IF(MATCHED!AV8=3,MATCHED!$F8,IF(MATCHED!AV8=6,MATCHED!$G8,IF(MATCHED!AV8=7,MATCHED!$H8,"")))))))&amp;IF(MATCHED!AV8=8,MATCHED!$I8,IF(MATCHED!AV8=9,MATCHED!$J8,IF(MATCHED!AV8=10,MATCHED!$K8,IF(MATCHED!AV8=11,MATCHED!$L8,IF(MATCHED!AV8=12,MATCHED!$M8,IF(MATCHED!AV8=13,MATCHED!$N8,IF(MATCHED!AV8=14,MATCHED!$O8,"")))))))&amp;IF(MATCHED!AV8=15,MATCHED!$P8,IF(MATCHED!AV8=16,MATCHED!$Q8,IF(MATCHED!AV8=17,MATCHED!$R8,IF(MATCHED!AV8=18,MATCHED!$S8,IF(MATCHED!AV8=19,MATCHED!$T8,IF(MATCHED!AV8=20,MATCHED!$U8,IF(MATCHED!AV8=21,MATCHED!$V8,)))))))&amp;IF(MATCHED!AV8=22,MATCHED!$W8,IF(MATCHED!AV8=23,MATCHED!$X8,IF(MATCHED!AV8=24,MATCHED!$Y8,IF(MATCHED!AV8=25,MATCHED!$Z8,IF(MATCHED!AV8=26,MATCHED!$AA8,IF(MATCHED!AV8=27,MATCHED!$AB8,"."))))))</f>
        <v>#N/A</v>
      </c>
      <c r="U8" s="334" t="e">
        <f>IF(MATCHED!AW8=1,MATCHED!$B8,IF(MATCHED!AW8=2,MATCHED!$C8,IF(MATCHED!AW8=3,MATCHED!$D8,IF(MATCHED!AW8=4,MATCHED!$E8,IF(MATCHED!AW8=3,MATCHED!$F8,IF(MATCHED!AW8=6,MATCHED!$G8,IF(MATCHED!AW8=7,MATCHED!$H8,"")))))))&amp;IF(MATCHED!AW8=8,MATCHED!$I8,IF(MATCHED!AW8=9,MATCHED!$J8,IF(MATCHED!AW8=10,MATCHED!$K8,IF(MATCHED!AW8=11,MATCHED!$L8,IF(MATCHED!AW8=12,MATCHED!$M8,IF(MATCHED!AW8=13,MATCHED!$N8,IF(MATCHED!AW8=14,MATCHED!$O8,"")))))))&amp;IF(MATCHED!AW8=15,MATCHED!$P8,IF(MATCHED!AW8=16,MATCHED!$Q8,IF(MATCHED!AW8=17,MATCHED!$R8,IF(MATCHED!AW8=18,MATCHED!$S8,IF(MATCHED!AW8=19,MATCHED!$T8,IF(MATCHED!AW8=20,MATCHED!$U8,IF(MATCHED!AW8=21,MATCHED!$V8,)))))))&amp;IF(MATCHED!AW8=22,MATCHED!$W8,IF(MATCHED!AW8=23,MATCHED!$X8,IF(MATCHED!AW8=24,MATCHED!$Y8,IF(MATCHED!AW8=25,MATCHED!$Z8,IF(MATCHED!AW8=26,MATCHED!$AA8,IF(MATCHED!AW8=27,MATCHED!$AB8,"."))))))</f>
        <v>#N/A</v>
      </c>
      <c r="V8" s="334" t="e">
        <f>IF(MATCHED!AX8=1,MATCHED!$B8,IF(MATCHED!AX8=2,MATCHED!$C8,IF(MATCHED!AX8=3,MATCHED!$D8,IF(MATCHED!AX8=4,MATCHED!$E8,IF(MATCHED!AX8=3,MATCHED!$F8,IF(MATCHED!AX8=6,MATCHED!$G8,IF(MATCHED!AX8=7,MATCHED!$H8,"")))))))&amp;IF(MATCHED!AX8=8,MATCHED!$I8,IF(MATCHED!AX8=9,MATCHED!$J8,IF(MATCHED!AX8=10,MATCHED!$K8,IF(MATCHED!AX8=11,MATCHED!$L8,IF(MATCHED!AX8=12,MATCHED!$M8,IF(MATCHED!AX8=13,MATCHED!$N8,IF(MATCHED!AX8=14,MATCHED!$O8,"")))))))&amp;IF(MATCHED!AX8=15,MATCHED!$P8,IF(MATCHED!AX8=16,MATCHED!$Q8,IF(MATCHED!AX8=17,MATCHED!$R8,IF(MATCHED!AX8=18,MATCHED!$S8,IF(MATCHED!AX8=19,MATCHED!$T8,IF(MATCHED!AX8=20,MATCHED!$U8,IF(MATCHED!AX8=21,MATCHED!$V8,)))))))&amp;IF(MATCHED!AX8=22,MATCHED!$W8,IF(MATCHED!AX8=23,MATCHED!$X8,IF(MATCHED!AX8=24,MATCHED!$Y8,IF(MATCHED!AX8=25,MATCHED!$Z8,IF(MATCHED!AX8=26,MATCHED!$AA8,IF(MATCHED!AX8=27,MATCHED!$AB8,"."))))))</f>
        <v>#N/A</v>
      </c>
      <c r="W8" s="334" t="e">
        <f>IF(MATCHED!AY8=1,MATCHED!$B8,IF(MATCHED!AY8=2,MATCHED!$C8,IF(MATCHED!AY8=3,MATCHED!$D8,IF(MATCHED!AY8=4,MATCHED!$E8,IF(MATCHED!AY8=3,MATCHED!$F8,IF(MATCHED!AY8=6,MATCHED!$G8,IF(MATCHED!AY8=7,MATCHED!$H8,"")))))))&amp;IF(MATCHED!AY8=8,MATCHED!$I8,IF(MATCHED!AY8=9,MATCHED!$J8,IF(MATCHED!AY8=10,MATCHED!$K8,IF(MATCHED!AY8=11,MATCHED!$L8,IF(MATCHED!AY8=12,MATCHED!$M8,IF(MATCHED!AY8=13,MATCHED!$N8,IF(MATCHED!AY8=14,MATCHED!$O8,"")))))))&amp;IF(MATCHED!AY8=15,MATCHED!$P8,IF(MATCHED!AY8=16,MATCHED!$Q8,IF(MATCHED!AY8=17,MATCHED!$R8,IF(MATCHED!AY8=18,MATCHED!$S8,IF(MATCHED!AY8=19,MATCHED!$T8,IF(MATCHED!AY8=20,MATCHED!$U8,IF(MATCHED!AY8=21,MATCHED!$V8,)))))))&amp;IF(MATCHED!AY8=22,MATCHED!$W8,IF(MATCHED!AY8=23,MATCHED!$X8,IF(MATCHED!AY8=24,MATCHED!$Y8,IF(MATCHED!AY8=25,MATCHED!$Z8,IF(MATCHED!AY8=26,MATCHED!$AA8,IF(MATCHED!AY8=27,MATCHED!$AB8,"."))))))</f>
        <v>#N/A</v>
      </c>
      <c r="X8" s="334" t="e">
        <f>IF(MATCHED!AZ8=1,MATCHED!$B8,IF(MATCHED!AZ8=2,MATCHED!$C8,IF(MATCHED!AZ8=3,MATCHED!$D8,IF(MATCHED!AZ8=4,MATCHED!$E8,IF(MATCHED!AZ8=3,MATCHED!$F8,IF(MATCHED!AZ8=6,MATCHED!$G8,IF(MATCHED!AZ8=7,MATCHED!$H8,"")))))))&amp;IF(MATCHED!AZ8=8,MATCHED!$I8,IF(MATCHED!AZ8=9,MATCHED!$J8,IF(MATCHED!AZ8=10,MATCHED!$K8,IF(MATCHED!AZ8=11,MATCHED!$L8,IF(MATCHED!AZ8=12,MATCHED!$M8,IF(MATCHED!AZ8=13,MATCHED!$N8,IF(MATCHED!AZ8=14,MATCHED!$O8,"")))))))&amp;IF(MATCHED!AZ8=15,MATCHED!$P8,IF(MATCHED!AZ8=16,MATCHED!$Q8,IF(MATCHED!AZ8=17,MATCHED!$R8,IF(MATCHED!AZ8=18,MATCHED!$S8,IF(MATCHED!AZ8=19,MATCHED!$T8,IF(MATCHED!AZ8=20,MATCHED!$U8,IF(MATCHED!AZ8=21,MATCHED!$V8,)))))))&amp;IF(MATCHED!AZ8=22,MATCHED!$W8,IF(MATCHED!AZ8=23,MATCHED!$X8,IF(MATCHED!AZ8=24,MATCHED!$Y8,IF(MATCHED!AZ8=25,MATCHED!$Z8,IF(MATCHED!AZ8=26,MATCHED!$AA8,IF(MATCHED!AZ8=27,MATCHED!$AB8,"."))))))</f>
        <v>#N/A</v>
      </c>
      <c r="Y8" s="334" t="e">
        <f>IF(MATCHED!BA8=1,MATCHED!$B8,IF(MATCHED!BA8=2,MATCHED!$C8,IF(MATCHED!BA8=3,MATCHED!$D8,IF(MATCHED!BA8=4,MATCHED!$E8,IF(MATCHED!BA8=3,MATCHED!$F8,IF(MATCHED!BA8=6,MATCHED!$G8,IF(MATCHED!BA8=7,MATCHED!$H8,"")))))))&amp;IF(MATCHED!BA8=8,MATCHED!$I8,IF(MATCHED!BA8=9,MATCHED!$J8,IF(MATCHED!BA8=10,MATCHED!$K8,IF(MATCHED!BA8=11,MATCHED!$L8,IF(MATCHED!BA8=12,MATCHED!$M8,IF(MATCHED!BA8=13,MATCHED!$N8,IF(MATCHED!BA8=14,MATCHED!$O8,"")))))))&amp;IF(MATCHED!BA8=15,MATCHED!$P8,IF(MATCHED!BA8=16,MATCHED!$Q8,IF(MATCHED!BA8=17,MATCHED!$R8,IF(MATCHED!BA8=18,MATCHED!$S8,IF(MATCHED!BA8=19,MATCHED!$T8,IF(MATCHED!BA8=20,MATCHED!$U8,IF(MATCHED!BA8=21,MATCHED!$V8,)))))))&amp;IF(MATCHED!BA8=22,MATCHED!$W8,IF(MATCHED!BA8=23,MATCHED!$X8,IF(MATCHED!BA8=24,MATCHED!$Y8,IF(MATCHED!BA8=25,MATCHED!$Z8,IF(MATCHED!BA8=26,MATCHED!$AA8,IF(MATCHED!BA8=27,MATCHED!$AB8,"."))))))</f>
        <v>#N/A</v>
      </c>
      <c r="Z8" s="334" t="e">
        <f>IF(MATCHED!BB8=1,MATCHED!$B8,IF(MATCHED!BB8=2,MATCHED!$C8,IF(MATCHED!BB8=3,MATCHED!$D8,IF(MATCHED!BB8=4,MATCHED!$E8,IF(MATCHED!BB8=3,MATCHED!$F8,IF(MATCHED!BB8=6,MATCHED!$G8,IF(MATCHED!BB8=7,MATCHED!$H8,"")))))))&amp;IF(MATCHED!BB8=8,MATCHED!$I8,IF(MATCHED!BB8=9,MATCHED!$J8,IF(MATCHED!BB8=10,MATCHED!$K8,IF(MATCHED!BB8=11,MATCHED!$L8,IF(MATCHED!BB8=12,MATCHED!$M8,IF(MATCHED!BB8=13,MATCHED!$N8,IF(MATCHED!BB8=14,MATCHED!$O8,"")))))))&amp;IF(MATCHED!BB8=15,MATCHED!$P8,IF(MATCHED!BB8=16,MATCHED!$Q8,IF(MATCHED!BB8=17,MATCHED!$R8,IF(MATCHED!BB8=18,MATCHED!$S8,IF(MATCHED!BB8=19,MATCHED!$T8,IF(MATCHED!BB8=20,MATCHED!$U8,IF(MATCHED!BB8=21,MATCHED!$V8,)))))))&amp;IF(MATCHED!BB8=22,MATCHED!$W8,IF(MATCHED!BB8=23,MATCHED!$X8,IF(MATCHED!BB8=24,MATCHED!$Y8,IF(MATCHED!BB8=25,MATCHED!$Z8,IF(MATCHED!BB8=26,MATCHED!$AA8,IF(MATCHED!BB8=27,MATCHED!$AB8,"."))))))</f>
        <v>#N/A</v>
      </c>
      <c r="AA8" s="334" t="e">
        <f>IF(MATCHED!BC8=1,MATCHED!$B8,IF(MATCHED!BC8=2,MATCHED!$C8,IF(MATCHED!BC8=3,MATCHED!$D8,IF(MATCHED!BC8=4,MATCHED!$E8,IF(MATCHED!BC8=3,MATCHED!$F8,IF(MATCHED!BC8=6,MATCHED!$G8,IF(MATCHED!BC8=7,MATCHED!$H8,"")))))))&amp;IF(MATCHED!BC8=8,MATCHED!$I8,IF(MATCHED!BC8=9,MATCHED!$J8,IF(MATCHED!BC8=10,MATCHED!$K8,IF(MATCHED!BC8=11,MATCHED!$L8,IF(MATCHED!BC8=12,MATCHED!$M8,IF(MATCHED!BC8=13,MATCHED!$N8,IF(MATCHED!BC8=14,MATCHED!$O8,"")))))))&amp;IF(MATCHED!BC8=15,MATCHED!$P8,IF(MATCHED!BC8=16,MATCHED!$Q8,IF(MATCHED!BC8=17,MATCHED!$R8,IF(MATCHED!BC8=18,MATCHED!$S8,IF(MATCHED!BC8=19,MATCHED!$T8,IF(MATCHED!BC8=20,MATCHED!$U8,IF(MATCHED!BC8=21,MATCHED!$V8,)))))))&amp;IF(MATCHED!BC8=22,MATCHED!$W8,IF(MATCHED!BC8=23,MATCHED!$X8,IF(MATCHED!BC8=24,MATCHED!$Y8,IF(MATCHED!BC8=25,MATCHED!$Z8,IF(MATCHED!BC8=26,MATCHED!$AA8,IF(MATCHED!BC8=27,MATCHED!$AB8,"."))))))</f>
        <v>#N/A</v>
      </c>
      <c r="AB8" s="334" t="e">
        <f>IF(MATCHED!BD8=1,MATCHED!$B8,IF(MATCHED!BD8=2,MATCHED!$C8,IF(MATCHED!BD8=3,MATCHED!$D8,IF(MATCHED!BD8=4,MATCHED!$E8,IF(MATCHED!BD8=3,MATCHED!$F8,IF(MATCHED!BD8=6,MATCHED!$G8,IF(MATCHED!BD8=7,MATCHED!$H8,"")))))))&amp;IF(MATCHED!BD8=8,MATCHED!$I8,IF(MATCHED!BD8=9,MATCHED!$J8,IF(MATCHED!BD8=10,MATCHED!$K8,IF(MATCHED!BD8=11,MATCHED!$L8,IF(MATCHED!BD8=12,MATCHED!$M8,IF(MATCHED!BD8=13,MATCHED!$N8,IF(MATCHED!BD8=14,MATCHED!$O8,"")))))))&amp;IF(MATCHED!BD8=15,MATCHED!$P8,IF(MATCHED!BD8=16,MATCHED!$Q8,IF(MATCHED!BD8=17,MATCHED!$R8,IF(MATCHED!BD8=18,MATCHED!$S8,IF(MATCHED!BD8=19,MATCHED!$T8,IF(MATCHED!BD8=20,MATCHED!$U8,IF(MATCHED!BD8=21,MATCHED!$V8,)))))))&amp;IF(MATCHED!BD8=22,MATCHED!$W8,IF(MATCHED!BD8=23,MATCHED!$X8,IF(MATCHED!BD8=24,MATCHED!$Y8,IF(MATCHED!BD8=25,MATCHED!$Z8,IF(MATCHED!BD8=26,MATCHED!$AA8,IF(MATCHED!BD8=27,MATCHED!$AB8,"."))))))</f>
        <v>#N/A</v>
      </c>
      <c r="AC8" s="334" t="e">
        <f>IF(MATCHED!BE8=1,MATCHED!$B8,IF(MATCHED!BE8=2,MATCHED!$C8,IF(MATCHED!BE8=3,MATCHED!$D8,IF(MATCHED!BE8=4,MATCHED!$E8,IF(MATCHED!BE8=3,MATCHED!$F8,IF(MATCHED!BE8=6,MATCHED!$G8,IF(MATCHED!BE8=7,MATCHED!$H8,"")))))))&amp;IF(MATCHED!BE8=8,MATCHED!$I8,IF(MATCHED!BE8=9,MATCHED!$J8,IF(MATCHED!BE8=10,MATCHED!$K8,IF(MATCHED!BE8=11,MATCHED!$L8,IF(MATCHED!BE8=12,MATCHED!$M8,IF(MATCHED!BE8=13,MATCHED!$N8,IF(MATCHED!BE8=14,MATCHED!$O8,"")))))))&amp;IF(MATCHED!BE8=15,MATCHED!$P8,IF(MATCHED!BE8=16,MATCHED!$Q8,IF(MATCHED!BE8=17,MATCHED!$R8,IF(MATCHED!BE8=18,MATCHED!$S8,IF(MATCHED!BE8=19,MATCHED!$T8,IF(MATCHED!BE8=20,MATCHED!$U8,IF(MATCHED!BE8=21,MATCHED!$V8,)))))))&amp;IF(MATCHED!BE8=22,MATCHED!$W8,IF(MATCHED!BE8=23,MATCHED!$X8,IF(MATCHED!BE8=24,MATCHED!$Y8,IF(MATCHED!BE8=25,MATCHED!$Z8,IF(MATCHED!BE8=26,MATCHED!$AA8,IF(MATCHED!BE8=27,MATCHED!$AB8,"."))))))</f>
        <v>#N/A</v>
      </c>
      <c r="AD8" s="334" t="e">
        <f>IF(MATCHED!BF8=1,MATCHED!$B8,IF(MATCHED!BF8=2,MATCHED!$C8,IF(MATCHED!BF8=3,MATCHED!$D8,IF(MATCHED!BF8=4,MATCHED!$E8,IF(MATCHED!BF8=3,MATCHED!$F8,IF(MATCHED!BF8=6,MATCHED!$G8,IF(MATCHED!BF8=7,MATCHED!$H8,"")))))))&amp;IF(MATCHED!BF8=8,MATCHED!$I8,IF(MATCHED!BF8=9,MATCHED!$J8,IF(MATCHED!BF8=10,MATCHED!$K8,IF(MATCHED!BF8=11,MATCHED!$L8,IF(MATCHED!BF8=12,MATCHED!$M8,IF(MATCHED!BF8=13,MATCHED!$N8,IF(MATCHED!BF8=14,MATCHED!$O8,"")))))))&amp;IF(MATCHED!BF8=15,MATCHED!$P8,IF(MATCHED!BF8=16,MATCHED!$Q8,IF(MATCHED!BF8=17,MATCHED!$R8,IF(MATCHED!BF8=18,MATCHED!$S8,IF(MATCHED!BF8=19,MATCHED!$T8,IF(MATCHED!BF8=20,MATCHED!$U8,IF(MATCHED!BF8=21,MATCHED!$V8,)))))))&amp;IF(MATCHED!BF8=22,MATCHED!$W8,IF(MATCHED!BF8=23,MATCHED!$X8,IF(MATCHED!BF8=24,MATCHED!$Y8,IF(MATCHED!BF8=25,MATCHED!$Z8,IF(MATCHED!BF8=26,MATCHED!$AA8,IF(MATCHED!BF8=27,MATCHED!$AB8,"."))))))</f>
        <v>#N/A</v>
      </c>
      <c r="AE8" s="334" t="e">
        <f>IF(MATCHED!BG8=1,MATCHED!$B8,IF(MATCHED!BG8=2,MATCHED!$C8,IF(MATCHED!BG8=3,MATCHED!$D8,IF(MATCHED!BG8=4,MATCHED!$E8,IF(MATCHED!BG8=3,MATCHED!$F8,IF(MATCHED!BG8=6,MATCHED!$G8,IF(MATCHED!BG8=7,MATCHED!$H8,"")))))))&amp;IF(MATCHED!BG8=8,MATCHED!$I8,IF(MATCHED!BG8=9,MATCHED!$J8,IF(MATCHED!BG8=10,MATCHED!$K8,IF(MATCHED!BG8=11,MATCHED!$L8,IF(MATCHED!BG8=12,MATCHED!$M8,IF(MATCHED!BG8=13,MATCHED!$N8,IF(MATCHED!BG8=14,MATCHED!$O8,"")))))))&amp;IF(MATCHED!BG8=15,MATCHED!$P8,IF(MATCHED!BG8=16,MATCHED!$Q8,IF(MATCHED!BG8=17,MATCHED!$R8,IF(MATCHED!BG8=18,MATCHED!$S8,IF(MATCHED!BG8=19,MATCHED!$T8,IF(MATCHED!BG8=20,MATCHED!$U8,IF(MATCHED!BG8=21,MATCHED!$V8,)))))))&amp;IF(MATCHED!BG8=22,MATCHED!$W8,IF(MATCHED!BG8=23,MATCHED!$X8,IF(MATCHED!BG8=24,MATCHED!$Y8,IF(MATCHED!BG8=25,MATCHED!$Z8,IF(MATCHED!BG8=26,MATCHED!$AA8,IF(MATCHED!BG8=27,MATCHED!$AB8,"."))))))</f>
        <v>#N/A</v>
      </c>
      <c r="AF8" s="334" t="e">
        <f>IF(MATCHED!BH8=1,MATCHED!$B8,IF(MATCHED!BH8=2,MATCHED!$C8,IF(MATCHED!BH8=3,MATCHED!$D8,IF(MATCHED!BH8=4,MATCHED!$E8,IF(MATCHED!BH8=3,MATCHED!$F8,IF(MATCHED!BH8=6,MATCHED!$G8,IF(MATCHED!BH8=7,MATCHED!$H8,"")))))))&amp;IF(MATCHED!BH8=8,MATCHED!$I8,IF(MATCHED!BH8=9,MATCHED!$J8,IF(MATCHED!BH8=10,MATCHED!$K8,IF(MATCHED!BH8=11,MATCHED!$L8,IF(MATCHED!BH8=12,MATCHED!$M8,IF(MATCHED!BH8=13,MATCHED!$N8,IF(MATCHED!BH8=14,MATCHED!$O8,"")))))))&amp;IF(MATCHED!BH8=15,MATCHED!$P8,IF(MATCHED!BH8=16,MATCHED!$Q8,IF(MATCHED!BH8=17,MATCHED!$R8,IF(MATCHED!BH8=18,MATCHED!$S8,IF(MATCHED!BH8=19,MATCHED!$T8,IF(MATCHED!BH8=20,MATCHED!$U8,IF(MATCHED!BH8=21,MATCHED!$V8,)))))))&amp;IF(MATCHED!BH8=22,MATCHED!$W8,IF(MATCHED!BH8=23,MATCHED!$X8,IF(MATCHED!BH8=24,MATCHED!$Y8,IF(MATCHED!BH8=25,MATCHED!$Z8,IF(MATCHED!BH8=26,MATCHED!$AA8,IF(MATCHED!BH8=27,MATCHED!$AB8,"."))))))</f>
        <v>#N/A</v>
      </c>
      <c r="AG8" s="334" t="e">
        <f>IF(MATCHED!BI8=1,MATCHED!$B8,IF(MATCHED!BI8=2,MATCHED!$C8,IF(MATCHED!BI8=3,MATCHED!$D8,IF(MATCHED!BI8=4,MATCHED!$E8,IF(MATCHED!BI8=3,MATCHED!$F8,IF(MATCHED!BI8=6,MATCHED!$G8,IF(MATCHED!BI8=7,MATCHED!$H8,"")))))))&amp;IF(MATCHED!BI8=8,MATCHED!$I8,IF(MATCHED!BI8=9,MATCHED!$J8,IF(MATCHED!BI8=10,MATCHED!$K8,IF(MATCHED!BI8=11,MATCHED!$L8,IF(MATCHED!BI8=12,MATCHED!$M8,IF(MATCHED!BI8=13,MATCHED!$N8,IF(MATCHED!BI8=14,MATCHED!$O8,"")))))))&amp;IF(MATCHED!BI8=15,MATCHED!$P8,IF(MATCHED!BI8=16,MATCHED!$Q8,IF(MATCHED!BI8=17,MATCHED!$R8,IF(MATCHED!BI8=18,MATCHED!$S8,IF(MATCHED!BI8=19,MATCHED!$T8,IF(MATCHED!BI8=20,MATCHED!$U8,IF(MATCHED!BI8=21,MATCHED!$V8,)))))))&amp;IF(MATCHED!BI8=22,MATCHED!$W8,IF(MATCHED!BI8=23,MATCHED!$X8,IF(MATCHED!BI8=24,MATCHED!$Y8,IF(MATCHED!BI8=25,MATCHED!$Z8,IF(MATCHED!BI8=26,MATCHED!$AA8,IF(MATCHED!BI8=27,MATCHED!$AB8,"."))))))</f>
        <v>#N/A</v>
      </c>
      <c r="AH8" s="334" t="e">
        <f>IF(MATCHED!BJ8=1,MATCHED!$B8,IF(MATCHED!BJ8=2,MATCHED!$C8,IF(MATCHED!BJ8=3,MATCHED!$D8,IF(MATCHED!BJ8=4,MATCHED!$E8,IF(MATCHED!BJ8=3,MATCHED!$F8,IF(MATCHED!BJ8=6,MATCHED!$G8,IF(MATCHED!BJ8=7,MATCHED!$H8,"")))))))&amp;IF(MATCHED!BJ8=8,MATCHED!$I8,IF(MATCHED!BJ8=9,MATCHED!$J8,IF(MATCHED!BJ8=10,MATCHED!$K8,IF(MATCHED!BJ8=11,MATCHED!$L8,IF(MATCHED!BJ8=12,MATCHED!$M8,IF(MATCHED!BJ8=13,MATCHED!$N8,IF(MATCHED!BJ8=14,MATCHED!$O8,"")))))))&amp;IF(MATCHED!BJ8=15,MATCHED!$P8,IF(MATCHED!BJ8=16,MATCHED!$Q8,IF(MATCHED!BJ8=17,MATCHED!$R8,IF(MATCHED!BJ8=18,MATCHED!$S8,IF(MATCHED!BJ8=19,MATCHED!$T8,IF(MATCHED!BJ8=20,MATCHED!$U8,IF(MATCHED!BJ8=21,MATCHED!$V8,)))))))&amp;IF(MATCHED!BJ8=22,MATCHED!$W8,IF(MATCHED!BJ8=23,MATCHED!$X8,IF(MATCHED!BJ8=24,MATCHED!$Y8,IF(MATCHED!BJ8=25,MATCHED!$Z8,IF(MATCHED!BJ8=26,MATCHED!$AA8,IF(MATCHED!BJ8=27,MATCHED!$AB8,"."))))))</f>
        <v>#N/A</v>
      </c>
      <c r="AI8" s="334" t="e">
        <f>IF(MATCHED!BK8=1,MATCHED!$B8,IF(MATCHED!BK8=2,MATCHED!$C8,IF(MATCHED!BK8=3,MATCHED!$D8,IF(MATCHED!BK8=4,MATCHED!$E8,IF(MATCHED!BK8=3,MATCHED!$F8,IF(MATCHED!BK8=6,MATCHED!$G8,IF(MATCHED!BK8=7,MATCHED!$H8,"")))))))&amp;IF(MATCHED!BK8=8,MATCHED!$I8,IF(MATCHED!BK8=9,MATCHED!$J8,IF(MATCHED!BK8=10,MATCHED!$K8,IF(MATCHED!BK8=11,MATCHED!$L8,IF(MATCHED!BK8=12,MATCHED!$M8,IF(MATCHED!BK8=13,MATCHED!$N8,IF(MATCHED!BK8=14,MATCHED!$O8,"")))))))&amp;IF(MATCHED!BK8=15,MATCHED!$P8,IF(MATCHED!BK8=16,MATCHED!$Q8,IF(MATCHED!BK8=17,MATCHED!$R8,IF(MATCHED!BK8=18,MATCHED!$S8,IF(MATCHED!BK8=19,MATCHED!$T8,IF(MATCHED!BK8=20,MATCHED!$U8,IF(MATCHED!BK8=21,MATCHED!$V8,)))))))&amp;IF(MATCHED!BK8=22,MATCHED!$W8,IF(MATCHED!BK8=23,MATCHED!$X8,IF(MATCHED!BK8=24,MATCHED!$Y8,IF(MATCHED!BK8=25,MATCHED!$Z8,IF(MATCHED!BK8=26,MATCHED!$AA8,IF(MATCHED!BK8=27,MATCHED!$AB8,"."))))))</f>
        <v>#N/A</v>
      </c>
      <c r="AJ8" s="535"/>
    </row>
    <row r="9" spans="1:104" s="338" customFormat="1" ht="15.6" thickBot="1" x14ac:dyDescent="0.3">
      <c r="A9" s="535"/>
      <c r="B9" s="333" t="e">
        <f>IF(MATCHED!AD9=1,MATCHED!$B9,IF(MATCHED!AD9=2,MATCHED!$C9,IF(MATCHED!AD9=3,MATCHED!$D9,IF(MATCHED!AD9=4,MATCHED!$E9,IF(MATCHED!AD9=3,MATCHED!$F9,IF(MATCHED!AD9=6,MATCHED!$G9,IF(MATCHED!AD9=7,MATCHED!$H9,"")))))))&amp;IF(MATCHED!AD9=8,MATCHED!$I9,IF(MATCHED!AD9=9,MATCHED!$J9,IF(MATCHED!AD9=10,MATCHED!$K9,IF(MATCHED!AD9=11,MATCHED!$L9,IF(MATCHED!AD9=12,MATCHED!$M9,IF(MATCHED!AD9=13,MATCHED!$N9,IF(MATCHED!AD9=14,MATCHED!$O9,"")))))))&amp;IF(MATCHED!AD9=15,MATCHED!$P9,IF(MATCHED!AD9=16,MATCHED!$Q9,IF(MATCHED!AD9=17,MATCHED!$R9,IF(MATCHED!AD9=18,MATCHED!$S9,IF(MATCHED!AD9=19,MATCHED!$T9,IF(MATCHED!AD9=20,MATCHED!$U9,IF(MATCHED!AD9=21,MATCHED!$V9,)))))))&amp;IF(MATCHED!AD9=22,MATCHED!$W9,IF(MATCHED!AD9=23,MATCHED!$X9,IF(MATCHED!AD9=24,MATCHED!$Y9,IF(MATCHED!AD9=25,MATCHED!$Z9,IF(MATCHED!AD9=26,MATCHED!$AA9,IF(MATCHED!AD9=27,MATCHED!$AB9,"."))))))</f>
        <v>#N/A</v>
      </c>
      <c r="C9" s="334" t="e">
        <f>IF(MATCHED!AE9=1,MATCHED!$B9,IF(MATCHED!AE9=2,MATCHED!$C9,IF(MATCHED!AE9=3,MATCHED!$D9,IF(MATCHED!AE9=4,MATCHED!$E9,IF(MATCHED!AE9=3,MATCHED!$F9,IF(MATCHED!AE9=6,MATCHED!$G9,IF(MATCHED!AE9=7,MATCHED!$H9,"")))))))&amp;IF(MATCHED!AE9=8,MATCHED!$I9,IF(MATCHED!AE9=9,MATCHED!$J9,IF(MATCHED!AE9=10,MATCHED!$K9,IF(MATCHED!AE9=11,MATCHED!$L9,IF(MATCHED!AE9=12,MATCHED!$M9,IF(MATCHED!AE9=13,MATCHED!$N9,IF(MATCHED!AE9=14,MATCHED!$O9,"")))))))&amp;IF(MATCHED!AE9=15,MATCHED!$P9,IF(MATCHED!AE9=16,MATCHED!$Q9,IF(MATCHED!AE9=17,MATCHED!$R9,IF(MATCHED!AE9=18,MATCHED!$S9,IF(MATCHED!AE9=19,MATCHED!$T9,IF(MATCHED!AE9=20,MATCHED!$U9,IF(MATCHED!AE9=21,MATCHED!$V9,)))))))&amp;IF(MATCHED!AE9=22,MATCHED!$W9,IF(MATCHED!AE9=23,MATCHED!$X9,IF(MATCHED!AE9=24,MATCHED!$Y9,IF(MATCHED!AE9=25,MATCHED!$Z9,IF(MATCHED!AE9=26,MATCHED!$AA9,IF(MATCHED!AE9=27,MATCHED!$AB9,"."))))))</f>
        <v>#N/A</v>
      </c>
      <c r="D9" s="334" t="e">
        <f>IF(MATCHED!AF9=1,MATCHED!$B9,IF(MATCHED!AF9=2,MATCHED!$C9,IF(MATCHED!AF9=3,MATCHED!$D9,IF(MATCHED!AF9=4,MATCHED!$E9,IF(MATCHED!AF9=3,MATCHED!$F9,IF(MATCHED!AF9=6,MATCHED!$G9,IF(MATCHED!AF9=7,MATCHED!$H9,"")))))))&amp;IF(MATCHED!AF9=8,MATCHED!$I9,IF(MATCHED!AF9=9,MATCHED!$J9,IF(MATCHED!AF9=10,MATCHED!$K9,IF(MATCHED!AF9=11,MATCHED!$L9,IF(MATCHED!AF9=12,MATCHED!$M9,IF(MATCHED!AF9=13,MATCHED!$N9,IF(MATCHED!AF9=14,MATCHED!$O9,"")))))))&amp;IF(MATCHED!AF9=15,MATCHED!$P9,IF(MATCHED!AF9=16,MATCHED!$Q9,IF(MATCHED!AF9=17,MATCHED!$R9,IF(MATCHED!AF9=18,MATCHED!$S9,IF(MATCHED!AF9=19,MATCHED!$T9,IF(MATCHED!AF9=20,MATCHED!$U9,IF(MATCHED!AF9=21,MATCHED!$V9,)))))))&amp;IF(MATCHED!AF9=22,MATCHED!$W9,IF(MATCHED!AF9=23,MATCHED!$X9,IF(MATCHED!AF9=24,MATCHED!$Y9,IF(MATCHED!AF9=25,MATCHED!$Z9,IF(MATCHED!AF9=26,MATCHED!$AA9,IF(MATCHED!AF9=27,MATCHED!$AB9,"."))))))</f>
        <v>#N/A</v>
      </c>
      <c r="E9" s="334" t="e">
        <f>IF(MATCHED!AG9=1,MATCHED!$B9,IF(MATCHED!AG9=2,MATCHED!$C9,IF(MATCHED!AG9=3,MATCHED!$D9,IF(MATCHED!AG9=4,MATCHED!$E9,IF(MATCHED!AG9=3,MATCHED!$F9,IF(MATCHED!AG9=6,MATCHED!$G9,IF(MATCHED!AG9=7,MATCHED!$H9,"")))))))&amp;IF(MATCHED!AG9=8,MATCHED!$I9,IF(MATCHED!AG9=9,MATCHED!$J9,IF(MATCHED!AG9=10,MATCHED!$K9,IF(MATCHED!AG9=11,MATCHED!$L9,IF(MATCHED!AG9=12,MATCHED!$M9,IF(MATCHED!AG9=13,MATCHED!$N9,IF(MATCHED!AG9=14,MATCHED!$O9,"")))))))&amp;IF(MATCHED!AG9=15,MATCHED!$P9,IF(MATCHED!AG9=16,MATCHED!$Q9,IF(MATCHED!AG9=17,MATCHED!$R9,IF(MATCHED!AG9=18,MATCHED!$S9,IF(MATCHED!AG9=19,MATCHED!$T9,IF(MATCHED!AG9=20,MATCHED!$U9,IF(MATCHED!AG9=21,MATCHED!$V9,)))))))&amp;IF(MATCHED!AG9=22,MATCHED!$W9,IF(MATCHED!AG9=23,MATCHED!$X9,IF(MATCHED!AG9=24,MATCHED!$Y9,IF(MATCHED!AG9=25,MATCHED!$Z9,IF(MATCHED!AG9=26,MATCHED!$AA9,IF(MATCHED!AG9=27,MATCHED!$AB9,"."))))))</f>
        <v>#N/A</v>
      </c>
      <c r="F9" s="334" t="e">
        <f>IF(MATCHED!AH9=1,MATCHED!$B9,IF(MATCHED!AH9=2,MATCHED!$C9,IF(MATCHED!AH9=3,MATCHED!$D9,IF(MATCHED!AH9=4,MATCHED!$E9,IF(MATCHED!AH9=3,MATCHED!$F9,IF(MATCHED!AH9=6,MATCHED!$G9,IF(MATCHED!AH9=7,MATCHED!$H9,"")))))))&amp;IF(MATCHED!AH9=8,MATCHED!$I9,IF(MATCHED!AH9=9,MATCHED!$J9,IF(MATCHED!AH9=10,MATCHED!$K9,IF(MATCHED!AH9=11,MATCHED!$L9,IF(MATCHED!AH9=12,MATCHED!$M9,IF(MATCHED!AH9=13,MATCHED!$N9,IF(MATCHED!AH9=14,MATCHED!$O9,"")))))))&amp;IF(MATCHED!AH9=15,MATCHED!$P9,IF(MATCHED!AH9=16,MATCHED!$Q9,IF(MATCHED!AH9=17,MATCHED!$R9,IF(MATCHED!AH9=18,MATCHED!$S9,IF(MATCHED!AH9=19,MATCHED!$T9,IF(MATCHED!AH9=20,MATCHED!$U9,IF(MATCHED!AH9=21,MATCHED!$V9,)))))))&amp;IF(MATCHED!AH9=22,MATCHED!$W9,IF(MATCHED!AH9=23,MATCHED!$X9,IF(MATCHED!AH9=24,MATCHED!$Y9,IF(MATCHED!AH9=25,MATCHED!$Z9,IF(MATCHED!AH9=26,MATCHED!$AA9,IF(MATCHED!AH9=27,MATCHED!$AB9,"."))))))</f>
        <v>#N/A</v>
      </c>
      <c r="G9" s="334" t="e">
        <f>IF(MATCHED!AI9=1,MATCHED!$B9,IF(MATCHED!AI9=2,MATCHED!$C9,IF(MATCHED!AI9=3,MATCHED!$D9,IF(MATCHED!AI9=4,MATCHED!$E9,IF(MATCHED!AI9=3,MATCHED!$F9,IF(MATCHED!AI9=6,MATCHED!$G9,IF(MATCHED!AI9=7,MATCHED!$H9,"")))))))&amp;IF(MATCHED!AI9=8,MATCHED!$I9,IF(MATCHED!AI9=9,MATCHED!$J9,IF(MATCHED!AI9=10,MATCHED!$K9,IF(MATCHED!AI9=11,MATCHED!$L9,IF(MATCHED!AI9=12,MATCHED!$M9,IF(MATCHED!AI9=13,MATCHED!$N9,IF(MATCHED!AI9=14,MATCHED!$O9,"")))))))&amp;IF(MATCHED!AI9=15,MATCHED!$P9,IF(MATCHED!AI9=16,MATCHED!$Q9,IF(MATCHED!AI9=17,MATCHED!$R9,IF(MATCHED!AI9=18,MATCHED!$S9,IF(MATCHED!AI9=19,MATCHED!$T9,IF(MATCHED!AI9=20,MATCHED!$U9,IF(MATCHED!AI9=21,MATCHED!$V9,)))))))&amp;IF(MATCHED!AI9=22,MATCHED!$W9,IF(MATCHED!AI9=23,MATCHED!$X9,IF(MATCHED!AI9=24,MATCHED!$Y9,IF(MATCHED!AI9=25,MATCHED!$Z9,IF(MATCHED!AI9=26,MATCHED!$AA9,IF(MATCHED!AI9=27,MATCHED!$AB9,"."))))))</f>
        <v>#N/A</v>
      </c>
      <c r="H9" s="335" t="e">
        <f>IF(MATCHED!AJ9=1,MATCHED!$B9,IF(MATCHED!AJ9=2,MATCHED!$C9,IF(MATCHED!AJ9=3,MATCHED!$D9,IF(MATCHED!AJ9=4,MATCHED!$E9,IF(MATCHED!AJ9=3,MATCHED!$F9,IF(MATCHED!AJ9=6,MATCHED!$G9,IF(MATCHED!AJ9=7,MATCHED!$H9,"")))))))&amp;IF(MATCHED!AJ9=8,MATCHED!$I9,IF(MATCHED!AJ9=9,MATCHED!$J9,IF(MATCHED!AJ9=10,MATCHED!$K9,IF(MATCHED!AJ9=11,MATCHED!$L9,IF(MATCHED!AJ9=12,MATCHED!$M9,IF(MATCHED!AJ9=13,MATCHED!$N9,IF(MATCHED!AJ9=14,MATCHED!$O9,"")))))))&amp;IF(MATCHED!AJ9=15,MATCHED!$P9,IF(MATCHED!AJ9=16,MATCHED!$Q9,IF(MATCHED!AJ9=17,MATCHED!$R9,IF(MATCHED!AJ9=18,MATCHED!$S9,IF(MATCHED!AJ9=19,MATCHED!$T9,IF(MATCHED!AJ9=20,MATCHED!$U9,IF(MATCHED!AJ9=21,MATCHED!$V9,)))))))&amp;IF(MATCHED!AJ9=22,MATCHED!$W9,IF(MATCHED!AJ9=23,MATCHED!$X9,IF(MATCHED!AJ9=24,MATCHED!$Y9,IF(MATCHED!AJ9=25,MATCHED!$Z9,IF(MATCHED!AJ9=26,MATCHED!$AA9,IF(MATCHED!AJ9=27,MATCHED!$AB9,"."))))))</f>
        <v>#N/A</v>
      </c>
      <c r="I9" s="335" t="e">
        <f>IF(MATCHED!AK9=1,MATCHED!$B9,IF(MATCHED!AK9=2,MATCHED!$C9,IF(MATCHED!AK9=3,MATCHED!$D9,IF(MATCHED!AK9=4,MATCHED!$E9,IF(MATCHED!AK9=3,MATCHED!$F9,IF(MATCHED!AK9=6,MATCHED!$G9,IF(MATCHED!AK9=7,MATCHED!$H9,"")))))))&amp;IF(MATCHED!AK9=8,MATCHED!$I9,IF(MATCHED!AK9=9,MATCHED!$J9,IF(MATCHED!AK9=10,MATCHED!$K9,IF(MATCHED!AK9=11,MATCHED!$L9,IF(MATCHED!AK9=12,MATCHED!$M9,IF(MATCHED!AK9=13,MATCHED!$N9,IF(MATCHED!AK9=14,MATCHED!$O9,"")))))))&amp;IF(MATCHED!AK9=15,MATCHED!$P9,IF(MATCHED!AK9=16,MATCHED!$Q9,IF(MATCHED!AK9=17,MATCHED!$R9,IF(MATCHED!AK9=18,MATCHED!$S9,IF(MATCHED!AK9=19,MATCHED!$T9,IF(MATCHED!AK9=20,MATCHED!$U9,IF(MATCHED!AK9=21,MATCHED!$V9,)))))))&amp;IF(MATCHED!AK9=22,MATCHED!$W9,IF(MATCHED!AK9=23,MATCHED!$X9,IF(MATCHED!AK9=24,MATCHED!$Y9,IF(MATCHED!AK9=25,MATCHED!$Z9,IF(MATCHED!AK9=26,MATCHED!$AA9,IF(MATCHED!AK9=27,MATCHED!$AB9,"."))))))</f>
        <v>#N/A</v>
      </c>
      <c r="J9" s="335" t="e">
        <f>IF(MATCHED!AL9=1,MATCHED!$B9,IF(MATCHED!AL9=2,MATCHED!$C9,IF(MATCHED!AL9=3,MATCHED!$D9,IF(MATCHED!AL9=4,MATCHED!$E9,IF(MATCHED!AL9=3,MATCHED!$F9,IF(MATCHED!AL9=6,MATCHED!$G9,IF(MATCHED!AL9=7,MATCHED!$H9,"")))))))&amp;IF(MATCHED!AL9=8,MATCHED!$I9,IF(MATCHED!AL9=9,MATCHED!$J9,IF(MATCHED!AL9=10,MATCHED!$K9,IF(MATCHED!AL9=11,MATCHED!$L9,IF(MATCHED!AL9=12,MATCHED!$M9,IF(MATCHED!AL9=13,MATCHED!$N9,IF(MATCHED!AL9=14,MATCHED!$O9,"")))))))&amp;IF(MATCHED!AL9=15,MATCHED!$P9,IF(MATCHED!AL9=16,MATCHED!$Q9,IF(MATCHED!AL9=17,MATCHED!$R9,IF(MATCHED!AL9=18,MATCHED!$S9,IF(MATCHED!AL9=19,MATCHED!$T9,IF(MATCHED!AL9=20,MATCHED!$U9,IF(MATCHED!AL9=21,MATCHED!$V9,)))))))&amp;IF(MATCHED!AL9=22,MATCHED!$W9,IF(MATCHED!AL9=23,MATCHED!$X9,IF(MATCHED!AL9=24,MATCHED!$Y9,IF(MATCHED!AL9=25,MATCHED!$Z9,IF(MATCHED!AL9=26,MATCHED!$AA9,IF(MATCHED!AL9=27,MATCHED!$AB9,"."))))))</f>
        <v>#N/A</v>
      </c>
      <c r="K9" s="334" t="e">
        <f>IF(MATCHED!AM9=1,MATCHED!$B9,IF(MATCHED!AM9=2,MATCHED!$C9,IF(MATCHED!AM9=3,MATCHED!$D9,IF(MATCHED!AM9=4,MATCHED!$E9,IF(MATCHED!AM9=3,MATCHED!$F9,IF(MATCHED!AM9=6,MATCHED!$G9,IF(MATCHED!AM9=7,MATCHED!$H9,"")))))))&amp;IF(MATCHED!AM9=8,MATCHED!$I9,IF(MATCHED!AM9=9,MATCHED!$J9,IF(MATCHED!AM9=10,MATCHED!$K9,IF(MATCHED!AM9=11,MATCHED!$L9,IF(MATCHED!AM9=12,MATCHED!$M9,IF(MATCHED!AM9=13,MATCHED!$N9,IF(MATCHED!AM9=14,MATCHED!$O9,"")))))))&amp;IF(MATCHED!AM9=15,MATCHED!$P9,IF(MATCHED!AM9=16,MATCHED!$Q9,IF(MATCHED!AM9=17,MATCHED!$R9,IF(MATCHED!AM9=18,MATCHED!$S9,IF(MATCHED!AM9=19,MATCHED!$T9,IF(MATCHED!AM9=20,MATCHED!$U9,IF(MATCHED!AM9=21,MATCHED!$V9,)))))))&amp;IF(MATCHED!AM9=22,MATCHED!$W9,IF(MATCHED!AM9=23,MATCHED!$X9,IF(MATCHED!AM9=24,MATCHED!$Y9,IF(MATCHED!AM9=25,MATCHED!$Z9,IF(MATCHED!AM9=26,MATCHED!$AA9,IF(MATCHED!AM9=27,MATCHED!$AB9,"."))))))</f>
        <v>#N/A</v>
      </c>
      <c r="L9" s="334" t="e">
        <f>IF(MATCHED!AN9=1,MATCHED!$B9,IF(MATCHED!AN9=2,MATCHED!$C9,IF(MATCHED!AN9=3,MATCHED!$D9,IF(MATCHED!AN9=4,MATCHED!$E9,IF(MATCHED!AN9=3,MATCHED!$F9,IF(MATCHED!AN9=6,MATCHED!$G9,IF(MATCHED!AN9=7,MATCHED!$H9,"")))))))&amp;IF(MATCHED!AN9=8,MATCHED!$I9,IF(MATCHED!AN9=9,MATCHED!$J9,IF(MATCHED!AN9=10,MATCHED!$K9,IF(MATCHED!AN9=11,MATCHED!$L9,IF(MATCHED!AN9=12,MATCHED!$M9,IF(MATCHED!AN9=13,MATCHED!$N9,IF(MATCHED!AN9=14,MATCHED!$O9,"")))))))&amp;IF(MATCHED!AN9=15,MATCHED!$P9,IF(MATCHED!AN9=16,MATCHED!$Q9,IF(MATCHED!AN9=17,MATCHED!$R9,IF(MATCHED!AN9=18,MATCHED!$S9,IF(MATCHED!AN9=19,MATCHED!$T9,IF(MATCHED!AN9=20,MATCHED!$U9,IF(MATCHED!AN9=21,MATCHED!$V9,)))))))&amp;IF(MATCHED!AN9=22,MATCHED!$W9,IF(MATCHED!AN9=23,MATCHED!$X9,IF(MATCHED!AN9=24,MATCHED!$Y9,IF(MATCHED!AN9=25,MATCHED!$Z9,IF(MATCHED!AN9=26,MATCHED!$AA9,IF(MATCHED!AN9=27,MATCHED!$AB9,"."))))))</f>
        <v>#N/A</v>
      </c>
      <c r="M9" s="334" t="e">
        <f>IF(MATCHED!AO9=1,MATCHED!$B9,IF(MATCHED!AO9=2,MATCHED!$C9,IF(MATCHED!AO9=3,MATCHED!$D9,IF(MATCHED!AO9=4,MATCHED!$E9,IF(MATCHED!AO9=3,MATCHED!$F9,IF(MATCHED!AO9=6,MATCHED!$G9,IF(MATCHED!AO9=7,MATCHED!$H9,"")))))))&amp;IF(MATCHED!AO9=8,MATCHED!$I9,IF(MATCHED!AO9=9,MATCHED!$J9,IF(MATCHED!AO9=10,MATCHED!$K9,IF(MATCHED!AO9=11,MATCHED!$L9,IF(MATCHED!AO9=12,MATCHED!$M9,IF(MATCHED!AO9=13,MATCHED!$N9,IF(MATCHED!AO9=14,MATCHED!$O9,"")))))))&amp;IF(MATCHED!AO9=15,MATCHED!$P9,IF(MATCHED!AO9=16,MATCHED!$Q9,IF(MATCHED!AO9=17,MATCHED!$R9,IF(MATCHED!AO9=18,MATCHED!$S9,IF(MATCHED!AO9=19,MATCHED!$T9,IF(MATCHED!AO9=20,MATCHED!$U9,IF(MATCHED!AO9=21,MATCHED!$V9,)))))))&amp;IF(MATCHED!AO9=22,MATCHED!$W9,IF(MATCHED!AO9=23,MATCHED!$X9,IF(MATCHED!AO9=24,MATCHED!$Y9,IF(MATCHED!AO9=25,MATCHED!$Z9,IF(MATCHED!AO9=26,MATCHED!$AA9,IF(MATCHED!AO9=27,MATCHED!$AB9,"."))))))</f>
        <v>#N/A</v>
      </c>
      <c r="N9" s="335" t="e">
        <f>IF(MATCHED!AP9=1,MATCHED!$B9,IF(MATCHED!AP9=2,MATCHED!$C9,IF(MATCHED!AP9=3,MATCHED!$D9,IF(MATCHED!AP9=4,MATCHED!$E9,IF(MATCHED!AP9=3,MATCHED!$F9,IF(MATCHED!AP9=6,MATCHED!$G9,IF(MATCHED!AP9=7,MATCHED!$H9,"")))))))&amp;IF(MATCHED!AP9=8,MATCHED!$I9,IF(MATCHED!AP9=9,MATCHED!$J9,IF(MATCHED!AP9=10,MATCHED!$K9,IF(MATCHED!AP9=11,MATCHED!$L9,IF(MATCHED!AP9=12,MATCHED!$M9,IF(MATCHED!AP9=13,MATCHED!$N9,IF(MATCHED!AP9=14,MATCHED!$O9,"")))))))&amp;IF(MATCHED!AP9=15,MATCHED!$P9,IF(MATCHED!AP9=16,MATCHED!$Q9,IF(MATCHED!AP9=17,MATCHED!$R9,IF(MATCHED!AP9=18,MATCHED!$S9,IF(MATCHED!AP9=19,MATCHED!$T9,IF(MATCHED!AP9=20,MATCHED!$U9,IF(MATCHED!AP9=21,MATCHED!$V9,)))))))&amp;IF(MATCHED!AP9=22,MATCHED!$W9,IF(MATCHED!AP9=23,MATCHED!$X9,IF(MATCHED!AP9=24,MATCHED!$Y9,IF(MATCHED!AP9=25,MATCHED!$Z9,IF(MATCHED!AP9=26,MATCHED!$AA9,IF(MATCHED!AP9=27,MATCHED!$AB9,"."))))))</f>
        <v>#N/A</v>
      </c>
      <c r="O9" s="334" t="e">
        <f>IF(MATCHED!AQ9=1,MATCHED!$B9,IF(MATCHED!AQ9=2,MATCHED!$C9,IF(MATCHED!AQ9=3,MATCHED!$D9,IF(MATCHED!AQ9=4,MATCHED!$E9,IF(MATCHED!AQ9=3,MATCHED!$F9,IF(MATCHED!AQ9=6,MATCHED!$G9,IF(MATCHED!AQ9=7,MATCHED!$H9,"")))))))&amp;IF(MATCHED!AQ9=8,MATCHED!$I9,IF(MATCHED!AQ9=9,MATCHED!$J9,IF(MATCHED!AQ9=10,MATCHED!$K9,IF(MATCHED!AQ9=11,MATCHED!$L9,IF(MATCHED!AQ9=12,MATCHED!$M9,IF(MATCHED!AQ9=13,MATCHED!$N9,IF(MATCHED!AQ9=14,MATCHED!$O9,"")))))))&amp;IF(MATCHED!AQ9=15,MATCHED!$P9,IF(MATCHED!AQ9=16,MATCHED!$Q9,IF(MATCHED!AQ9=17,MATCHED!$R9,IF(MATCHED!AQ9=18,MATCHED!$S9,IF(MATCHED!AQ9=19,MATCHED!$T9,IF(MATCHED!AQ9=20,MATCHED!$U9,IF(MATCHED!AQ9=21,MATCHED!$V9,)))))))&amp;IF(MATCHED!AQ9=22,MATCHED!$W9,IF(MATCHED!AQ9=23,MATCHED!$X9,IF(MATCHED!AQ9=24,MATCHED!$Y9,IF(MATCHED!AQ9=25,MATCHED!$Z9,IF(MATCHED!AQ9=26,MATCHED!$AA9,IF(MATCHED!AQ9=27,MATCHED!$AB9,"."))))))</f>
        <v>#N/A</v>
      </c>
      <c r="P9" s="334" t="e">
        <f>IF(MATCHED!AR9=1,MATCHED!$B9,IF(MATCHED!AR9=2,MATCHED!$C9,IF(MATCHED!AR9=3,MATCHED!$D9,IF(MATCHED!AR9=4,MATCHED!$E9,IF(MATCHED!AR9=3,MATCHED!$F9,IF(MATCHED!AR9=6,MATCHED!$G9,IF(MATCHED!AR9=7,MATCHED!$H9,"")))))))&amp;IF(MATCHED!AR9=8,MATCHED!$I9,IF(MATCHED!AR9=9,MATCHED!$J9,IF(MATCHED!AR9=10,MATCHED!$K9,IF(MATCHED!AR9=11,MATCHED!$L9,IF(MATCHED!AR9=12,MATCHED!$M9,IF(MATCHED!AR9=13,MATCHED!$N9,IF(MATCHED!AR9=14,MATCHED!$O9,"")))))))&amp;IF(MATCHED!AR9=15,MATCHED!$P9,IF(MATCHED!AR9=16,MATCHED!$Q9,IF(MATCHED!AR9=17,MATCHED!$R9,IF(MATCHED!AR9=18,MATCHED!$S9,IF(MATCHED!AR9=19,MATCHED!$T9,IF(MATCHED!AR9=20,MATCHED!$U9,IF(MATCHED!AR9=21,MATCHED!$V9,)))))))&amp;IF(MATCHED!AR9=22,MATCHED!$W9,IF(MATCHED!AR9=23,MATCHED!$X9,IF(MATCHED!AR9=24,MATCHED!$Y9,IF(MATCHED!AR9=25,MATCHED!$Z9,IF(MATCHED!AR9=26,MATCHED!$AA9,IF(MATCHED!AR9=27,MATCHED!$AB9,"."))))))</f>
        <v>#N/A</v>
      </c>
      <c r="Q9" s="337" t="e">
        <f>IF(MATCHED!AS9=1,MATCHED!$B9,IF(MATCHED!AS9=2,MATCHED!$C9,IF(MATCHED!AS9=3,MATCHED!$D9,IF(MATCHED!AS9=4,MATCHED!$E9,IF(MATCHED!AS9=3,MATCHED!$F9,IF(MATCHED!AS9=6,MATCHED!$G9,IF(MATCHED!AS9=7,MATCHED!$H9,"")))))))&amp;IF(MATCHED!AS9=8,MATCHED!$I9,IF(MATCHED!AS9=9,MATCHED!$J9,IF(MATCHED!AS9=10,MATCHED!$K9,IF(MATCHED!AS9=11,MATCHED!$L9,IF(MATCHED!AS9=12,MATCHED!$M9,IF(MATCHED!AS9=13,MATCHED!$N9,IF(MATCHED!AS9=14,MATCHED!$O9,"")))))))&amp;IF(MATCHED!AS9=15,MATCHED!$P9,IF(MATCHED!AS9=16,MATCHED!$Q9,IF(MATCHED!AS9=17,MATCHED!$R9,IF(MATCHED!AS9=18,MATCHED!$S9,IF(MATCHED!AS9=19,MATCHED!$T9,IF(MATCHED!AS9=20,MATCHED!$U9,IF(MATCHED!AS9=21,MATCHED!$V9,)))))))&amp;IF(MATCHED!AS9=22,MATCHED!$W9,IF(MATCHED!AS9=23,MATCHED!$X9,IF(MATCHED!AS9=24,MATCHED!$Y9,IF(MATCHED!AS9=25,MATCHED!$Z9,IF(MATCHED!AS9=26,MATCHED!$AA9,IF(MATCHED!AS9=27,MATCHED!$AB9,"."))))))</f>
        <v>#N/A</v>
      </c>
      <c r="R9" s="335" t="e">
        <f>IF(MATCHED!AT9=1,MATCHED!$B9,IF(MATCHED!AT9=2,MATCHED!$C9,IF(MATCHED!AT9=3,MATCHED!$D9,IF(MATCHED!AT9=4,MATCHED!$E9,IF(MATCHED!AT9=3,MATCHED!$F9,IF(MATCHED!AT9=6,MATCHED!$G9,IF(MATCHED!AT9=7,MATCHED!$H9,"")))))))&amp;IF(MATCHED!AT9=8,MATCHED!$I9,IF(MATCHED!AT9=9,MATCHED!$J9,IF(MATCHED!AT9=10,MATCHED!$K9,IF(MATCHED!AT9=11,MATCHED!$L9,IF(MATCHED!AT9=12,MATCHED!$M9,IF(MATCHED!AT9=13,MATCHED!$N9,IF(MATCHED!AT9=14,MATCHED!$O9,"")))))))&amp;IF(MATCHED!AT9=15,MATCHED!$P9,IF(MATCHED!AT9=16,MATCHED!$Q9,IF(MATCHED!AT9=17,MATCHED!$R9,IF(MATCHED!AT9=18,MATCHED!$S9,IF(MATCHED!AT9=19,MATCHED!$T9,IF(MATCHED!AT9=20,MATCHED!$U9,IF(MATCHED!AT9=21,MATCHED!$V9,)))))))&amp;IF(MATCHED!AT9=22,MATCHED!$W9,IF(MATCHED!AT9=23,MATCHED!$X9,IF(MATCHED!AT9=24,MATCHED!$Y9,IF(MATCHED!AT9=25,MATCHED!$Z9,IF(MATCHED!AT9=26,MATCHED!$AA9,IF(MATCHED!AT9=27,MATCHED!$AB9,"."))))))</f>
        <v>#N/A</v>
      </c>
      <c r="S9" s="335" t="e">
        <f>IF(MATCHED!AU9=1,MATCHED!$B9,IF(MATCHED!AU9=2,MATCHED!$C9,IF(MATCHED!AU9=3,MATCHED!$D9,IF(MATCHED!AU9=4,MATCHED!$E9,IF(MATCHED!AU9=3,MATCHED!$F9,IF(MATCHED!AU9=6,MATCHED!$G9,IF(MATCHED!AU9=7,MATCHED!$H9,"")))))))&amp;IF(MATCHED!AU9=8,MATCHED!$I9,IF(MATCHED!AU9=9,MATCHED!$J9,IF(MATCHED!AU9=10,MATCHED!$K9,IF(MATCHED!AU9=11,MATCHED!$L9,IF(MATCHED!AU9=12,MATCHED!$M9,IF(MATCHED!AU9=13,MATCHED!$N9,IF(MATCHED!AU9=14,MATCHED!$O9,"")))))))&amp;IF(MATCHED!AU9=15,MATCHED!$P9,IF(MATCHED!AU9=16,MATCHED!$Q9,IF(MATCHED!AU9=17,MATCHED!$R9,IF(MATCHED!AU9=18,MATCHED!$S9,IF(MATCHED!AU9=19,MATCHED!$T9,IF(MATCHED!AU9=20,MATCHED!$U9,IF(MATCHED!AU9=21,MATCHED!$V9,)))))))&amp;IF(MATCHED!AU9=22,MATCHED!$W9,IF(MATCHED!AU9=23,MATCHED!$X9,IF(MATCHED!AU9=24,MATCHED!$Y9,IF(MATCHED!AU9=25,MATCHED!$Z9,IF(MATCHED!AU9=26,MATCHED!$AA9,IF(MATCHED!AU9=27,MATCHED!$AB9,"."))))))</f>
        <v>#N/A</v>
      </c>
      <c r="T9" s="334" t="e">
        <f>IF(MATCHED!AV9=1,MATCHED!$B9,IF(MATCHED!AV9=2,MATCHED!$C9,IF(MATCHED!AV9=3,MATCHED!$D9,IF(MATCHED!AV9=4,MATCHED!$E9,IF(MATCHED!AV9=3,MATCHED!$F9,IF(MATCHED!AV9=6,MATCHED!$G9,IF(MATCHED!AV9=7,MATCHED!$H9,"")))))))&amp;IF(MATCHED!AV9=8,MATCHED!$I9,IF(MATCHED!AV9=9,MATCHED!$J9,IF(MATCHED!AV9=10,MATCHED!$K9,IF(MATCHED!AV9=11,MATCHED!$L9,IF(MATCHED!AV9=12,MATCHED!$M9,IF(MATCHED!AV9=13,MATCHED!$N9,IF(MATCHED!AV9=14,MATCHED!$O9,"")))))))&amp;IF(MATCHED!AV9=15,MATCHED!$P9,IF(MATCHED!AV9=16,MATCHED!$Q9,IF(MATCHED!AV9=17,MATCHED!$R9,IF(MATCHED!AV9=18,MATCHED!$S9,IF(MATCHED!AV9=19,MATCHED!$T9,IF(MATCHED!AV9=20,MATCHED!$U9,IF(MATCHED!AV9=21,MATCHED!$V9,)))))))&amp;IF(MATCHED!AV9=22,MATCHED!$W9,IF(MATCHED!AV9=23,MATCHED!$X9,IF(MATCHED!AV9=24,MATCHED!$Y9,IF(MATCHED!AV9=25,MATCHED!$Z9,IF(MATCHED!AV9=26,MATCHED!$AA9,IF(MATCHED!AV9=27,MATCHED!$AB9,"."))))))</f>
        <v>#N/A</v>
      </c>
      <c r="U9" s="334" t="e">
        <f>IF(MATCHED!AW9=1,MATCHED!$B9,IF(MATCHED!AW9=2,MATCHED!$C9,IF(MATCHED!AW9=3,MATCHED!$D9,IF(MATCHED!AW9=4,MATCHED!$E9,IF(MATCHED!AW9=3,MATCHED!$F9,IF(MATCHED!AW9=6,MATCHED!$G9,IF(MATCHED!AW9=7,MATCHED!$H9,"")))))))&amp;IF(MATCHED!AW9=8,MATCHED!$I9,IF(MATCHED!AW9=9,MATCHED!$J9,IF(MATCHED!AW9=10,MATCHED!$K9,IF(MATCHED!AW9=11,MATCHED!$L9,IF(MATCHED!AW9=12,MATCHED!$M9,IF(MATCHED!AW9=13,MATCHED!$N9,IF(MATCHED!AW9=14,MATCHED!$O9,"")))))))&amp;IF(MATCHED!AW9=15,MATCHED!$P9,IF(MATCHED!AW9=16,MATCHED!$Q9,IF(MATCHED!AW9=17,MATCHED!$R9,IF(MATCHED!AW9=18,MATCHED!$S9,IF(MATCHED!AW9=19,MATCHED!$T9,IF(MATCHED!AW9=20,MATCHED!$U9,IF(MATCHED!AW9=21,MATCHED!$V9,)))))))&amp;IF(MATCHED!AW9=22,MATCHED!$W9,IF(MATCHED!AW9=23,MATCHED!$X9,IF(MATCHED!AW9=24,MATCHED!$Y9,IF(MATCHED!AW9=25,MATCHED!$Z9,IF(MATCHED!AW9=26,MATCHED!$AA9,IF(MATCHED!AW9=27,MATCHED!$AB9,"."))))))</f>
        <v>#N/A</v>
      </c>
      <c r="V9" s="334" t="e">
        <f>IF(MATCHED!AX9=1,MATCHED!$B9,IF(MATCHED!AX9=2,MATCHED!$C9,IF(MATCHED!AX9=3,MATCHED!$D9,IF(MATCHED!AX9=4,MATCHED!$E9,IF(MATCHED!AX9=3,MATCHED!$F9,IF(MATCHED!AX9=6,MATCHED!$G9,IF(MATCHED!AX9=7,MATCHED!$H9,"")))))))&amp;IF(MATCHED!AX9=8,MATCHED!$I9,IF(MATCHED!AX9=9,MATCHED!$J9,IF(MATCHED!AX9=10,MATCHED!$K9,IF(MATCHED!AX9=11,MATCHED!$L9,IF(MATCHED!AX9=12,MATCHED!$M9,IF(MATCHED!AX9=13,MATCHED!$N9,IF(MATCHED!AX9=14,MATCHED!$O9,"")))))))&amp;IF(MATCHED!AX9=15,MATCHED!$P9,IF(MATCHED!AX9=16,MATCHED!$Q9,IF(MATCHED!AX9=17,MATCHED!$R9,IF(MATCHED!AX9=18,MATCHED!$S9,IF(MATCHED!AX9=19,MATCHED!$T9,IF(MATCHED!AX9=20,MATCHED!$U9,IF(MATCHED!AX9=21,MATCHED!$V9,)))))))&amp;IF(MATCHED!AX9=22,MATCHED!$W9,IF(MATCHED!AX9=23,MATCHED!$X9,IF(MATCHED!AX9=24,MATCHED!$Y9,IF(MATCHED!AX9=25,MATCHED!$Z9,IF(MATCHED!AX9=26,MATCHED!$AA9,IF(MATCHED!AX9=27,MATCHED!$AB9,"."))))))</f>
        <v>#N/A</v>
      </c>
      <c r="W9" s="334" t="e">
        <f>IF(MATCHED!AY9=1,MATCHED!$B9,IF(MATCHED!AY9=2,MATCHED!$C9,IF(MATCHED!AY9=3,MATCHED!$D9,IF(MATCHED!AY9=4,MATCHED!$E9,IF(MATCHED!AY9=3,MATCHED!$F9,IF(MATCHED!AY9=6,MATCHED!$G9,IF(MATCHED!AY9=7,MATCHED!$H9,"")))))))&amp;IF(MATCHED!AY9=8,MATCHED!$I9,IF(MATCHED!AY9=9,MATCHED!$J9,IF(MATCHED!AY9=10,MATCHED!$K9,IF(MATCHED!AY9=11,MATCHED!$L9,IF(MATCHED!AY9=12,MATCHED!$M9,IF(MATCHED!AY9=13,MATCHED!$N9,IF(MATCHED!AY9=14,MATCHED!$O9,"")))))))&amp;IF(MATCHED!AY9=15,MATCHED!$P9,IF(MATCHED!AY9=16,MATCHED!$Q9,IF(MATCHED!AY9=17,MATCHED!$R9,IF(MATCHED!AY9=18,MATCHED!$S9,IF(MATCHED!AY9=19,MATCHED!$T9,IF(MATCHED!AY9=20,MATCHED!$U9,IF(MATCHED!AY9=21,MATCHED!$V9,)))))))&amp;IF(MATCHED!AY9=22,MATCHED!$W9,IF(MATCHED!AY9=23,MATCHED!$X9,IF(MATCHED!AY9=24,MATCHED!$Y9,IF(MATCHED!AY9=25,MATCHED!$Z9,IF(MATCHED!AY9=26,MATCHED!$AA9,IF(MATCHED!AY9=27,MATCHED!$AB9,"."))))))</f>
        <v>#N/A</v>
      </c>
      <c r="X9" s="334" t="e">
        <f>IF(MATCHED!AZ9=1,MATCHED!$B9,IF(MATCHED!AZ9=2,MATCHED!$C9,IF(MATCHED!AZ9=3,MATCHED!$D9,IF(MATCHED!AZ9=4,MATCHED!$E9,IF(MATCHED!AZ9=3,MATCHED!$F9,IF(MATCHED!AZ9=6,MATCHED!$G9,IF(MATCHED!AZ9=7,MATCHED!$H9,"")))))))&amp;IF(MATCHED!AZ9=8,MATCHED!$I9,IF(MATCHED!AZ9=9,MATCHED!$J9,IF(MATCHED!AZ9=10,MATCHED!$K9,IF(MATCHED!AZ9=11,MATCHED!$L9,IF(MATCHED!AZ9=12,MATCHED!$M9,IF(MATCHED!AZ9=13,MATCHED!$N9,IF(MATCHED!AZ9=14,MATCHED!$O9,"")))))))&amp;IF(MATCHED!AZ9=15,MATCHED!$P9,IF(MATCHED!AZ9=16,MATCHED!$Q9,IF(MATCHED!AZ9=17,MATCHED!$R9,IF(MATCHED!AZ9=18,MATCHED!$S9,IF(MATCHED!AZ9=19,MATCHED!$T9,IF(MATCHED!AZ9=20,MATCHED!$U9,IF(MATCHED!AZ9=21,MATCHED!$V9,)))))))&amp;IF(MATCHED!AZ9=22,MATCHED!$W9,IF(MATCHED!AZ9=23,MATCHED!$X9,IF(MATCHED!AZ9=24,MATCHED!$Y9,IF(MATCHED!AZ9=25,MATCHED!$Z9,IF(MATCHED!AZ9=26,MATCHED!$AA9,IF(MATCHED!AZ9=27,MATCHED!$AB9,"."))))))</f>
        <v>#N/A</v>
      </c>
      <c r="Y9" s="334" t="e">
        <f>IF(MATCHED!BA9=1,MATCHED!$B9,IF(MATCHED!BA9=2,MATCHED!$C9,IF(MATCHED!BA9=3,MATCHED!$D9,IF(MATCHED!BA9=4,MATCHED!$E9,IF(MATCHED!BA9=3,MATCHED!$F9,IF(MATCHED!BA9=6,MATCHED!$G9,IF(MATCHED!BA9=7,MATCHED!$H9,"")))))))&amp;IF(MATCHED!BA9=8,MATCHED!$I9,IF(MATCHED!BA9=9,MATCHED!$J9,IF(MATCHED!BA9=10,MATCHED!$K9,IF(MATCHED!BA9=11,MATCHED!$L9,IF(MATCHED!BA9=12,MATCHED!$M9,IF(MATCHED!BA9=13,MATCHED!$N9,IF(MATCHED!BA9=14,MATCHED!$O9,"")))))))&amp;IF(MATCHED!BA9=15,MATCHED!$P9,IF(MATCHED!BA9=16,MATCHED!$Q9,IF(MATCHED!BA9=17,MATCHED!$R9,IF(MATCHED!BA9=18,MATCHED!$S9,IF(MATCHED!BA9=19,MATCHED!$T9,IF(MATCHED!BA9=20,MATCHED!$U9,IF(MATCHED!BA9=21,MATCHED!$V9,)))))))&amp;IF(MATCHED!BA9=22,MATCHED!$W9,IF(MATCHED!BA9=23,MATCHED!$X9,IF(MATCHED!BA9=24,MATCHED!$Y9,IF(MATCHED!BA9=25,MATCHED!$Z9,IF(MATCHED!BA9=26,MATCHED!$AA9,IF(MATCHED!BA9=27,MATCHED!$AB9,"."))))))</f>
        <v>#N/A</v>
      </c>
      <c r="Z9" s="334" t="e">
        <f>IF(MATCHED!BB9=1,MATCHED!$B9,IF(MATCHED!BB9=2,MATCHED!$C9,IF(MATCHED!BB9=3,MATCHED!$D9,IF(MATCHED!BB9=4,MATCHED!$E9,IF(MATCHED!BB9=3,MATCHED!$F9,IF(MATCHED!BB9=6,MATCHED!$G9,IF(MATCHED!BB9=7,MATCHED!$H9,"")))))))&amp;IF(MATCHED!BB9=8,MATCHED!$I9,IF(MATCHED!BB9=9,MATCHED!$J9,IF(MATCHED!BB9=10,MATCHED!$K9,IF(MATCHED!BB9=11,MATCHED!$L9,IF(MATCHED!BB9=12,MATCHED!$M9,IF(MATCHED!BB9=13,MATCHED!$N9,IF(MATCHED!BB9=14,MATCHED!$O9,"")))))))&amp;IF(MATCHED!BB9=15,MATCHED!$P9,IF(MATCHED!BB9=16,MATCHED!$Q9,IF(MATCHED!BB9=17,MATCHED!$R9,IF(MATCHED!BB9=18,MATCHED!$S9,IF(MATCHED!BB9=19,MATCHED!$T9,IF(MATCHED!BB9=20,MATCHED!$U9,IF(MATCHED!BB9=21,MATCHED!$V9,)))))))&amp;IF(MATCHED!BB9=22,MATCHED!$W9,IF(MATCHED!BB9=23,MATCHED!$X9,IF(MATCHED!BB9=24,MATCHED!$Y9,IF(MATCHED!BB9=25,MATCHED!$Z9,IF(MATCHED!BB9=26,MATCHED!$AA9,IF(MATCHED!BB9=27,MATCHED!$AB9,"."))))))</f>
        <v>#N/A</v>
      </c>
      <c r="AA9" s="334" t="e">
        <f>IF(MATCHED!BC9=1,MATCHED!$B9,IF(MATCHED!BC9=2,MATCHED!$C9,IF(MATCHED!BC9=3,MATCHED!$D9,IF(MATCHED!BC9=4,MATCHED!$E9,IF(MATCHED!BC9=3,MATCHED!$F9,IF(MATCHED!BC9=6,MATCHED!$G9,IF(MATCHED!BC9=7,MATCHED!$H9,"")))))))&amp;IF(MATCHED!BC9=8,MATCHED!$I9,IF(MATCHED!BC9=9,MATCHED!$J9,IF(MATCHED!BC9=10,MATCHED!$K9,IF(MATCHED!BC9=11,MATCHED!$L9,IF(MATCHED!BC9=12,MATCHED!$M9,IF(MATCHED!BC9=13,MATCHED!$N9,IF(MATCHED!BC9=14,MATCHED!$O9,"")))))))&amp;IF(MATCHED!BC9=15,MATCHED!$P9,IF(MATCHED!BC9=16,MATCHED!$Q9,IF(MATCHED!BC9=17,MATCHED!$R9,IF(MATCHED!BC9=18,MATCHED!$S9,IF(MATCHED!BC9=19,MATCHED!$T9,IF(MATCHED!BC9=20,MATCHED!$U9,IF(MATCHED!BC9=21,MATCHED!$V9,)))))))&amp;IF(MATCHED!BC9=22,MATCHED!$W9,IF(MATCHED!BC9=23,MATCHED!$X9,IF(MATCHED!BC9=24,MATCHED!$Y9,IF(MATCHED!BC9=25,MATCHED!$Z9,IF(MATCHED!BC9=26,MATCHED!$AA9,IF(MATCHED!BC9=27,MATCHED!$AB9,"."))))))</f>
        <v>#N/A</v>
      </c>
      <c r="AB9" s="334" t="e">
        <f>IF(MATCHED!BD9=1,MATCHED!$B9,IF(MATCHED!BD9=2,MATCHED!$C9,IF(MATCHED!BD9=3,MATCHED!$D9,IF(MATCHED!BD9=4,MATCHED!$E9,IF(MATCHED!BD9=3,MATCHED!$F9,IF(MATCHED!BD9=6,MATCHED!$G9,IF(MATCHED!BD9=7,MATCHED!$H9,"")))))))&amp;IF(MATCHED!BD9=8,MATCHED!$I9,IF(MATCHED!BD9=9,MATCHED!$J9,IF(MATCHED!BD9=10,MATCHED!$K9,IF(MATCHED!BD9=11,MATCHED!$L9,IF(MATCHED!BD9=12,MATCHED!$M9,IF(MATCHED!BD9=13,MATCHED!$N9,IF(MATCHED!BD9=14,MATCHED!$O9,"")))))))&amp;IF(MATCHED!BD9=15,MATCHED!$P9,IF(MATCHED!BD9=16,MATCHED!$Q9,IF(MATCHED!BD9=17,MATCHED!$R9,IF(MATCHED!BD9=18,MATCHED!$S9,IF(MATCHED!BD9=19,MATCHED!$T9,IF(MATCHED!BD9=20,MATCHED!$U9,IF(MATCHED!BD9=21,MATCHED!$V9,)))))))&amp;IF(MATCHED!BD9=22,MATCHED!$W9,IF(MATCHED!BD9=23,MATCHED!$X9,IF(MATCHED!BD9=24,MATCHED!$Y9,IF(MATCHED!BD9=25,MATCHED!$Z9,IF(MATCHED!BD9=26,MATCHED!$AA9,IF(MATCHED!BD9=27,MATCHED!$AB9,"."))))))</f>
        <v>#N/A</v>
      </c>
      <c r="AC9" s="334" t="e">
        <f>IF(MATCHED!BE9=1,MATCHED!$B9,IF(MATCHED!BE9=2,MATCHED!$C9,IF(MATCHED!BE9=3,MATCHED!$D9,IF(MATCHED!BE9=4,MATCHED!$E9,IF(MATCHED!BE9=3,MATCHED!$F9,IF(MATCHED!BE9=6,MATCHED!$G9,IF(MATCHED!BE9=7,MATCHED!$H9,"")))))))&amp;IF(MATCHED!BE9=8,MATCHED!$I9,IF(MATCHED!BE9=9,MATCHED!$J9,IF(MATCHED!BE9=10,MATCHED!$K9,IF(MATCHED!BE9=11,MATCHED!$L9,IF(MATCHED!BE9=12,MATCHED!$M9,IF(MATCHED!BE9=13,MATCHED!$N9,IF(MATCHED!BE9=14,MATCHED!$O9,"")))))))&amp;IF(MATCHED!BE9=15,MATCHED!$P9,IF(MATCHED!BE9=16,MATCHED!$Q9,IF(MATCHED!BE9=17,MATCHED!$R9,IF(MATCHED!BE9=18,MATCHED!$S9,IF(MATCHED!BE9=19,MATCHED!$T9,IF(MATCHED!BE9=20,MATCHED!$U9,IF(MATCHED!BE9=21,MATCHED!$V9,)))))))&amp;IF(MATCHED!BE9=22,MATCHED!$W9,IF(MATCHED!BE9=23,MATCHED!$X9,IF(MATCHED!BE9=24,MATCHED!$Y9,IF(MATCHED!BE9=25,MATCHED!$Z9,IF(MATCHED!BE9=26,MATCHED!$AA9,IF(MATCHED!BE9=27,MATCHED!$AB9,"."))))))</f>
        <v>#N/A</v>
      </c>
      <c r="AD9" s="334" t="e">
        <f>IF(MATCHED!BF9=1,MATCHED!$B9,IF(MATCHED!BF9=2,MATCHED!$C9,IF(MATCHED!BF9=3,MATCHED!$D9,IF(MATCHED!BF9=4,MATCHED!$E9,IF(MATCHED!BF9=3,MATCHED!$F9,IF(MATCHED!BF9=6,MATCHED!$G9,IF(MATCHED!BF9=7,MATCHED!$H9,"")))))))&amp;IF(MATCHED!BF9=8,MATCHED!$I9,IF(MATCHED!BF9=9,MATCHED!$J9,IF(MATCHED!BF9=10,MATCHED!$K9,IF(MATCHED!BF9=11,MATCHED!$L9,IF(MATCHED!BF9=12,MATCHED!$M9,IF(MATCHED!BF9=13,MATCHED!$N9,IF(MATCHED!BF9=14,MATCHED!$O9,"")))))))&amp;IF(MATCHED!BF9=15,MATCHED!$P9,IF(MATCHED!BF9=16,MATCHED!$Q9,IF(MATCHED!BF9=17,MATCHED!$R9,IF(MATCHED!BF9=18,MATCHED!$S9,IF(MATCHED!BF9=19,MATCHED!$T9,IF(MATCHED!BF9=20,MATCHED!$U9,IF(MATCHED!BF9=21,MATCHED!$V9,)))))))&amp;IF(MATCHED!BF9=22,MATCHED!$W9,IF(MATCHED!BF9=23,MATCHED!$X9,IF(MATCHED!BF9=24,MATCHED!$Y9,IF(MATCHED!BF9=25,MATCHED!$Z9,IF(MATCHED!BF9=26,MATCHED!$AA9,IF(MATCHED!BF9=27,MATCHED!$AB9,"."))))))</f>
        <v>#N/A</v>
      </c>
      <c r="AE9" s="334" t="e">
        <f>IF(MATCHED!BG9=1,MATCHED!$B9,IF(MATCHED!BG9=2,MATCHED!$C9,IF(MATCHED!BG9=3,MATCHED!$D9,IF(MATCHED!BG9=4,MATCHED!$E9,IF(MATCHED!BG9=3,MATCHED!$F9,IF(MATCHED!BG9=6,MATCHED!$G9,IF(MATCHED!BG9=7,MATCHED!$H9,"")))))))&amp;IF(MATCHED!BG9=8,MATCHED!$I9,IF(MATCHED!BG9=9,MATCHED!$J9,IF(MATCHED!BG9=10,MATCHED!$K9,IF(MATCHED!BG9=11,MATCHED!$L9,IF(MATCHED!BG9=12,MATCHED!$M9,IF(MATCHED!BG9=13,MATCHED!$N9,IF(MATCHED!BG9=14,MATCHED!$O9,"")))))))&amp;IF(MATCHED!BG9=15,MATCHED!$P9,IF(MATCHED!BG9=16,MATCHED!$Q9,IF(MATCHED!BG9=17,MATCHED!$R9,IF(MATCHED!BG9=18,MATCHED!$S9,IF(MATCHED!BG9=19,MATCHED!$T9,IF(MATCHED!BG9=20,MATCHED!$U9,IF(MATCHED!BG9=21,MATCHED!$V9,)))))))&amp;IF(MATCHED!BG9=22,MATCHED!$W9,IF(MATCHED!BG9=23,MATCHED!$X9,IF(MATCHED!BG9=24,MATCHED!$Y9,IF(MATCHED!BG9=25,MATCHED!$Z9,IF(MATCHED!BG9=26,MATCHED!$AA9,IF(MATCHED!BG9=27,MATCHED!$AB9,"."))))))</f>
        <v>#N/A</v>
      </c>
      <c r="AF9" s="334" t="e">
        <f>IF(MATCHED!BH9=1,MATCHED!$B9,IF(MATCHED!BH9=2,MATCHED!$C9,IF(MATCHED!BH9=3,MATCHED!$D9,IF(MATCHED!BH9=4,MATCHED!$E9,IF(MATCHED!BH9=3,MATCHED!$F9,IF(MATCHED!BH9=6,MATCHED!$G9,IF(MATCHED!BH9=7,MATCHED!$H9,"")))))))&amp;IF(MATCHED!BH9=8,MATCHED!$I9,IF(MATCHED!BH9=9,MATCHED!$J9,IF(MATCHED!BH9=10,MATCHED!$K9,IF(MATCHED!BH9=11,MATCHED!$L9,IF(MATCHED!BH9=12,MATCHED!$M9,IF(MATCHED!BH9=13,MATCHED!$N9,IF(MATCHED!BH9=14,MATCHED!$O9,"")))))))&amp;IF(MATCHED!BH9=15,MATCHED!$P9,IF(MATCHED!BH9=16,MATCHED!$Q9,IF(MATCHED!BH9=17,MATCHED!$R9,IF(MATCHED!BH9=18,MATCHED!$S9,IF(MATCHED!BH9=19,MATCHED!$T9,IF(MATCHED!BH9=20,MATCHED!$U9,IF(MATCHED!BH9=21,MATCHED!$V9,)))))))&amp;IF(MATCHED!BH9=22,MATCHED!$W9,IF(MATCHED!BH9=23,MATCHED!$X9,IF(MATCHED!BH9=24,MATCHED!$Y9,IF(MATCHED!BH9=25,MATCHED!$Z9,IF(MATCHED!BH9=26,MATCHED!$AA9,IF(MATCHED!BH9=27,MATCHED!$AB9,"."))))))</f>
        <v>#N/A</v>
      </c>
      <c r="AG9" s="334" t="e">
        <f>IF(MATCHED!BI9=1,MATCHED!$B9,IF(MATCHED!BI9=2,MATCHED!$C9,IF(MATCHED!BI9=3,MATCHED!$D9,IF(MATCHED!BI9=4,MATCHED!$E9,IF(MATCHED!BI9=3,MATCHED!$F9,IF(MATCHED!BI9=6,MATCHED!$G9,IF(MATCHED!BI9=7,MATCHED!$H9,"")))))))&amp;IF(MATCHED!BI9=8,MATCHED!$I9,IF(MATCHED!BI9=9,MATCHED!$J9,IF(MATCHED!BI9=10,MATCHED!$K9,IF(MATCHED!BI9=11,MATCHED!$L9,IF(MATCHED!BI9=12,MATCHED!$M9,IF(MATCHED!BI9=13,MATCHED!$N9,IF(MATCHED!BI9=14,MATCHED!$O9,"")))))))&amp;IF(MATCHED!BI9=15,MATCHED!$P9,IF(MATCHED!BI9=16,MATCHED!$Q9,IF(MATCHED!BI9=17,MATCHED!$R9,IF(MATCHED!BI9=18,MATCHED!$S9,IF(MATCHED!BI9=19,MATCHED!$T9,IF(MATCHED!BI9=20,MATCHED!$U9,IF(MATCHED!BI9=21,MATCHED!$V9,)))))))&amp;IF(MATCHED!BI9=22,MATCHED!$W9,IF(MATCHED!BI9=23,MATCHED!$X9,IF(MATCHED!BI9=24,MATCHED!$Y9,IF(MATCHED!BI9=25,MATCHED!$Z9,IF(MATCHED!BI9=26,MATCHED!$AA9,IF(MATCHED!BI9=27,MATCHED!$AB9,"."))))))</f>
        <v>#N/A</v>
      </c>
      <c r="AH9" s="334" t="e">
        <f>IF(MATCHED!BJ9=1,MATCHED!$B9,IF(MATCHED!BJ9=2,MATCHED!$C9,IF(MATCHED!BJ9=3,MATCHED!$D9,IF(MATCHED!BJ9=4,MATCHED!$E9,IF(MATCHED!BJ9=3,MATCHED!$F9,IF(MATCHED!BJ9=6,MATCHED!$G9,IF(MATCHED!BJ9=7,MATCHED!$H9,"")))))))&amp;IF(MATCHED!BJ9=8,MATCHED!$I9,IF(MATCHED!BJ9=9,MATCHED!$J9,IF(MATCHED!BJ9=10,MATCHED!$K9,IF(MATCHED!BJ9=11,MATCHED!$L9,IF(MATCHED!BJ9=12,MATCHED!$M9,IF(MATCHED!BJ9=13,MATCHED!$N9,IF(MATCHED!BJ9=14,MATCHED!$O9,"")))))))&amp;IF(MATCHED!BJ9=15,MATCHED!$P9,IF(MATCHED!BJ9=16,MATCHED!$Q9,IF(MATCHED!BJ9=17,MATCHED!$R9,IF(MATCHED!BJ9=18,MATCHED!$S9,IF(MATCHED!BJ9=19,MATCHED!$T9,IF(MATCHED!BJ9=20,MATCHED!$U9,IF(MATCHED!BJ9=21,MATCHED!$V9,)))))))&amp;IF(MATCHED!BJ9=22,MATCHED!$W9,IF(MATCHED!BJ9=23,MATCHED!$X9,IF(MATCHED!BJ9=24,MATCHED!$Y9,IF(MATCHED!BJ9=25,MATCHED!$Z9,IF(MATCHED!BJ9=26,MATCHED!$AA9,IF(MATCHED!BJ9=27,MATCHED!$AB9,"."))))))</f>
        <v>#N/A</v>
      </c>
      <c r="AI9" s="334" t="e">
        <f>IF(MATCHED!BK9=1,MATCHED!$B9,IF(MATCHED!BK9=2,MATCHED!$C9,IF(MATCHED!BK9=3,MATCHED!$D9,IF(MATCHED!BK9=4,MATCHED!$E9,IF(MATCHED!BK9=3,MATCHED!$F9,IF(MATCHED!BK9=6,MATCHED!$G9,IF(MATCHED!BK9=7,MATCHED!$H9,"")))))))&amp;IF(MATCHED!BK9=8,MATCHED!$I9,IF(MATCHED!BK9=9,MATCHED!$J9,IF(MATCHED!BK9=10,MATCHED!$K9,IF(MATCHED!BK9=11,MATCHED!$L9,IF(MATCHED!BK9=12,MATCHED!$M9,IF(MATCHED!BK9=13,MATCHED!$N9,IF(MATCHED!BK9=14,MATCHED!$O9,"")))))))&amp;IF(MATCHED!BK9=15,MATCHED!$P9,IF(MATCHED!BK9=16,MATCHED!$Q9,IF(MATCHED!BK9=17,MATCHED!$R9,IF(MATCHED!BK9=18,MATCHED!$S9,IF(MATCHED!BK9=19,MATCHED!$T9,IF(MATCHED!BK9=20,MATCHED!$U9,IF(MATCHED!BK9=21,MATCHED!$V9,)))))))&amp;IF(MATCHED!BK9=22,MATCHED!$W9,IF(MATCHED!BK9=23,MATCHED!$X9,IF(MATCHED!BK9=24,MATCHED!$Y9,IF(MATCHED!BK9=25,MATCHED!$Z9,IF(MATCHED!BK9=26,MATCHED!$AA9,IF(MATCHED!BK9=27,MATCHED!$AB9,"."))))))</f>
        <v>#N/A</v>
      </c>
      <c r="AJ9" s="535"/>
    </row>
    <row r="10" spans="1:104" s="338" customFormat="1" ht="27" thickBot="1" x14ac:dyDescent="0.3">
      <c r="A10" s="534"/>
      <c r="B10" s="339" t="e">
        <f>IF(MATCHED!AD10=1,MATCHED!$B10,IF(MATCHED!AD10=2,MATCHED!$C10,IF(MATCHED!AD10=3,MATCHED!$D10,IF(MATCHED!AD10=4,MATCHED!$E10,IF(MATCHED!AD10=3,MATCHED!$F10,IF(MATCHED!AD10=6,MATCHED!$G10,IF(MATCHED!AD10=7,MATCHED!$H10,"")))))))&amp;IF(MATCHED!AD10=8,MATCHED!$I10,IF(MATCHED!AD10=9,MATCHED!$J10,IF(MATCHED!AD10=10,MATCHED!$K10,IF(MATCHED!AD10=11,MATCHED!$L10,IF(MATCHED!AD10=12,MATCHED!$M10,IF(MATCHED!AD10=13,MATCHED!$N10,IF(MATCHED!AD10=14,MATCHED!$O10,"")))))))&amp;IF(MATCHED!AD10=15,MATCHED!$P10,IF(MATCHED!AD10=16,MATCHED!$Q10,IF(MATCHED!AD10=17,MATCHED!$R10,IF(MATCHED!AD10=18,MATCHED!$S10,IF(MATCHED!AD10=19,MATCHED!$T10,IF(MATCHED!AD10=20,MATCHED!$U10,IF(MATCHED!AD10=21,MATCHED!$V10,)))))))&amp;IF(MATCHED!AD10=22,MATCHED!$W10,IF(MATCHED!AD10=23,MATCHED!$X10,IF(MATCHED!AD10=24,MATCHED!$Y10,IF(MATCHED!AD10=25,MATCHED!$Z10,IF(MATCHED!AD10=26,MATCHED!$AA10,IF(MATCHED!AD10=27,MATCHED!$AB10,"."))))))</f>
        <v>#N/A</v>
      </c>
      <c r="C10" s="339" t="e">
        <f>IF(MATCHED!AE10=1,MATCHED!$B10,IF(MATCHED!AE10=2,MATCHED!$C10,IF(MATCHED!AE10=3,MATCHED!$D10,IF(MATCHED!AE10=4,MATCHED!$E10,IF(MATCHED!AE10=3,MATCHED!$F10,IF(MATCHED!AE10=6,MATCHED!$G10,IF(MATCHED!AE10=7,MATCHED!$H10,"")))))))&amp;IF(MATCHED!AE10=8,MATCHED!$I10,IF(MATCHED!AE10=9,MATCHED!$J10,IF(MATCHED!AE10=10,MATCHED!$K10,IF(MATCHED!AE10=11,MATCHED!$L10,IF(MATCHED!AE10=12,MATCHED!$M10,IF(MATCHED!AE10=13,MATCHED!$N10,IF(MATCHED!AE10=14,MATCHED!$O10,"")))))))&amp;IF(MATCHED!AE10=15,MATCHED!$P10,IF(MATCHED!AE10=16,MATCHED!$Q10,IF(MATCHED!AE10=17,MATCHED!$R10,IF(MATCHED!AE10=18,MATCHED!$S10,IF(MATCHED!AE10=19,MATCHED!$T10,IF(MATCHED!AE10=20,MATCHED!$U10,IF(MATCHED!AE10=21,MATCHED!$V10,)))))))&amp;IF(MATCHED!AE10=22,MATCHED!$W10,IF(MATCHED!AE10=23,MATCHED!$X10,IF(MATCHED!AE10=24,MATCHED!$Y10,IF(MATCHED!AE10=25,MATCHED!$Z10,IF(MATCHED!AE10=26,MATCHED!$AA10,IF(MATCHED!AE10=27,MATCHED!$AB10,"."))))))</f>
        <v>#N/A</v>
      </c>
      <c r="D10" s="339" t="e">
        <f>IF(MATCHED!AF10=1,MATCHED!$B10,IF(MATCHED!AF10=2,MATCHED!$C10,IF(MATCHED!AF10=3,MATCHED!$D10,IF(MATCHED!AF10=4,MATCHED!$E10,IF(MATCHED!AF10=3,MATCHED!$F10,IF(MATCHED!AF10=6,MATCHED!$G10,IF(MATCHED!AF10=7,MATCHED!$H10,"")))))))&amp;IF(MATCHED!AF10=8,MATCHED!$I10,IF(MATCHED!AF10=9,MATCHED!$J10,IF(MATCHED!AF10=10,MATCHED!$K10,IF(MATCHED!AF10=11,MATCHED!$L10,IF(MATCHED!AF10=12,MATCHED!$M10,IF(MATCHED!AF10=13,MATCHED!$N10,IF(MATCHED!AF10=14,MATCHED!$O10,"")))))))&amp;IF(MATCHED!AF10=15,MATCHED!$P10,IF(MATCHED!AF10=16,MATCHED!$Q10,IF(MATCHED!AF10=17,MATCHED!$R10,IF(MATCHED!AF10=18,MATCHED!$S10,IF(MATCHED!AF10=19,MATCHED!$T10,IF(MATCHED!AF10=20,MATCHED!$U10,IF(MATCHED!AF10=21,MATCHED!$V10,)))))))&amp;IF(MATCHED!AF10=22,MATCHED!$W10,IF(MATCHED!AF10=23,MATCHED!$X10,IF(MATCHED!AF10=24,MATCHED!$Y10,IF(MATCHED!AF10=25,MATCHED!$Z10,IF(MATCHED!AF10=26,MATCHED!$AA10,IF(MATCHED!AF10=27,MATCHED!$AB10,"."))))))</f>
        <v>#N/A</v>
      </c>
      <c r="E10" s="339" t="e">
        <f>IF(MATCHED!AG10=1,MATCHED!$B10,IF(MATCHED!AG10=2,MATCHED!$C10,IF(MATCHED!AG10=3,MATCHED!$D10,IF(MATCHED!AG10=4,MATCHED!$E10,IF(MATCHED!AG10=3,MATCHED!$F10,IF(MATCHED!AG10=6,MATCHED!$G10,IF(MATCHED!AG10=7,MATCHED!$H10,"")))))))&amp;IF(MATCHED!AG10=8,MATCHED!$I10,IF(MATCHED!AG10=9,MATCHED!$J10,IF(MATCHED!AG10=10,MATCHED!$K10,IF(MATCHED!AG10=11,MATCHED!$L10,IF(MATCHED!AG10=12,MATCHED!$M10,IF(MATCHED!AG10=13,MATCHED!$N10,IF(MATCHED!AG10=14,MATCHED!$O10,"")))))))&amp;IF(MATCHED!AG10=15,MATCHED!$P10,IF(MATCHED!AG10=16,MATCHED!$Q10,IF(MATCHED!AG10=17,MATCHED!$R10,IF(MATCHED!AG10=18,MATCHED!$S10,IF(MATCHED!AG10=19,MATCHED!$T10,IF(MATCHED!AG10=20,MATCHED!$U10,IF(MATCHED!AG10=21,MATCHED!$V10,)))))))&amp;IF(MATCHED!AG10=22,MATCHED!$W10,IF(MATCHED!AG10=23,MATCHED!$X10,IF(MATCHED!AG10=24,MATCHED!$Y10,IF(MATCHED!AG10=25,MATCHED!$Z10,IF(MATCHED!AG10=26,MATCHED!$AA10,IF(MATCHED!AG10=27,MATCHED!$AB10,"."))))))</f>
        <v>#N/A</v>
      </c>
      <c r="F10" s="339" t="e">
        <f>IF(MATCHED!AH10=1,MATCHED!$B10,IF(MATCHED!AH10=2,MATCHED!$C10,IF(MATCHED!AH10=3,MATCHED!$D10,IF(MATCHED!AH10=4,MATCHED!$E10,IF(MATCHED!AH10=3,MATCHED!$F10,IF(MATCHED!AH10=6,MATCHED!$G10,IF(MATCHED!AH10=7,MATCHED!$H10,"")))))))&amp;IF(MATCHED!AH10=8,MATCHED!$I10,IF(MATCHED!AH10=9,MATCHED!$J10,IF(MATCHED!AH10=10,MATCHED!$K10,IF(MATCHED!AH10=11,MATCHED!$L10,IF(MATCHED!AH10=12,MATCHED!$M10,IF(MATCHED!AH10=13,MATCHED!$N10,IF(MATCHED!AH10=14,MATCHED!$O10,"")))))))&amp;IF(MATCHED!AH10=15,MATCHED!$P10,IF(MATCHED!AH10=16,MATCHED!$Q10,IF(MATCHED!AH10=17,MATCHED!$R10,IF(MATCHED!AH10=18,MATCHED!$S10,IF(MATCHED!AH10=19,MATCHED!$T10,IF(MATCHED!AH10=20,MATCHED!$U10,IF(MATCHED!AH10=21,MATCHED!$V10,)))))))&amp;IF(MATCHED!AH10=22,MATCHED!$W10,IF(MATCHED!AH10=23,MATCHED!$X10,IF(MATCHED!AH10=24,MATCHED!$Y10,IF(MATCHED!AH10=25,MATCHED!$Z10,IF(MATCHED!AH10=26,MATCHED!$AA10,IF(MATCHED!AH10=27,MATCHED!$AB10,"."))))))</f>
        <v>#N/A</v>
      </c>
      <c r="G10" s="339" t="e">
        <f>IF(MATCHED!AI10=1,MATCHED!$B10,IF(MATCHED!AI10=2,MATCHED!$C10,IF(MATCHED!AI10=3,MATCHED!$D10,IF(MATCHED!AI10=4,MATCHED!$E10,IF(MATCHED!AI10=3,MATCHED!$F10,IF(MATCHED!AI10=6,MATCHED!$G10,IF(MATCHED!AI10=7,MATCHED!$H10,"")))))))&amp;IF(MATCHED!AI10=8,MATCHED!$I10,IF(MATCHED!AI10=9,MATCHED!$J10,IF(MATCHED!AI10=10,MATCHED!$K10,IF(MATCHED!AI10=11,MATCHED!$L10,IF(MATCHED!AI10=12,MATCHED!$M10,IF(MATCHED!AI10=13,MATCHED!$N10,IF(MATCHED!AI10=14,MATCHED!$O10,"")))))))&amp;IF(MATCHED!AI10=15,MATCHED!$P10,IF(MATCHED!AI10=16,MATCHED!$Q10,IF(MATCHED!AI10=17,MATCHED!$R10,IF(MATCHED!AI10=18,MATCHED!$S10,IF(MATCHED!AI10=19,MATCHED!$T10,IF(MATCHED!AI10=20,MATCHED!$U10,IF(MATCHED!AI10=21,MATCHED!$V10,)))))))&amp;IF(MATCHED!AI10=22,MATCHED!$W10,IF(MATCHED!AI10=23,MATCHED!$X10,IF(MATCHED!AI10=24,MATCHED!$Y10,IF(MATCHED!AI10=25,MATCHED!$Z10,IF(MATCHED!AI10=26,MATCHED!$AA10,IF(MATCHED!AI10=27,MATCHED!$AB10,"."))))))</f>
        <v>#N/A</v>
      </c>
      <c r="H10" s="339" t="e">
        <f>IF(MATCHED!AJ10=1,MATCHED!$B10,IF(MATCHED!AJ10=2,MATCHED!$C10,IF(MATCHED!AJ10=3,MATCHED!$D10,IF(MATCHED!AJ10=4,MATCHED!$E10,IF(MATCHED!AJ10=3,MATCHED!$F10,IF(MATCHED!AJ10=6,MATCHED!$G10,IF(MATCHED!AJ10=7,MATCHED!$H10,"")))))))&amp;IF(MATCHED!AJ10=8,MATCHED!$I10,IF(MATCHED!AJ10=9,MATCHED!$J10,IF(MATCHED!AJ10=10,MATCHED!$K10,IF(MATCHED!AJ10=11,MATCHED!$L10,IF(MATCHED!AJ10=12,MATCHED!$M10,IF(MATCHED!AJ10=13,MATCHED!$N10,IF(MATCHED!AJ10=14,MATCHED!$O10,"")))))))&amp;IF(MATCHED!AJ10=15,MATCHED!$P10,IF(MATCHED!AJ10=16,MATCHED!$Q10,IF(MATCHED!AJ10=17,MATCHED!$R10,IF(MATCHED!AJ10=18,MATCHED!$S10,IF(MATCHED!AJ10=19,MATCHED!$T10,IF(MATCHED!AJ10=20,MATCHED!$U10,IF(MATCHED!AJ10=21,MATCHED!$V10,)))))))&amp;IF(MATCHED!AJ10=22,MATCHED!$W10,IF(MATCHED!AJ10=23,MATCHED!$X10,IF(MATCHED!AJ10=24,MATCHED!$Y10,IF(MATCHED!AJ10=25,MATCHED!$Z10,IF(MATCHED!AJ10=26,MATCHED!$AA10,IF(MATCHED!AJ10=27,MATCHED!$AB10,"."))))))</f>
        <v>#N/A</v>
      </c>
      <c r="I10" s="339" t="e">
        <f>IF(MATCHED!AK10=1,MATCHED!$B10,IF(MATCHED!AK10=2,MATCHED!$C10,IF(MATCHED!AK10=3,MATCHED!$D10,IF(MATCHED!AK10=4,MATCHED!$E10,IF(MATCHED!AK10=3,MATCHED!$F10,IF(MATCHED!AK10=6,MATCHED!$G10,IF(MATCHED!AK10=7,MATCHED!$H10,"")))))))&amp;IF(MATCHED!AK10=8,MATCHED!$I10,IF(MATCHED!AK10=9,MATCHED!$J10,IF(MATCHED!AK10=10,MATCHED!$K10,IF(MATCHED!AK10=11,MATCHED!$L10,IF(MATCHED!AK10=12,MATCHED!$M10,IF(MATCHED!AK10=13,MATCHED!$N10,IF(MATCHED!AK10=14,MATCHED!$O10,"")))))))&amp;IF(MATCHED!AK10=15,MATCHED!$P10,IF(MATCHED!AK10=16,MATCHED!$Q10,IF(MATCHED!AK10=17,MATCHED!$R10,IF(MATCHED!AK10=18,MATCHED!$S10,IF(MATCHED!AK10=19,MATCHED!$T10,IF(MATCHED!AK10=20,MATCHED!$U10,IF(MATCHED!AK10=21,MATCHED!$V10,)))))))&amp;IF(MATCHED!AK10=22,MATCHED!$W10,IF(MATCHED!AK10=23,MATCHED!$X10,IF(MATCHED!AK10=24,MATCHED!$Y10,IF(MATCHED!AK10=25,MATCHED!$Z10,IF(MATCHED!AK10=26,MATCHED!$AA10,IF(MATCHED!AK10=27,MATCHED!$AB10,"."))))))</f>
        <v>#N/A</v>
      </c>
      <c r="J10" s="339" t="e">
        <f>IF(MATCHED!AL10=1,MATCHED!$B10,IF(MATCHED!AL10=2,MATCHED!$C10,IF(MATCHED!AL10=3,MATCHED!$D10,IF(MATCHED!AL10=4,MATCHED!$E10,IF(MATCHED!AL10=3,MATCHED!$F10,IF(MATCHED!AL10=6,MATCHED!$G10,IF(MATCHED!AL10=7,MATCHED!$H10,"")))))))&amp;IF(MATCHED!AL10=8,MATCHED!$I10,IF(MATCHED!AL10=9,MATCHED!$J10,IF(MATCHED!AL10=10,MATCHED!$K10,IF(MATCHED!AL10=11,MATCHED!$L10,IF(MATCHED!AL10=12,MATCHED!$M10,IF(MATCHED!AL10=13,MATCHED!$N10,IF(MATCHED!AL10=14,MATCHED!$O10,"")))))))&amp;IF(MATCHED!AL10=15,MATCHED!$P10,IF(MATCHED!AL10=16,MATCHED!$Q10,IF(MATCHED!AL10=17,MATCHED!$R10,IF(MATCHED!AL10=18,MATCHED!$S10,IF(MATCHED!AL10=19,MATCHED!$T10,IF(MATCHED!AL10=20,MATCHED!$U10,IF(MATCHED!AL10=21,MATCHED!$V10,)))))))&amp;IF(MATCHED!AL10=22,MATCHED!$W10,IF(MATCHED!AL10=23,MATCHED!$X10,IF(MATCHED!AL10=24,MATCHED!$Y10,IF(MATCHED!AL10=25,MATCHED!$Z10,IF(MATCHED!AL10=26,MATCHED!$AA10,IF(MATCHED!AL10=27,MATCHED!$AB10,"."))))))</f>
        <v>#N/A</v>
      </c>
      <c r="K10" s="339" t="e">
        <f>IF(MATCHED!AM10=1,MATCHED!$B10,IF(MATCHED!AM10=2,MATCHED!$C10,IF(MATCHED!AM10=3,MATCHED!$D10,IF(MATCHED!AM10=4,MATCHED!$E10,IF(MATCHED!AM10=3,MATCHED!$F10,IF(MATCHED!AM10=6,MATCHED!$G10,IF(MATCHED!AM10=7,MATCHED!$H10,"")))))))&amp;IF(MATCHED!AM10=8,MATCHED!$I10,IF(MATCHED!AM10=9,MATCHED!$J10,IF(MATCHED!AM10=10,MATCHED!$K10,IF(MATCHED!AM10=11,MATCHED!$L10,IF(MATCHED!AM10=12,MATCHED!$M10,IF(MATCHED!AM10=13,MATCHED!$N10,IF(MATCHED!AM10=14,MATCHED!$O10,"")))))))&amp;IF(MATCHED!AM10=15,MATCHED!$P10,IF(MATCHED!AM10=16,MATCHED!$Q10,IF(MATCHED!AM10=17,MATCHED!$R10,IF(MATCHED!AM10=18,MATCHED!$S10,IF(MATCHED!AM10=19,MATCHED!$T10,IF(MATCHED!AM10=20,MATCHED!$U10,IF(MATCHED!AM10=21,MATCHED!$V10,)))))))&amp;IF(MATCHED!AM10=22,MATCHED!$W10,IF(MATCHED!AM10=23,MATCHED!$X10,IF(MATCHED!AM10=24,MATCHED!$Y10,IF(MATCHED!AM10=25,MATCHED!$Z10,IF(MATCHED!AM10=26,MATCHED!$AA10,IF(MATCHED!AM10=27,MATCHED!$AB10,"."))))))</f>
        <v>#N/A</v>
      </c>
      <c r="L10" s="339" t="e">
        <f>IF(MATCHED!AN10=1,MATCHED!$B10,IF(MATCHED!AN10=2,MATCHED!$C10,IF(MATCHED!AN10=3,MATCHED!$D10,IF(MATCHED!AN10=4,MATCHED!$E10,IF(MATCHED!AN10=3,MATCHED!$F10,IF(MATCHED!AN10=6,MATCHED!$G10,IF(MATCHED!AN10=7,MATCHED!$H10,"")))))))&amp;IF(MATCHED!AN10=8,MATCHED!$I10,IF(MATCHED!AN10=9,MATCHED!$J10,IF(MATCHED!AN10=10,MATCHED!$K10,IF(MATCHED!AN10=11,MATCHED!$L10,IF(MATCHED!AN10=12,MATCHED!$M10,IF(MATCHED!AN10=13,MATCHED!$N10,IF(MATCHED!AN10=14,MATCHED!$O10,"")))))))&amp;IF(MATCHED!AN10=15,MATCHED!$P10,IF(MATCHED!AN10=16,MATCHED!$Q10,IF(MATCHED!AN10=17,MATCHED!$R10,IF(MATCHED!AN10=18,MATCHED!$S10,IF(MATCHED!AN10=19,MATCHED!$T10,IF(MATCHED!AN10=20,MATCHED!$U10,IF(MATCHED!AN10=21,MATCHED!$V10,)))))))&amp;IF(MATCHED!AN10=22,MATCHED!$W10,IF(MATCHED!AN10=23,MATCHED!$X10,IF(MATCHED!AN10=24,MATCHED!$Y10,IF(MATCHED!AN10=25,MATCHED!$Z10,IF(MATCHED!AN10=26,MATCHED!$AA10,IF(MATCHED!AN10=27,MATCHED!$AB10,"."))))))</f>
        <v>#N/A</v>
      </c>
      <c r="M10" s="339" t="e">
        <f>IF(MATCHED!AO10=1,MATCHED!$B10,IF(MATCHED!AO10=2,MATCHED!$C10,IF(MATCHED!AO10=3,MATCHED!$D10,IF(MATCHED!AO10=4,MATCHED!$E10,IF(MATCHED!AO10=3,MATCHED!$F10,IF(MATCHED!AO10=6,MATCHED!$G10,IF(MATCHED!AO10=7,MATCHED!$H10,"")))))))&amp;IF(MATCHED!AO10=8,MATCHED!$I10,IF(MATCHED!AO10=9,MATCHED!$J10,IF(MATCHED!AO10=10,MATCHED!$K10,IF(MATCHED!AO10=11,MATCHED!$L10,IF(MATCHED!AO10=12,MATCHED!$M10,IF(MATCHED!AO10=13,MATCHED!$N10,IF(MATCHED!AO10=14,MATCHED!$O10,"")))))))&amp;IF(MATCHED!AO10=15,MATCHED!$P10,IF(MATCHED!AO10=16,MATCHED!$Q10,IF(MATCHED!AO10=17,MATCHED!$R10,IF(MATCHED!AO10=18,MATCHED!$S10,IF(MATCHED!AO10=19,MATCHED!$T10,IF(MATCHED!AO10=20,MATCHED!$U10,IF(MATCHED!AO10=21,MATCHED!$V10,)))))))&amp;IF(MATCHED!AO10=22,MATCHED!$W10,IF(MATCHED!AO10=23,MATCHED!$X10,IF(MATCHED!AO10=24,MATCHED!$Y10,IF(MATCHED!AO10=25,MATCHED!$Z10,IF(MATCHED!AO10=26,MATCHED!$AA10,IF(MATCHED!AO10=27,MATCHED!$AB10,"."))))))</f>
        <v>#N/A</v>
      </c>
      <c r="N10" s="339" t="e">
        <f>IF(MATCHED!AP10=1,MATCHED!$B10,IF(MATCHED!AP10=2,MATCHED!$C10,IF(MATCHED!AP10=3,MATCHED!$D10,IF(MATCHED!AP10=4,MATCHED!$E10,IF(MATCHED!AP10=3,MATCHED!$F10,IF(MATCHED!AP10=6,MATCHED!$G10,IF(MATCHED!AP10=7,MATCHED!$H10,"")))))))&amp;IF(MATCHED!AP10=8,MATCHED!$I10,IF(MATCHED!AP10=9,MATCHED!$J10,IF(MATCHED!AP10=10,MATCHED!$K10,IF(MATCHED!AP10=11,MATCHED!$L10,IF(MATCHED!AP10=12,MATCHED!$M10,IF(MATCHED!AP10=13,MATCHED!$N10,IF(MATCHED!AP10=14,MATCHED!$O10,"")))))))&amp;IF(MATCHED!AP10=15,MATCHED!$P10,IF(MATCHED!AP10=16,MATCHED!$Q10,IF(MATCHED!AP10=17,MATCHED!$R10,IF(MATCHED!AP10=18,MATCHED!$S10,IF(MATCHED!AP10=19,MATCHED!$T10,IF(MATCHED!AP10=20,MATCHED!$U10,IF(MATCHED!AP10=21,MATCHED!$V10,)))))))&amp;IF(MATCHED!AP10=22,MATCHED!$W10,IF(MATCHED!AP10=23,MATCHED!$X10,IF(MATCHED!AP10=24,MATCHED!$Y10,IF(MATCHED!AP10=25,MATCHED!$Z10,IF(MATCHED!AP10=26,MATCHED!$AA10,IF(MATCHED!AP10=27,MATCHED!$AB10,"."))))))</f>
        <v>#N/A</v>
      </c>
      <c r="O10" s="339" t="e">
        <f>IF(MATCHED!AQ10=1,MATCHED!$B10,IF(MATCHED!AQ10=2,MATCHED!$C10,IF(MATCHED!AQ10=3,MATCHED!$D10,IF(MATCHED!AQ10=4,MATCHED!$E10,IF(MATCHED!AQ10=3,MATCHED!$F10,IF(MATCHED!AQ10=6,MATCHED!$G10,IF(MATCHED!AQ10=7,MATCHED!$H10,"")))))))&amp;IF(MATCHED!AQ10=8,MATCHED!$I10,IF(MATCHED!AQ10=9,MATCHED!$J10,IF(MATCHED!AQ10=10,MATCHED!$K10,IF(MATCHED!AQ10=11,MATCHED!$L10,IF(MATCHED!AQ10=12,MATCHED!$M10,IF(MATCHED!AQ10=13,MATCHED!$N10,IF(MATCHED!AQ10=14,MATCHED!$O10,"")))))))&amp;IF(MATCHED!AQ10=15,MATCHED!$P10,IF(MATCHED!AQ10=16,MATCHED!$Q10,IF(MATCHED!AQ10=17,MATCHED!$R10,IF(MATCHED!AQ10=18,MATCHED!$S10,IF(MATCHED!AQ10=19,MATCHED!$T10,IF(MATCHED!AQ10=20,MATCHED!$U10,IF(MATCHED!AQ10=21,MATCHED!$V10,)))))))&amp;IF(MATCHED!AQ10=22,MATCHED!$W10,IF(MATCHED!AQ10=23,MATCHED!$X10,IF(MATCHED!AQ10=24,MATCHED!$Y10,IF(MATCHED!AQ10=25,MATCHED!$Z10,IF(MATCHED!AQ10=26,MATCHED!$AA10,IF(MATCHED!AQ10=27,MATCHED!$AB10,"."))))))</f>
        <v>#N/A</v>
      </c>
      <c r="P10" s="339" t="e">
        <f>IF(MATCHED!AR10=1,MATCHED!$B10,IF(MATCHED!AR10=2,MATCHED!$C10,IF(MATCHED!AR10=3,MATCHED!$D10,IF(MATCHED!AR10=4,MATCHED!$E10,IF(MATCHED!AR10=3,MATCHED!$F10,IF(MATCHED!AR10=6,MATCHED!$G10,IF(MATCHED!AR10=7,MATCHED!$H10,"")))))))&amp;IF(MATCHED!AR10=8,MATCHED!$I10,IF(MATCHED!AR10=9,MATCHED!$J10,IF(MATCHED!AR10=10,MATCHED!$K10,IF(MATCHED!AR10=11,MATCHED!$L10,IF(MATCHED!AR10=12,MATCHED!$M10,IF(MATCHED!AR10=13,MATCHED!$N10,IF(MATCHED!AR10=14,MATCHED!$O10,"")))))))&amp;IF(MATCHED!AR10=15,MATCHED!$P10,IF(MATCHED!AR10=16,MATCHED!$Q10,IF(MATCHED!AR10=17,MATCHED!$R10,IF(MATCHED!AR10=18,MATCHED!$S10,IF(MATCHED!AR10=19,MATCHED!$T10,IF(MATCHED!AR10=20,MATCHED!$U10,IF(MATCHED!AR10=21,MATCHED!$V10,)))))))&amp;IF(MATCHED!AR10=22,MATCHED!$W10,IF(MATCHED!AR10=23,MATCHED!$X10,IF(MATCHED!AR10=24,MATCHED!$Y10,IF(MATCHED!AR10=25,MATCHED!$Z10,IF(MATCHED!AR10=26,MATCHED!$AA10,IF(MATCHED!AR10=27,MATCHED!$AB10,"."))))))</f>
        <v>#N/A</v>
      </c>
      <c r="Q10" s="339" t="e">
        <f>IF(MATCHED!AS10=1,MATCHED!$B10,IF(MATCHED!AS10=2,MATCHED!$C10,IF(MATCHED!AS10=3,MATCHED!$D10,IF(MATCHED!AS10=4,MATCHED!$E10,IF(MATCHED!AS10=3,MATCHED!$F10,IF(MATCHED!AS10=6,MATCHED!$G10,IF(MATCHED!AS10=7,MATCHED!$H10,"")))))))&amp;IF(MATCHED!AS10=8,MATCHED!$I10,IF(MATCHED!AS10=9,MATCHED!$J10,IF(MATCHED!AS10=10,MATCHED!$K10,IF(MATCHED!AS10=11,MATCHED!$L10,IF(MATCHED!AS10=12,MATCHED!$M10,IF(MATCHED!AS10=13,MATCHED!$N10,IF(MATCHED!AS10=14,MATCHED!$O10,"")))))))&amp;IF(MATCHED!AS10=15,MATCHED!$P10,IF(MATCHED!AS10=16,MATCHED!$Q10,IF(MATCHED!AS10=17,MATCHED!$R10,IF(MATCHED!AS10=18,MATCHED!$S10,IF(MATCHED!AS10=19,MATCHED!$T10,IF(MATCHED!AS10=20,MATCHED!$U10,IF(MATCHED!AS10=21,MATCHED!$V10,)))))))&amp;IF(MATCHED!AS10=22,MATCHED!$W10,IF(MATCHED!AS10=23,MATCHED!$X10,IF(MATCHED!AS10=24,MATCHED!$Y10,IF(MATCHED!AS10=25,MATCHED!$Z10,IF(MATCHED!AS10=26,MATCHED!$AA10,IF(MATCHED!AS10=27,MATCHED!$AB10,"."))))))</f>
        <v>#N/A</v>
      </c>
      <c r="R10" s="339" t="e">
        <f>IF(MATCHED!AT10=1,MATCHED!$B10,IF(MATCHED!AT10=2,MATCHED!$C10,IF(MATCHED!AT10=3,MATCHED!$D10,IF(MATCHED!AT10=4,MATCHED!$E10,IF(MATCHED!AT10=3,MATCHED!$F10,IF(MATCHED!AT10=6,MATCHED!$G10,IF(MATCHED!AT10=7,MATCHED!$H10,"")))))))&amp;IF(MATCHED!AT10=8,MATCHED!$I10,IF(MATCHED!AT10=9,MATCHED!$J10,IF(MATCHED!AT10=10,MATCHED!$K10,IF(MATCHED!AT10=11,MATCHED!$L10,IF(MATCHED!AT10=12,MATCHED!$M10,IF(MATCHED!AT10=13,MATCHED!$N10,IF(MATCHED!AT10=14,MATCHED!$O10,"")))))))&amp;IF(MATCHED!AT10=15,MATCHED!$P10,IF(MATCHED!AT10=16,MATCHED!$Q10,IF(MATCHED!AT10=17,MATCHED!$R10,IF(MATCHED!AT10=18,MATCHED!$S10,IF(MATCHED!AT10=19,MATCHED!$T10,IF(MATCHED!AT10=20,MATCHED!$U10,IF(MATCHED!AT10=21,MATCHED!$V10,)))))))&amp;IF(MATCHED!AT10=22,MATCHED!$W10,IF(MATCHED!AT10=23,MATCHED!$X10,IF(MATCHED!AT10=24,MATCHED!$Y10,IF(MATCHED!AT10=25,MATCHED!$Z10,IF(MATCHED!AT10=26,MATCHED!$AA10,IF(MATCHED!AT10=27,MATCHED!$AB10,"."))))))</f>
        <v>#N/A</v>
      </c>
      <c r="S10" s="339" t="e">
        <f>IF(MATCHED!AU10=1,MATCHED!$B10,IF(MATCHED!AU10=2,MATCHED!$C10,IF(MATCHED!AU10=3,MATCHED!$D10,IF(MATCHED!AU10=4,MATCHED!$E10,IF(MATCHED!AU10=3,MATCHED!$F10,IF(MATCHED!AU10=6,MATCHED!$G10,IF(MATCHED!AU10=7,MATCHED!$H10,"")))))))&amp;IF(MATCHED!AU10=8,MATCHED!$I10,IF(MATCHED!AU10=9,MATCHED!$J10,IF(MATCHED!AU10=10,MATCHED!$K10,IF(MATCHED!AU10=11,MATCHED!$L10,IF(MATCHED!AU10=12,MATCHED!$M10,IF(MATCHED!AU10=13,MATCHED!$N10,IF(MATCHED!AU10=14,MATCHED!$O10,"")))))))&amp;IF(MATCHED!AU10=15,MATCHED!$P10,IF(MATCHED!AU10=16,MATCHED!$Q10,IF(MATCHED!AU10=17,MATCHED!$R10,IF(MATCHED!AU10=18,MATCHED!$S10,IF(MATCHED!AU10=19,MATCHED!$T10,IF(MATCHED!AU10=20,MATCHED!$U10,IF(MATCHED!AU10=21,MATCHED!$V10,)))))))&amp;IF(MATCHED!AU10=22,MATCHED!$W10,IF(MATCHED!AU10=23,MATCHED!$X10,IF(MATCHED!AU10=24,MATCHED!$Y10,IF(MATCHED!AU10=25,MATCHED!$Z10,IF(MATCHED!AU10=26,MATCHED!$AA10,IF(MATCHED!AU10=27,MATCHED!$AB10,"."))))))</f>
        <v>#N/A</v>
      </c>
      <c r="T10" s="339" t="e">
        <f>IF(MATCHED!AV10=1,MATCHED!$B10,IF(MATCHED!AV10=2,MATCHED!$C10,IF(MATCHED!AV10=3,MATCHED!$D10,IF(MATCHED!AV10=4,MATCHED!$E10,IF(MATCHED!AV10=3,MATCHED!$F10,IF(MATCHED!AV10=6,MATCHED!$G10,IF(MATCHED!AV10=7,MATCHED!$H10,"")))))))&amp;IF(MATCHED!AV10=8,MATCHED!$I10,IF(MATCHED!AV10=9,MATCHED!$J10,IF(MATCHED!AV10=10,MATCHED!$K10,IF(MATCHED!AV10=11,MATCHED!$L10,IF(MATCHED!AV10=12,MATCHED!$M10,IF(MATCHED!AV10=13,MATCHED!$N10,IF(MATCHED!AV10=14,MATCHED!$O10,"")))))))&amp;IF(MATCHED!AV10=15,MATCHED!$P10,IF(MATCHED!AV10=16,MATCHED!$Q10,IF(MATCHED!AV10=17,MATCHED!$R10,IF(MATCHED!AV10=18,MATCHED!$S10,IF(MATCHED!AV10=19,MATCHED!$T10,IF(MATCHED!AV10=20,MATCHED!$U10,IF(MATCHED!AV10=21,MATCHED!$V10,)))))))&amp;IF(MATCHED!AV10=22,MATCHED!$W10,IF(MATCHED!AV10=23,MATCHED!$X10,IF(MATCHED!AV10=24,MATCHED!$Y10,IF(MATCHED!AV10=25,MATCHED!$Z10,IF(MATCHED!AV10=26,MATCHED!$AA10,IF(MATCHED!AV10=27,MATCHED!$AB10,"."))))))</f>
        <v>#N/A</v>
      </c>
      <c r="U10" s="339" t="e">
        <f>IF(MATCHED!AW10=1,MATCHED!$B10,IF(MATCHED!AW10=2,MATCHED!$C10,IF(MATCHED!AW10=3,MATCHED!$D10,IF(MATCHED!AW10=4,MATCHED!$E10,IF(MATCHED!AW10=3,MATCHED!$F10,IF(MATCHED!AW10=6,MATCHED!$G10,IF(MATCHED!AW10=7,MATCHED!$H10,"")))))))&amp;IF(MATCHED!AW10=8,MATCHED!$I10,IF(MATCHED!AW10=9,MATCHED!$J10,IF(MATCHED!AW10=10,MATCHED!$K10,IF(MATCHED!AW10=11,MATCHED!$L10,IF(MATCHED!AW10=12,MATCHED!$M10,IF(MATCHED!AW10=13,MATCHED!$N10,IF(MATCHED!AW10=14,MATCHED!$O10,"")))))))&amp;IF(MATCHED!AW10=15,MATCHED!$P10,IF(MATCHED!AW10=16,MATCHED!$Q10,IF(MATCHED!AW10=17,MATCHED!$R10,IF(MATCHED!AW10=18,MATCHED!$S10,IF(MATCHED!AW10=19,MATCHED!$T10,IF(MATCHED!AW10=20,MATCHED!$U10,IF(MATCHED!AW10=21,MATCHED!$V10,)))))))&amp;IF(MATCHED!AW10=22,MATCHED!$W10,IF(MATCHED!AW10=23,MATCHED!$X10,IF(MATCHED!AW10=24,MATCHED!$Y10,IF(MATCHED!AW10=25,MATCHED!$Z10,IF(MATCHED!AW10=26,MATCHED!$AA10,IF(MATCHED!AW10=27,MATCHED!$AB10,"."))))))</f>
        <v>#N/A</v>
      </c>
      <c r="V10" s="339" t="e">
        <f>IF(MATCHED!AX10=1,MATCHED!$B10,IF(MATCHED!AX10=2,MATCHED!$C10,IF(MATCHED!AX10=3,MATCHED!$D10,IF(MATCHED!AX10=4,MATCHED!$E10,IF(MATCHED!AX10=3,MATCHED!$F10,IF(MATCHED!AX10=6,MATCHED!$G10,IF(MATCHED!AX10=7,MATCHED!$H10,"")))))))&amp;IF(MATCHED!AX10=8,MATCHED!$I10,IF(MATCHED!AX10=9,MATCHED!$J10,IF(MATCHED!AX10=10,MATCHED!$K10,IF(MATCHED!AX10=11,MATCHED!$L10,IF(MATCHED!AX10=12,MATCHED!$M10,IF(MATCHED!AX10=13,MATCHED!$N10,IF(MATCHED!AX10=14,MATCHED!$O10,"")))))))&amp;IF(MATCHED!AX10=15,MATCHED!$P10,IF(MATCHED!AX10=16,MATCHED!$Q10,IF(MATCHED!AX10=17,MATCHED!$R10,IF(MATCHED!AX10=18,MATCHED!$S10,IF(MATCHED!AX10=19,MATCHED!$T10,IF(MATCHED!AX10=20,MATCHED!$U10,IF(MATCHED!AX10=21,MATCHED!$V10,)))))))&amp;IF(MATCHED!AX10=22,MATCHED!$W10,IF(MATCHED!AX10=23,MATCHED!$X10,IF(MATCHED!AX10=24,MATCHED!$Y10,IF(MATCHED!AX10=25,MATCHED!$Z10,IF(MATCHED!AX10=26,MATCHED!$AA10,IF(MATCHED!AX10=27,MATCHED!$AB10,"."))))))</f>
        <v>#N/A</v>
      </c>
      <c r="W10" s="339" t="e">
        <f>IF(MATCHED!AY10=1,MATCHED!$B10,IF(MATCHED!AY10=2,MATCHED!$C10,IF(MATCHED!AY10=3,MATCHED!$D10,IF(MATCHED!AY10=4,MATCHED!$E10,IF(MATCHED!AY10=3,MATCHED!$F10,IF(MATCHED!AY10=6,MATCHED!$G10,IF(MATCHED!AY10=7,MATCHED!$H10,"")))))))&amp;IF(MATCHED!AY10=8,MATCHED!$I10,IF(MATCHED!AY10=9,MATCHED!$J10,IF(MATCHED!AY10=10,MATCHED!$K10,IF(MATCHED!AY10=11,MATCHED!$L10,IF(MATCHED!AY10=12,MATCHED!$M10,IF(MATCHED!AY10=13,MATCHED!$N10,IF(MATCHED!AY10=14,MATCHED!$O10,"")))))))&amp;IF(MATCHED!AY10=15,MATCHED!$P10,IF(MATCHED!AY10=16,MATCHED!$Q10,IF(MATCHED!AY10=17,MATCHED!$R10,IF(MATCHED!AY10=18,MATCHED!$S10,IF(MATCHED!AY10=19,MATCHED!$T10,IF(MATCHED!AY10=20,MATCHED!$U10,IF(MATCHED!AY10=21,MATCHED!$V10,)))))))&amp;IF(MATCHED!AY10=22,MATCHED!$W10,IF(MATCHED!AY10=23,MATCHED!$X10,IF(MATCHED!AY10=24,MATCHED!$Y10,IF(MATCHED!AY10=25,MATCHED!$Z10,IF(MATCHED!AY10=26,MATCHED!$AA10,IF(MATCHED!AY10=27,MATCHED!$AB10,"."))))))</f>
        <v>#N/A</v>
      </c>
      <c r="X10" s="339" t="e">
        <f>IF(MATCHED!AZ10=1,MATCHED!$B10,IF(MATCHED!AZ10=2,MATCHED!$C10,IF(MATCHED!AZ10=3,MATCHED!$D10,IF(MATCHED!AZ10=4,MATCHED!$E10,IF(MATCHED!AZ10=3,MATCHED!$F10,IF(MATCHED!AZ10=6,MATCHED!$G10,IF(MATCHED!AZ10=7,MATCHED!$H10,"")))))))&amp;IF(MATCHED!AZ10=8,MATCHED!$I10,IF(MATCHED!AZ10=9,MATCHED!$J10,IF(MATCHED!AZ10=10,MATCHED!$K10,IF(MATCHED!AZ10=11,MATCHED!$L10,IF(MATCHED!AZ10=12,MATCHED!$M10,IF(MATCHED!AZ10=13,MATCHED!$N10,IF(MATCHED!AZ10=14,MATCHED!$O10,"")))))))&amp;IF(MATCHED!AZ10=15,MATCHED!$P10,IF(MATCHED!AZ10=16,MATCHED!$Q10,IF(MATCHED!AZ10=17,MATCHED!$R10,IF(MATCHED!AZ10=18,MATCHED!$S10,IF(MATCHED!AZ10=19,MATCHED!$T10,IF(MATCHED!AZ10=20,MATCHED!$U10,IF(MATCHED!AZ10=21,MATCHED!$V10,)))))))&amp;IF(MATCHED!AZ10=22,MATCHED!$W10,IF(MATCHED!AZ10=23,MATCHED!$X10,IF(MATCHED!AZ10=24,MATCHED!$Y10,IF(MATCHED!AZ10=25,MATCHED!$Z10,IF(MATCHED!AZ10=26,MATCHED!$AA10,IF(MATCHED!AZ10=27,MATCHED!$AB10,"."))))))</f>
        <v>#N/A</v>
      </c>
      <c r="Y10" s="339" t="e">
        <f>IF(MATCHED!BA10=1,MATCHED!$B10,IF(MATCHED!BA10=2,MATCHED!$C10,IF(MATCHED!BA10=3,MATCHED!$D10,IF(MATCHED!BA10=4,MATCHED!$E10,IF(MATCHED!BA10=3,MATCHED!$F10,IF(MATCHED!BA10=6,MATCHED!$G10,IF(MATCHED!BA10=7,MATCHED!$H10,"")))))))&amp;IF(MATCHED!BA10=8,MATCHED!$I10,IF(MATCHED!BA10=9,MATCHED!$J10,IF(MATCHED!BA10=10,MATCHED!$K10,IF(MATCHED!BA10=11,MATCHED!$L10,IF(MATCHED!BA10=12,MATCHED!$M10,IF(MATCHED!BA10=13,MATCHED!$N10,IF(MATCHED!BA10=14,MATCHED!$O10,"")))))))&amp;IF(MATCHED!BA10=15,MATCHED!$P10,IF(MATCHED!BA10=16,MATCHED!$Q10,IF(MATCHED!BA10=17,MATCHED!$R10,IF(MATCHED!BA10=18,MATCHED!$S10,IF(MATCHED!BA10=19,MATCHED!$T10,IF(MATCHED!BA10=20,MATCHED!$U10,IF(MATCHED!BA10=21,MATCHED!$V10,)))))))&amp;IF(MATCHED!BA10=22,MATCHED!$W10,IF(MATCHED!BA10=23,MATCHED!$X10,IF(MATCHED!BA10=24,MATCHED!$Y10,IF(MATCHED!BA10=25,MATCHED!$Z10,IF(MATCHED!BA10=26,MATCHED!$AA10,IF(MATCHED!BA10=27,MATCHED!$AB10,"."))))))</f>
        <v>#N/A</v>
      </c>
      <c r="Z10" s="339" t="e">
        <f>IF(MATCHED!BB10=1,MATCHED!$B10,IF(MATCHED!BB10=2,MATCHED!$C10,IF(MATCHED!BB10=3,MATCHED!$D10,IF(MATCHED!BB10=4,MATCHED!$E10,IF(MATCHED!BB10=3,MATCHED!$F10,IF(MATCHED!BB10=6,MATCHED!$G10,IF(MATCHED!BB10=7,MATCHED!$H10,"")))))))&amp;IF(MATCHED!BB10=8,MATCHED!$I10,IF(MATCHED!BB10=9,MATCHED!$J10,IF(MATCHED!BB10=10,MATCHED!$K10,IF(MATCHED!BB10=11,MATCHED!$L10,IF(MATCHED!BB10=12,MATCHED!$M10,IF(MATCHED!BB10=13,MATCHED!$N10,IF(MATCHED!BB10=14,MATCHED!$O10,"")))))))&amp;IF(MATCHED!BB10=15,MATCHED!$P10,IF(MATCHED!BB10=16,MATCHED!$Q10,IF(MATCHED!BB10=17,MATCHED!$R10,IF(MATCHED!BB10=18,MATCHED!$S10,IF(MATCHED!BB10=19,MATCHED!$T10,IF(MATCHED!BB10=20,MATCHED!$U10,IF(MATCHED!BB10=21,MATCHED!$V10,)))))))&amp;IF(MATCHED!BB10=22,MATCHED!$W10,IF(MATCHED!BB10=23,MATCHED!$X10,IF(MATCHED!BB10=24,MATCHED!$Y10,IF(MATCHED!BB10=25,MATCHED!$Z10,IF(MATCHED!BB10=26,MATCHED!$AA10,IF(MATCHED!BB10=27,MATCHED!$AB10,"."))))))</f>
        <v>#N/A</v>
      </c>
      <c r="AA10" s="339" t="e">
        <f>IF(MATCHED!BC10=1,MATCHED!$B10,IF(MATCHED!BC10=2,MATCHED!$C10,IF(MATCHED!BC10=3,MATCHED!$D10,IF(MATCHED!BC10=4,MATCHED!$E10,IF(MATCHED!BC10=3,MATCHED!$F10,IF(MATCHED!BC10=6,MATCHED!$G10,IF(MATCHED!BC10=7,MATCHED!$H10,"")))))))&amp;IF(MATCHED!BC10=8,MATCHED!$I10,IF(MATCHED!BC10=9,MATCHED!$J10,IF(MATCHED!BC10=10,MATCHED!$K10,IF(MATCHED!BC10=11,MATCHED!$L10,IF(MATCHED!BC10=12,MATCHED!$M10,IF(MATCHED!BC10=13,MATCHED!$N10,IF(MATCHED!BC10=14,MATCHED!$O10,"")))))))&amp;IF(MATCHED!BC10=15,MATCHED!$P10,IF(MATCHED!BC10=16,MATCHED!$Q10,IF(MATCHED!BC10=17,MATCHED!$R10,IF(MATCHED!BC10=18,MATCHED!$S10,IF(MATCHED!BC10=19,MATCHED!$T10,IF(MATCHED!BC10=20,MATCHED!$U10,IF(MATCHED!BC10=21,MATCHED!$V10,)))))))&amp;IF(MATCHED!BC10=22,MATCHED!$W10,IF(MATCHED!BC10=23,MATCHED!$X10,IF(MATCHED!BC10=24,MATCHED!$Y10,IF(MATCHED!BC10=25,MATCHED!$Z10,IF(MATCHED!BC10=26,MATCHED!$AA10,IF(MATCHED!BC10=27,MATCHED!$AB10,"."))))))</f>
        <v>#N/A</v>
      </c>
      <c r="AB10" s="339" t="e">
        <f>IF(MATCHED!BD10=1,MATCHED!$B10,IF(MATCHED!BD10=2,MATCHED!$C10,IF(MATCHED!BD10=3,MATCHED!$D10,IF(MATCHED!BD10=4,MATCHED!$E10,IF(MATCHED!BD10=3,MATCHED!$F10,IF(MATCHED!BD10=6,MATCHED!$G10,IF(MATCHED!BD10=7,MATCHED!$H10,"")))))))&amp;IF(MATCHED!BD10=8,MATCHED!$I10,IF(MATCHED!BD10=9,MATCHED!$J10,IF(MATCHED!BD10=10,MATCHED!$K10,IF(MATCHED!BD10=11,MATCHED!$L10,IF(MATCHED!BD10=12,MATCHED!$M10,IF(MATCHED!BD10=13,MATCHED!$N10,IF(MATCHED!BD10=14,MATCHED!$O10,"")))))))&amp;IF(MATCHED!BD10=15,MATCHED!$P10,IF(MATCHED!BD10=16,MATCHED!$Q10,IF(MATCHED!BD10=17,MATCHED!$R10,IF(MATCHED!BD10=18,MATCHED!$S10,IF(MATCHED!BD10=19,MATCHED!$T10,IF(MATCHED!BD10=20,MATCHED!$U10,IF(MATCHED!BD10=21,MATCHED!$V10,)))))))&amp;IF(MATCHED!BD10=22,MATCHED!$W10,IF(MATCHED!BD10=23,MATCHED!$X10,IF(MATCHED!BD10=24,MATCHED!$Y10,IF(MATCHED!BD10=25,MATCHED!$Z10,IF(MATCHED!BD10=26,MATCHED!$AA10,IF(MATCHED!BD10=27,MATCHED!$AB10,"."))))))</f>
        <v>#N/A</v>
      </c>
      <c r="AC10" s="339" t="e">
        <f>IF(MATCHED!BE10=1,MATCHED!$B10,IF(MATCHED!BE10=2,MATCHED!$C10,IF(MATCHED!BE10=3,MATCHED!$D10,IF(MATCHED!BE10=4,MATCHED!$E10,IF(MATCHED!BE10=3,MATCHED!$F10,IF(MATCHED!BE10=6,MATCHED!$G10,IF(MATCHED!BE10=7,MATCHED!$H10,"")))))))&amp;IF(MATCHED!BE10=8,MATCHED!$I10,IF(MATCHED!BE10=9,MATCHED!$J10,IF(MATCHED!BE10=10,MATCHED!$K10,IF(MATCHED!BE10=11,MATCHED!$L10,IF(MATCHED!BE10=12,MATCHED!$M10,IF(MATCHED!BE10=13,MATCHED!$N10,IF(MATCHED!BE10=14,MATCHED!$O10,"")))))))&amp;IF(MATCHED!BE10=15,MATCHED!$P10,IF(MATCHED!BE10=16,MATCHED!$Q10,IF(MATCHED!BE10=17,MATCHED!$R10,IF(MATCHED!BE10=18,MATCHED!$S10,IF(MATCHED!BE10=19,MATCHED!$T10,IF(MATCHED!BE10=20,MATCHED!$U10,IF(MATCHED!BE10=21,MATCHED!$V10,)))))))&amp;IF(MATCHED!BE10=22,MATCHED!$W10,IF(MATCHED!BE10=23,MATCHED!$X10,IF(MATCHED!BE10=24,MATCHED!$Y10,IF(MATCHED!BE10=25,MATCHED!$Z10,IF(MATCHED!BE10=26,MATCHED!$AA10,IF(MATCHED!BE10=27,MATCHED!$AB10,"."))))))</f>
        <v>#N/A</v>
      </c>
      <c r="AD10" s="339" t="e">
        <f>IF(MATCHED!BF10=1,MATCHED!$B10,IF(MATCHED!BF10=2,MATCHED!$C10,IF(MATCHED!BF10=3,MATCHED!$D10,IF(MATCHED!BF10=4,MATCHED!$E10,IF(MATCHED!BF10=3,MATCHED!$F10,IF(MATCHED!BF10=6,MATCHED!$G10,IF(MATCHED!BF10=7,MATCHED!$H10,"")))))))&amp;IF(MATCHED!BF10=8,MATCHED!$I10,IF(MATCHED!BF10=9,MATCHED!$J10,IF(MATCHED!BF10=10,MATCHED!$K10,IF(MATCHED!BF10=11,MATCHED!$L10,IF(MATCHED!BF10=12,MATCHED!$M10,IF(MATCHED!BF10=13,MATCHED!$N10,IF(MATCHED!BF10=14,MATCHED!$O10,"")))))))&amp;IF(MATCHED!BF10=15,MATCHED!$P10,IF(MATCHED!BF10=16,MATCHED!$Q10,IF(MATCHED!BF10=17,MATCHED!$R10,IF(MATCHED!BF10=18,MATCHED!$S10,IF(MATCHED!BF10=19,MATCHED!$T10,IF(MATCHED!BF10=20,MATCHED!$U10,IF(MATCHED!BF10=21,MATCHED!$V10,)))))))&amp;IF(MATCHED!BF10=22,MATCHED!$W10,IF(MATCHED!BF10=23,MATCHED!$X10,IF(MATCHED!BF10=24,MATCHED!$Y10,IF(MATCHED!BF10=25,MATCHED!$Z10,IF(MATCHED!BF10=26,MATCHED!$AA10,IF(MATCHED!BF10=27,MATCHED!$AB10,"."))))))</f>
        <v>#N/A</v>
      </c>
      <c r="AE10" s="339" t="e">
        <f>IF(MATCHED!BG10=1,MATCHED!$B10,IF(MATCHED!BG10=2,MATCHED!$C10,IF(MATCHED!BG10=3,MATCHED!$D10,IF(MATCHED!BG10=4,MATCHED!$E10,IF(MATCHED!BG10=3,MATCHED!$F10,IF(MATCHED!BG10=6,MATCHED!$G10,IF(MATCHED!BG10=7,MATCHED!$H10,"")))))))&amp;IF(MATCHED!BG10=8,MATCHED!$I10,IF(MATCHED!BG10=9,MATCHED!$J10,IF(MATCHED!BG10=10,MATCHED!$K10,IF(MATCHED!BG10=11,MATCHED!$L10,IF(MATCHED!BG10=12,MATCHED!$M10,IF(MATCHED!BG10=13,MATCHED!$N10,IF(MATCHED!BG10=14,MATCHED!$O10,"")))))))&amp;IF(MATCHED!BG10=15,MATCHED!$P10,IF(MATCHED!BG10=16,MATCHED!$Q10,IF(MATCHED!BG10=17,MATCHED!$R10,IF(MATCHED!BG10=18,MATCHED!$S10,IF(MATCHED!BG10=19,MATCHED!$T10,IF(MATCHED!BG10=20,MATCHED!$U10,IF(MATCHED!BG10=21,MATCHED!$V10,)))))))&amp;IF(MATCHED!BG10=22,MATCHED!$W10,IF(MATCHED!BG10=23,MATCHED!$X10,IF(MATCHED!BG10=24,MATCHED!$Y10,IF(MATCHED!BG10=25,MATCHED!$Z10,IF(MATCHED!BG10=26,MATCHED!$AA10,IF(MATCHED!BG10=27,MATCHED!$AB10,"."))))))</f>
        <v>#N/A</v>
      </c>
      <c r="AF10" s="339" t="e">
        <f>IF(MATCHED!BH10=1,MATCHED!$B10,IF(MATCHED!BH10=2,MATCHED!$C10,IF(MATCHED!BH10=3,MATCHED!$D10,IF(MATCHED!BH10=4,MATCHED!$E10,IF(MATCHED!BH10=3,MATCHED!$F10,IF(MATCHED!BH10=6,MATCHED!$G10,IF(MATCHED!BH10=7,MATCHED!$H10,"")))))))&amp;IF(MATCHED!BH10=8,MATCHED!$I10,IF(MATCHED!BH10=9,MATCHED!$J10,IF(MATCHED!BH10=10,MATCHED!$K10,IF(MATCHED!BH10=11,MATCHED!$L10,IF(MATCHED!BH10=12,MATCHED!$M10,IF(MATCHED!BH10=13,MATCHED!$N10,IF(MATCHED!BH10=14,MATCHED!$O10,"")))))))&amp;IF(MATCHED!BH10=15,MATCHED!$P10,IF(MATCHED!BH10=16,MATCHED!$Q10,IF(MATCHED!BH10=17,MATCHED!$R10,IF(MATCHED!BH10=18,MATCHED!$S10,IF(MATCHED!BH10=19,MATCHED!$T10,IF(MATCHED!BH10=20,MATCHED!$U10,IF(MATCHED!BH10=21,MATCHED!$V10,)))))))&amp;IF(MATCHED!BH10=22,MATCHED!$W10,IF(MATCHED!BH10=23,MATCHED!$X10,IF(MATCHED!BH10=24,MATCHED!$Y10,IF(MATCHED!BH10=25,MATCHED!$Z10,IF(MATCHED!BH10=26,MATCHED!$AA10,IF(MATCHED!BH10=27,MATCHED!$AB10,"."))))))</f>
        <v>#N/A</v>
      </c>
      <c r="AG10" s="339" t="e">
        <f>IF(MATCHED!BI10=1,MATCHED!$B10,IF(MATCHED!BI10=2,MATCHED!$C10,IF(MATCHED!BI10=3,MATCHED!$D10,IF(MATCHED!BI10=4,MATCHED!$E10,IF(MATCHED!BI10=3,MATCHED!$F10,IF(MATCHED!BI10=6,MATCHED!$G10,IF(MATCHED!BI10=7,MATCHED!$H10,"")))))))&amp;IF(MATCHED!BI10=8,MATCHED!$I10,IF(MATCHED!BI10=9,MATCHED!$J10,IF(MATCHED!BI10=10,MATCHED!$K10,IF(MATCHED!BI10=11,MATCHED!$L10,IF(MATCHED!BI10=12,MATCHED!$M10,IF(MATCHED!BI10=13,MATCHED!$N10,IF(MATCHED!BI10=14,MATCHED!$O10,"")))))))&amp;IF(MATCHED!BI10=15,MATCHED!$P10,IF(MATCHED!BI10=16,MATCHED!$Q10,IF(MATCHED!BI10=17,MATCHED!$R10,IF(MATCHED!BI10=18,MATCHED!$S10,IF(MATCHED!BI10=19,MATCHED!$T10,IF(MATCHED!BI10=20,MATCHED!$U10,IF(MATCHED!BI10=21,MATCHED!$V10,)))))))&amp;IF(MATCHED!BI10=22,MATCHED!$W10,IF(MATCHED!BI10=23,MATCHED!$X10,IF(MATCHED!BI10=24,MATCHED!$Y10,IF(MATCHED!BI10=25,MATCHED!$Z10,IF(MATCHED!BI10=26,MATCHED!$AA10,IF(MATCHED!BI10=27,MATCHED!$AB10,"."))))))</f>
        <v>#N/A</v>
      </c>
      <c r="AH10" s="339" t="e">
        <f>IF(MATCHED!BJ10=1,MATCHED!$B10,IF(MATCHED!BJ10=2,MATCHED!$C10,IF(MATCHED!BJ10=3,MATCHED!$D10,IF(MATCHED!BJ10=4,MATCHED!$E10,IF(MATCHED!BJ10=3,MATCHED!$F10,IF(MATCHED!BJ10=6,MATCHED!$G10,IF(MATCHED!BJ10=7,MATCHED!$H10,"")))))))&amp;IF(MATCHED!BJ10=8,MATCHED!$I10,IF(MATCHED!BJ10=9,MATCHED!$J10,IF(MATCHED!BJ10=10,MATCHED!$K10,IF(MATCHED!BJ10=11,MATCHED!$L10,IF(MATCHED!BJ10=12,MATCHED!$M10,IF(MATCHED!BJ10=13,MATCHED!$N10,IF(MATCHED!BJ10=14,MATCHED!$O10,"")))))))&amp;IF(MATCHED!BJ10=15,MATCHED!$P10,IF(MATCHED!BJ10=16,MATCHED!$Q10,IF(MATCHED!BJ10=17,MATCHED!$R10,IF(MATCHED!BJ10=18,MATCHED!$S10,IF(MATCHED!BJ10=19,MATCHED!$T10,IF(MATCHED!BJ10=20,MATCHED!$U10,IF(MATCHED!BJ10=21,MATCHED!$V10,)))))))&amp;IF(MATCHED!BJ10=22,MATCHED!$W10,IF(MATCHED!BJ10=23,MATCHED!$X10,IF(MATCHED!BJ10=24,MATCHED!$Y10,IF(MATCHED!BJ10=25,MATCHED!$Z10,IF(MATCHED!BJ10=26,MATCHED!$AA10,IF(MATCHED!BJ10=27,MATCHED!$AB10,"."))))))</f>
        <v>#N/A</v>
      </c>
      <c r="AI10" s="339" t="e">
        <f>IF(MATCHED!BK10=1,MATCHED!$B10,IF(MATCHED!BK10=2,MATCHED!$C10,IF(MATCHED!BK10=3,MATCHED!$D10,IF(MATCHED!BK10=4,MATCHED!$E10,IF(MATCHED!BK10=3,MATCHED!$F10,IF(MATCHED!BK10=6,MATCHED!$G10,IF(MATCHED!BK10=7,MATCHED!$H10,"")))))))&amp;IF(MATCHED!BK10=8,MATCHED!$I10,IF(MATCHED!BK10=9,MATCHED!$J10,IF(MATCHED!BK10=10,MATCHED!$K10,IF(MATCHED!BK10=11,MATCHED!$L10,IF(MATCHED!BK10=12,MATCHED!$M10,IF(MATCHED!BK10=13,MATCHED!$N10,IF(MATCHED!BK10=14,MATCHED!$O10,"")))))))&amp;IF(MATCHED!BK10=15,MATCHED!$P10,IF(MATCHED!BK10=16,MATCHED!$Q10,IF(MATCHED!BK10=17,MATCHED!$R10,IF(MATCHED!BK10=18,MATCHED!$S10,IF(MATCHED!BK10=19,MATCHED!$T10,IF(MATCHED!BK10=20,MATCHED!$U10,IF(MATCHED!BK10=21,MATCHED!$V10,)))))))&amp;IF(MATCHED!BK10=22,MATCHED!$W10,IF(MATCHED!BK10=23,MATCHED!$X10,IF(MATCHED!BK10=24,MATCHED!$Y10,IF(MATCHED!BK10=25,MATCHED!$Z10,IF(MATCHED!BK10=26,MATCHED!$AA10,IF(MATCHED!BK10=27,MATCHED!$AB10,"."))))))</f>
        <v>#N/A</v>
      </c>
      <c r="AJ10" s="534"/>
    </row>
    <row r="11" spans="1:104" s="338" customFormat="1" x14ac:dyDescent="0.25">
      <c r="A11" s="534"/>
      <c r="B11" s="340" t="e">
        <f>IF(MATCHED!AD11=1,MATCHED!$B11,IF(MATCHED!AD11=2,MATCHED!$C11,IF(MATCHED!AD11=3,MATCHED!$D11,IF(MATCHED!AD11=4,MATCHED!$E11,IF(MATCHED!AD11=3,MATCHED!$F11,IF(MATCHED!AD11=6,MATCHED!$G11,IF(MATCHED!AD11=7,MATCHED!$H11,"")))))))&amp;IF(MATCHED!AD11=8,MATCHED!$I11,IF(MATCHED!AD11=9,MATCHED!$J11,IF(MATCHED!AD11=10,MATCHED!$K11,IF(MATCHED!AD11=11,MATCHED!$L11,IF(MATCHED!AD11=12,MATCHED!$M11,IF(MATCHED!AD11=13,MATCHED!$N11,IF(MATCHED!AD11=14,MATCHED!$O11,"")))))))&amp;IF(MATCHED!AD11=15,MATCHED!$P11,IF(MATCHED!AD11=16,MATCHED!$Q11,IF(MATCHED!AD11=17,MATCHED!$R11,IF(MATCHED!AD11=18,MATCHED!$S11,IF(MATCHED!AD11=19,MATCHED!$T11,IF(MATCHED!AD11=20,MATCHED!$U11,IF(MATCHED!AD11=21,MATCHED!$V11,)))))))&amp;IF(MATCHED!AD11=22,MATCHED!$W11,IF(MATCHED!AD11=23,MATCHED!$X11,IF(MATCHED!AD11=24,MATCHED!$Y11,IF(MATCHED!AD11=25,MATCHED!$Z11,IF(MATCHED!AD11=26,MATCHED!$AA11,IF(MATCHED!AD11=27,MATCHED!$AB11,"."))))))</f>
        <v>#N/A</v>
      </c>
      <c r="C11" s="341" t="e">
        <f>IF(MATCHED!AE11=1,MATCHED!$B11,IF(MATCHED!AE11=2,MATCHED!$C11,IF(MATCHED!AE11=3,MATCHED!$D11,IF(MATCHED!AE11=4,MATCHED!$E11,IF(MATCHED!AE11=3,MATCHED!$F11,IF(MATCHED!AE11=6,MATCHED!$G11,IF(MATCHED!AE11=7,MATCHED!$H11,"")))))))&amp;IF(MATCHED!AE11=8,MATCHED!$I11,IF(MATCHED!AE11=9,MATCHED!$J11,IF(MATCHED!AE11=10,MATCHED!$K11,IF(MATCHED!AE11=11,MATCHED!$L11,IF(MATCHED!AE11=12,MATCHED!$M11,IF(MATCHED!AE11=13,MATCHED!$N11,IF(MATCHED!AE11=14,MATCHED!$O11,"")))))))&amp;IF(MATCHED!AE11=15,MATCHED!$P11,IF(MATCHED!AE11=16,MATCHED!$Q11,IF(MATCHED!AE11=17,MATCHED!$R11,IF(MATCHED!AE11=18,MATCHED!$S11,IF(MATCHED!AE11=19,MATCHED!$T11,IF(MATCHED!AE11=20,MATCHED!$U11,IF(MATCHED!AE11=21,MATCHED!$V11,)))))))&amp;IF(MATCHED!AE11=22,MATCHED!$W11,IF(MATCHED!AE11=23,MATCHED!$X11,IF(MATCHED!AE11=24,MATCHED!$Y11,IF(MATCHED!AE11=25,MATCHED!$Z11,IF(MATCHED!AE11=26,MATCHED!$AA11,IF(MATCHED!AE11=27,MATCHED!$AB11,"."))))))</f>
        <v>#N/A</v>
      </c>
      <c r="D11" s="341" t="e">
        <f>IF(MATCHED!AF11=1,MATCHED!$B11,IF(MATCHED!AF11=2,MATCHED!$C11,IF(MATCHED!AF11=3,MATCHED!$D11,IF(MATCHED!AF11=4,MATCHED!$E11,IF(MATCHED!AF11=3,MATCHED!$F11,IF(MATCHED!AF11=6,MATCHED!$G11,IF(MATCHED!AF11=7,MATCHED!$H11,"")))))))&amp;IF(MATCHED!AF11=8,MATCHED!$I11,IF(MATCHED!AF11=9,MATCHED!$J11,IF(MATCHED!AF11=10,MATCHED!$K11,IF(MATCHED!AF11=11,MATCHED!$L11,IF(MATCHED!AF11=12,MATCHED!$M11,IF(MATCHED!AF11=13,MATCHED!$N11,IF(MATCHED!AF11=14,MATCHED!$O11,"")))))))&amp;IF(MATCHED!AF11=15,MATCHED!$P11,IF(MATCHED!AF11=16,MATCHED!$Q11,IF(MATCHED!AF11=17,MATCHED!$R11,IF(MATCHED!AF11=18,MATCHED!$S11,IF(MATCHED!AF11=19,MATCHED!$T11,IF(MATCHED!AF11=20,MATCHED!$U11,IF(MATCHED!AF11=21,MATCHED!$V11,)))))))&amp;IF(MATCHED!AF11=22,MATCHED!$W11,IF(MATCHED!AF11=23,MATCHED!$X11,IF(MATCHED!AF11=24,MATCHED!$Y11,IF(MATCHED!AF11=25,MATCHED!$Z11,IF(MATCHED!AF11=26,MATCHED!$AA11,IF(MATCHED!AF11=27,MATCHED!$AB11,"."))))))</f>
        <v>#N/A</v>
      </c>
      <c r="E11" s="341" t="e">
        <f>IF(MATCHED!AG11=1,MATCHED!$B11,IF(MATCHED!AG11=2,MATCHED!$C11,IF(MATCHED!AG11=3,MATCHED!$D11,IF(MATCHED!AG11=4,MATCHED!$E11,IF(MATCHED!AG11=3,MATCHED!$F11,IF(MATCHED!AG11=6,MATCHED!$G11,IF(MATCHED!AG11=7,MATCHED!$H11,"")))))))&amp;IF(MATCHED!AG11=8,MATCHED!$I11,IF(MATCHED!AG11=9,MATCHED!$J11,IF(MATCHED!AG11=10,MATCHED!$K11,IF(MATCHED!AG11=11,MATCHED!$L11,IF(MATCHED!AG11=12,MATCHED!$M11,IF(MATCHED!AG11=13,MATCHED!$N11,IF(MATCHED!AG11=14,MATCHED!$O11,"")))))))&amp;IF(MATCHED!AG11=15,MATCHED!$P11,IF(MATCHED!AG11=16,MATCHED!$Q11,IF(MATCHED!AG11=17,MATCHED!$R11,IF(MATCHED!AG11=18,MATCHED!$S11,IF(MATCHED!AG11=19,MATCHED!$T11,IF(MATCHED!AG11=20,MATCHED!$U11,IF(MATCHED!AG11=21,MATCHED!$V11,)))))))&amp;IF(MATCHED!AG11=22,MATCHED!$W11,IF(MATCHED!AG11=23,MATCHED!$X11,IF(MATCHED!AG11=24,MATCHED!$Y11,IF(MATCHED!AG11=25,MATCHED!$Z11,IF(MATCHED!AG11=26,MATCHED!$AA11,IF(MATCHED!AG11=27,MATCHED!$AB11,"."))))))</f>
        <v>#N/A</v>
      </c>
      <c r="F11" s="341" t="e">
        <f>IF(MATCHED!AH11=1,MATCHED!$B11,IF(MATCHED!AH11=2,MATCHED!$C11,IF(MATCHED!AH11=3,MATCHED!$D11,IF(MATCHED!AH11=4,MATCHED!$E11,IF(MATCHED!AH11=3,MATCHED!$F11,IF(MATCHED!AH11=6,MATCHED!$G11,IF(MATCHED!AH11=7,MATCHED!$H11,"")))))))&amp;IF(MATCHED!AH11=8,MATCHED!$I11,IF(MATCHED!AH11=9,MATCHED!$J11,IF(MATCHED!AH11=10,MATCHED!$K11,IF(MATCHED!AH11=11,MATCHED!$L11,IF(MATCHED!AH11=12,MATCHED!$M11,IF(MATCHED!AH11=13,MATCHED!$N11,IF(MATCHED!AH11=14,MATCHED!$O11,"")))))))&amp;IF(MATCHED!AH11=15,MATCHED!$P11,IF(MATCHED!AH11=16,MATCHED!$Q11,IF(MATCHED!AH11=17,MATCHED!$R11,IF(MATCHED!AH11=18,MATCHED!$S11,IF(MATCHED!AH11=19,MATCHED!$T11,IF(MATCHED!AH11=20,MATCHED!$U11,IF(MATCHED!AH11=21,MATCHED!$V11,)))))))&amp;IF(MATCHED!AH11=22,MATCHED!$W11,IF(MATCHED!AH11=23,MATCHED!$X11,IF(MATCHED!AH11=24,MATCHED!$Y11,IF(MATCHED!AH11=25,MATCHED!$Z11,IF(MATCHED!AH11=26,MATCHED!$AA11,IF(MATCHED!AH11=27,MATCHED!$AB11,"."))))))</f>
        <v>#N/A</v>
      </c>
      <c r="G11" s="341" t="e">
        <f>IF(MATCHED!AI11=1,MATCHED!$B11,IF(MATCHED!AI11=2,MATCHED!$C11,IF(MATCHED!AI11=3,MATCHED!$D11,IF(MATCHED!AI11=4,MATCHED!$E11,IF(MATCHED!AI11=3,MATCHED!$F11,IF(MATCHED!AI11=6,MATCHED!$G11,IF(MATCHED!AI11=7,MATCHED!$H11,"")))))))&amp;IF(MATCHED!AI11=8,MATCHED!$I11,IF(MATCHED!AI11=9,MATCHED!$J11,IF(MATCHED!AI11=10,MATCHED!$K11,IF(MATCHED!AI11=11,MATCHED!$L11,IF(MATCHED!AI11=12,MATCHED!$M11,IF(MATCHED!AI11=13,MATCHED!$N11,IF(MATCHED!AI11=14,MATCHED!$O11,"")))))))&amp;IF(MATCHED!AI11=15,MATCHED!$P11,IF(MATCHED!AI11=16,MATCHED!$Q11,IF(MATCHED!AI11=17,MATCHED!$R11,IF(MATCHED!AI11=18,MATCHED!$S11,IF(MATCHED!AI11=19,MATCHED!$T11,IF(MATCHED!AI11=20,MATCHED!$U11,IF(MATCHED!AI11=21,MATCHED!$V11,)))))))&amp;IF(MATCHED!AI11=22,MATCHED!$W11,IF(MATCHED!AI11=23,MATCHED!$X11,IF(MATCHED!AI11=24,MATCHED!$Y11,IF(MATCHED!AI11=25,MATCHED!$Z11,IF(MATCHED!AI11=26,MATCHED!$AA11,IF(MATCHED!AI11=27,MATCHED!$AB11,"."))))))</f>
        <v>#N/A</v>
      </c>
      <c r="H11" s="341" t="e">
        <f>IF(MATCHED!AJ11=1,MATCHED!$B11,IF(MATCHED!AJ11=2,MATCHED!$C11,IF(MATCHED!AJ11=3,MATCHED!$D11,IF(MATCHED!AJ11=4,MATCHED!$E11,IF(MATCHED!AJ11=3,MATCHED!$F11,IF(MATCHED!AJ11=6,MATCHED!$G11,IF(MATCHED!AJ11=7,MATCHED!$H11,"")))))))&amp;IF(MATCHED!AJ11=8,MATCHED!$I11,IF(MATCHED!AJ11=9,MATCHED!$J11,IF(MATCHED!AJ11=10,MATCHED!$K11,IF(MATCHED!AJ11=11,MATCHED!$L11,IF(MATCHED!AJ11=12,MATCHED!$M11,IF(MATCHED!AJ11=13,MATCHED!$N11,IF(MATCHED!AJ11=14,MATCHED!$O11,"")))))))&amp;IF(MATCHED!AJ11=15,MATCHED!$P11,IF(MATCHED!AJ11=16,MATCHED!$Q11,IF(MATCHED!AJ11=17,MATCHED!$R11,IF(MATCHED!AJ11=18,MATCHED!$S11,IF(MATCHED!AJ11=19,MATCHED!$T11,IF(MATCHED!AJ11=20,MATCHED!$U11,IF(MATCHED!AJ11=21,MATCHED!$V11,)))))))&amp;IF(MATCHED!AJ11=22,MATCHED!$W11,IF(MATCHED!AJ11=23,MATCHED!$X11,IF(MATCHED!AJ11=24,MATCHED!$Y11,IF(MATCHED!AJ11=25,MATCHED!$Z11,IF(MATCHED!AJ11=26,MATCHED!$AA11,IF(MATCHED!AJ11=27,MATCHED!$AB11,"."))))))</f>
        <v>#N/A</v>
      </c>
      <c r="I11" s="341" t="e">
        <f>IF(MATCHED!AK11=1,MATCHED!$B11,IF(MATCHED!AK11=2,MATCHED!$C11,IF(MATCHED!AK11=3,MATCHED!$D11,IF(MATCHED!AK11=4,MATCHED!$E11,IF(MATCHED!AK11=3,MATCHED!$F11,IF(MATCHED!AK11=6,MATCHED!$G11,IF(MATCHED!AK11=7,MATCHED!$H11,"")))))))&amp;IF(MATCHED!AK11=8,MATCHED!$I11,IF(MATCHED!AK11=9,MATCHED!$J11,IF(MATCHED!AK11=10,MATCHED!$K11,IF(MATCHED!AK11=11,MATCHED!$L11,IF(MATCHED!AK11=12,MATCHED!$M11,IF(MATCHED!AK11=13,MATCHED!$N11,IF(MATCHED!AK11=14,MATCHED!$O11,"")))))))&amp;IF(MATCHED!AK11=15,MATCHED!$P11,IF(MATCHED!AK11=16,MATCHED!$Q11,IF(MATCHED!AK11=17,MATCHED!$R11,IF(MATCHED!AK11=18,MATCHED!$S11,IF(MATCHED!AK11=19,MATCHED!$T11,IF(MATCHED!AK11=20,MATCHED!$U11,IF(MATCHED!AK11=21,MATCHED!$V11,)))))))&amp;IF(MATCHED!AK11=22,MATCHED!$W11,IF(MATCHED!AK11=23,MATCHED!$X11,IF(MATCHED!AK11=24,MATCHED!$Y11,IF(MATCHED!AK11=25,MATCHED!$Z11,IF(MATCHED!AK11=26,MATCHED!$AA11,IF(MATCHED!AK11=27,MATCHED!$AB11,"."))))))</f>
        <v>#N/A</v>
      </c>
      <c r="J11" s="341" t="e">
        <f>IF(MATCHED!AL11=1,MATCHED!$B11,IF(MATCHED!AL11=2,MATCHED!$C11,IF(MATCHED!AL11=3,MATCHED!$D11,IF(MATCHED!AL11=4,MATCHED!$E11,IF(MATCHED!AL11=3,MATCHED!$F11,IF(MATCHED!AL11=6,MATCHED!$G11,IF(MATCHED!AL11=7,MATCHED!$H11,"")))))))&amp;IF(MATCHED!AL11=8,MATCHED!$I11,IF(MATCHED!AL11=9,MATCHED!$J11,IF(MATCHED!AL11=10,MATCHED!$K11,IF(MATCHED!AL11=11,MATCHED!$L11,IF(MATCHED!AL11=12,MATCHED!$M11,IF(MATCHED!AL11=13,MATCHED!$N11,IF(MATCHED!AL11=14,MATCHED!$O11,"")))))))&amp;IF(MATCHED!AL11=15,MATCHED!$P11,IF(MATCHED!AL11=16,MATCHED!$Q11,IF(MATCHED!AL11=17,MATCHED!$R11,IF(MATCHED!AL11=18,MATCHED!$S11,IF(MATCHED!AL11=19,MATCHED!$T11,IF(MATCHED!AL11=20,MATCHED!$U11,IF(MATCHED!AL11=21,MATCHED!$V11,)))))))&amp;IF(MATCHED!AL11=22,MATCHED!$W11,IF(MATCHED!AL11=23,MATCHED!$X11,IF(MATCHED!AL11=24,MATCHED!$Y11,IF(MATCHED!AL11=25,MATCHED!$Z11,IF(MATCHED!AL11=26,MATCHED!$AA11,IF(MATCHED!AL11=27,MATCHED!$AB11,"."))))))</f>
        <v>#N/A</v>
      </c>
      <c r="K11" s="341" t="e">
        <f>IF(MATCHED!AM11=1,MATCHED!$B11,IF(MATCHED!AM11=2,MATCHED!$C11,IF(MATCHED!AM11=3,MATCHED!$D11,IF(MATCHED!AM11=4,MATCHED!$E11,IF(MATCHED!AM11=3,MATCHED!$F11,IF(MATCHED!AM11=6,MATCHED!$G11,IF(MATCHED!AM11=7,MATCHED!$H11,"")))))))&amp;IF(MATCHED!AM11=8,MATCHED!$I11,IF(MATCHED!AM11=9,MATCHED!$J11,IF(MATCHED!AM11=10,MATCHED!$K11,IF(MATCHED!AM11=11,MATCHED!$L11,IF(MATCHED!AM11=12,MATCHED!$M11,IF(MATCHED!AM11=13,MATCHED!$N11,IF(MATCHED!AM11=14,MATCHED!$O11,"")))))))&amp;IF(MATCHED!AM11=15,MATCHED!$P11,IF(MATCHED!AM11=16,MATCHED!$Q11,IF(MATCHED!AM11=17,MATCHED!$R11,IF(MATCHED!AM11=18,MATCHED!$S11,IF(MATCHED!AM11=19,MATCHED!$T11,IF(MATCHED!AM11=20,MATCHED!$U11,IF(MATCHED!AM11=21,MATCHED!$V11,)))))))&amp;IF(MATCHED!AM11=22,MATCHED!$W11,IF(MATCHED!AM11=23,MATCHED!$X11,IF(MATCHED!AM11=24,MATCHED!$Y11,IF(MATCHED!AM11=25,MATCHED!$Z11,IF(MATCHED!AM11=26,MATCHED!$AA11,IF(MATCHED!AM11=27,MATCHED!$AB11,"."))))))</f>
        <v>#N/A</v>
      </c>
      <c r="L11" s="341" t="e">
        <f>IF(MATCHED!AN11=1,MATCHED!$B11,IF(MATCHED!AN11=2,MATCHED!$C11,IF(MATCHED!AN11=3,MATCHED!$D11,IF(MATCHED!AN11=4,MATCHED!$E11,IF(MATCHED!AN11=3,MATCHED!$F11,IF(MATCHED!AN11=6,MATCHED!$G11,IF(MATCHED!AN11=7,MATCHED!$H11,"")))))))&amp;IF(MATCHED!AN11=8,MATCHED!$I11,IF(MATCHED!AN11=9,MATCHED!$J11,IF(MATCHED!AN11=10,MATCHED!$K11,IF(MATCHED!AN11=11,MATCHED!$L11,IF(MATCHED!AN11=12,MATCHED!$M11,IF(MATCHED!AN11=13,MATCHED!$N11,IF(MATCHED!AN11=14,MATCHED!$O11,"")))))))&amp;IF(MATCHED!AN11=15,MATCHED!$P11,IF(MATCHED!AN11=16,MATCHED!$Q11,IF(MATCHED!AN11=17,MATCHED!$R11,IF(MATCHED!AN11=18,MATCHED!$S11,IF(MATCHED!AN11=19,MATCHED!$T11,IF(MATCHED!AN11=20,MATCHED!$U11,IF(MATCHED!AN11=21,MATCHED!$V11,)))))))&amp;IF(MATCHED!AN11=22,MATCHED!$W11,IF(MATCHED!AN11=23,MATCHED!$X11,IF(MATCHED!AN11=24,MATCHED!$Y11,IF(MATCHED!AN11=25,MATCHED!$Z11,IF(MATCHED!AN11=26,MATCHED!$AA11,IF(MATCHED!AN11=27,MATCHED!$AB11,"."))))))</f>
        <v>#N/A</v>
      </c>
      <c r="M11" s="341" t="e">
        <f>IF(MATCHED!AO11=1,MATCHED!$B11,IF(MATCHED!AO11=2,MATCHED!$C11,IF(MATCHED!AO11=3,MATCHED!$D11,IF(MATCHED!AO11=4,MATCHED!$E11,IF(MATCHED!AO11=3,MATCHED!$F11,IF(MATCHED!AO11=6,MATCHED!$G11,IF(MATCHED!AO11=7,MATCHED!$H11,"")))))))&amp;IF(MATCHED!AO11=8,MATCHED!$I11,IF(MATCHED!AO11=9,MATCHED!$J11,IF(MATCHED!AO11=10,MATCHED!$K11,IF(MATCHED!AO11=11,MATCHED!$L11,IF(MATCHED!AO11=12,MATCHED!$M11,IF(MATCHED!AO11=13,MATCHED!$N11,IF(MATCHED!AO11=14,MATCHED!$O11,"")))))))&amp;IF(MATCHED!AO11=15,MATCHED!$P11,IF(MATCHED!AO11=16,MATCHED!$Q11,IF(MATCHED!AO11=17,MATCHED!$R11,IF(MATCHED!AO11=18,MATCHED!$S11,IF(MATCHED!AO11=19,MATCHED!$T11,IF(MATCHED!AO11=20,MATCHED!$U11,IF(MATCHED!AO11=21,MATCHED!$V11,)))))))&amp;IF(MATCHED!AO11=22,MATCHED!$W11,IF(MATCHED!AO11=23,MATCHED!$X11,IF(MATCHED!AO11=24,MATCHED!$Y11,IF(MATCHED!AO11=25,MATCHED!$Z11,IF(MATCHED!AO11=26,MATCHED!$AA11,IF(MATCHED!AO11=27,MATCHED!$AB11,"."))))))</f>
        <v>#N/A</v>
      </c>
      <c r="N11" s="341" t="e">
        <f>IF(MATCHED!AP11=1,MATCHED!$B11,IF(MATCHED!AP11=2,MATCHED!$C11,IF(MATCHED!AP11=3,MATCHED!$D11,IF(MATCHED!AP11=4,MATCHED!$E11,IF(MATCHED!AP11=3,MATCHED!$F11,IF(MATCHED!AP11=6,MATCHED!$G11,IF(MATCHED!AP11=7,MATCHED!$H11,"")))))))&amp;IF(MATCHED!AP11=8,MATCHED!$I11,IF(MATCHED!AP11=9,MATCHED!$J11,IF(MATCHED!AP11=10,MATCHED!$K11,IF(MATCHED!AP11=11,MATCHED!$L11,IF(MATCHED!AP11=12,MATCHED!$M11,IF(MATCHED!AP11=13,MATCHED!$N11,IF(MATCHED!AP11=14,MATCHED!$O11,"")))))))&amp;IF(MATCHED!AP11=15,MATCHED!$P11,IF(MATCHED!AP11=16,MATCHED!$Q11,IF(MATCHED!AP11=17,MATCHED!$R11,IF(MATCHED!AP11=18,MATCHED!$S11,IF(MATCHED!AP11=19,MATCHED!$T11,IF(MATCHED!AP11=20,MATCHED!$U11,IF(MATCHED!AP11=21,MATCHED!$V11,)))))))&amp;IF(MATCHED!AP11=22,MATCHED!$W11,IF(MATCHED!AP11=23,MATCHED!$X11,IF(MATCHED!AP11=24,MATCHED!$Y11,IF(MATCHED!AP11=25,MATCHED!$Z11,IF(MATCHED!AP11=26,MATCHED!$AA11,IF(MATCHED!AP11=27,MATCHED!$AB11,"."))))))</f>
        <v>#N/A</v>
      </c>
      <c r="O11" s="341" t="e">
        <f>IF(MATCHED!AQ11=1,MATCHED!$B11,IF(MATCHED!AQ11=2,MATCHED!$C11,IF(MATCHED!AQ11=3,MATCHED!$D11,IF(MATCHED!AQ11=4,MATCHED!$E11,IF(MATCHED!AQ11=3,MATCHED!$F11,IF(MATCHED!AQ11=6,MATCHED!$G11,IF(MATCHED!AQ11=7,MATCHED!$H11,"")))))))&amp;IF(MATCHED!AQ11=8,MATCHED!$I11,IF(MATCHED!AQ11=9,MATCHED!$J11,IF(MATCHED!AQ11=10,MATCHED!$K11,IF(MATCHED!AQ11=11,MATCHED!$L11,IF(MATCHED!AQ11=12,MATCHED!$M11,IF(MATCHED!AQ11=13,MATCHED!$N11,IF(MATCHED!AQ11=14,MATCHED!$O11,"")))))))&amp;IF(MATCHED!AQ11=15,MATCHED!$P11,IF(MATCHED!AQ11=16,MATCHED!$Q11,IF(MATCHED!AQ11=17,MATCHED!$R11,IF(MATCHED!AQ11=18,MATCHED!$S11,IF(MATCHED!AQ11=19,MATCHED!$T11,IF(MATCHED!AQ11=20,MATCHED!$U11,IF(MATCHED!AQ11=21,MATCHED!$V11,)))))))&amp;IF(MATCHED!AQ11=22,MATCHED!$W11,IF(MATCHED!AQ11=23,MATCHED!$X11,IF(MATCHED!AQ11=24,MATCHED!$Y11,IF(MATCHED!AQ11=25,MATCHED!$Z11,IF(MATCHED!AQ11=26,MATCHED!$AA11,IF(MATCHED!AQ11=27,MATCHED!$AB11,"."))))))</f>
        <v>#N/A</v>
      </c>
      <c r="P11" s="341" t="e">
        <f>IF(MATCHED!AR11=1,MATCHED!$B11,IF(MATCHED!AR11=2,MATCHED!$C11,IF(MATCHED!AR11=3,MATCHED!$D11,IF(MATCHED!AR11=4,MATCHED!$E11,IF(MATCHED!AR11=3,MATCHED!$F11,IF(MATCHED!AR11=6,MATCHED!$G11,IF(MATCHED!AR11=7,MATCHED!$H11,"")))))))&amp;IF(MATCHED!AR11=8,MATCHED!$I11,IF(MATCHED!AR11=9,MATCHED!$J11,IF(MATCHED!AR11=10,MATCHED!$K11,IF(MATCHED!AR11=11,MATCHED!$L11,IF(MATCHED!AR11=12,MATCHED!$M11,IF(MATCHED!AR11=13,MATCHED!$N11,IF(MATCHED!AR11=14,MATCHED!$O11,"")))))))&amp;IF(MATCHED!AR11=15,MATCHED!$P11,IF(MATCHED!AR11=16,MATCHED!$Q11,IF(MATCHED!AR11=17,MATCHED!$R11,IF(MATCHED!AR11=18,MATCHED!$S11,IF(MATCHED!AR11=19,MATCHED!$T11,IF(MATCHED!AR11=20,MATCHED!$U11,IF(MATCHED!AR11=21,MATCHED!$V11,)))))))&amp;IF(MATCHED!AR11=22,MATCHED!$W11,IF(MATCHED!AR11=23,MATCHED!$X11,IF(MATCHED!AR11=24,MATCHED!$Y11,IF(MATCHED!AR11=25,MATCHED!$Z11,IF(MATCHED!AR11=26,MATCHED!$AA11,IF(MATCHED!AR11=27,MATCHED!$AB11,"."))))))</f>
        <v>#N/A</v>
      </c>
      <c r="Q11" s="342" t="e">
        <f>IF(MATCHED!AS11=1,MATCHED!$B11,IF(MATCHED!AS11=2,MATCHED!$C11,IF(MATCHED!AS11=3,MATCHED!$D11,IF(MATCHED!AS11=4,MATCHED!$E11,IF(MATCHED!AS11=3,MATCHED!$F11,IF(MATCHED!AS11=6,MATCHED!$G11,IF(MATCHED!AS11=7,MATCHED!$H11,"")))))))&amp;IF(MATCHED!AS11=8,MATCHED!$I11,IF(MATCHED!AS11=9,MATCHED!$J11,IF(MATCHED!AS11=10,MATCHED!$K11,IF(MATCHED!AS11=11,MATCHED!$L11,IF(MATCHED!AS11=12,MATCHED!$M11,IF(MATCHED!AS11=13,MATCHED!$N11,IF(MATCHED!AS11=14,MATCHED!$O11,"")))))))&amp;IF(MATCHED!AS11=15,MATCHED!$P11,IF(MATCHED!AS11=16,MATCHED!$Q11,IF(MATCHED!AS11=17,MATCHED!$R11,IF(MATCHED!AS11=18,MATCHED!$S11,IF(MATCHED!AS11=19,MATCHED!$T11,IF(MATCHED!AS11=20,MATCHED!$U11,IF(MATCHED!AS11=21,MATCHED!$V11,)))))))&amp;IF(MATCHED!AS11=22,MATCHED!$W11,IF(MATCHED!AS11=23,MATCHED!$X11,IF(MATCHED!AS11=24,MATCHED!$Y11,IF(MATCHED!AS11=25,MATCHED!$Z11,IF(MATCHED!AS11=26,MATCHED!$AA11,IF(MATCHED!AS11=27,MATCHED!$AB11,"."))))))</f>
        <v>#N/A</v>
      </c>
      <c r="R11" s="341" t="e">
        <f>IF(MATCHED!AT11=1,MATCHED!$B11,IF(MATCHED!AT11=2,MATCHED!$C11,IF(MATCHED!AT11=3,MATCHED!$D11,IF(MATCHED!AT11=4,MATCHED!$E11,IF(MATCHED!AT11=3,MATCHED!$F11,IF(MATCHED!AT11=6,MATCHED!$G11,IF(MATCHED!AT11=7,MATCHED!$H11,"")))))))&amp;IF(MATCHED!AT11=8,MATCHED!$I11,IF(MATCHED!AT11=9,MATCHED!$J11,IF(MATCHED!AT11=10,MATCHED!$K11,IF(MATCHED!AT11=11,MATCHED!$L11,IF(MATCHED!AT11=12,MATCHED!$M11,IF(MATCHED!AT11=13,MATCHED!$N11,IF(MATCHED!AT11=14,MATCHED!$O11,"")))))))&amp;IF(MATCHED!AT11=15,MATCHED!$P11,IF(MATCHED!AT11=16,MATCHED!$Q11,IF(MATCHED!AT11=17,MATCHED!$R11,IF(MATCHED!AT11=18,MATCHED!$S11,IF(MATCHED!AT11=19,MATCHED!$T11,IF(MATCHED!AT11=20,MATCHED!$U11,IF(MATCHED!AT11=21,MATCHED!$V11,)))))))&amp;IF(MATCHED!AT11=22,MATCHED!$W11,IF(MATCHED!AT11=23,MATCHED!$X11,IF(MATCHED!AT11=24,MATCHED!$Y11,IF(MATCHED!AT11=25,MATCHED!$Z11,IF(MATCHED!AT11=26,MATCHED!$AA11,IF(MATCHED!AT11=27,MATCHED!$AB11,"."))))))</f>
        <v>#N/A</v>
      </c>
      <c r="S11" s="341" t="e">
        <f>IF(MATCHED!AU11=1,MATCHED!$B11,IF(MATCHED!AU11=2,MATCHED!$C11,IF(MATCHED!AU11=3,MATCHED!$D11,IF(MATCHED!AU11=4,MATCHED!$E11,IF(MATCHED!AU11=3,MATCHED!$F11,IF(MATCHED!AU11=6,MATCHED!$G11,IF(MATCHED!AU11=7,MATCHED!$H11,"")))))))&amp;IF(MATCHED!AU11=8,MATCHED!$I11,IF(MATCHED!AU11=9,MATCHED!$J11,IF(MATCHED!AU11=10,MATCHED!$K11,IF(MATCHED!AU11=11,MATCHED!$L11,IF(MATCHED!AU11=12,MATCHED!$M11,IF(MATCHED!AU11=13,MATCHED!$N11,IF(MATCHED!AU11=14,MATCHED!$O11,"")))))))&amp;IF(MATCHED!AU11=15,MATCHED!$P11,IF(MATCHED!AU11=16,MATCHED!$Q11,IF(MATCHED!AU11=17,MATCHED!$R11,IF(MATCHED!AU11=18,MATCHED!$S11,IF(MATCHED!AU11=19,MATCHED!$T11,IF(MATCHED!AU11=20,MATCHED!$U11,IF(MATCHED!AU11=21,MATCHED!$V11,)))))))&amp;IF(MATCHED!AU11=22,MATCHED!$W11,IF(MATCHED!AU11=23,MATCHED!$X11,IF(MATCHED!AU11=24,MATCHED!$Y11,IF(MATCHED!AU11=25,MATCHED!$Z11,IF(MATCHED!AU11=26,MATCHED!$AA11,IF(MATCHED!AU11=27,MATCHED!$AB11,"."))))))</f>
        <v>#N/A</v>
      </c>
      <c r="T11" s="341" t="e">
        <f>IF(MATCHED!AV11=1,MATCHED!$B11,IF(MATCHED!AV11=2,MATCHED!$C11,IF(MATCHED!AV11=3,MATCHED!$D11,IF(MATCHED!AV11=4,MATCHED!$E11,IF(MATCHED!AV11=3,MATCHED!$F11,IF(MATCHED!AV11=6,MATCHED!$G11,IF(MATCHED!AV11=7,MATCHED!$H11,"")))))))&amp;IF(MATCHED!AV11=8,MATCHED!$I11,IF(MATCHED!AV11=9,MATCHED!$J11,IF(MATCHED!AV11=10,MATCHED!$K11,IF(MATCHED!AV11=11,MATCHED!$L11,IF(MATCHED!AV11=12,MATCHED!$M11,IF(MATCHED!AV11=13,MATCHED!$N11,IF(MATCHED!AV11=14,MATCHED!$O11,"")))))))&amp;IF(MATCHED!AV11=15,MATCHED!$P11,IF(MATCHED!AV11=16,MATCHED!$Q11,IF(MATCHED!AV11=17,MATCHED!$R11,IF(MATCHED!AV11=18,MATCHED!$S11,IF(MATCHED!AV11=19,MATCHED!$T11,IF(MATCHED!AV11=20,MATCHED!$U11,IF(MATCHED!AV11=21,MATCHED!$V11,)))))))&amp;IF(MATCHED!AV11=22,MATCHED!$W11,IF(MATCHED!AV11=23,MATCHED!$X11,IF(MATCHED!AV11=24,MATCHED!$Y11,IF(MATCHED!AV11=25,MATCHED!$Z11,IF(MATCHED!AV11=26,MATCHED!$AA11,IF(MATCHED!AV11=27,MATCHED!$AB11,"."))))))</f>
        <v>#N/A</v>
      </c>
      <c r="U11" s="341" t="e">
        <f>IF(MATCHED!AW11=1,MATCHED!$B11,IF(MATCHED!AW11=2,MATCHED!$C11,IF(MATCHED!AW11=3,MATCHED!$D11,IF(MATCHED!AW11=4,MATCHED!$E11,IF(MATCHED!AW11=3,MATCHED!$F11,IF(MATCHED!AW11=6,MATCHED!$G11,IF(MATCHED!AW11=7,MATCHED!$H11,"")))))))&amp;IF(MATCHED!AW11=8,MATCHED!$I11,IF(MATCHED!AW11=9,MATCHED!$J11,IF(MATCHED!AW11=10,MATCHED!$K11,IF(MATCHED!AW11=11,MATCHED!$L11,IF(MATCHED!AW11=12,MATCHED!$M11,IF(MATCHED!AW11=13,MATCHED!$N11,IF(MATCHED!AW11=14,MATCHED!$O11,"")))))))&amp;IF(MATCHED!AW11=15,MATCHED!$P11,IF(MATCHED!AW11=16,MATCHED!$Q11,IF(MATCHED!AW11=17,MATCHED!$R11,IF(MATCHED!AW11=18,MATCHED!$S11,IF(MATCHED!AW11=19,MATCHED!$T11,IF(MATCHED!AW11=20,MATCHED!$U11,IF(MATCHED!AW11=21,MATCHED!$V11,)))))))&amp;IF(MATCHED!AW11=22,MATCHED!$W11,IF(MATCHED!AW11=23,MATCHED!$X11,IF(MATCHED!AW11=24,MATCHED!$Y11,IF(MATCHED!AW11=25,MATCHED!$Z11,IF(MATCHED!AW11=26,MATCHED!$AA11,IF(MATCHED!AW11=27,MATCHED!$AB11,"."))))))</f>
        <v>#N/A</v>
      </c>
      <c r="V11" s="341" t="e">
        <f>IF(MATCHED!AX11=1,MATCHED!$B11,IF(MATCHED!AX11=2,MATCHED!$C11,IF(MATCHED!AX11=3,MATCHED!$D11,IF(MATCHED!AX11=4,MATCHED!$E11,IF(MATCHED!AX11=3,MATCHED!$F11,IF(MATCHED!AX11=6,MATCHED!$G11,IF(MATCHED!AX11=7,MATCHED!$H11,"")))))))&amp;IF(MATCHED!AX11=8,MATCHED!$I11,IF(MATCHED!AX11=9,MATCHED!$J11,IF(MATCHED!AX11=10,MATCHED!$K11,IF(MATCHED!AX11=11,MATCHED!$L11,IF(MATCHED!AX11=12,MATCHED!$M11,IF(MATCHED!AX11=13,MATCHED!$N11,IF(MATCHED!AX11=14,MATCHED!$O11,"")))))))&amp;IF(MATCHED!AX11=15,MATCHED!$P11,IF(MATCHED!AX11=16,MATCHED!$Q11,IF(MATCHED!AX11=17,MATCHED!$R11,IF(MATCHED!AX11=18,MATCHED!$S11,IF(MATCHED!AX11=19,MATCHED!$T11,IF(MATCHED!AX11=20,MATCHED!$U11,IF(MATCHED!AX11=21,MATCHED!$V11,)))))))&amp;IF(MATCHED!AX11=22,MATCHED!$W11,IF(MATCHED!AX11=23,MATCHED!$X11,IF(MATCHED!AX11=24,MATCHED!$Y11,IF(MATCHED!AX11=25,MATCHED!$Z11,IF(MATCHED!AX11=26,MATCHED!$AA11,IF(MATCHED!AX11=27,MATCHED!$AB11,"."))))))</f>
        <v>#N/A</v>
      </c>
      <c r="W11" s="341" t="e">
        <f>IF(MATCHED!AY11=1,MATCHED!$B11,IF(MATCHED!AY11=2,MATCHED!$C11,IF(MATCHED!AY11=3,MATCHED!$D11,IF(MATCHED!AY11=4,MATCHED!$E11,IF(MATCHED!AY11=3,MATCHED!$F11,IF(MATCHED!AY11=6,MATCHED!$G11,IF(MATCHED!AY11=7,MATCHED!$H11,"")))))))&amp;IF(MATCHED!AY11=8,MATCHED!$I11,IF(MATCHED!AY11=9,MATCHED!$J11,IF(MATCHED!AY11=10,MATCHED!$K11,IF(MATCHED!AY11=11,MATCHED!$L11,IF(MATCHED!AY11=12,MATCHED!$M11,IF(MATCHED!AY11=13,MATCHED!$N11,IF(MATCHED!AY11=14,MATCHED!$O11,"")))))))&amp;IF(MATCHED!AY11=15,MATCHED!$P11,IF(MATCHED!AY11=16,MATCHED!$Q11,IF(MATCHED!AY11=17,MATCHED!$R11,IF(MATCHED!AY11=18,MATCHED!$S11,IF(MATCHED!AY11=19,MATCHED!$T11,IF(MATCHED!AY11=20,MATCHED!$U11,IF(MATCHED!AY11=21,MATCHED!$V11,)))))))&amp;IF(MATCHED!AY11=22,MATCHED!$W11,IF(MATCHED!AY11=23,MATCHED!$X11,IF(MATCHED!AY11=24,MATCHED!$Y11,IF(MATCHED!AY11=25,MATCHED!$Z11,IF(MATCHED!AY11=26,MATCHED!$AA11,IF(MATCHED!AY11=27,MATCHED!$AB11,"."))))))</f>
        <v>#N/A</v>
      </c>
      <c r="X11" s="341" t="e">
        <f>IF(MATCHED!AZ11=1,MATCHED!$B11,IF(MATCHED!AZ11=2,MATCHED!$C11,IF(MATCHED!AZ11=3,MATCHED!$D11,IF(MATCHED!AZ11=4,MATCHED!$E11,IF(MATCHED!AZ11=3,MATCHED!$F11,IF(MATCHED!AZ11=6,MATCHED!$G11,IF(MATCHED!AZ11=7,MATCHED!$H11,"")))))))&amp;IF(MATCHED!AZ11=8,MATCHED!$I11,IF(MATCHED!AZ11=9,MATCHED!$J11,IF(MATCHED!AZ11=10,MATCHED!$K11,IF(MATCHED!AZ11=11,MATCHED!$L11,IF(MATCHED!AZ11=12,MATCHED!$M11,IF(MATCHED!AZ11=13,MATCHED!$N11,IF(MATCHED!AZ11=14,MATCHED!$O11,"")))))))&amp;IF(MATCHED!AZ11=15,MATCHED!$P11,IF(MATCHED!AZ11=16,MATCHED!$Q11,IF(MATCHED!AZ11=17,MATCHED!$R11,IF(MATCHED!AZ11=18,MATCHED!$S11,IF(MATCHED!AZ11=19,MATCHED!$T11,IF(MATCHED!AZ11=20,MATCHED!$U11,IF(MATCHED!AZ11=21,MATCHED!$V11,)))))))&amp;IF(MATCHED!AZ11=22,MATCHED!$W11,IF(MATCHED!AZ11=23,MATCHED!$X11,IF(MATCHED!AZ11=24,MATCHED!$Y11,IF(MATCHED!AZ11=25,MATCHED!$Z11,IF(MATCHED!AZ11=26,MATCHED!$AA11,IF(MATCHED!AZ11=27,MATCHED!$AB11,"."))))))</f>
        <v>#N/A</v>
      </c>
      <c r="Y11" s="341" t="e">
        <f>IF(MATCHED!BA11=1,MATCHED!$B11,IF(MATCHED!BA11=2,MATCHED!$C11,IF(MATCHED!BA11=3,MATCHED!$D11,IF(MATCHED!BA11=4,MATCHED!$E11,IF(MATCHED!BA11=3,MATCHED!$F11,IF(MATCHED!BA11=6,MATCHED!$G11,IF(MATCHED!BA11=7,MATCHED!$H11,"")))))))&amp;IF(MATCHED!BA11=8,MATCHED!$I11,IF(MATCHED!BA11=9,MATCHED!$J11,IF(MATCHED!BA11=10,MATCHED!$K11,IF(MATCHED!BA11=11,MATCHED!$L11,IF(MATCHED!BA11=12,MATCHED!$M11,IF(MATCHED!BA11=13,MATCHED!$N11,IF(MATCHED!BA11=14,MATCHED!$O11,"")))))))&amp;IF(MATCHED!BA11=15,MATCHED!$P11,IF(MATCHED!BA11=16,MATCHED!$Q11,IF(MATCHED!BA11=17,MATCHED!$R11,IF(MATCHED!BA11=18,MATCHED!$S11,IF(MATCHED!BA11=19,MATCHED!$T11,IF(MATCHED!BA11=20,MATCHED!$U11,IF(MATCHED!BA11=21,MATCHED!$V11,)))))))&amp;IF(MATCHED!BA11=22,MATCHED!$W11,IF(MATCHED!BA11=23,MATCHED!$X11,IF(MATCHED!BA11=24,MATCHED!$Y11,IF(MATCHED!BA11=25,MATCHED!$Z11,IF(MATCHED!BA11=26,MATCHED!$AA11,IF(MATCHED!BA11=27,MATCHED!$AB11,"."))))))</f>
        <v>#N/A</v>
      </c>
      <c r="Z11" s="341" t="e">
        <f>IF(MATCHED!BB11=1,MATCHED!$B11,IF(MATCHED!BB11=2,MATCHED!$C11,IF(MATCHED!BB11=3,MATCHED!$D11,IF(MATCHED!BB11=4,MATCHED!$E11,IF(MATCHED!BB11=3,MATCHED!$F11,IF(MATCHED!BB11=6,MATCHED!$G11,IF(MATCHED!BB11=7,MATCHED!$H11,"")))))))&amp;IF(MATCHED!BB11=8,MATCHED!$I11,IF(MATCHED!BB11=9,MATCHED!$J11,IF(MATCHED!BB11=10,MATCHED!$K11,IF(MATCHED!BB11=11,MATCHED!$L11,IF(MATCHED!BB11=12,MATCHED!$M11,IF(MATCHED!BB11=13,MATCHED!$N11,IF(MATCHED!BB11=14,MATCHED!$O11,"")))))))&amp;IF(MATCHED!BB11=15,MATCHED!$P11,IF(MATCHED!BB11=16,MATCHED!$Q11,IF(MATCHED!BB11=17,MATCHED!$R11,IF(MATCHED!BB11=18,MATCHED!$S11,IF(MATCHED!BB11=19,MATCHED!$T11,IF(MATCHED!BB11=20,MATCHED!$U11,IF(MATCHED!BB11=21,MATCHED!$V11,)))))))&amp;IF(MATCHED!BB11=22,MATCHED!$W11,IF(MATCHED!BB11=23,MATCHED!$X11,IF(MATCHED!BB11=24,MATCHED!$Y11,IF(MATCHED!BB11=25,MATCHED!$Z11,IF(MATCHED!BB11=26,MATCHED!$AA11,IF(MATCHED!BB11=27,MATCHED!$AB11,"."))))))</f>
        <v>#N/A</v>
      </c>
      <c r="AA11" s="341" t="e">
        <f>IF(MATCHED!BC11=1,MATCHED!$B11,IF(MATCHED!BC11=2,MATCHED!$C11,IF(MATCHED!BC11=3,MATCHED!$D11,IF(MATCHED!BC11=4,MATCHED!$E11,IF(MATCHED!BC11=3,MATCHED!$F11,IF(MATCHED!BC11=6,MATCHED!$G11,IF(MATCHED!BC11=7,MATCHED!$H11,"")))))))&amp;IF(MATCHED!BC11=8,MATCHED!$I11,IF(MATCHED!BC11=9,MATCHED!$J11,IF(MATCHED!BC11=10,MATCHED!$K11,IF(MATCHED!BC11=11,MATCHED!$L11,IF(MATCHED!BC11=12,MATCHED!$M11,IF(MATCHED!BC11=13,MATCHED!$N11,IF(MATCHED!BC11=14,MATCHED!$O11,"")))))))&amp;IF(MATCHED!BC11=15,MATCHED!$P11,IF(MATCHED!BC11=16,MATCHED!$Q11,IF(MATCHED!BC11=17,MATCHED!$R11,IF(MATCHED!BC11=18,MATCHED!$S11,IF(MATCHED!BC11=19,MATCHED!$T11,IF(MATCHED!BC11=20,MATCHED!$U11,IF(MATCHED!BC11=21,MATCHED!$V11,)))))))&amp;IF(MATCHED!BC11=22,MATCHED!$W11,IF(MATCHED!BC11=23,MATCHED!$X11,IF(MATCHED!BC11=24,MATCHED!$Y11,IF(MATCHED!BC11=25,MATCHED!$Z11,IF(MATCHED!BC11=26,MATCHED!$AA11,IF(MATCHED!BC11=27,MATCHED!$AB11,"."))))))</f>
        <v>#N/A</v>
      </c>
      <c r="AB11" s="341" t="e">
        <f>IF(MATCHED!BD11=1,MATCHED!$B11,IF(MATCHED!BD11=2,MATCHED!$C11,IF(MATCHED!BD11=3,MATCHED!$D11,IF(MATCHED!BD11=4,MATCHED!$E11,IF(MATCHED!BD11=3,MATCHED!$F11,IF(MATCHED!BD11=6,MATCHED!$G11,IF(MATCHED!BD11=7,MATCHED!$H11,"")))))))&amp;IF(MATCHED!BD11=8,MATCHED!$I11,IF(MATCHED!BD11=9,MATCHED!$J11,IF(MATCHED!BD11=10,MATCHED!$K11,IF(MATCHED!BD11=11,MATCHED!$L11,IF(MATCHED!BD11=12,MATCHED!$M11,IF(MATCHED!BD11=13,MATCHED!$N11,IF(MATCHED!BD11=14,MATCHED!$O11,"")))))))&amp;IF(MATCHED!BD11=15,MATCHED!$P11,IF(MATCHED!BD11=16,MATCHED!$Q11,IF(MATCHED!BD11=17,MATCHED!$R11,IF(MATCHED!BD11=18,MATCHED!$S11,IF(MATCHED!BD11=19,MATCHED!$T11,IF(MATCHED!BD11=20,MATCHED!$U11,IF(MATCHED!BD11=21,MATCHED!$V11,)))))))&amp;IF(MATCHED!BD11=22,MATCHED!$W11,IF(MATCHED!BD11=23,MATCHED!$X11,IF(MATCHED!BD11=24,MATCHED!$Y11,IF(MATCHED!BD11=25,MATCHED!$Z11,IF(MATCHED!BD11=26,MATCHED!$AA11,IF(MATCHED!BD11=27,MATCHED!$AB11,"."))))))</f>
        <v>#N/A</v>
      </c>
      <c r="AC11" s="341" t="e">
        <f>IF(MATCHED!BE11=1,MATCHED!$B11,IF(MATCHED!BE11=2,MATCHED!$C11,IF(MATCHED!BE11=3,MATCHED!$D11,IF(MATCHED!BE11=4,MATCHED!$E11,IF(MATCHED!BE11=3,MATCHED!$F11,IF(MATCHED!BE11=6,MATCHED!$G11,IF(MATCHED!BE11=7,MATCHED!$H11,"")))))))&amp;IF(MATCHED!BE11=8,MATCHED!$I11,IF(MATCHED!BE11=9,MATCHED!$J11,IF(MATCHED!BE11=10,MATCHED!$K11,IF(MATCHED!BE11=11,MATCHED!$L11,IF(MATCHED!BE11=12,MATCHED!$M11,IF(MATCHED!BE11=13,MATCHED!$N11,IF(MATCHED!BE11=14,MATCHED!$O11,"")))))))&amp;IF(MATCHED!BE11=15,MATCHED!$P11,IF(MATCHED!BE11=16,MATCHED!$Q11,IF(MATCHED!BE11=17,MATCHED!$R11,IF(MATCHED!BE11=18,MATCHED!$S11,IF(MATCHED!BE11=19,MATCHED!$T11,IF(MATCHED!BE11=20,MATCHED!$U11,IF(MATCHED!BE11=21,MATCHED!$V11,)))))))&amp;IF(MATCHED!BE11=22,MATCHED!$W11,IF(MATCHED!BE11=23,MATCHED!$X11,IF(MATCHED!BE11=24,MATCHED!$Y11,IF(MATCHED!BE11=25,MATCHED!$Z11,IF(MATCHED!BE11=26,MATCHED!$AA11,IF(MATCHED!BE11=27,MATCHED!$AB11,"."))))))</f>
        <v>#N/A</v>
      </c>
      <c r="AD11" s="341" t="e">
        <f>IF(MATCHED!BF11=1,MATCHED!$B11,IF(MATCHED!BF11=2,MATCHED!$C11,IF(MATCHED!BF11=3,MATCHED!$D11,IF(MATCHED!BF11=4,MATCHED!$E11,IF(MATCHED!BF11=3,MATCHED!$F11,IF(MATCHED!BF11=6,MATCHED!$G11,IF(MATCHED!BF11=7,MATCHED!$H11,"")))))))&amp;IF(MATCHED!BF11=8,MATCHED!$I11,IF(MATCHED!BF11=9,MATCHED!$J11,IF(MATCHED!BF11=10,MATCHED!$K11,IF(MATCHED!BF11=11,MATCHED!$L11,IF(MATCHED!BF11=12,MATCHED!$M11,IF(MATCHED!BF11=13,MATCHED!$N11,IF(MATCHED!BF11=14,MATCHED!$O11,"")))))))&amp;IF(MATCHED!BF11=15,MATCHED!$P11,IF(MATCHED!BF11=16,MATCHED!$Q11,IF(MATCHED!BF11=17,MATCHED!$R11,IF(MATCHED!BF11=18,MATCHED!$S11,IF(MATCHED!BF11=19,MATCHED!$T11,IF(MATCHED!BF11=20,MATCHED!$U11,IF(MATCHED!BF11=21,MATCHED!$V11,)))))))&amp;IF(MATCHED!BF11=22,MATCHED!$W11,IF(MATCHED!BF11=23,MATCHED!$X11,IF(MATCHED!BF11=24,MATCHED!$Y11,IF(MATCHED!BF11=25,MATCHED!$Z11,IF(MATCHED!BF11=26,MATCHED!$AA11,IF(MATCHED!BF11=27,MATCHED!$AB11,"."))))))</f>
        <v>#N/A</v>
      </c>
      <c r="AE11" s="341" t="e">
        <f>IF(MATCHED!BG11=1,MATCHED!$B11,IF(MATCHED!BG11=2,MATCHED!$C11,IF(MATCHED!BG11=3,MATCHED!$D11,IF(MATCHED!BG11=4,MATCHED!$E11,IF(MATCHED!BG11=3,MATCHED!$F11,IF(MATCHED!BG11=6,MATCHED!$G11,IF(MATCHED!BG11=7,MATCHED!$H11,"")))))))&amp;IF(MATCHED!BG11=8,MATCHED!$I11,IF(MATCHED!BG11=9,MATCHED!$J11,IF(MATCHED!BG11=10,MATCHED!$K11,IF(MATCHED!BG11=11,MATCHED!$L11,IF(MATCHED!BG11=12,MATCHED!$M11,IF(MATCHED!BG11=13,MATCHED!$N11,IF(MATCHED!BG11=14,MATCHED!$O11,"")))))))&amp;IF(MATCHED!BG11=15,MATCHED!$P11,IF(MATCHED!BG11=16,MATCHED!$Q11,IF(MATCHED!BG11=17,MATCHED!$R11,IF(MATCHED!BG11=18,MATCHED!$S11,IF(MATCHED!BG11=19,MATCHED!$T11,IF(MATCHED!BG11=20,MATCHED!$U11,IF(MATCHED!BG11=21,MATCHED!$V11,)))))))&amp;IF(MATCHED!BG11=22,MATCHED!$W11,IF(MATCHED!BG11=23,MATCHED!$X11,IF(MATCHED!BG11=24,MATCHED!$Y11,IF(MATCHED!BG11=25,MATCHED!$Z11,IF(MATCHED!BG11=26,MATCHED!$AA11,IF(MATCHED!BG11=27,MATCHED!$AB11,"."))))))</f>
        <v>#N/A</v>
      </c>
      <c r="AF11" s="341" t="e">
        <f>IF(MATCHED!BH11=1,MATCHED!$B11,IF(MATCHED!BH11=2,MATCHED!$C11,IF(MATCHED!BH11=3,MATCHED!$D11,IF(MATCHED!BH11=4,MATCHED!$E11,IF(MATCHED!BH11=3,MATCHED!$F11,IF(MATCHED!BH11=6,MATCHED!$G11,IF(MATCHED!BH11=7,MATCHED!$H11,"")))))))&amp;IF(MATCHED!BH11=8,MATCHED!$I11,IF(MATCHED!BH11=9,MATCHED!$J11,IF(MATCHED!BH11=10,MATCHED!$K11,IF(MATCHED!BH11=11,MATCHED!$L11,IF(MATCHED!BH11=12,MATCHED!$M11,IF(MATCHED!BH11=13,MATCHED!$N11,IF(MATCHED!BH11=14,MATCHED!$O11,"")))))))&amp;IF(MATCHED!BH11=15,MATCHED!$P11,IF(MATCHED!BH11=16,MATCHED!$Q11,IF(MATCHED!BH11=17,MATCHED!$R11,IF(MATCHED!BH11=18,MATCHED!$S11,IF(MATCHED!BH11=19,MATCHED!$T11,IF(MATCHED!BH11=20,MATCHED!$U11,IF(MATCHED!BH11=21,MATCHED!$V11,)))))))&amp;IF(MATCHED!BH11=22,MATCHED!$W11,IF(MATCHED!BH11=23,MATCHED!$X11,IF(MATCHED!BH11=24,MATCHED!$Y11,IF(MATCHED!BH11=25,MATCHED!$Z11,IF(MATCHED!BH11=26,MATCHED!$AA11,IF(MATCHED!BH11=27,MATCHED!$AB11,"."))))))</f>
        <v>#N/A</v>
      </c>
      <c r="AG11" s="341" t="e">
        <f>IF(MATCHED!BI11=1,MATCHED!$B11,IF(MATCHED!BI11=2,MATCHED!$C11,IF(MATCHED!BI11=3,MATCHED!$D11,IF(MATCHED!BI11=4,MATCHED!$E11,IF(MATCHED!BI11=3,MATCHED!$F11,IF(MATCHED!BI11=6,MATCHED!$G11,IF(MATCHED!BI11=7,MATCHED!$H11,"")))))))&amp;IF(MATCHED!BI11=8,MATCHED!$I11,IF(MATCHED!BI11=9,MATCHED!$J11,IF(MATCHED!BI11=10,MATCHED!$K11,IF(MATCHED!BI11=11,MATCHED!$L11,IF(MATCHED!BI11=12,MATCHED!$M11,IF(MATCHED!BI11=13,MATCHED!$N11,IF(MATCHED!BI11=14,MATCHED!$O11,"")))))))&amp;IF(MATCHED!BI11=15,MATCHED!$P11,IF(MATCHED!BI11=16,MATCHED!$Q11,IF(MATCHED!BI11=17,MATCHED!$R11,IF(MATCHED!BI11=18,MATCHED!$S11,IF(MATCHED!BI11=19,MATCHED!$T11,IF(MATCHED!BI11=20,MATCHED!$U11,IF(MATCHED!BI11=21,MATCHED!$V11,)))))))&amp;IF(MATCHED!BI11=22,MATCHED!$W11,IF(MATCHED!BI11=23,MATCHED!$X11,IF(MATCHED!BI11=24,MATCHED!$Y11,IF(MATCHED!BI11=25,MATCHED!$Z11,IF(MATCHED!BI11=26,MATCHED!$AA11,IF(MATCHED!BI11=27,MATCHED!$AB11,"."))))))</f>
        <v>#N/A</v>
      </c>
      <c r="AH11" s="341" t="e">
        <f>IF(MATCHED!BJ11=1,MATCHED!$B11,IF(MATCHED!BJ11=2,MATCHED!$C11,IF(MATCHED!BJ11=3,MATCHED!$D11,IF(MATCHED!BJ11=4,MATCHED!$E11,IF(MATCHED!BJ11=3,MATCHED!$F11,IF(MATCHED!BJ11=6,MATCHED!$G11,IF(MATCHED!BJ11=7,MATCHED!$H11,"")))))))&amp;IF(MATCHED!BJ11=8,MATCHED!$I11,IF(MATCHED!BJ11=9,MATCHED!$J11,IF(MATCHED!BJ11=10,MATCHED!$K11,IF(MATCHED!BJ11=11,MATCHED!$L11,IF(MATCHED!BJ11=12,MATCHED!$M11,IF(MATCHED!BJ11=13,MATCHED!$N11,IF(MATCHED!BJ11=14,MATCHED!$O11,"")))))))&amp;IF(MATCHED!BJ11=15,MATCHED!$P11,IF(MATCHED!BJ11=16,MATCHED!$Q11,IF(MATCHED!BJ11=17,MATCHED!$R11,IF(MATCHED!BJ11=18,MATCHED!$S11,IF(MATCHED!BJ11=19,MATCHED!$T11,IF(MATCHED!BJ11=20,MATCHED!$U11,IF(MATCHED!BJ11=21,MATCHED!$V11,)))))))&amp;IF(MATCHED!BJ11=22,MATCHED!$W11,IF(MATCHED!BJ11=23,MATCHED!$X11,IF(MATCHED!BJ11=24,MATCHED!$Y11,IF(MATCHED!BJ11=25,MATCHED!$Z11,IF(MATCHED!BJ11=26,MATCHED!$AA11,IF(MATCHED!BJ11=27,MATCHED!$AB11,"."))))))</f>
        <v>#N/A</v>
      </c>
      <c r="AI11" s="341" t="e">
        <f>IF(MATCHED!BK11=1,MATCHED!$B11,IF(MATCHED!BK11=2,MATCHED!$C11,IF(MATCHED!BK11=3,MATCHED!$D11,IF(MATCHED!BK11=4,MATCHED!$E11,IF(MATCHED!BK11=3,MATCHED!$F11,IF(MATCHED!BK11=6,MATCHED!$G11,IF(MATCHED!BK11=7,MATCHED!$H11,"")))))))&amp;IF(MATCHED!BK11=8,MATCHED!$I11,IF(MATCHED!BK11=9,MATCHED!$J11,IF(MATCHED!BK11=10,MATCHED!$K11,IF(MATCHED!BK11=11,MATCHED!$L11,IF(MATCHED!BK11=12,MATCHED!$M11,IF(MATCHED!BK11=13,MATCHED!$N11,IF(MATCHED!BK11=14,MATCHED!$O11,"")))))))&amp;IF(MATCHED!BK11=15,MATCHED!$P11,IF(MATCHED!BK11=16,MATCHED!$Q11,IF(MATCHED!BK11=17,MATCHED!$R11,IF(MATCHED!BK11=18,MATCHED!$S11,IF(MATCHED!BK11=19,MATCHED!$T11,IF(MATCHED!BK11=20,MATCHED!$U11,IF(MATCHED!BK11=21,MATCHED!$V11,)))))))&amp;IF(MATCHED!BK11=22,MATCHED!$W11,IF(MATCHED!BK11=23,MATCHED!$X11,IF(MATCHED!BK11=24,MATCHED!$Y11,IF(MATCHED!BK11=25,MATCHED!$Z11,IF(MATCHED!BK11=26,MATCHED!$AA11,IF(MATCHED!BK11=27,MATCHED!$AB11,"."))))))</f>
        <v>#N/A</v>
      </c>
      <c r="AJ11" s="534"/>
    </row>
    <row r="12" spans="1:104" s="338" customFormat="1" x14ac:dyDescent="0.25">
      <c r="A12" s="534"/>
      <c r="B12" s="343" t="e">
        <f>IF(MATCHED!AD12=1,MATCHED!$B12,IF(MATCHED!AD12=2,MATCHED!$C12,IF(MATCHED!AD12=3,MATCHED!$D12,IF(MATCHED!AD12=4,MATCHED!$E12,IF(MATCHED!AD12=3,MATCHED!$F12,IF(MATCHED!AD12=6,MATCHED!$G12,IF(MATCHED!AD12=7,MATCHED!$H12,"")))))))&amp;IF(MATCHED!AD12=8,MATCHED!$I12,IF(MATCHED!AD12=9,MATCHED!$J12,IF(MATCHED!AD12=10,MATCHED!$K12,IF(MATCHED!AD12=11,MATCHED!$L12,IF(MATCHED!AD12=12,MATCHED!$M12,IF(MATCHED!AD12=13,MATCHED!$N12,IF(MATCHED!AD12=14,MATCHED!$O12,"")))))))&amp;IF(MATCHED!AD12=15,MATCHED!$P12,IF(MATCHED!AD12=16,MATCHED!$Q12,IF(MATCHED!AD12=17,MATCHED!$R12,IF(MATCHED!AD12=18,MATCHED!$S12,IF(MATCHED!AD12=19,MATCHED!$T12,IF(MATCHED!AD12=20,MATCHED!$U12,IF(MATCHED!AD12=21,MATCHED!$V12,)))))))&amp;IF(MATCHED!AD12=22,MATCHED!$W12,IF(MATCHED!AD12=23,MATCHED!$X12,IF(MATCHED!AD12=24,MATCHED!$Y12,IF(MATCHED!AD12=25,MATCHED!$Z12,IF(MATCHED!AD12=26,MATCHED!$AA12,IF(MATCHED!AD12=27,MATCHED!$AB12,"."))))))</f>
        <v>#N/A</v>
      </c>
      <c r="C12" s="335" t="e">
        <f>IF(MATCHED!AE12=1,MATCHED!$B12,IF(MATCHED!AE12=2,MATCHED!$C12,IF(MATCHED!AE12=3,MATCHED!$D12,IF(MATCHED!AE12=4,MATCHED!$E12,IF(MATCHED!AE12=3,MATCHED!$F12,IF(MATCHED!AE12=6,MATCHED!$G12,IF(MATCHED!AE12=7,MATCHED!$H12,"")))))))&amp;IF(MATCHED!AE12=8,MATCHED!$I12,IF(MATCHED!AE12=9,MATCHED!$J12,IF(MATCHED!AE12=10,MATCHED!$K12,IF(MATCHED!AE12=11,MATCHED!$L12,IF(MATCHED!AE12=12,MATCHED!$M12,IF(MATCHED!AE12=13,MATCHED!$N12,IF(MATCHED!AE12=14,MATCHED!$O12,"")))))))&amp;IF(MATCHED!AE12=15,MATCHED!$P12,IF(MATCHED!AE12=16,MATCHED!$Q12,IF(MATCHED!AE12=17,MATCHED!$R12,IF(MATCHED!AE12=18,MATCHED!$S12,IF(MATCHED!AE12=19,MATCHED!$T12,IF(MATCHED!AE12=20,MATCHED!$U12,IF(MATCHED!AE12=21,MATCHED!$V12,)))))))&amp;IF(MATCHED!AE12=22,MATCHED!$W12,IF(MATCHED!AE12=23,MATCHED!$X12,IF(MATCHED!AE12=24,MATCHED!$Y12,IF(MATCHED!AE12=25,MATCHED!$Z12,IF(MATCHED!AE12=26,MATCHED!$AA12,IF(MATCHED!AE12=27,MATCHED!$AB12,"."))))))</f>
        <v>#N/A</v>
      </c>
      <c r="D12" s="335" t="e">
        <f>IF(MATCHED!AF12=1,MATCHED!$B12,IF(MATCHED!AF12=2,MATCHED!$C12,IF(MATCHED!AF12=3,MATCHED!$D12,IF(MATCHED!AF12=4,MATCHED!$E12,IF(MATCHED!AF12=3,MATCHED!$F12,IF(MATCHED!AF12=6,MATCHED!$G12,IF(MATCHED!AF12=7,MATCHED!$H12,"")))))))&amp;IF(MATCHED!AF12=8,MATCHED!$I12,IF(MATCHED!AF12=9,MATCHED!$J12,IF(MATCHED!AF12=10,MATCHED!$K12,IF(MATCHED!AF12=11,MATCHED!$L12,IF(MATCHED!AF12=12,MATCHED!$M12,IF(MATCHED!AF12=13,MATCHED!$N12,IF(MATCHED!AF12=14,MATCHED!$O12,"")))))))&amp;IF(MATCHED!AF12=15,MATCHED!$P12,IF(MATCHED!AF12=16,MATCHED!$Q12,IF(MATCHED!AF12=17,MATCHED!$R12,IF(MATCHED!AF12=18,MATCHED!$S12,IF(MATCHED!AF12=19,MATCHED!$T12,IF(MATCHED!AF12=20,MATCHED!$U12,IF(MATCHED!AF12=21,MATCHED!$V12,)))))))&amp;IF(MATCHED!AF12=22,MATCHED!$W12,IF(MATCHED!AF12=23,MATCHED!$X12,IF(MATCHED!AF12=24,MATCHED!$Y12,IF(MATCHED!AF12=25,MATCHED!$Z12,IF(MATCHED!AF12=26,MATCHED!$AA12,IF(MATCHED!AF12=27,MATCHED!$AB12,"."))))))</f>
        <v>#N/A</v>
      </c>
      <c r="E12" s="335" t="e">
        <f>IF(MATCHED!AG12=1,MATCHED!$B12,IF(MATCHED!AG12=2,MATCHED!$C12,IF(MATCHED!AG12=3,MATCHED!$D12,IF(MATCHED!AG12=4,MATCHED!$E12,IF(MATCHED!AG12=3,MATCHED!$F12,IF(MATCHED!AG12=6,MATCHED!$G12,IF(MATCHED!AG12=7,MATCHED!$H12,"")))))))&amp;IF(MATCHED!AG12=8,MATCHED!$I12,IF(MATCHED!AG12=9,MATCHED!$J12,IF(MATCHED!AG12=10,MATCHED!$K12,IF(MATCHED!AG12=11,MATCHED!$L12,IF(MATCHED!AG12=12,MATCHED!$M12,IF(MATCHED!AG12=13,MATCHED!$N12,IF(MATCHED!AG12=14,MATCHED!$O12,"")))))))&amp;IF(MATCHED!AG12=15,MATCHED!$P12,IF(MATCHED!AG12=16,MATCHED!$Q12,IF(MATCHED!AG12=17,MATCHED!$R12,IF(MATCHED!AG12=18,MATCHED!$S12,IF(MATCHED!AG12=19,MATCHED!$T12,IF(MATCHED!AG12=20,MATCHED!$U12,IF(MATCHED!AG12=21,MATCHED!$V12,)))))))&amp;IF(MATCHED!AG12=22,MATCHED!$W12,IF(MATCHED!AG12=23,MATCHED!$X12,IF(MATCHED!AG12=24,MATCHED!$Y12,IF(MATCHED!AG12=25,MATCHED!$Z12,IF(MATCHED!AG12=26,MATCHED!$AA12,IF(MATCHED!AG12=27,MATCHED!$AB12,"."))))))</f>
        <v>#N/A</v>
      </c>
      <c r="F12" s="335" t="e">
        <f>IF(MATCHED!AH12=1,MATCHED!$B12,IF(MATCHED!AH12=2,MATCHED!$C12,IF(MATCHED!AH12=3,MATCHED!$D12,IF(MATCHED!AH12=4,MATCHED!$E12,IF(MATCHED!AH12=3,MATCHED!$F12,IF(MATCHED!AH12=6,MATCHED!$G12,IF(MATCHED!AH12=7,MATCHED!$H12,"")))))))&amp;IF(MATCHED!AH12=8,MATCHED!$I12,IF(MATCHED!AH12=9,MATCHED!$J12,IF(MATCHED!AH12=10,MATCHED!$K12,IF(MATCHED!AH12=11,MATCHED!$L12,IF(MATCHED!AH12=12,MATCHED!$M12,IF(MATCHED!AH12=13,MATCHED!$N12,IF(MATCHED!AH12=14,MATCHED!$O12,"")))))))&amp;IF(MATCHED!AH12=15,MATCHED!$P12,IF(MATCHED!AH12=16,MATCHED!$Q12,IF(MATCHED!AH12=17,MATCHED!$R12,IF(MATCHED!AH12=18,MATCHED!$S12,IF(MATCHED!AH12=19,MATCHED!$T12,IF(MATCHED!AH12=20,MATCHED!$U12,IF(MATCHED!AH12=21,MATCHED!$V12,)))))))&amp;IF(MATCHED!AH12=22,MATCHED!$W12,IF(MATCHED!AH12=23,MATCHED!$X12,IF(MATCHED!AH12=24,MATCHED!$Y12,IF(MATCHED!AH12=25,MATCHED!$Z12,IF(MATCHED!AH12=26,MATCHED!$AA12,IF(MATCHED!AH12=27,MATCHED!$AB12,"."))))))</f>
        <v>#N/A</v>
      </c>
      <c r="G12" s="335" t="e">
        <f>IF(MATCHED!AI12=1,MATCHED!$B12,IF(MATCHED!AI12=2,MATCHED!$C12,IF(MATCHED!AI12=3,MATCHED!$D12,IF(MATCHED!AI12=4,MATCHED!$E12,IF(MATCHED!AI12=3,MATCHED!$F12,IF(MATCHED!AI12=6,MATCHED!$G12,IF(MATCHED!AI12=7,MATCHED!$H12,"")))))))&amp;IF(MATCHED!AI12=8,MATCHED!$I12,IF(MATCHED!AI12=9,MATCHED!$J12,IF(MATCHED!AI12=10,MATCHED!$K12,IF(MATCHED!AI12=11,MATCHED!$L12,IF(MATCHED!AI12=12,MATCHED!$M12,IF(MATCHED!AI12=13,MATCHED!$N12,IF(MATCHED!AI12=14,MATCHED!$O12,"")))))))&amp;IF(MATCHED!AI12=15,MATCHED!$P12,IF(MATCHED!AI12=16,MATCHED!$Q12,IF(MATCHED!AI12=17,MATCHED!$R12,IF(MATCHED!AI12=18,MATCHED!$S12,IF(MATCHED!AI12=19,MATCHED!$T12,IF(MATCHED!AI12=20,MATCHED!$U12,IF(MATCHED!AI12=21,MATCHED!$V12,)))))))&amp;IF(MATCHED!AI12=22,MATCHED!$W12,IF(MATCHED!AI12=23,MATCHED!$X12,IF(MATCHED!AI12=24,MATCHED!$Y12,IF(MATCHED!AI12=25,MATCHED!$Z12,IF(MATCHED!AI12=26,MATCHED!$AA12,IF(MATCHED!AI12=27,MATCHED!$AB12,"."))))))</f>
        <v>#N/A</v>
      </c>
      <c r="H12" s="335" t="e">
        <f>IF(MATCHED!AJ12=1,MATCHED!$B12,IF(MATCHED!AJ12=2,MATCHED!$C12,IF(MATCHED!AJ12=3,MATCHED!$D12,IF(MATCHED!AJ12=4,MATCHED!$E12,IF(MATCHED!AJ12=3,MATCHED!$F12,IF(MATCHED!AJ12=6,MATCHED!$G12,IF(MATCHED!AJ12=7,MATCHED!$H12,"")))))))&amp;IF(MATCHED!AJ12=8,MATCHED!$I12,IF(MATCHED!AJ12=9,MATCHED!$J12,IF(MATCHED!AJ12=10,MATCHED!$K12,IF(MATCHED!AJ12=11,MATCHED!$L12,IF(MATCHED!AJ12=12,MATCHED!$M12,IF(MATCHED!AJ12=13,MATCHED!$N12,IF(MATCHED!AJ12=14,MATCHED!$O12,"")))))))&amp;IF(MATCHED!AJ12=15,MATCHED!$P12,IF(MATCHED!AJ12=16,MATCHED!$Q12,IF(MATCHED!AJ12=17,MATCHED!$R12,IF(MATCHED!AJ12=18,MATCHED!$S12,IF(MATCHED!AJ12=19,MATCHED!$T12,IF(MATCHED!AJ12=20,MATCHED!$U12,IF(MATCHED!AJ12=21,MATCHED!$V12,)))))))&amp;IF(MATCHED!AJ12=22,MATCHED!$W12,IF(MATCHED!AJ12=23,MATCHED!$X12,IF(MATCHED!AJ12=24,MATCHED!$Y12,IF(MATCHED!AJ12=25,MATCHED!$Z12,IF(MATCHED!AJ12=26,MATCHED!$AA12,IF(MATCHED!AJ12=27,MATCHED!$AB12,"."))))))</f>
        <v>#N/A</v>
      </c>
      <c r="I12" s="335" t="e">
        <f>IF(MATCHED!AK12=1,MATCHED!$B12,IF(MATCHED!AK12=2,MATCHED!$C12,IF(MATCHED!AK12=3,MATCHED!$D12,IF(MATCHED!AK12=4,MATCHED!$E12,IF(MATCHED!AK12=3,MATCHED!$F12,IF(MATCHED!AK12=6,MATCHED!$G12,IF(MATCHED!AK12=7,MATCHED!$H12,"")))))))&amp;IF(MATCHED!AK12=8,MATCHED!$I12,IF(MATCHED!AK12=9,MATCHED!$J12,IF(MATCHED!AK12=10,MATCHED!$K12,IF(MATCHED!AK12=11,MATCHED!$L12,IF(MATCHED!AK12=12,MATCHED!$M12,IF(MATCHED!AK12=13,MATCHED!$N12,IF(MATCHED!AK12=14,MATCHED!$O12,"")))))))&amp;IF(MATCHED!AK12=15,MATCHED!$P12,IF(MATCHED!AK12=16,MATCHED!$Q12,IF(MATCHED!AK12=17,MATCHED!$R12,IF(MATCHED!AK12=18,MATCHED!$S12,IF(MATCHED!AK12=19,MATCHED!$T12,IF(MATCHED!AK12=20,MATCHED!$U12,IF(MATCHED!AK12=21,MATCHED!$V12,)))))))&amp;IF(MATCHED!AK12=22,MATCHED!$W12,IF(MATCHED!AK12=23,MATCHED!$X12,IF(MATCHED!AK12=24,MATCHED!$Y12,IF(MATCHED!AK12=25,MATCHED!$Z12,IF(MATCHED!AK12=26,MATCHED!$AA12,IF(MATCHED!AK12=27,MATCHED!$AB12,"."))))))</f>
        <v>#N/A</v>
      </c>
      <c r="J12" s="335" t="e">
        <f>IF(MATCHED!AL12=1,MATCHED!$B12,IF(MATCHED!AL12=2,MATCHED!$C12,IF(MATCHED!AL12=3,MATCHED!$D12,IF(MATCHED!AL12=4,MATCHED!$E12,IF(MATCHED!AL12=3,MATCHED!$F12,IF(MATCHED!AL12=6,MATCHED!$G12,IF(MATCHED!AL12=7,MATCHED!$H12,"")))))))&amp;IF(MATCHED!AL12=8,MATCHED!$I12,IF(MATCHED!AL12=9,MATCHED!$J12,IF(MATCHED!AL12=10,MATCHED!$K12,IF(MATCHED!AL12=11,MATCHED!$L12,IF(MATCHED!AL12=12,MATCHED!$M12,IF(MATCHED!AL12=13,MATCHED!$N12,IF(MATCHED!AL12=14,MATCHED!$O12,"")))))))&amp;IF(MATCHED!AL12=15,MATCHED!$P12,IF(MATCHED!AL12=16,MATCHED!$Q12,IF(MATCHED!AL12=17,MATCHED!$R12,IF(MATCHED!AL12=18,MATCHED!$S12,IF(MATCHED!AL12=19,MATCHED!$T12,IF(MATCHED!AL12=20,MATCHED!$U12,IF(MATCHED!AL12=21,MATCHED!$V12,)))))))&amp;IF(MATCHED!AL12=22,MATCHED!$W12,IF(MATCHED!AL12=23,MATCHED!$X12,IF(MATCHED!AL12=24,MATCHED!$Y12,IF(MATCHED!AL12=25,MATCHED!$Z12,IF(MATCHED!AL12=26,MATCHED!$AA12,IF(MATCHED!AL12=27,MATCHED!$AB12,"."))))))</f>
        <v>#N/A</v>
      </c>
      <c r="K12" s="335" t="e">
        <f>IF(MATCHED!AM12=1,MATCHED!$B12,IF(MATCHED!AM12=2,MATCHED!$C12,IF(MATCHED!AM12=3,MATCHED!$D12,IF(MATCHED!AM12=4,MATCHED!$E12,IF(MATCHED!AM12=3,MATCHED!$F12,IF(MATCHED!AM12=6,MATCHED!$G12,IF(MATCHED!AM12=7,MATCHED!$H12,"")))))))&amp;IF(MATCHED!AM12=8,MATCHED!$I12,IF(MATCHED!AM12=9,MATCHED!$J12,IF(MATCHED!AM12=10,MATCHED!$K12,IF(MATCHED!AM12=11,MATCHED!$L12,IF(MATCHED!AM12=12,MATCHED!$M12,IF(MATCHED!AM12=13,MATCHED!$N12,IF(MATCHED!AM12=14,MATCHED!$O12,"")))))))&amp;IF(MATCHED!AM12=15,MATCHED!$P12,IF(MATCHED!AM12=16,MATCHED!$Q12,IF(MATCHED!AM12=17,MATCHED!$R12,IF(MATCHED!AM12=18,MATCHED!$S12,IF(MATCHED!AM12=19,MATCHED!$T12,IF(MATCHED!AM12=20,MATCHED!$U12,IF(MATCHED!AM12=21,MATCHED!$V12,)))))))&amp;IF(MATCHED!AM12=22,MATCHED!$W12,IF(MATCHED!AM12=23,MATCHED!$X12,IF(MATCHED!AM12=24,MATCHED!$Y12,IF(MATCHED!AM12=25,MATCHED!$Z12,IF(MATCHED!AM12=26,MATCHED!$AA12,IF(MATCHED!AM12=27,MATCHED!$AB12,"."))))))</f>
        <v>#N/A</v>
      </c>
      <c r="L12" s="335" t="e">
        <f>IF(MATCHED!AN12=1,MATCHED!$B12,IF(MATCHED!AN12=2,MATCHED!$C12,IF(MATCHED!AN12=3,MATCHED!$D12,IF(MATCHED!AN12=4,MATCHED!$E12,IF(MATCHED!AN12=3,MATCHED!$F12,IF(MATCHED!AN12=6,MATCHED!$G12,IF(MATCHED!AN12=7,MATCHED!$H12,"")))))))&amp;IF(MATCHED!AN12=8,MATCHED!$I12,IF(MATCHED!AN12=9,MATCHED!$J12,IF(MATCHED!AN12=10,MATCHED!$K12,IF(MATCHED!AN12=11,MATCHED!$L12,IF(MATCHED!AN12=12,MATCHED!$M12,IF(MATCHED!AN12=13,MATCHED!$N12,IF(MATCHED!AN12=14,MATCHED!$O12,"")))))))&amp;IF(MATCHED!AN12=15,MATCHED!$P12,IF(MATCHED!AN12=16,MATCHED!$Q12,IF(MATCHED!AN12=17,MATCHED!$R12,IF(MATCHED!AN12=18,MATCHED!$S12,IF(MATCHED!AN12=19,MATCHED!$T12,IF(MATCHED!AN12=20,MATCHED!$U12,IF(MATCHED!AN12=21,MATCHED!$V12,)))))))&amp;IF(MATCHED!AN12=22,MATCHED!$W12,IF(MATCHED!AN12=23,MATCHED!$X12,IF(MATCHED!AN12=24,MATCHED!$Y12,IF(MATCHED!AN12=25,MATCHED!$Z12,IF(MATCHED!AN12=26,MATCHED!$AA12,IF(MATCHED!AN12=27,MATCHED!$AB12,"."))))))</f>
        <v>#N/A</v>
      </c>
      <c r="M12" s="335" t="e">
        <f>IF(MATCHED!AO12=1,MATCHED!$B12,IF(MATCHED!AO12=2,MATCHED!$C12,IF(MATCHED!AO12=3,MATCHED!$D12,IF(MATCHED!AO12=4,MATCHED!$E12,IF(MATCHED!AO12=3,MATCHED!$F12,IF(MATCHED!AO12=6,MATCHED!$G12,IF(MATCHED!AO12=7,MATCHED!$H12,"")))))))&amp;IF(MATCHED!AO12=8,MATCHED!$I12,IF(MATCHED!AO12=9,MATCHED!$J12,IF(MATCHED!AO12=10,MATCHED!$K12,IF(MATCHED!AO12=11,MATCHED!$L12,IF(MATCHED!AO12=12,MATCHED!$M12,IF(MATCHED!AO12=13,MATCHED!$N12,IF(MATCHED!AO12=14,MATCHED!$O12,"")))))))&amp;IF(MATCHED!AO12=15,MATCHED!$P12,IF(MATCHED!AO12=16,MATCHED!$Q12,IF(MATCHED!AO12=17,MATCHED!$R12,IF(MATCHED!AO12=18,MATCHED!$S12,IF(MATCHED!AO12=19,MATCHED!$T12,IF(MATCHED!AO12=20,MATCHED!$U12,IF(MATCHED!AO12=21,MATCHED!$V12,)))))))&amp;IF(MATCHED!AO12=22,MATCHED!$W12,IF(MATCHED!AO12=23,MATCHED!$X12,IF(MATCHED!AO12=24,MATCHED!$Y12,IF(MATCHED!AO12=25,MATCHED!$Z12,IF(MATCHED!AO12=26,MATCHED!$AA12,IF(MATCHED!AO12=27,MATCHED!$AB12,"."))))))</f>
        <v>#N/A</v>
      </c>
      <c r="N12" s="335" t="e">
        <f>IF(MATCHED!AP12=1,MATCHED!$B12,IF(MATCHED!AP12=2,MATCHED!$C12,IF(MATCHED!AP12=3,MATCHED!$D12,IF(MATCHED!AP12=4,MATCHED!$E12,IF(MATCHED!AP12=3,MATCHED!$F12,IF(MATCHED!AP12=6,MATCHED!$G12,IF(MATCHED!AP12=7,MATCHED!$H12,"")))))))&amp;IF(MATCHED!AP12=8,MATCHED!$I12,IF(MATCHED!AP12=9,MATCHED!$J12,IF(MATCHED!AP12=10,MATCHED!$K12,IF(MATCHED!AP12=11,MATCHED!$L12,IF(MATCHED!AP12=12,MATCHED!$M12,IF(MATCHED!AP12=13,MATCHED!$N12,IF(MATCHED!AP12=14,MATCHED!$O12,"")))))))&amp;IF(MATCHED!AP12=15,MATCHED!$P12,IF(MATCHED!AP12=16,MATCHED!$Q12,IF(MATCHED!AP12=17,MATCHED!$R12,IF(MATCHED!AP12=18,MATCHED!$S12,IF(MATCHED!AP12=19,MATCHED!$T12,IF(MATCHED!AP12=20,MATCHED!$U12,IF(MATCHED!AP12=21,MATCHED!$V12,)))))))&amp;IF(MATCHED!AP12=22,MATCHED!$W12,IF(MATCHED!AP12=23,MATCHED!$X12,IF(MATCHED!AP12=24,MATCHED!$Y12,IF(MATCHED!AP12=25,MATCHED!$Z12,IF(MATCHED!AP12=26,MATCHED!$AA12,IF(MATCHED!AP12=27,MATCHED!$AB12,"."))))))</f>
        <v>#N/A</v>
      </c>
      <c r="O12" s="335" t="e">
        <f>IF(MATCHED!AQ12=1,MATCHED!$B12,IF(MATCHED!AQ12=2,MATCHED!$C12,IF(MATCHED!AQ12=3,MATCHED!$D12,IF(MATCHED!AQ12=4,MATCHED!$E12,IF(MATCHED!AQ12=3,MATCHED!$F12,IF(MATCHED!AQ12=6,MATCHED!$G12,IF(MATCHED!AQ12=7,MATCHED!$H12,"")))))))&amp;IF(MATCHED!AQ12=8,MATCHED!$I12,IF(MATCHED!AQ12=9,MATCHED!$J12,IF(MATCHED!AQ12=10,MATCHED!$K12,IF(MATCHED!AQ12=11,MATCHED!$L12,IF(MATCHED!AQ12=12,MATCHED!$M12,IF(MATCHED!AQ12=13,MATCHED!$N12,IF(MATCHED!AQ12=14,MATCHED!$O12,"")))))))&amp;IF(MATCHED!AQ12=15,MATCHED!$P12,IF(MATCHED!AQ12=16,MATCHED!$Q12,IF(MATCHED!AQ12=17,MATCHED!$R12,IF(MATCHED!AQ12=18,MATCHED!$S12,IF(MATCHED!AQ12=19,MATCHED!$T12,IF(MATCHED!AQ12=20,MATCHED!$U12,IF(MATCHED!AQ12=21,MATCHED!$V12,)))))))&amp;IF(MATCHED!AQ12=22,MATCHED!$W12,IF(MATCHED!AQ12=23,MATCHED!$X12,IF(MATCHED!AQ12=24,MATCHED!$Y12,IF(MATCHED!AQ12=25,MATCHED!$Z12,IF(MATCHED!AQ12=26,MATCHED!$AA12,IF(MATCHED!AQ12=27,MATCHED!$AB12,"."))))))</f>
        <v>#N/A</v>
      </c>
      <c r="P12" s="335" t="e">
        <f>IF(MATCHED!AR12=1,MATCHED!$B12,IF(MATCHED!AR12=2,MATCHED!$C12,IF(MATCHED!AR12=3,MATCHED!$D12,IF(MATCHED!AR12=4,MATCHED!$E12,IF(MATCHED!AR12=3,MATCHED!$F12,IF(MATCHED!AR12=6,MATCHED!$G12,IF(MATCHED!AR12=7,MATCHED!$H12,"")))))))&amp;IF(MATCHED!AR12=8,MATCHED!$I12,IF(MATCHED!AR12=9,MATCHED!$J12,IF(MATCHED!AR12=10,MATCHED!$K12,IF(MATCHED!AR12=11,MATCHED!$L12,IF(MATCHED!AR12=12,MATCHED!$M12,IF(MATCHED!AR12=13,MATCHED!$N12,IF(MATCHED!AR12=14,MATCHED!$O12,"")))))))&amp;IF(MATCHED!AR12=15,MATCHED!$P12,IF(MATCHED!AR12=16,MATCHED!$Q12,IF(MATCHED!AR12=17,MATCHED!$R12,IF(MATCHED!AR12=18,MATCHED!$S12,IF(MATCHED!AR12=19,MATCHED!$T12,IF(MATCHED!AR12=20,MATCHED!$U12,IF(MATCHED!AR12=21,MATCHED!$V12,)))))))&amp;IF(MATCHED!AR12=22,MATCHED!$W12,IF(MATCHED!AR12=23,MATCHED!$X12,IF(MATCHED!AR12=24,MATCHED!$Y12,IF(MATCHED!AR12=25,MATCHED!$Z12,IF(MATCHED!AR12=26,MATCHED!$AA12,IF(MATCHED!AR12=27,MATCHED!$AB12,"."))))))</f>
        <v>#N/A</v>
      </c>
      <c r="Q12" s="344" t="e">
        <f>IF(MATCHED!AS12=1,MATCHED!$B12,IF(MATCHED!AS12=2,MATCHED!$C12,IF(MATCHED!AS12=3,MATCHED!$D12,IF(MATCHED!AS12=4,MATCHED!$E12,IF(MATCHED!AS12=3,MATCHED!$F12,IF(MATCHED!AS12=6,MATCHED!$G12,IF(MATCHED!AS12=7,MATCHED!$H12,"")))))))&amp;IF(MATCHED!AS12=8,MATCHED!$I12,IF(MATCHED!AS12=9,MATCHED!$J12,IF(MATCHED!AS12=10,MATCHED!$K12,IF(MATCHED!AS12=11,MATCHED!$L12,IF(MATCHED!AS12=12,MATCHED!$M12,IF(MATCHED!AS12=13,MATCHED!$N12,IF(MATCHED!AS12=14,MATCHED!$O12,"")))))))&amp;IF(MATCHED!AS12=15,MATCHED!$P12,IF(MATCHED!AS12=16,MATCHED!$Q12,IF(MATCHED!AS12=17,MATCHED!$R12,IF(MATCHED!AS12=18,MATCHED!$S12,IF(MATCHED!AS12=19,MATCHED!$T12,IF(MATCHED!AS12=20,MATCHED!$U12,IF(MATCHED!AS12=21,MATCHED!$V12,)))))))&amp;IF(MATCHED!AS12=22,MATCHED!$W12,IF(MATCHED!AS12=23,MATCHED!$X12,IF(MATCHED!AS12=24,MATCHED!$Y12,IF(MATCHED!AS12=25,MATCHED!$Z12,IF(MATCHED!AS12=26,MATCHED!$AA12,IF(MATCHED!AS12=27,MATCHED!$AB12,"."))))))</f>
        <v>#N/A</v>
      </c>
      <c r="R12" s="335" t="e">
        <f>IF(MATCHED!AT12=1,MATCHED!$B12,IF(MATCHED!AT12=2,MATCHED!$C12,IF(MATCHED!AT12=3,MATCHED!$D12,IF(MATCHED!AT12=4,MATCHED!$E12,IF(MATCHED!AT12=3,MATCHED!$F12,IF(MATCHED!AT12=6,MATCHED!$G12,IF(MATCHED!AT12=7,MATCHED!$H12,"")))))))&amp;IF(MATCHED!AT12=8,MATCHED!$I12,IF(MATCHED!AT12=9,MATCHED!$J12,IF(MATCHED!AT12=10,MATCHED!$K12,IF(MATCHED!AT12=11,MATCHED!$L12,IF(MATCHED!AT12=12,MATCHED!$M12,IF(MATCHED!AT12=13,MATCHED!$N12,IF(MATCHED!AT12=14,MATCHED!$O12,"")))))))&amp;IF(MATCHED!AT12=15,MATCHED!$P12,IF(MATCHED!AT12=16,MATCHED!$Q12,IF(MATCHED!AT12=17,MATCHED!$R12,IF(MATCHED!AT12=18,MATCHED!$S12,IF(MATCHED!AT12=19,MATCHED!$T12,IF(MATCHED!AT12=20,MATCHED!$U12,IF(MATCHED!AT12=21,MATCHED!$V12,)))))))&amp;IF(MATCHED!AT12=22,MATCHED!$W12,IF(MATCHED!AT12=23,MATCHED!$X12,IF(MATCHED!AT12=24,MATCHED!$Y12,IF(MATCHED!AT12=25,MATCHED!$Z12,IF(MATCHED!AT12=26,MATCHED!$AA12,IF(MATCHED!AT12=27,MATCHED!$AB12,"."))))))</f>
        <v>#N/A</v>
      </c>
      <c r="S12" s="335" t="e">
        <f>IF(MATCHED!AU12=1,MATCHED!$B12,IF(MATCHED!AU12=2,MATCHED!$C12,IF(MATCHED!AU12=3,MATCHED!$D12,IF(MATCHED!AU12=4,MATCHED!$E12,IF(MATCHED!AU12=3,MATCHED!$F12,IF(MATCHED!AU12=6,MATCHED!$G12,IF(MATCHED!AU12=7,MATCHED!$H12,"")))))))&amp;IF(MATCHED!AU12=8,MATCHED!$I12,IF(MATCHED!AU12=9,MATCHED!$J12,IF(MATCHED!AU12=10,MATCHED!$K12,IF(MATCHED!AU12=11,MATCHED!$L12,IF(MATCHED!AU12=12,MATCHED!$M12,IF(MATCHED!AU12=13,MATCHED!$N12,IF(MATCHED!AU12=14,MATCHED!$O12,"")))))))&amp;IF(MATCHED!AU12=15,MATCHED!$P12,IF(MATCHED!AU12=16,MATCHED!$Q12,IF(MATCHED!AU12=17,MATCHED!$R12,IF(MATCHED!AU12=18,MATCHED!$S12,IF(MATCHED!AU12=19,MATCHED!$T12,IF(MATCHED!AU12=20,MATCHED!$U12,IF(MATCHED!AU12=21,MATCHED!$V12,)))))))&amp;IF(MATCHED!AU12=22,MATCHED!$W12,IF(MATCHED!AU12=23,MATCHED!$X12,IF(MATCHED!AU12=24,MATCHED!$Y12,IF(MATCHED!AU12=25,MATCHED!$Z12,IF(MATCHED!AU12=26,MATCHED!$AA12,IF(MATCHED!AU12=27,MATCHED!$AB12,"."))))))</f>
        <v>#N/A</v>
      </c>
      <c r="T12" s="335" t="e">
        <f>IF(MATCHED!AV12=1,MATCHED!$B12,IF(MATCHED!AV12=2,MATCHED!$C12,IF(MATCHED!AV12=3,MATCHED!$D12,IF(MATCHED!AV12=4,MATCHED!$E12,IF(MATCHED!AV12=3,MATCHED!$F12,IF(MATCHED!AV12=6,MATCHED!$G12,IF(MATCHED!AV12=7,MATCHED!$H12,"")))))))&amp;IF(MATCHED!AV12=8,MATCHED!$I12,IF(MATCHED!AV12=9,MATCHED!$J12,IF(MATCHED!AV12=10,MATCHED!$K12,IF(MATCHED!AV12=11,MATCHED!$L12,IF(MATCHED!AV12=12,MATCHED!$M12,IF(MATCHED!AV12=13,MATCHED!$N12,IF(MATCHED!AV12=14,MATCHED!$O12,"")))))))&amp;IF(MATCHED!AV12=15,MATCHED!$P12,IF(MATCHED!AV12=16,MATCHED!$Q12,IF(MATCHED!AV12=17,MATCHED!$R12,IF(MATCHED!AV12=18,MATCHED!$S12,IF(MATCHED!AV12=19,MATCHED!$T12,IF(MATCHED!AV12=20,MATCHED!$U12,IF(MATCHED!AV12=21,MATCHED!$V12,)))))))&amp;IF(MATCHED!AV12=22,MATCHED!$W12,IF(MATCHED!AV12=23,MATCHED!$X12,IF(MATCHED!AV12=24,MATCHED!$Y12,IF(MATCHED!AV12=25,MATCHED!$Z12,IF(MATCHED!AV12=26,MATCHED!$AA12,IF(MATCHED!AV12=27,MATCHED!$AB12,"."))))))</f>
        <v>#N/A</v>
      </c>
      <c r="U12" s="335" t="e">
        <f>IF(MATCHED!AW12=1,MATCHED!$B12,IF(MATCHED!AW12=2,MATCHED!$C12,IF(MATCHED!AW12=3,MATCHED!$D12,IF(MATCHED!AW12=4,MATCHED!$E12,IF(MATCHED!AW12=3,MATCHED!$F12,IF(MATCHED!AW12=6,MATCHED!$G12,IF(MATCHED!AW12=7,MATCHED!$H12,"")))))))&amp;IF(MATCHED!AW12=8,MATCHED!$I12,IF(MATCHED!AW12=9,MATCHED!$J12,IF(MATCHED!AW12=10,MATCHED!$K12,IF(MATCHED!AW12=11,MATCHED!$L12,IF(MATCHED!AW12=12,MATCHED!$M12,IF(MATCHED!AW12=13,MATCHED!$N12,IF(MATCHED!AW12=14,MATCHED!$O12,"")))))))&amp;IF(MATCHED!AW12=15,MATCHED!$P12,IF(MATCHED!AW12=16,MATCHED!$Q12,IF(MATCHED!AW12=17,MATCHED!$R12,IF(MATCHED!AW12=18,MATCHED!$S12,IF(MATCHED!AW12=19,MATCHED!$T12,IF(MATCHED!AW12=20,MATCHED!$U12,IF(MATCHED!AW12=21,MATCHED!$V12,)))))))&amp;IF(MATCHED!AW12=22,MATCHED!$W12,IF(MATCHED!AW12=23,MATCHED!$X12,IF(MATCHED!AW12=24,MATCHED!$Y12,IF(MATCHED!AW12=25,MATCHED!$Z12,IF(MATCHED!AW12=26,MATCHED!$AA12,IF(MATCHED!AW12=27,MATCHED!$AB12,"."))))))</f>
        <v>#N/A</v>
      </c>
      <c r="V12" s="335" t="e">
        <f>IF(MATCHED!AX12=1,MATCHED!$B12,IF(MATCHED!AX12=2,MATCHED!$C12,IF(MATCHED!AX12=3,MATCHED!$D12,IF(MATCHED!AX12=4,MATCHED!$E12,IF(MATCHED!AX12=3,MATCHED!$F12,IF(MATCHED!AX12=6,MATCHED!$G12,IF(MATCHED!AX12=7,MATCHED!$H12,"")))))))&amp;IF(MATCHED!AX12=8,MATCHED!$I12,IF(MATCHED!AX12=9,MATCHED!$J12,IF(MATCHED!AX12=10,MATCHED!$K12,IF(MATCHED!AX12=11,MATCHED!$L12,IF(MATCHED!AX12=12,MATCHED!$M12,IF(MATCHED!AX12=13,MATCHED!$N12,IF(MATCHED!AX12=14,MATCHED!$O12,"")))))))&amp;IF(MATCHED!AX12=15,MATCHED!$P12,IF(MATCHED!AX12=16,MATCHED!$Q12,IF(MATCHED!AX12=17,MATCHED!$R12,IF(MATCHED!AX12=18,MATCHED!$S12,IF(MATCHED!AX12=19,MATCHED!$T12,IF(MATCHED!AX12=20,MATCHED!$U12,IF(MATCHED!AX12=21,MATCHED!$V12,)))))))&amp;IF(MATCHED!AX12=22,MATCHED!$W12,IF(MATCHED!AX12=23,MATCHED!$X12,IF(MATCHED!AX12=24,MATCHED!$Y12,IF(MATCHED!AX12=25,MATCHED!$Z12,IF(MATCHED!AX12=26,MATCHED!$AA12,IF(MATCHED!AX12=27,MATCHED!$AB12,"."))))))</f>
        <v>#N/A</v>
      </c>
      <c r="W12" s="335" t="e">
        <f>IF(MATCHED!AY12=1,MATCHED!$B12,IF(MATCHED!AY12=2,MATCHED!$C12,IF(MATCHED!AY12=3,MATCHED!$D12,IF(MATCHED!AY12=4,MATCHED!$E12,IF(MATCHED!AY12=3,MATCHED!$F12,IF(MATCHED!AY12=6,MATCHED!$G12,IF(MATCHED!AY12=7,MATCHED!$H12,"")))))))&amp;IF(MATCHED!AY12=8,MATCHED!$I12,IF(MATCHED!AY12=9,MATCHED!$J12,IF(MATCHED!AY12=10,MATCHED!$K12,IF(MATCHED!AY12=11,MATCHED!$L12,IF(MATCHED!AY12=12,MATCHED!$M12,IF(MATCHED!AY12=13,MATCHED!$N12,IF(MATCHED!AY12=14,MATCHED!$O12,"")))))))&amp;IF(MATCHED!AY12=15,MATCHED!$P12,IF(MATCHED!AY12=16,MATCHED!$Q12,IF(MATCHED!AY12=17,MATCHED!$R12,IF(MATCHED!AY12=18,MATCHED!$S12,IF(MATCHED!AY12=19,MATCHED!$T12,IF(MATCHED!AY12=20,MATCHED!$U12,IF(MATCHED!AY12=21,MATCHED!$V12,)))))))&amp;IF(MATCHED!AY12=22,MATCHED!$W12,IF(MATCHED!AY12=23,MATCHED!$X12,IF(MATCHED!AY12=24,MATCHED!$Y12,IF(MATCHED!AY12=25,MATCHED!$Z12,IF(MATCHED!AY12=26,MATCHED!$AA12,IF(MATCHED!AY12=27,MATCHED!$AB12,"."))))))</f>
        <v>#N/A</v>
      </c>
      <c r="X12" s="335" t="e">
        <f>IF(MATCHED!AZ12=1,MATCHED!$B12,IF(MATCHED!AZ12=2,MATCHED!$C12,IF(MATCHED!AZ12=3,MATCHED!$D12,IF(MATCHED!AZ12=4,MATCHED!$E12,IF(MATCHED!AZ12=3,MATCHED!$F12,IF(MATCHED!AZ12=6,MATCHED!$G12,IF(MATCHED!AZ12=7,MATCHED!$H12,"")))))))&amp;IF(MATCHED!AZ12=8,MATCHED!$I12,IF(MATCHED!AZ12=9,MATCHED!$J12,IF(MATCHED!AZ12=10,MATCHED!$K12,IF(MATCHED!AZ12=11,MATCHED!$L12,IF(MATCHED!AZ12=12,MATCHED!$M12,IF(MATCHED!AZ12=13,MATCHED!$N12,IF(MATCHED!AZ12=14,MATCHED!$O12,"")))))))&amp;IF(MATCHED!AZ12=15,MATCHED!$P12,IF(MATCHED!AZ12=16,MATCHED!$Q12,IF(MATCHED!AZ12=17,MATCHED!$R12,IF(MATCHED!AZ12=18,MATCHED!$S12,IF(MATCHED!AZ12=19,MATCHED!$T12,IF(MATCHED!AZ12=20,MATCHED!$U12,IF(MATCHED!AZ12=21,MATCHED!$V12,)))))))&amp;IF(MATCHED!AZ12=22,MATCHED!$W12,IF(MATCHED!AZ12=23,MATCHED!$X12,IF(MATCHED!AZ12=24,MATCHED!$Y12,IF(MATCHED!AZ12=25,MATCHED!$Z12,IF(MATCHED!AZ12=26,MATCHED!$AA12,IF(MATCHED!AZ12=27,MATCHED!$AB12,"."))))))</f>
        <v>#N/A</v>
      </c>
      <c r="Y12" s="335" t="e">
        <f>IF(MATCHED!BA12=1,MATCHED!$B12,IF(MATCHED!BA12=2,MATCHED!$C12,IF(MATCHED!BA12=3,MATCHED!$D12,IF(MATCHED!BA12=4,MATCHED!$E12,IF(MATCHED!BA12=3,MATCHED!$F12,IF(MATCHED!BA12=6,MATCHED!$G12,IF(MATCHED!BA12=7,MATCHED!$H12,"")))))))&amp;IF(MATCHED!BA12=8,MATCHED!$I12,IF(MATCHED!BA12=9,MATCHED!$J12,IF(MATCHED!BA12=10,MATCHED!$K12,IF(MATCHED!BA12=11,MATCHED!$L12,IF(MATCHED!BA12=12,MATCHED!$M12,IF(MATCHED!BA12=13,MATCHED!$N12,IF(MATCHED!BA12=14,MATCHED!$O12,"")))))))&amp;IF(MATCHED!BA12=15,MATCHED!$P12,IF(MATCHED!BA12=16,MATCHED!$Q12,IF(MATCHED!BA12=17,MATCHED!$R12,IF(MATCHED!BA12=18,MATCHED!$S12,IF(MATCHED!BA12=19,MATCHED!$T12,IF(MATCHED!BA12=20,MATCHED!$U12,IF(MATCHED!BA12=21,MATCHED!$V12,)))))))&amp;IF(MATCHED!BA12=22,MATCHED!$W12,IF(MATCHED!BA12=23,MATCHED!$X12,IF(MATCHED!BA12=24,MATCHED!$Y12,IF(MATCHED!BA12=25,MATCHED!$Z12,IF(MATCHED!BA12=26,MATCHED!$AA12,IF(MATCHED!BA12=27,MATCHED!$AB12,"."))))))</f>
        <v>#N/A</v>
      </c>
      <c r="Z12" s="335" t="e">
        <f>IF(MATCHED!BB12=1,MATCHED!$B12,IF(MATCHED!BB12=2,MATCHED!$C12,IF(MATCHED!BB12=3,MATCHED!$D12,IF(MATCHED!BB12=4,MATCHED!$E12,IF(MATCHED!BB12=3,MATCHED!$F12,IF(MATCHED!BB12=6,MATCHED!$G12,IF(MATCHED!BB12=7,MATCHED!$H12,"")))))))&amp;IF(MATCHED!BB12=8,MATCHED!$I12,IF(MATCHED!BB12=9,MATCHED!$J12,IF(MATCHED!BB12=10,MATCHED!$K12,IF(MATCHED!BB12=11,MATCHED!$L12,IF(MATCHED!BB12=12,MATCHED!$M12,IF(MATCHED!BB12=13,MATCHED!$N12,IF(MATCHED!BB12=14,MATCHED!$O12,"")))))))&amp;IF(MATCHED!BB12=15,MATCHED!$P12,IF(MATCHED!BB12=16,MATCHED!$Q12,IF(MATCHED!BB12=17,MATCHED!$R12,IF(MATCHED!BB12=18,MATCHED!$S12,IF(MATCHED!BB12=19,MATCHED!$T12,IF(MATCHED!BB12=20,MATCHED!$U12,IF(MATCHED!BB12=21,MATCHED!$V12,)))))))&amp;IF(MATCHED!BB12=22,MATCHED!$W12,IF(MATCHED!BB12=23,MATCHED!$X12,IF(MATCHED!BB12=24,MATCHED!$Y12,IF(MATCHED!BB12=25,MATCHED!$Z12,IF(MATCHED!BB12=26,MATCHED!$AA12,IF(MATCHED!BB12=27,MATCHED!$AB12,"."))))))</f>
        <v>#N/A</v>
      </c>
      <c r="AA12" s="335" t="e">
        <f>IF(MATCHED!BC12=1,MATCHED!$B12,IF(MATCHED!BC12=2,MATCHED!$C12,IF(MATCHED!BC12=3,MATCHED!$D12,IF(MATCHED!BC12=4,MATCHED!$E12,IF(MATCHED!BC12=3,MATCHED!$F12,IF(MATCHED!BC12=6,MATCHED!$G12,IF(MATCHED!BC12=7,MATCHED!$H12,"")))))))&amp;IF(MATCHED!BC12=8,MATCHED!$I12,IF(MATCHED!BC12=9,MATCHED!$J12,IF(MATCHED!BC12=10,MATCHED!$K12,IF(MATCHED!BC12=11,MATCHED!$L12,IF(MATCHED!BC12=12,MATCHED!$M12,IF(MATCHED!BC12=13,MATCHED!$N12,IF(MATCHED!BC12=14,MATCHED!$O12,"")))))))&amp;IF(MATCHED!BC12=15,MATCHED!$P12,IF(MATCHED!BC12=16,MATCHED!$Q12,IF(MATCHED!BC12=17,MATCHED!$R12,IF(MATCHED!BC12=18,MATCHED!$S12,IF(MATCHED!BC12=19,MATCHED!$T12,IF(MATCHED!BC12=20,MATCHED!$U12,IF(MATCHED!BC12=21,MATCHED!$V12,)))))))&amp;IF(MATCHED!BC12=22,MATCHED!$W12,IF(MATCHED!BC12=23,MATCHED!$X12,IF(MATCHED!BC12=24,MATCHED!$Y12,IF(MATCHED!BC12=25,MATCHED!$Z12,IF(MATCHED!BC12=26,MATCHED!$AA12,IF(MATCHED!BC12=27,MATCHED!$AB12,"."))))))</f>
        <v>#N/A</v>
      </c>
      <c r="AB12" s="335" t="e">
        <f>IF(MATCHED!BD12=1,MATCHED!$B12,IF(MATCHED!BD12=2,MATCHED!$C12,IF(MATCHED!BD12=3,MATCHED!$D12,IF(MATCHED!BD12=4,MATCHED!$E12,IF(MATCHED!BD12=3,MATCHED!$F12,IF(MATCHED!BD12=6,MATCHED!$G12,IF(MATCHED!BD12=7,MATCHED!$H12,"")))))))&amp;IF(MATCHED!BD12=8,MATCHED!$I12,IF(MATCHED!BD12=9,MATCHED!$J12,IF(MATCHED!BD12=10,MATCHED!$K12,IF(MATCHED!BD12=11,MATCHED!$L12,IF(MATCHED!BD12=12,MATCHED!$M12,IF(MATCHED!BD12=13,MATCHED!$N12,IF(MATCHED!BD12=14,MATCHED!$O12,"")))))))&amp;IF(MATCHED!BD12=15,MATCHED!$P12,IF(MATCHED!BD12=16,MATCHED!$Q12,IF(MATCHED!BD12=17,MATCHED!$R12,IF(MATCHED!BD12=18,MATCHED!$S12,IF(MATCHED!BD12=19,MATCHED!$T12,IF(MATCHED!BD12=20,MATCHED!$U12,IF(MATCHED!BD12=21,MATCHED!$V12,)))))))&amp;IF(MATCHED!BD12=22,MATCHED!$W12,IF(MATCHED!BD12=23,MATCHED!$X12,IF(MATCHED!BD12=24,MATCHED!$Y12,IF(MATCHED!BD12=25,MATCHED!$Z12,IF(MATCHED!BD12=26,MATCHED!$AA12,IF(MATCHED!BD12=27,MATCHED!$AB12,"."))))))</f>
        <v>#N/A</v>
      </c>
      <c r="AC12" s="335" t="e">
        <f>IF(MATCHED!BE12=1,MATCHED!$B12,IF(MATCHED!BE12=2,MATCHED!$C12,IF(MATCHED!BE12=3,MATCHED!$D12,IF(MATCHED!BE12=4,MATCHED!$E12,IF(MATCHED!BE12=3,MATCHED!$F12,IF(MATCHED!BE12=6,MATCHED!$G12,IF(MATCHED!BE12=7,MATCHED!$H12,"")))))))&amp;IF(MATCHED!BE12=8,MATCHED!$I12,IF(MATCHED!BE12=9,MATCHED!$J12,IF(MATCHED!BE12=10,MATCHED!$K12,IF(MATCHED!BE12=11,MATCHED!$L12,IF(MATCHED!BE12=12,MATCHED!$M12,IF(MATCHED!BE12=13,MATCHED!$N12,IF(MATCHED!BE12=14,MATCHED!$O12,"")))))))&amp;IF(MATCHED!BE12=15,MATCHED!$P12,IF(MATCHED!BE12=16,MATCHED!$Q12,IF(MATCHED!BE12=17,MATCHED!$R12,IF(MATCHED!BE12=18,MATCHED!$S12,IF(MATCHED!BE12=19,MATCHED!$T12,IF(MATCHED!BE12=20,MATCHED!$U12,IF(MATCHED!BE12=21,MATCHED!$V12,)))))))&amp;IF(MATCHED!BE12=22,MATCHED!$W12,IF(MATCHED!BE12=23,MATCHED!$X12,IF(MATCHED!BE12=24,MATCHED!$Y12,IF(MATCHED!BE12=25,MATCHED!$Z12,IF(MATCHED!BE12=26,MATCHED!$AA12,IF(MATCHED!BE12=27,MATCHED!$AB12,"."))))))</f>
        <v>#N/A</v>
      </c>
      <c r="AD12" s="335" t="e">
        <f>IF(MATCHED!BF12=1,MATCHED!$B12,IF(MATCHED!BF12=2,MATCHED!$C12,IF(MATCHED!BF12=3,MATCHED!$D12,IF(MATCHED!BF12=4,MATCHED!$E12,IF(MATCHED!BF12=3,MATCHED!$F12,IF(MATCHED!BF12=6,MATCHED!$G12,IF(MATCHED!BF12=7,MATCHED!$H12,"")))))))&amp;IF(MATCHED!BF12=8,MATCHED!$I12,IF(MATCHED!BF12=9,MATCHED!$J12,IF(MATCHED!BF12=10,MATCHED!$K12,IF(MATCHED!BF12=11,MATCHED!$L12,IF(MATCHED!BF12=12,MATCHED!$M12,IF(MATCHED!BF12=13,MATCHED!$N12,IF(MATCHED!BF12=14,MATCHED!$O12,"")))))))&amp;IF(MATCHED!BF12=15,MATCHED!$P12,IF(MATCHED!BF12=16,MATCHED!$Q12,IF(MATCHED!BF12=17,MATCHED!$R12,IF(MATCHED!BF12=18,MATCHED!$S12,IF(MATCHED!BF12=19,MATCHED!$T12,IF(MATCHED!BF12=20,MATCHED!$U12,IF(MATCHED!BF12=21,MATCHED!$V12,)))))))&amp;IF(MATCHED!BF12=22,MATCHED!$W12,IF(MATCHED!BF12=23,MATCHED!$X12,IF(MATCHED!BF12=24,MATCHED!$Y12,IF(MATCHED!BF12=25,MATCHED!$Z12,IF(MATCHED!BF12=26,MATCHED!$AA12,IF(MATCHED!BF12=27,MATCHED!$AB12,"."))))))</f>
        <v>#N/A</v>
      </c>
      <c r="AE12" s="335" t="e">
        <f>IF(MATCHED!BG12=1,MATCHED!$B12,IF(MATCHED!BG12=2,MATCHED!$C12,IF(MATCHED!BG12=3,MATCHED!$D12,IF(MATCHED!BG12=4,MATCHED!$E12,IF(MATCHED!BG12=3,MATCHED!$F12,IF(MATCHED!BG12=6,MATCHED!$G12,IF(MATCHED!BG12=7,MATCHED!$H12,"")))))))&amp;IF(MATCHED!BG12=8,MATCHED!$I12,IF(MATCHED!BG12=9,MATCHED!$J12,IF(MATCHED!BG12=10,MATCHED!$K12,IF(MATCHED!BG12=11,MATCHED!$L12,IF(MATCHED!BG12=12,MATCHED!$M12,IF(MATCHED!BG12=13,MATCHED!$N12,IF(MATCHED!BG12=14,MATCHED!$O12,"")))))))&amp;IF(MATCHED!BG12=15,MATCHED!$P12,IF(MATCHED!BG12=16,MATCHED!$Q12,IF(MATCHED!BG12=17,MATCHED!$R12,IF(MATCHED!BG12=18,MATCHED!$S12,IF(MATCHED!BG12=19,MATCHED!$T12,IF(MATCHED!BG12=20,MATCHED!$U12,IF(MATCHED!BG12=21,MATCHED!$V12,)))))))&amp;IF(MATCHED!BG12=22,MATCHED!$W12,IF(MATCHED!BG12=23,MATCHED!$X12,IF(MATCHED!BG12=24,MATCHED!$Y12,IF(MATCHED!BG12=25,MATCHED!$Z12,IF(MATCHED!BG12=26,MATCHED!$AA12,IF(MATCHED!BG12=27,MATCHED!$AB12,"."))))))</f>
        <v>#N/A</v>
      </c>
      <c r="AF12" s="335" t="e">
        <f>IF(MATCHED!BH12=1,MATCHED!$B12,IF(MATCHED!BH12=2,MATCHED!$C12,IF(MATCHED!BH12=3,MATCHED!$D12,IF(MATCHED!BH12=4,MATCHED!$E12,IF(MATCHED!BH12=3,MATCHED!$F12,IF(MATCHED!BH12=6,MATCHED!$G12,IF(MATCHED!BH12=7,MATCHED!$H12,"")))))))&amp;IF(MATCHED!BH12=8,MATCHED!$I12,IF(MATCHED!BH12=9,MATCHED!$J12,IF(MATCHED!BH12=10,MATCHED!$K12,IF(MATCHED!BH12=11,MATCHED!$L12,IF(MATCHED!BH12=12,MATCHED!$M12,IF(MATCHED!BH12=13,MATCHED!$N12,IF(MATCHED!BH12=14,MATCHED!$O12,"")))))))&amp;IF(MATCHED!BH12=15,MATCHED!$P12,IF(MATCHED!BH12=16,MATCHED!$Q12,IF(MATCHED!BH12=17,MATCHED!$R12,IF(MATCHED!BH12=18,MATCHED!$S12,IF(MATCHED!BH12=19,MATCHED!$T12,IF(MATCHED!BH12=20,MATCHED!$U12,IF(MATCHED!BH12=21,MATCHED!$V12,)))))))&amp;IF(MATCHED!BH12=22,MATCHED!$W12,IF(MATCHED!BH12=23,MATCHED!$X12,IF(MATCHED!BH12=24,MATCHED!$Y12,IF(MATCHED!BH12=25,MATCHED!$Z12,IF(MATCHED!BH12=26,MATCHED!$AA12,IF(MATCHED!BH12=27,MATCHED!$AB12,"."))))))</f>
        <v>#N/A</v>
      </c>
      <c r="AG12" s="335" t="e">
        <f>IF(MATCHED!BI12=1,MATCHED!$B12,IF(MATCHED!BI12=2,MATCHED!$C12,IF(MATCHED!BI12=3,MATCHED!$D12,IF(MATCHED!BI12=4,MATCHED!$E12,IF(MATCHED!BI12=3,MATCHED!$F12,IF(MATCHED!BI12=6,MATCHED!$G12,IF(MATCHED!BI12=7,MATCHED!$H12,"")))))))&amp;IF(MATCHED!BI12=8,MATCHED!$I12,IF(MATCHED!BI12=9,MATCHED!$J12,IF(MATCHED!BI12=10,MATCHED!$K12,IF(MATCHED!BI12=11,MATCHED!$L12,IF(MATCHED!BI12=12,MATCHED!$M12,IF(MATCHED!BI12=13,MATCHED!$N12,IF(MATCHED!BI12=14,MATCHED!$O12,"")))))))&amp;IF(MATCHED!BI12=15,MATCHED!$P12,IF(MATCHED!BI12=16,MATCHED!$Q12,IF(MATCHED!BI12=17,MATCHED!$R12,IF(MATCHED!BI12=18,MATCHED!$S12,IF(MATCHED!BI12=19,MATCHED!$T12,IF(MATCHED!BI12=20,MATCHED!$U12,IF(MATCHED!BI12=21,MATCHED!$V12,)))))))&amp;IF(MATCHED!BI12=22,MATCHED!$W12,IF(MATCHED!BI12=23,MATCHED!$X12,IF(MATCHED!BI12=24,MATCHED!$Y12,IF(MATCHED!BI12=25,MATCHED!$Z12,IF(MATCHED!BI12=26,MATCHED!$AA12,IF(MATCHED!BI12=27,MATCHED!$AB12,"."))))))</f>
        <v>#N/A</v>
      </c>
      <c r="AH12" s="335" t="e">
        <f>IF(MATCHED!BJ12=1,MATCHED!$B12,IF(MATCHED!BJ12=2,MATCHED!$C12,IF(MATCHED!BJ12=3,MATCHED!$D12,IF(MATCHED!BJ12=4,MATCHED!$E12,IF(MATCHED!BJ12=3,MATCHED!$F12,IF(MATCHED!BJ12=6,MATCHED!$G12,IF(MATCHED!BJ12=7,MATCHED!$H12,"")))))))&amp;IF(MATCHED!BJ12=8,MATCHED!$I12,IF(MATCHED!BJ12=9,MATCHED!$J12,IF(MATCHED!BJ12=10,MATCHED!$K12,IF(MATCHED!BJ12=11,MATCHED!$L12,IF(MATCHED!BJ12=12,MATCHED!$M12,IF(MATCHED!BJ12=13,MATCHED!$N12,IF(MATCHED!BJ12=14,MATCHED!$O12,"")))))))&amp;IF(MATCHED!BJ12=15,MATCHED!$P12,IF(MATCHED!BJ12=16,MATCHED!$Q12,IF(MATCHED!BJ12=17,MATCHED!$R12,IF(MATCHED!BJ12=18,MATCHED!$S12,IF(MATCHED!BJ12=19,MATCHED!$T12,IF(MATCHED!BJ12=20,MATCHED!$U12,IF(MATCHED!BJ12=21,MATCHED!$V12,)))))))&amp;IF(MATCHED!BJ12=22,MATCHED!$W12,IF(MATCHED!BJ12=23,MATCHED!$X12,IF(MATCHED!BJ12=24,MATCHED!$Y12,IF(MATCHED!BJ12=25,MATCHED!$Z12,IF(MATCHED!BJ12=26,MATCHED!$AA12,IF(MATCHED!BJ12=27,MATCHED!$AB12,"."))))))</f>
        <v>#N/A</v>
      </c>
      <c r="AI12" s="335" t="e">
        <f>IF(MATCHED!BK12=1,MATCHED!$B12,IF(MATCHED!BK12=2,MATCHED!$C12,IF(MATCHED!BK12=3,MATCHED!$D12,IF(MATCHED!BK12=4,MATCHED!$E12,IF(MATCHED!BK12=3,MATCHED!$F12,IF(MATCHED!BK12=6,MATCHED!$G12,IF(MATCHED!BK12=7,MATCHED!$H12,"")))))))&amp;IF(MATCHED!BK12=8,MATCHED!$I12,IF(MATCHED!BK12=9,MATCHED!$J12,IF(MATCHED!BK12=10,MATCHED!$K12,IF(MATCHED!BK12=11,MATCHED!$L12,IF(MATCHED!BK12=12,MATCHED!$M12,IF(MATCHED!BK12=13,MATCHED!$N12,IF(MATCHED!BK12=14,MATCHED!$O12,"")))))))&amp;IF(MATCHED!BK12=15,MATCHED!$P12,IF(MATCHED!BK12=16,MATCHED!$Q12,IF(MATCHED!BK12=17,MATCHED!$R12,IF(MATCHED!BK12=18,MATCHED!$S12,IF(MATCHED!BK12=19,MATCHED!$T12,IF(MATCHED!BK12=20,MATCHED!$U12,IF(MATCHED!BK12=21,MATCHED!$V12,)))))))&amp;IF(MATCHED!BK12=22,MATCHED!$W12,IF(MATCHED!BK12=23,MATCHED!$X12,IF(MATCHED!BK12=24,MATCHED!$Y12,IF(MATCHED!BK12=25,MATCHED!$Z12,IF(MATCHED!BK12=26,MATCHED!$AA12,IF(MATCHED!BK12=27,MATCHED!$AB12,"."))))))</f>
        <v>#N/A</v>
      </c>
      <c r="AJ12" s="534"/>
    </row>
    <row r="13" spans="1:104" s="338" customFormat="1" x14ac:dyDescent="0.25">
      <c r="A13" s="534"/>
      <c r="B13" s="343" t="e">
        <f>IF(MATCHED!AD13=1,MATCHED!$B13,IF(MATCHED!AD13=2,MATCHED!$C13,IF(MATCHED!AD13=3,MATCHED!$D13,IF(MATCHED!AD13=4,MATCHED!$E13,IF(MATCHED!AD13=3,MATCHED!$F13,IF(MATCHED!AD13=6,MATCHED!$G13,IF(MATCHED!AD13=7,MATCHED!$H13,"")))))))&amp;IF(MATCHED!AD13=8,MATCHED!$I13,IF(MATCHED!AD13=9,MATCHED!$J13,IF(MATCHED!AD13=10,MATCHED!$K13,IF(MATCHED!AD13=11,MATCHED!$L13,IF(MATCHED!AD13=12,MATCHED!$M13,IF(MATCHED!AD13=13,MATCHED!$N13,IF(MATCHED!AD13=14,MATCHED!$O13,"")))))))&amp;IF(MATCHED!AD13=15,MATCHED!$P13,IF(MATCHED!AD13=16,MATCHED!$Q13,IF(MATCHED!AD13=17,MATCHED!$R13,IF(MATCHED!AD13=18,MATCHED!$S13,IF(MATCHED!AD13=19,MATCHED!$T13,IF(MATCHED!AD13=20,MATCHED!$U13,IF(MATCHED!AD13=21,MATCHED!$V13,)))))))&amp;IF(MATCHED!AD13=22,MATCHED!$W13,IF(MATCHED!AD13=23,MATCHED!$X13,IF(MATCHED!AD13=24,MATCHED!$Y13,IF(MATCHED!AD13=25,MATCHED!$Z13,IF(MATCHED!AD13=26,MATCHED!$AA13,IF(MATCHED!AD13=27,MATCHED!$AB13,"."))))))</f>
        <v>#N/A</v>
      </c>
      <c r="C13" s="335" t="e">
        <f>IF(MATCHED!AE13=1,MATCHED!$B13,IF(MATCHED!AE13=2,MATCHED!$C13,IF(MATCHED!AE13=3,MATCHED!$D13,IF(MATCHED!AE13=4,MATCHED!$E13,IF(MATCHED!AE13=3,MATCHED!$F13,IF(MATCHED!AE13=6,MATCHED!$G13,IF(MATCHED!AE13=7,MATCHED!$H13,"")))))))&amp;IF(MATCHED!AE13=8,MATCHED!$I13,IF(MATCHED!AE13=9,MATCHED!$J13,IF(MATCHED!AE13=10,MATCHED!$K13,IF(MATCHED!AE13=11,MATCHED!$L13,IF(MATCHED!AE13=12,MATCHED!$M13,IF(MATCHED!AE13=13,MATCHED!$N13,IF(MATCHED!AE13=14,MATCHED!$O13,"")))))))&amp;IF(MATCHED!AE13=15,MATCHED!$P13,IF(MATCHED!AE13=16,MATCHED!$Q13,IF(MATCHED!AE13=17,MATCHED!$R13,IF(MATCHED!AE13=18,MATCHED!$S13,IF(MATCHED!AE13=19,MATCHED!$T13,IF(MATCHED!AE13=20,MATCHED!$U13,IF(MATCHED!AE13=21,MATCHED!$V13,)))))))&amp;IF(MATCHED!AE13=22,MATCHED!$W13,IF(MATCHED!AE13=23,MATCHED!$X13,IF(MATCHED!AE13=24,MATCHED!$Y13,IF(MATCHED!AE13=25,MATCHED!$Z13,IF(MATCHED!AE13=26,MATCHED!$AA13,IF(MATCHED!AE13=27,MATCHED!$AB13,"."))))))</f>
        <v>#N/A</v>
      </c>
      <c r="D13" s="335" t="e">
        <f>IF(MATCHED!AF13=1,MATCHED!$B13,IF(MATCHED!AF13=2,MATCHED!$C13,IF(MATCHED!AF13=3,MATCHED!$D13,IF(MATCHED!AF13=4,MATCHED!$E13,IF(MATCHED!AF13=3,MATCHED!$F13,IF(MATCHED!AF13=6,MATCHED!$G13,IF(MATCHED!AF13=7,MATCHED!$H13,"")))))))&amp;IF(MATCHED!AF13=8,MATCHED!$I13,IF(MATCHED!AF13=9,MATCHED!$J13,IF(MATCHED!AF13=10,MATCHED!$K13,IF(MATCHED!AF13=11,MATCHED!$L13,IF(MATCHED!AF13=12,MATCHED!$M13,IF(MATCHED!AF13=13,MATCHED!$N13,IF(MATCHED!AF13=14,MATCHED!$O13,"")))))))&amp;IF(MATCHED!AF13=15,MATCHED!$P13,IF(MATCHED!AF13=16,MATCHED!$Q13,IF(MATCHED!AF13=17,MATCHED!$R13,IF(MATCHED!AF13=18,MATCHED!$S13,IF(MATCHED!AF13=19,MATCHED!$T13,IF(MATCHED!AF13=20,MATCHED!$U13,IF(MATCHED!AF13=21,MATCHED!$V13,)))))))&amp;IF(MATCHED!AF13=22,MATCHED!$W13,IF(MATCHED!AF13=23,MATCHED!$X13,IF(MATCHED!AF13=24,MATCHED!$Y13,IF(MATCHED!AF13=25,MATCHED!$Z13,IF(MATCHED!AF13=26,MATCHED!$AA13,IF(MATCHED!AF13=27,MATCHED!$AB13,"."))))))</f>
        <v>#N/A</v>
      </c>
      <c r="E13" s="335" t="e">
        <f>IF(MATCHED!AG13=1,MATCHED!$B13,IF(MATCHED!AG13=2,MATCHED!$C13,IF(MATCHED!AG13=3,MATCHED!$D13,IF(MATCHED!AG13=4,MATCHED!$E13,IF(MATCHED!AG13=3,MATCHED!$F13,IF(MATCHED!AG13=6,MATCHED!$G13,IF(MATCHED!AG13=7,MATCHED!$H13,"")))))))&amp;IF(MATCHED!AG13=8,MATCHED!$I13,IF(MATCHED!AG13=9,MATCHED!$J13,IF(MATCHED!AG13=10,MATCHED!$K13,IF(MATCHED!AG13=11,MATCHED!$L13,IF(MATCHED!AG13=12,MATCHED!$M13,IF(MATCHED!AG13=13,MATCHED!$N13,IF(MATCHED!AG13=14,MATCHED!$O13,"")))))))&amp;IF(MATCHED!AG13=15,MATCHED!$P13,IF(MATCHED!AG13=16,MATCHED!$Q13,IF(MATCHED!AG13=17,MATCHED!$R13,IF(MATCHED!AG13=18,MATCHED!$S13,IF(MATCHED!AG13=19,MATCHED!$T13,IF(MATCHED!AG13=20,MATCHED!$U13,IF(MATCHED!AG13=21,MATCHED!$V13,)))))))&amp;IF(MATCHED!AG13=22,MATCHED!$W13,IF(MATCHED!AG13=23,MATCHED!$X13,IF(MATCHED!AG13=24,MATCHED!$Y13,IF(MATCHED!AG13=25,MATCHED!$Z13,IF(MATCHED!AG13=26,MATCHED!$AA13,IF(MATCHED!AG13=27,MATCHED!$AB13,"."))))))</f>
        <v>#N/A</v>
      </c>
      <c r="F13" s="335" t="e">
        <f>IF(MATCHED!AH13=1,MATCHED!$B13,IF(MATCHED!AH13=2,MATCHED!$C13,IF(MATCHED!AH13=3,MATCHED!$D13,IF(MATCHED!AH13=4,MATCHED!$E13,IF(MATCHED!AH13=3,MATCHED!$F13,IF(MATCHED!AH13=6,MATCHED!$G13,IF(MATCHED!AH13=7,MATCHED!$H13,"")))))))&amp;IF(MATCHED!AH13=8,MATCHED!$I13,IF(MATCHED!AH13=9,MATCHED!$J13,IF(MATCHED!AH13=10,MATCHED!$K13,IF(MATCHED!AH13=11,MATCHED!$L13,IF(MATCHED!AH13=12,MATCHED!$M13,IF(MATCHED!AH13=13,MATCHED!$N13,IF(MATCHED!AH13=14,MATCHED!$O13,"")))))))&amp;IF(MATCHED!AH13=15,MATCHED!$P13,IF(MATCHED!AH13=16,MATCHED!$Q13,IF(MATCHED!AH13=17,MATCHED!$R13,IF(MATCHED!AH13=18,MATCHED!$S13,IF(MATCHED!AH13=19,MATCHED!$T13,IF(MATCHED!AH13=20,MATCHED!$U13,IF(MATCHED!AH13=21,MATCHED!$V13,)))))))&amp;IF(MATCHED!AH13=22,MATCHED!$W13,IF(MATCHED!AH13=23,MATCHED!$X13,IF(MATCHED!AH13=24,MATCHED!$Y13,IF(MATCHED!AH13=25,MATCHED!$Z13,IF(MATCHED!AH13=26,MATCHED!$AA13,IF(MATCHED!AH13=27,MATCHED!$AB13,"."))))))</f>
        <v>#N/A</v>
      </c>
      <c r="G13" s="335" t="e">
        <f>IF(MATCHED!AI13=1,MATCHED!$B13,IF(MATCHED!AI13=2,MATCHED!$C13,IF(MATCHED!AI13=3,MATCHED!$D13,IF(MATCHED!AI13=4,MATCHED!$E13,IF(MATCHED!AI13=3,MATCHED!$F13,IF(MATCHED!AI13=6,MATCHED!$G13,IF(MATCHED!AI13=7,MATCHED!$H13,"")))))))&amp;IF(MATCHED!AI13=8,MATCHED!$I13,IF(MATCHED!AI13=9,MATCHED!$J13,IF(MATCHED!AI13=10,MATCHED!$K13,IF(MATCHED!AI13=11,MATCHED!$L13,IF(MATCHED!AI13=12,MATCHED!$M13,IF(MATCHED!AI13=13,MATCHED!$N13,IF(MATCHED!AI13=14,MATCHED!$O13,"")))))))&amp;IF(MATCHED!AI13=15,MATCHED!$P13,IF(MATCHED!AI13=16,MATCHED!$Q13,IF(MATCHED!AI13=17,MATCHED!$R13,IF(MATCHED!AI13=18,MATCHED!$S13,IF(MATCHED!AI13=19,MATCHED!$T13,IF(MATCHED!AI13=20,MATCHED!$U13,IF(MATCHED!AI13=21,MATCHED!$V13,)))))))&amp;IF(MATCHED!AI13=22,MATCHED!$W13,IF(MATCHED!AI13=23,MATCHED!$X13,IF(MATCHED!AI13=24,MATCHED!$Y13,IF(MATCHED!AI13=25,MATCHED!$Z13,IF(MATCHED!AI13=26,MATCHED!$AA13,IF(MATCHED!AI13=27,MATCHED!$AB13,"."))))))</f>
        <v>#N/A</v>
      </c>
      <c r="H13" s="335" t="e">
        <f>IF(MATCHED!AJ13=1,MATCHED!$B13,IF(MATCHED!AJ13=2,MATCHED!$C13,IF(MATCHED!AJ13=3,MATCHED!$D13,IF(MATCHED!AJ13=4,MATCHED!$E13,IF(MATCHED!AJ13=3,MATCHED!$F13,IF(MATCHED!AJ13=6,MATCHED!$G13,IF(MATCHED!AJ13=7,MATCHED!$H13,"")))))))&amp;IF(MATCHED!AJ13=8,MATCHED!$I13,IF(MATCHED!AJ13=9,MATCHED!$J13,IF(MATCHED!AJ13=10,MATCHED!$K13,IF(MATCHED!AJ13=11,MATCHED!$L13,IF(MATCHED!AJ13=12,MATCHED!$M13,IF(MATCHED!AJ13=13,MATCHED!$N13,IF(MATCHED!AJ13=14,MATCHED!$O13,"")))))))&amp;IF(MATCHED!AJ13=15,MATCHED!$P13,IF(MATCHED!AJ13=16,MATCHED!$Q13,IF(MATCHED!AJ13=17,MATCHED!$R13,IF(MATCHED!AJ13=18,MATCHED!$S13,IF(MATCHED!AJ13=19,MATCHED!$T13,IF(MATCHED!AJ13=20,MATCHED!$U13,IF(MATCHED!AJ13=21,MATCHED!$V13,)))))))&amp;IF(MATCHED!AJ13=22,MATCHED!$W13,IF(MATCHED!AJ13=23,MATCHED!$X13,IF(MATCHED!AJ13=24,MATCHED!$Y13,IF(MATCHED!AJ13=25,MATCHED!$Z13,IF(MATCHED!AJ13=26,MATCHED!$AA13,IF(MATCHED!AJ13=27,MATCHED!$AB13,"."))))))</f>
        <v>#N/A</v>
      </c>
      <c r="I13" s="335" t="e">
        <f>IF(MATCHED!AK13=1,MATCHED!$B13,IF(MATCHED!AK13=2,MATCHED!$C13,IF(MATCHED!AK13=3,MATCHED!$D13,IF(MATCHED!AK13=4,MATCHED!$E13,IF(MATCHED!AK13=3,MATCHED!$F13,IF(MATCHED!AK13=6,MATCHED!$G13,IF(MATCHED!AK13=7,MATCHED!$H13,"")))))))&amp;IF(MATCHED!AK13=8,MATCHED!$I13,IF(MATCHED!AK13=9,MATCHED!$J13,IF(MATCHED!AK13=10,MATCHED!$K13,IF(MATCHED!AK13=11,MATCHED!$L13,IF(MATCHED!AK13=12,MATCHED!$M13,IF(MATCHED!AK13=13,MATCHED!$N13,IF(MATCHED!AK13=14,MATCHED!$O13,"")))))))&amp;IF(MATCHED!AK13=15,MATCHED!$P13,IF(MATCHED!AK13=16,MATCHED!$Q13,IF(MATCHED!AK13=17,MATCHED!$R13,IF(MATCHED!AK13=18,MATCHED!$S13,IF(MATCHED!AK13=19,MATCHED!$T13,IF(MATCHED!AK13=20,MATCHED!$U13,IF(MATCHED!AK13=21,MATCHED!$V13,)))))))&amp;IF(MATCHED!AK13=22,MATCHED!$W13,IF(MATCHED!AK13=23,MATCHED!$X13,IF(MATCHED!AK13=24,MATCHED!$Y13,IF(MATCHED!AK13=25,MATCHED!$Z13,IF(MATCHED!AK13=26,MATCHED!$AA13,IF(MATCHED!AK13=27,MATCHED!$AB13,"."))))))</f>
        <v>#N/A</v>
      </c>
      <c r="J13" s="335" t="e">
        <f>IF(MATCHED!AL13=1,MATCHED!$B13,IF(MATCHED!AL13=2,MATCHED!$C13,IF(MATCHED!AL13=3,MATCHED!$D13,IF(MATCHED!AL13=4,MATCHED!$E13,IF(MATCHED!AL13=3,MATCHED!$F13,IF(MATCHED!AL13=6,MATCHED!$G13,IF(MATCHED!AL13=7,MATCHED!$H13,"")))))))&amp;IF(MATCHED!AL13=8,MATCHED!$I13,IF(MATCHED!AL13=9,MATCHED!$J13,IF(MATCHED!AL13=10,MATCHED!$K13,IF(MATCHED!AL13=11,MATCHED!$L13,IF(MATCHED!AL13=12,MATCHED!$M13,IF(MATCHED!AL13=13,MATCHED!$N13,IF(MATCHED!AL13=14,MATCHED!$O13,"")))))))&amp;IF(MATCHED!AL13=15,MATCHED!$P13,IF(MATCHED!AL13=16,MATCHED!$Q13,IF(MATCHED!AL13=17,MATCHED!$R13,IF(MATCHED!AL13=18,MATCHED!$S13,IF(MATCHED!AL13=19,MATCHED!$T13,IF(MATCHED!AL13=20,MATCHED!$U13,IF(MATCHED!AL13=21,MATCHED!$V13,)))))))&amp;IF(MATCHED!AL13=22,MATCHED!$W13,IF(MATCHED!AL13=23,MATCHED!$X13,IF(MATCHED!AL13=24,MATCHED!$Y13,IF(MATCHED!AL13=25,MATCHED!$Z13,IF(MATCHED!AL13=26,MATCHED!$AA13,IF(MATCHED!AL13=27,MATCHED!$AB13,"."))))))</f>
        <v>#N/A</v>
      </c>
      <c r="K13" s="335" t="e">
        <f>IF(MATCHED!AM13=1,MATCHED!$B13,IF(MATCHED!AM13=2,MATCHED!$C13,IF(MATCHED!AM13=3,MATCHED!$D13,IF(MATCHED!AM13=4,MATCHED!$E13,IF(MATCHED!AM13=3,MATCHED!$F13,IF(MATCHED!AM13=6,MATCHED!$G13,IF(MATCHED!AM13=7,MATCHED!$H13,"")))))))&amp;IF(MATCHED!AM13=8,MATCHED!$I13,IF(MATCHED!AM13=9,MATCHED!$J13,IF(MATCHED!AM13=10,MATCHED!$K13,IF(MATCHED!AM13=11,MATCHED!$L13,IF(MATCHED!AM13=12,MATCHED!$M13,IF(MATCHED!AM13=13,MATCHED!$N13,IF(MATCHED!AM13=14,MATCHED!$O13,"")))))))&amp;IF(MATCHED!AM13=15,MATCHED!$P13,IF(MATCHED!AM13=16,MATCHED!$Q13,IF(MATCHED!AM13=17,MATCHED!$R13,IF(MATCHED!AM13=18,MATCHED!$S13,IF(MATCHED!AM13=19,MATCHED!$T13,IF(MATCHED!AM13=20,MATCHED!$U13,IF(MATCHED!AM13=21,MATCHED!$V13,)))))))&amp;IF(MATCHED!AM13=22,MATCHED!$W13,IF(MATCHED!AM13=23,MATCHED!$X13,IF(MATCHED!AM13=24,MATCHED!$Y13,IF(MATCHED!AM13=25,MATCHED!$Z13,IF(MATCHED!AM13=26,MATCHED!$AA13,IF(MATCHED!AM13=27,MATCHED!$AB13,"."))))))</f>
        <v>#N/A</v>
      </c>
      <c r="L13" s="335" t="e">
        <f>IF(MATCHED!AN13=1,MATCHED!$B13,IF(MATCHED!AN13=2,MATCHED!$C13,IF(MATCHED!AN13=3,MATCHED!$D13,IF(MATCHED!AN13=4,MATCHED!$E13,IF(MATCHED!AN13=3,MATCHED!$F13,IF(MATCHED!AN13=6,MATCHED!$G13,IF(MATCHED!AN13=7,MATCHED!$H13,"")))))))&amp;IF(MATCHED!AN13=8,MATCHED!$I13,IF(MATCHED!AN13=9,MATCHED!$J13,IF(MATCHED!AN13=10,MATCHED!$K13,IF(MATCHED!AN13=11,MATCHED!$L13,IF(MATCHED!AN13=12,MATCHED!$M13,IF(MATCHED!AN13=13,MATCHED!$N13,IF(MATCHED!AN13=14,MATCHED!$O13,"")))))))&amp;IF(MATCHED!AN13=15,MATCHED!$P13,IF(MATCHED!AN13=16,MATCHED!$Q13,IF(MATCHED!AN13=17,MATCHED!$R13,IF(MATCHED!AN13=18,MATCHED!$S13,IF(MATCHED!AN13=19,MATCHED!$T13,IF(MATCHED!AN13=20,MATCHED!$U13,IF(MATCHED!AN13=21,MATCHED!$V13,)))))))&amp;IF(MATCHED!AN13=22,MATCHED!$W13,IF(MATCHED!AN13=23,MATCHED!$X13,IF(MATCHED!AN13=24,MATCHED!$Y13,IF(MATCHED!AN13=25,MATCHED!$Z13,IF(MATCHED!AN13=26,MATCHED!$AA13,IF(MATCHED!AN13=27,MATCHED!$AB13,"."))))))</f>
        <v>#N/A</v>
      </c>
      <c r="M13" s="335" t="e">
        <f>IF(MATCHED!AO13=1,MATCHED!$B13,IF(MATCHED!AO13=2,MATCHED!$C13,IF(MATCHED!AO13=3,MATCHED!$D13,IF(MATCHED!AO13=4,MATCHED!$E13,IF(MATCHED!AO13=3,MATCHED!$F13,IF(MATCHED!AO13=6,MATCHED!$G13,IF(MATCHED!AO13=7,MATCHED!$H13,"")))))))&amp;IF(MATCHED!AO13=8,MATCHED!$I13,IF(MATCHED!AO13=9,MATCHED!$J13,IF(MATCHED!AO13=10,MATCHED!$K13,IF(MATCHED!AO13=11,MATCHED!$L13,IF(MATCHED!AO13=12,MATCHED!$M13,IF(MATCHED!AO13=13,MATCHED!$N13,IF(MATCHED!AO13=14,MATCHED!$O13,"")))))))&amp;IF(MATCHED!AO13=15,MATCHED!$P13,IF(MATCHED!AO13=16,MATCHED!$Q13,IF(MATCHED!AO13=17,MATCHED!$R13,IF(MATCHED!AO13=18,MATCHED!$S13,IF(MATCHED!AO13=19,MATCHED!$T13,IF(MATCHED!AO13=20,MATCHED!$U13,IF(MATCHED!AO13=21,MATCHED!$V13,)))))))&amp;IF(MATCHED!AO13=22,MATCHED!$W13,IF(MATCHED!AO13=23,MATCHED!$X13,IF(MATCHED!AO13=24,MATCHED!$Y13,IF(MATCHED!AO13=25,MATCHED!$Z13,IF(MATCHED!AO13=26,MATCHED!$AA13,IF(MATCHED!AO13=27,MATCHED!$AB13,"."))))))</f>
        <v>#N/A</v>
      </c>
      <c r="N13" s="335" t="e">
        <f>IF(MATCHED!AP13=1,MATCHED!$B13,IF(MATCHED!AP13=2,MATCHED!$C13,IF(MATCHED!AP13=3,MATCHED!$D13,IF(MATCHED!AP13=4,MATCHED!$E13,IF(MATCHED!AP13=3,MATCHED!$F13,IF(MATCHED!AP13=6,MATCHED!$G13,IF(MATCHED!AP13=7,MATCHED!$H13,"")))))))&amp;IF(MATCHED!AP13=8,MATCHED!$I13,IF(MATCHED!AP13=9,MATCHED!$J13,IF(MATCHED!AP13=10,MATCHED!$K13,IF(MATCHED!AP13=11,MATCHED!$L13,IF(MATCHED!AP13=12,MATCHED!$M13,IF(MATCHED!AP13=13,MATCHED!$N13,IF(MATCHED!AP13=14,MATCHED!$O13,"")))))))&amp;IF(MATCHED!AP13=15,MATCHED!$P13,IF(MATCHED!AP13=16,MATCHED!$Q13,IF(MATCHED!AP13=17,MATCHED!$R13,IF(MATCHED!AP13=18,MATCHED!$S13,IF(MATCHED!AP13=19,MATCHED!$T13,IF(MATCHED!AP13=20,MATCHED!$U13,IF(MATCHED!AP13=21,MATCHED!$V13,)))))))&amp;IF(MATCHED!AP13=22,MATCHED!$W13,IF(MATCHED!AP13=23,MATCHED!$X13,IF(MATCHED!AP13=24,MATCHED!$Y13,IF(MATCHED!AP13=25,MATCHED!$Z13,IF(MATCHED!AP13=26,MATCHED!$AA13,IF(MATCHED!AP13=27,MATCHED!$AB13,"."))))))</f>
        <v>#N/A</v>
      </c>
      <c r="O13" s="335" t="e">
        <f>IF(MATCHED!AQ13=1,MATCHED!$B13,IF(MATCHED!AQ13=2,MATCHED!$C13,IF(MATCHED!AQ13=3,MATCHED!$D13,IF(MATCHED!AQ13=4,MATCHED!$E13,IF(MATCHED!AQ13=3,MATCHED!$F13,IF(MATCHED!AQ13=6,MATCHED!$G13,IF(MATCHED!AQ13=7,MATCHED!$H13,"")))))))&amp;IF(MATCHED!AQ13=8,MATCHED!$I13,IF(MATCHED!AQ13=9,MATCHED!$J13,IF(MATCHED!AQ13=10,MATCHED!$K13,IF(MATCHED!AQ13=11,MATCHED!$L13,IF(MATCHED!AQ13=12,MATCHED!$M13,IF(MATCHED!AQ13=13,MATCHED!$N13,IF(MATCHED!AQ13=14,MATCHED!$O13,"")))))))&amp;IF(MATCHED!AQ13=15,MATCHED!$P13,IF(MATCHED!AQ13=16,MATCHED!$Q13,IF(MATCHED!AQ13=17,MATCHED!$R13,IF(MATCHED!AQ13=18,MATCHED!$S13,IF(MATCHED!AQ13=19,MATCHED!$T13,IF(MATCHED!AQ13=20,MATCHED!$U13,IF(MATCHED!AQ13=21,MATCHED!$V13,)))))))&amp;IF(MATCHED!AQ13=22,MATCHED!$W13,IF(MATCHED!AQ13=23,MATCHED!$X13,IF(MATCHED!AQ13=24,MATCHED!$Y13,IF(MATCHED!AQ13=25,MATCHED!$Z13,IF(MATCHED!AQ13=26,MATCHED!$AA13,IF(MATCHED!AQ13=27,MATCHED!$AB13,"."))))))</f>
        <v>#N/A</v>
      </c>
      <c r="P13" s="335" t="e">
        <f>IF(MATCHED!AR13=1,MATCHED!$B13,IF(MATCHED!AR13=2,MATCHED!$C13,IF(MATCHED!AR13=3,MATCHED!$D13,IF(MATCHED!AR13=4,MATCHED!$E13,IF(MATCHED!AR13=3,MATCHED!$F13,IF(MATCHED!AR13=6,MATCHED!$G13,IF(MATCHED!AR13=7,MATCHED!$H13,"")))))))&amp;IF(MATCHED!AR13=8,MATCHED!$I13,IF(MATCHED!AR13=9,MATCHED!$J13,IF(MATCHED!AR13=10,MATCHED!$K13,IF(MATCHED!AR13=11,MATCHED!$L13,IF(MATCHED!AR13=12,MATCHED!$M13,IF(MATCHED!AR13=13,MATCHED!$N13,IF(MATCHED!AR13=14,MATCHED!$O13,"")))))))&amp;IF(MATCHED!AR13=15,MATCHED!$P13,IF(MATCHED!AR13=16,MATCHED!$Q13,IF(MATCHED!AR13=17,MATCHED!$R13,IF(MATCHED!AR13=18,MATCHED!$S13,IF(MATCHED!AR13=19,MATCHED!$T13,IF(MATCHED!AR13=20,MATCHED!$U13,IF(MATCHED!AR13=21,MATCHED!$V13,)))))))&amp;IF(MATCHED!AR13=22,MATCHED!$W13,IF(MATCHED!AR13=23,MATCHED!$X13,IF(MATCHED!AR13=24,MATCHED!$Y13,IF(MATCHED!AR13=25,MATCHED!$Z13,IF(MATCHED!AR13=26,MATCHED!$AA13,IF(MATCHED!AR13=27,MATCHED!$AB13,"."))))))</f>
        <v>#N/A</v>
      </c>
      <c r="Q13" s="344" t="e">
        <f>IF(MATCHED!AS13=1,MATCHED!$B13,IF(MATCHED!AS13=2,MATCHED!$C13,IF(MATCHED!AS13=3,MATCHED!$D13,IF(MATCHED!AS13=4,MATCHED!$E13,IF(MATCHED!AS13=3,MATCHED!$F13,IF(MATCHED!AS13=6,MATCHED!$G13,IF(MATCHED!AS13=7,MATCHED!$H13,"")))))))&amp;IF(MATCHED!AS13=8,MATCHED!$I13,IF(MATCHED!AS13=9,MATCHED!$J13,IF(MATCHED!AS13=10,MATCHED!$K13,IF(MATCHED!AS13=11,MATCHED!$L13,IF(MATCHED!AS13=12,MATCHED!$M13,IF(MATCHED!AS13=13,MATCHED!$N13,IF(MATCHED!AS13=14,MATCHED!$O13,"")))))))&amp;IF(MATCHED!AS13=15,MATCHED!$P13,IF(MATCHED!AS13=16,MATCHED!$Q13,IF(MATCHED!AS13=17,MATCHED!$R13,IF(MATCHED!AS13=18,MATCHED!$S13,IF(MATCHED!AS13=19,MATCHED!$T13,IF(MATCHED!AS13=20,MATCHED!$U13,IF(MATCHED!AS13=21,MATCHED!$V13,)))))))&amp;IF(MATCHED!AS13=22,MATCHED!$W13,IF(MATCHED!AS13=23,MATCHED!$X13,IF(MATCHED!AS13=24,MATCHED!$Y13,IF(MATCHED!AS13=25,MATCHED!$Z13,IF(MATCHED!AS13=26,MATCHED!$AA13,IF(MATCHED!AS13=27,MATCHED!$AB13,"."))))))</f>
        <v>#N/A</v>
      </c>
      <c r="R13" s="335" t="e">
        <f>IF(MATCHED!AT13=1,MATCHED!$B13,IF(MATCHED!AT13=2,MATCHED!$C13,IF(MATCHED!AT13=3,MATCHED!$D13,IF(MATCHED!AT13=4,MATCHED!$E13,IF(MATCHED!AT13=3,MATCHED!$F13,IF(MATCHED!AT13=6,MATCHED!$G13,IF(MATCHED!AT13=7,MATCHED!$H13,"")))))))&amp;IF(MATCHED!AT13=8,MATCHED!$I13,IF(MATCHED!AT13=9,MATCHED!$J13,IF(MATCHED!AT13=10,MATCHED!$K13,IF(MATCHED!AT13=11,MATCHED!$L13,IF(MATCHED!AT13=12,MATCHED!$M13,IF(MATCHED!AT13=13,MATCHED!$N13,IF(MATCHED!AT13=14,MATCHED!$O13,"")))))))&amp;IF(MATCHED!AT13=15,MATCHED!$P13,IF(MATCHED!AT13=16,MATCHED!$Q13,IF(MATCHED!AT13=17,MATCHED!$R13,IF(MATCHED!AT13=18,MATCHED!$S13,IF(MATCHED!AT13=19,MATCHED!$T13,IF(MATCHED!AT13=20,MATCHED!$U13,IF(MATCHED!AT13=21,MATCHED!$V13,)))))))&amp;IF(MATCHED!AT13=22,MATCHED!$W13,IF(MATCHED!AT13=23,MATCHED!$X13,IF(MATCHED!AT13=24,MATCHED!$Y13,IF(MATCHED!AT13=25,MATCHED!$Z13,IF(MATCHED!AT13=26,MATCHED!$AA13,IF(MATCHED!AT13=27,MATCHED!$AB13,"."))))))</f>
        <v>#N/A</v>
      </c>
      <c r="S13" s="335" t="e">
        <f>IF(MATCHED!AU13=1,MATCHED!$B13,IF(MATCHED!AU13=2,MATCHED!$C13,IF(MATCHED!AU13=3,MATCHED!$D13,IF(MATCHED!AU13=4,MATCHED!$E13,IF(MATCHED!AU13=3,MATCHED!$F13,IF(MATCHED!AU13=6,MATCHED!$G13,IF(MATCHED!AU13=7,MATCHED!$H13,"")))))))&amp;IF(MATCHED!AU13=8,MATCHED!$I13,IF(MATCHED!AU13=9,MATCHED!$J13,IF(MATCHED!AU13=10,MATCHED!$K13,IF(MATCHED!AU13=11,MATCHED!$L13,IF(MATCHED!AU13=12,MATCHED!$M13,IF(MATCHED!AU13=13,MATCHED!$N13,IF(MATCHED!AU13=14,MATCHED!$O13,"")))))))&amp;IF(MATCHED!AU13=15,MATCHED!$P13,IF(MATCHED!AU13=16,MATCHED!$Q13,IF(MATCHED!AU13=17,MATCHED!$R13,IF(MATCHED!AU13=18,MATCHED!$S13,IF(MATCHED!AU13=19,MATCHED!$T13,IF(MATCHED!AU13=20,MATCHED!$U13,IF(MATCHED!AU13=21,MATCHED!$V13,)))))))&amp;IF(MATCHED!AU13=22,MATCHED!$W13,IF(MATCHED!AU13=23,MATCHED!$X13,IF(MATCHED!AU13=24,MATCHED!$Y13,IF(MATCHED!AU13=25,MATCHED!$Z13,IF(MATCHED!AU13=26,MATCHED!$AA13,IF(MATCHED!AU13=27,MATCHED!$AB13,"."))))))</f>
        <v>#N/A</v>
      </c>
      <c r="T13" s="335" t="e">
        <f>IF(MATCHED!AV13=1,MATCHED!$B13,IF(MATCHED!AV13=2,MATCHED!$C13,IF(MATCHED!AV13=3,MATCHED!$D13,IF(MATCHED!AV13=4,MATCHED!$E13,IF(MATCHED!AV13=3,MATCHED!$F13,IF(MATCHED!AV13=6,MATCHED!$G13,IF(MATCHED!AV13=7,MATCHED!$H13,"")))))))&amp;IF(MATCHED!AV13=8,MATCHED!$I13,IF(MATCHED!AV13=9,MATCHED!$J13,IF(MATCHED!AV13=10,MATCHED!$K13,IF(MATCHED!AV13=11,MATCHED!$L13,IF(MATCHED!AV13=12,MATCHED!$M13,IF(MATCHED!AV13=13,MATCHED!$N13,IF(MATCHED!AV13=14,MATCHED!$O13,"")))))))&amp;IF(MATCHED!AV13=15,MATCHED!$P13,IF(MATCHED!AV13=16,MATCHED!$Q13,IF(MATCHED!AV13=17,MATCHED!$R13,IF(MATCHED!AV13=18,MATCHED!$S13,IF(MATCHED!AV13=19,MATCHED!$T13,IF(MATCHED!AV13=20,MATCHED!$U13,IF(MATCHED!AV13=21,MATCHED!$V13,)))))))&amp;IF(MATCHED!AV13=22,MATCHED!$W13,IF(MATCHED!AV13=23,MATCHED!$X13,IF(MATCHED!AV13=24,MATCHED!$Y13,IF(MATCHED!AV13=25,MATCHED!$Z13,IF(MATCHED!AV13=26,MATCHED!$AA13,IF(MATCHED!AV13=27,MATCHED!$AB13,"."))))))</f>
        <v>#N/A</v>
      </c>
      <c r="U13" s="335" t="e">
        <f>IF(MATCHED!AW13=1,MATCHED!$B13,IF(MATCHED!AW13=2,MATCHED!$C13,IF(MATCHED!AW13=3,MATCHED!$D13,IF(MATCHED!AW13=4,MATCHED!$E13,IF(MATCHED!AW13=3,MATCHED!$F13,IF(MATCHED!AW13=6,MATCHED!$G13,IF(MATCHED!AW13=7,MATCHED!$H13,"")))))))&amp;IF(MATCHED!AW13=8,MATCHED!$I13,IF(MATCHED!AW13=9,MATCHED!$J13,IF(MATCHED!AW13=10,MATCHED!$K13,IF(MATCHED!AW13=11,MATCHED!$L13,IF(MATCHED!AW13=12,MATCHED!$M13,IF(MATCHED!AW13=13,MATCHED!$N13,IF(MATCHED!AW13=14,MATCHED!$O13,"")))))))&amp;IF(MATCHED!AW13=15,MATCHED!$P13,IF(MATCHED!AW13=16,MATCHED!$Q13,IF(MATCHED!AW13=17,MATCHED!$R13,IF(MATCHED!AW13=18,MATCHED!$S13,IF(MATCHED!AW13=19,MATCHED!$T13,IF(MATCHED!AW13=20,MATCHED!$U13,IF(MATCHED!AW13=21,MATCHED!$V13,)))))))&amp;IF(MATCHED!AW13=22,MATCHED!$W13,IF(MATCHED!AW13=23,MATCHED!$X13,IF(MATCHED!AW13=24,MATCHED!$Y13,IF(MATCHED!AW13=25,MATCHED!$Z13,IF(MATCHED!AW13=26,MATCHED!$AA13,IF(MATCHED!AW13=27,MATCHED!$AB13,"."))))))</f>
        <v>#N/A</v>
      </c>
      <c r="V13" s="335" t="e">
        <f>IF(MATCHED!AX13=1,MATCHED!$B13,IF(MATCHED!AX13=2,MATCHED!$C13,IF(MATCHED!AX13=3,MATCHED!$D13,IF(MATCHED!AX13=4,MATCHED!$E13,IF(MATCHED!AX13=3,MATCHED!$F13,IF(MATCHED!AX13=6,MATCHED!$G13,IF(MATCHED!AX13=7,MATCHED!$H13,"")))))))&amp;IF(MATCHED!AX13=8,MATCHED!$I13,IF(MATCHED!AX13=9,MATCHED!$J13,IF(MATCHED!AX13=10,MATCHED!$K13,IF(MATCHED!AX13=11,MATCHED!$L13,IF(MATCHED!AX13=12,MATCHED!$M13,IF(MATCHED!AX13=13,MATCHED!$N13,IF(MATCHED!AX13=14,MATCHED!$O13,"")))))))&amp;IF(MATCHED!AX13=15,MATCHED!$P13,IF(MATCHED!AX13=16,MATCHED!$Q13,IF(MATCHED!AX13=17,MATCHED!$R13,IF(MATCHED!AX13=18,MATCHED!$S13,IF(MATCHED!AX13=19,MATCHED!$T13,IF(MATCHED!AX13=20,MATCHED!$U13,IF(MATCHED!AX13=21,MATCHED!$V13,)))))))&amp;IF(MATCHED!AX13=22,MATCHED!$W13,IF(MATCHED!AX13=23,MATCHED!$X13,IF(MATCHED!AX13=24,MATCHED!$Y13,IF(MATCHED!AX13=25,MATCHED!$Z13,IF(MATCHED!AX13=26,MATCHED!$AA13,IF(MATCHED!AX13=27,MATCHED!$AB13,"."))))))</f>
        <v>#N/A</v>
      </c>
      <c r="W13" s="335" t="e">
        <f>IF(MATCHED!AY13=1,MATCHED!$B13,IF(MATCHED!AY13=2,MATCHED!$C13,IF(MATCHED!AY13=3,MATCHED!$D13,IF(MATCHED!AY13=4,MATCHED!$E13,IF(MATCHED!AY13=3,MATCHED!$F13,IF(MATCHED!AY13=6,MATCHED!$G13,IF(MATCHED!AY13=7,MATCHED!$H13,"")))))))&amp;IF(MATCHED!AY13=8,MATCHED!$I13,IF(MATCHED!AY13=9,MATCHED!$J13,IF(MATCHED!AY13=10,MATCHED!$K13,IF(MATCHED!AY13=11,MATCHED!$L13,IF(MATCHED!AY13=12,MATCHED!$M13,IF(MATCHED!AY13=13,MATCHED!$N13,IF(MATCHED!AY13=14,MATCHED!$O13,"")))))))&amp;IF(MATCHED!AY13=15,MATCHED!$P13,IF(MATCHED!AY13=16,MATCHED!$Q13,IF(MATCHED!AY13=17,MATCHED!$R13,IF(MATCHED!AY13=18,MATCHED!$S13,IF(MATCHED!AY13=19,MATCHED!$T13,IF(MATCHED!AY13=20,MATCHED!$U13,IF(MATCHED!AY13=21,MATCHED!$V13,)))))))&amp;IF(MATCHED!AY13=22,MATCHED!$W13,IF(MATCHED!AY13=23,MATCHED!$X13,IF(MATCHED!AY13=24,MATCHED!$Y13,IF(MATCHED!AY13=25,MATCHED!$Z13,IF(MATCHED!AY13=26,MATCHED!$AA13,IF(MATCHED!AY13=27,MATCHED!$AB13,"."))))))</f>
        <v>#N/A</v>
      </c>
      <c r="X13" s="335" t="e">
        <f>IF(MATCHED!AZ13=1,MATCHED!$B13,IF(MATCHED!AZ13=2,MATCHED!$C13,IF(MATCHED!AZ13=3,MATCHED!$D13,IF(MATCHED!AZ13=4,MATCHED!$E13,IF(MATCHED!AZ13=3,MATCHED!$F13,IF(MATCHED!AZ13=6,MATCHED!$G13,IF(MATCHED!AZ13=7,MATCHED!$H13,"")))))))&amp;IF(MATCHED!AZ13=8,MATCHED!$I13,IF(MATCHED!AZ13=9,MATCHED!$J13,IF(MATCHED!AZ13=10,MATCHED!$K13,IF(MATCHED!AZ13=11,MATCHED!$L13,IF(MATCHED!AZ13=12,MATCHED!$M13,IF(MATCHED!AZ13=13,MATCHED!$N13,IF(MATCHED!AZ13=14,MATCHED!$O13,"")))))))&amp;IF(MATCHED!AZ13=15,MATCHED!$P13,IF(MATCHED!AZ13=16,MATCHED!$Q13,IF(MATCHED!AZ13=17,MATCHED!$R13,IF(MATCHED!AZ13=18,MATCHED!$S13,IF(MATCHED!AZ13=19,MATCHED!$T13,IF(MATCHED!AZ13=20,MATCHED!$U13,IF(MATCHED!AZ13=21,MATCHED!$V13,)))))))&amp;IF(MATCHED!AZ13=22,MATCHED!$W13,IF(MATCHED!AZ13=23,MATCHED!$X13,IF(MATCHED!AZ13=24,MATCHED!$Y13,IF(MATCHED!AZ13=25,MATCHED!$Z13,IF(MATCHED!AZ13=26,MATCHED!$AA13,IF(MATCHED!AZ13=27,MATCHED!$AB13,"."))))))</f>
        <v>#N/A</v>
      </c>
      <c r="Y13" s="335" t="e">
        <f>IF(MATCHED!BA13=1,MATCHED!$B13,IF(MATCHED!BA13=2,MATCHED!$C13,IF(MATCHED!BA13=3,MATCHED!$D13,IF(MATCHED!BA13=4,MATCHED!$E13,IF(MATCHED!BA13=3,MATCHED!$F13,IF(MATCHED!BA13=6,MATCHED!$G13,IF(MATCHED!BA13=7,MATCHED!$H13,"")))))))&amp;IF(MATCHED!BA13=8,MATCHED!$I13,IF(MATCHED!BA13=9,MATCHED!$J13,IF(MATCHED!BA13=10,MATCHED!$K13,IF(MATCHED!BA13=11,MATCHED!$L13,IF(MATCHED!BA13=12,MATCHED!$M13,IF(MATCHED!BA13=13,MATCHED!$N13,IF(MATCHED!BA13=14,MATCHED!$O13,"")))))))&amp;IF(MATCHED!BA13=15,MATCHED!$P13,IF(MATCHED!BA13=16,MATCHED!$Q13,IF(MATCHED!BA13=17,MATCHED!$R13,IF(MATCHED!BA13=18,MATCHED!$S13,IF(MATCHED!BA13=19,MATCHED!$T13,IF(MATCHED!BA13=20,MATCHED!$U13,IF(MATCHED!BA13=21,MATCHED!$V13,)))))))&amp;IF(MATCHED!BA13=22,MATCHED!$W13,IF(MATCHED!BA13=23,MATCHED!$X13,IF(MATCHED!BA13=24,MATCHED!$Y13,IF(MATCHED!BA13=25,MATCHED!$Z13,IF(MATCHED!BA13=26,MATCHED!$AA13,IF(MATCHED!BA13=27,MATCHED!$AB13,"."))))))</f>
        <v>#N/A</v>
      </c>
      <c r="Z13" s="335" t="e">
        <f>IF(MATCHED!BB13=1,MATCHED!$B13,IF(MATCHED!BB13=2,MATCHED!$C13,IF(MATCHED!BB13=3,MATCHED!$D13,IF(MATCHED!BB13=4,MATCHED!$E13,IF(MATCHED!BB13=3,MATCHED!$F13,IF(MATCHED!BB13=6,MATCHED!$G13,IF(MATCHED!BB13=7,MATCHED!$H13,"")))))))&amp;IF(MATCHED!BB13=8,MATCHED!$I13,IF(MATCHED!BB13=9,MATCHED!$J13,IF(MATCHED!BB13=10,MATCHED!$K13,IF(MATCHED!BB13=11,MATCHED!$L13,IF(MATCHED!BB13=12,MATCHED!$M13,IF(MATCHED!BB13=13,MATCHED!$N13,IF(MATCHED!BB13=14,MATCHED!$O13,"")))))))&amp;IF(MATCHED!BB13=15,MATCHED!$P13,IF(MATCHED!BB13=16,MATCHED!$Q13,IF(MATCHED!BB13=17,MATCHED!$R13,IF(MATCHED!BB13=18,MATCHED!$S13,IF(MATCHED!BB13=19,MATCHED!$T13,IF(MATCHED!BB13=20,MATCHED!$U13,IF(MATCHED!BB13=21,MATCHED!$V13,)))))))&amp;IF(MATCHED!BB13=22,MATCHED!$W13,IF(MATCHED!BB13=23,MATCHED!$X13,IF(MATCHED!BB13=24,MATCHED!$Y13,IF(MATCHED!BB13=25,MATCHED!$Z13,IF(MATCHED!BB13=26,MATCHED!$AA13,IF(MATCHED!BB13=27,MATCHED!$AB13,"."))))))</f>
        <v>#N/A</v>
      </c>
      <c r="AA13" s="335" t="e">
        <f>IF(MATCHED!BC13=1,MATCHED!$B13,IF(MATCHED!BC13=2,MATCHED!$C13,IF(MATCHED!BC13=3,MATCHED!$D13,IF(MATCHED!BC13=4,MATCHED!$E13,IF(MATCHED!BC13=3,MATCHED!$F13,IF(MATCHED!BC13=6,MATCHED!$G13,IF(MATCHED!BC13=7,MATCHED!$H13,"")))))))&amp;IF(MATCHED!BC13=8,MATCHED!$I13,IF(MATCHED!BC13=9,MATCHED!$J13,IF(MATCHED!BC13=10,MATCHED!$K13,IF(MATCHED!BC13=11,MATCHED!$L13,IF(MATCHED!BC13=12,MATCHED!$M13,IF(MATCHED!BC13=13,MATCHED!$N13,IF(MATCHED!BC13=14,MATCHED!$O13,"")))))))&amp;IF(MATCHED!BC13=15,MATCHED!$P13,IF(MATCHED!BC13=16,MATCHED!$Q13,IF(MATCHED!BC13=17,MATCHED!$R13,IF(MATCHED!BC13=18,MATCHED!$S13,IF(MATCHED!BC13=19,MATCHED!$T13,IF(MATCHED!BC13=20,MATCHED!$U13,IF(MATCHED!BC13=21,MATCHED!$V13,)))))))&amp;IF(MATCHED!BC13=22,MATCHED!$W13,IF(MATCHED!BC13=23,MATCHED!$X13,IF(MATCHED!BC13=24,MATCHED!$Y13,IF(MATCHED!BC13=25,MATCHED!$Z13,IF(MATCHED!BC13=26,MATCHED!$AA13,IF(MATCHED!BC13=27,MATCHED!$AB13,"."))))))</f>
        <v>#N/A</v>
      </c>
      <c r="AB13" s="335" t="e">
        <f>IF(MATCHED!BD13=1,MATCHED!$B13,IF(MATCHED!BD13=2,MATCHED!$C13,IF(MATCHED!BD13=3,MATCHED!$D13,IF(MATCHED!BD13=4,MATCHED!$E13,IF(MATCHED!BD13=3,MATCHED!$F13,IF(MATCHED!BD13=6,MATCHED!$G13,IF(MATCHED!BD13=7,MATCHED!$H13,"")))))))&amp;IF(MATCHED!BD13=8,MATCHED!$I13,IF(MATCHED!BD13=9,MATCHED!$J13,IF(MATCHED!BD13=10,MATCHED!$K13,IF(MATCHED!BD13=11,MATCHED!$L13,IF(MATCHED!BD13=12,MATCHED!$M13,IF(MATCHED!BD13=13,MATCHED!$N13,IF(MATCHED!BD13=14,MATCHED!$O13,"")))))))&amp;IF(MATCHED!BD13=15,MATCHED!$P13,IF(MATCHED!BD13=16,MATCHED!$Q13,IF(MATCHED!BD13=17,MATCHED!$R13,IF(MATCHED!BD13=18,MATCHED!$S13,IF(MATCHED!BD13=19,MATCHED!$T13,IF(MATCHED!BD13=20,MATCHED!$U13,IF(MATCHED!BD13=21,MATCHED!$V13,)))))))&amp;IF(MATCHED!BD13=22,MATCHED!$W13,IF(MATCHED!BD13=23,MATCHED!$X13,IF(MATCHED!BD13=24,MATCHED!$Y13,IF(MATCHED!BD13=25,MATCHED!$Z13,IF(MATCHED!BD13=26,MATCHED!$AA13,IF(MATCHED!BD13=27,MATCHED!$AB13,"."))))))</f>
        <v>#N/A</v>
      </c>
      <c r="AC13" s="335" t="e">
        <f>IF(MATCHED!BE13=1,MATCHED!$B13,IF(MATCHED!BE13=2,MATCHED!$C13,IF(MATCHED!BE13=3,MATCHED!$D13,IF(MATCHED!BE13=4,MATCHED!$E13,IF(MATCHED!BE13=3,MATCHED!$F13,IF(MATCHED!BE13=6,MATCHED!$G13,IF(MATCHED!BE13=7,MATCHED!$H13,"")))))))&amp;IF(MATCHED!BE13=8,MATCHED!$I13,IF(MATCHED!BE13=9,MATCHED!$J13,IF(MATCHED!BE13=10,MATCHED!$K13,IF(MATCHED!BE13=11,MATCHED!$L13,IF(MATCHED!BE13=12,MATCHED!$M13,IF(MATCHED!BE13=13,MATCHED!$N13,IF(MATCHED!BE13=14,MATCHED!$O13,"")))))))&amp;IF(MATCHED!BE13=15,MATCHED!$P13,IF(MATCHED!BE13=16,MATCHED!$Q13,IF(MATCHED!BE13=17,MATCHED!$R13,IF(MATCHED!BE13=18,MATCHED!$S13,IF(MATCHED!BE13=19,MATCHED!$T13,IF(MATCHED!BE13=20,MATCHED!$U13,IF(MATCHED!BE13=21,MATCHED!$V13,)))))))&amp;IF(MATCHED!BE13=22,MATCHED!$W13,IF(MATCHED!BE13=23,MATCHED!$X13,IF(MATCHED!BE13=24,MATCHED!$Y13,IF(MATCHED!BE13=25,MATCHED!$Z13,IF(MATCHED!BE13=26,MATCHED!$AA13,IF(MATCHED!BE13=27,MATCHED!$AB13,"."))))))</f>
        <v>#N/A</v>
      </c>
      <c r="AD13" s="335" t="e">
        <f>IF(MATCHED!BF13=1,MATCHED!$B13,IF(MATCHED!BF13=2,MATCHED!$C13,IF(MATCHED!BF13=3,MATCHED!$D13,IF(MATCHED!BF13=4,MATCHED!$E13,IF(MATCHED!BF13=3,MATCHED!$F13,IF(MATCHED!BF13=6,MATCHED!$G13,IF(MATCHED!BF13=7,MATCHED!$H13,"")))))))&amp;IF(MATCHED!BF13=8,MATCHED!$I13,IF(MATCHED!BF13=9,MATCHED!$J13,IF(MATCHED!BF13=10,MATCHED!$K13,IF(MATCHED!BF13=11,MATCHED!$L13,IF(MATCHED!BF13=12,MATCHED!$M13,IF(MATCHED!BF13=13,MATCHED!$N13,IF(MATCHED!BF13=14,MATCHED!$O13,"")))))))&amp;IF(MATCHED!BF13=15,MATCHED!$P13,IF(MATCHED!BF13=16,MATCHED!$Q13,IF(MATCHED!BF13=17,MATCHED!$R13,IF(MATCHED!BF13=18,MATCHED!$S13,IF(MATCHED!BF13=19,MATCHED!$T13,IF(MATCHED!BF13=20,MATCHED!$U13,IF(MATCHED!BF13=21,MATCHED!$V13,)))))))&amp;IF(MATCHED!BF13=22,MATCHED!$W13,IF(MATCHED!BF13=23,MATCHED!$X13,IF(MATCHED!BF13=24,MATCHED!$Y13,IF(MATCHED!BF13=25,MATCHED!$Z13,IF(MATCHED!BF13=26,MATCHED!$AA13,IF(MATCHED!BF13=27,MATCHED!$AB13,"."))))))</f>
        <v>#N/A</v>
      </c>
      <c r="AE13" s="335" t="e">
        <f>IF(MATCHED!BG13=1,MATCHED!$B13,IF(MATCHED!BG13=2,MATCHED!$C13,IF(MATCHED!BG13=3,MATCHED!$D13,IF(MATCHED!BG13=4,MATCHED!$E13,IF(MATCHED!BG13=3,MATCHED!$F13,IF(MATCHED!BG13=6,MATCHED!$G13,IF(MATCHED!BG13=7,MATCHED!$H13,"")))))))&amp;IF(MATCHED!BG13=8,MATCHED!$I13,IF(MATCHED!BG13=9,MATCHED!$J13,IF(MATCHED!BG13=10,MATCHED!$K13,IF(MATCHED!BG13=11,MATCHED!$L13,IF(MATCHED!BG13=12,MATCHED!$M13,IF(MATCHED!BG13=13,MATCHED!$N13,IF(MATCHED!BG13=14,MATCHED!$O13,"")))))))&amp;IF(MATCHED!BG13=15,MATCHED!$P13,IF(MATCHED!BG13=16,MATCHED!$Q13,IF(MATCHED!BG13=17,MATCHED!$R13,IF(MATCHED!BG13=18,MATCHED!$S13,IF(MATCHED!BG13=19,MATCHED!$T13,IF(MATCHED!BG13=20,MATCHED!$U13,IF(MATCHED!BG13=21,MATCHED!$V13,)))))))&amp;IF(MATCHED!BG13=22,MATCHED!$W13,IF(MATCHED!BG13=23,MATCHED!$X13,IF(MATCHED!BG13=24,MATCHED!$Y13,IF(MATCHED!BG13=25,MATCHED!$Z13,IF(MATCHED!BG13=26,MATCHED!$AA13,IF(MATCHED!BG13=27,MATCHED!$AB13,"."))))))</f>
        <v>#N/A</v>
      </c>
      <c r="AF13" s="335" t="e">
        <f>IF(MATCHED!BH13=1,MATCHED!$B13,IF(MATCHED!BH13=2,MATCHED!$C13,IF(MATCHED!BH13=3,MATCHED!$D13,IF(MATCHED!BH13=4,MATCHED!$E13,IF(MATCHED!BH13=3,MATCHED!$F13,IF(MATCHED!BH13=6,MATCHED!$G13,IF(MATCHED!BH13=7,MATCHED!$H13,"")))))))&amp;IF(MATCHED!BH13=8,MATCHED!$I13,IF(MATCHED!BH13=9,MATCHED!$J13,IF(MATCHED!BH13=10,MATCHED!$K13,IF(MATCHED!BH13=11,MATCHED!$L13,IF(MATCHED!BH13=12,MATCHED!$M13,IF(MATCHED!BH13=13,MATCHED!$N13,IF(MATCHED!BH13=14,MATCHED!$O13,"")))))))&amp;IF(MATCHED!BH13=15,MATCHED!$P13,IF(MATCHED!BH13=16,MATCHED!$Q13,IF(MATCHED!BH13=17,MATCHED!$R13,IF(MATCHED!BH13=18,MATCHED!$S13,IF(MATCHED!BH13=19,MATCHED!$T13,IF(MATCHED!BH13=20,MATCHED!$U13,IF(MATCHED!BH13=21,MATCHED!$V13,)))))))&amp;IF(MATCHED!BH13=22,MATCHED!$W13,IF(MATCHED!BH13=23,MATCHED!$X13,IF(MATCHED!BH13=24,MATCHED!$Y13,IF(MATCHED!BH13=25,MATCHED!$Z13,IF(MATCHED!BH13=26,MATCHED!$AA13,IF(MATCHED!BH13=27,MATCHED!$AB13,"."))))))</f>
        <v>#N/A</v>
      </c>
      <c r="AG13" s="335" t="e">
        <f>IF(MATCHED!BI13=1,MATCHED!$B13,IF(MATCHED!BI13=2,MATCHED!$C13,IF(MATCHED!BI13=3,MATCHED!$D13,IF(MATCHED!BI13=4,MATCHED!$E13,IF(MATCHED!BI13=3,MATCHED!$F13,IF(MATCHED!BI13=6,MATCHED!$G13,IF(MATCHED!BI13=7,MATCHED!$H13,"")))))))&amp;IF(MATCHED!BI13=8,MATCHED!$I13,IF(MATCHED!BI13=9,MATCHED!$J13,IF(MATCHED!BI13=10,MATCHED!$K13,IF(MATCHED!BI13=11,MATCHED!$L13,IF(MATCHED!BI13=12,MATCHED!$M13,IF(MATCHED!BI13=13,MATCHED!$N13,IF(MATCHED!BI13=14,MATCHED!$O13,"")))))))&amp;IF(MATCHED!BI13=15,MATCHED!$P13,IF(MATCHED!BI13=16,MATCHED!$Q13,IF(MATCHED!BI13=17,MATCHED!$R13,IF(MATCHED!BI13=18,MATCHED!$S13,IF(MATCHED!BI13=19,MATCHED!$T13,IF(MATCHED!BI13=20,MATCHED!$U13,IF(MATCHED!BI13=21,MATCHED!$V13,)))))))&amp;IF(MATCHED!BI13=22,MATCHED!$W13,IF(MATCHED!BI13=23,MATCHED!$X13,IF(MATCHED!BI13=24,MATCHED!$Y13,IF(MATCHED!BI13=25,MATCHED!$Z13,IF(MATCHED!BI13=26,MATCHED!$AA13,IF(MATCHED!BI13=27,MATCHED!$AB13,"."))))))</f>
        <v>#N/A</v>
      </c>
      <c r="AH13" s="335" t="e">
        <f>IF(MATCHED!BJ13=1,MATCHED!$B13,IF(MATCHED!BJ13=2,MATCHED!$C13,IF(MATCHED!BJ13=3,MATCHED!$D13,IF(MATCHED!BJ13=4,MATCHED!$E13,IF(MATCHED!BJ13=3,MATCHED!$F13,IF(MATCHED!BJ13=6,MATCHED!$G13,IF(MATCHED!BJ13=7,MATCHED!$H13,"")))))))&amp;IF(MATCHED!BJ13=8,MATCHED!$I13,IF(MATCHED!BJ13=9,MATCHED!$J13,IF(MATCHED!BJ13=10,MATCHED!$K13,IF(MATCHED!BJ13=11,MATCHED!$L13,IF(MATCHED!BJ13=12,MATCHED!$M13,IF(MATCHED!BJ13=13,MATCHED!$N13,IF(MATCHED!BJ13=14,MATCHED!$O13,"")))))))&amp;IF(MATCHED!BJ13=15,MATCHED!$P13,IF(MATCHED!BJ13=16,MATCHED!$Q13,IF(MATCHED!BJ13=17,MATCHED!$R13,IF(MATCHED!BJ13=18,MATCHED!$S13,IF(MATCHED!BJ13=19,MATCHED!$T13,IF(MATCHED!BJ13=20,MATCHED!$U13,IF(MATCHED!BJ13=21,MATCHED!$V13,)))))))&amp;IF(MATCHED!BJ13=22,MATCHED!$W13,IF(MATCHED!BJ13=23,MATCHED!$X13,IF(MATCHED!BJ13=24,MATCHED!$Y13,IF(MATCHED!BJ13=25,MATCHED!$Z13,IF(MATCHED!BJ13=26,MATCHED!$AA13,IF(MATCHED!BJ13=27,MATCHED!$AB13,"."))))))</f>
        <v>#N/A</v>
      </c>
      <c r="AI13" s="335" t="e">
        <f>IF(MATCHED!BK13=1,MATCHED!$B13,IF(MATCHED!BK13=2,MATCHED!$C13,IF(MATCHED!BK13=3,MATCHED!$D13,IF(MATCHED!BK13=4,MATCHED!$E13,IF(MATCHED!BK13=3,MATCHED!$F13,IF(MATCHED!BK13=6,MATCHED!$G13,IF(MATCHED!BK13=7,MATCHED!$H13,"")))))))&amp;IF(MATCHED!BK13=8,MATCHED!$I13,IF(MATCHED!BK13=9,MATCHED!$J13,IF(MATCHED!BK13=10,MATCHED!$K13,IF(MATCHED!BK13=11,MATCHED!$L13,IF(MATCHED!BK13=12,MATCHED!$M13,IF(MATCHED!BK13=13,MATCHED!$N13,IF(MATCHED!BK13=14,MATCHED!$O13,"")))))))&amp;IF(MATCHED!BK13=15,MATCHED!$P13,IF(MATCHED!BK13=16,MATCHED!$Q13,IF(MATCHED!BK13=17,MATCHED!$R13,IF(MATCHED!BK13=18,MATCHED!$S13,IF(MATCHED!BK13=19,MATCHED!$T13,IF(MATCHED!BK13=20,MATCHED!$U13,IF(MATCHED!BK13=21,MATCHED!$V13,)))))))&amp;IF(MATCHED!BK13=22,MATCHED!$W13,IF(MATCHED!BK13=23,MATCHED!$X13,IF(MATCHED!BK13=24,MATCHED!$Y13,IF(MATCHED!BK13=25,MATCHED!$Z13,IF(MATCHED!BK13=26,MATCHED!$AA13,IF(MATCHED!BK13=27,MATCHED!$AB13,"."))))))</f>
        <v>#N/A</v>
      </c>
      <c r="AJ13" s="534"/>
    </row>
    <row r="14" spans="1:104" s="338" customFormat="1" x14ac:dyDescent="0.25">
      <c r="A14" s="535"/>
      <c r="B14" s="343" t="e">
        <f>IF(MATCHED!AD14=1,MATCHED!$B14,IF(MATCHED!AD14=2,MATCHED!$C14,IF(MATCHED!AD14=3,MATCHED!$D14,IF(MATCHED!AD14=4,MATCHED!$E14,IF(MATCHED!AD14=3,MATCHED!$F14,IF(MATCHED!AD14=6,MATCHED!$G14,IF(MATCHED!AD14=7,MATCHED!$H14,"")))))))&amp;IF(MATCHED!AD14=8,MATCHED!$I14,IF(MATCHED!AD14=9,MATCHED!$J14,IF(MATCHED!AD14=10,MATCHED!$K14,IF(MATCHED!AD14=11,MATCHED!$L14,IF(MATCHED!AD14=12,MATCHED!$M14,IF(MATCHED!AD14=13,MATCHED!$N14,IF(MATCHED!AD14=14,MATCHED!$O14,"")))))))&amp;IF(MATCHED!AD14=15,MATCHED!$P14,IF(MATCHED!AD14=16,MATCHED!$Q14,IF(MATCHED!AD14=17,MATCHED!$R14,IF(MATCHED!AD14=18,MATCHED!$S14,IF(MATCHED!AD14=19,MATCHED!$T14,IF(MATCHED!AD14=20,MATCHED!$U14,IF(MATCHED!AD14=21,MATCHED!$V14,)))))))&amp;IF(MATCHED!AD14=22,MATCHED!$W14,IF(MATCHED!AD14=23,MATCHED!$X14,IF(MATCHED!AD14=24,MATCHED!$Y14,IF(MATCHED!AD14=25,MATCHED!$Z14,IF(MATCHED!AD14=26,MATCHED!$AA14,IF(MATCHED!AD14=27,MATCHED!$AB14,"."))))))</f>
        <v>#N/A</v>
      </c>
      <c r="C14" s="335" t="e">
        <f>IF(MATCHED!AE14=1,MATCHED!$B14,IF(MATCHED!AE14=2,MATCHED!$C14,IF(MATCHED!AE14=3,MATCHED!$D14,IF(MATCHED!AE14=4,MATCHED!$E14,IF(MATCHED!AE14=3,MATCHED!$F14,IF(MATCHED!AE14=6,MATCHED!$G14,IF(MATCHED!AE14=7,MATCHED!$H14,"")))))))&amp;IF(MATCHED!AE14=8,MATCHED!$I14,IF(MATCHED!AE14=9,MATCHED!$J14,IF(MATCHED!AE14=10,MATCHED!$K14,IF(MATCHED!AE14=11,MATCHED!$L14,IF(MATCHED!AE14=12,MATCHED!$M14,IF(MATCHED!AE14=13,MATCHED!$N14,IF(MATCHED!AE14=14,MATCHED!$O14,"")))))))&amp;IF(MATCHED!AE14=15,MATCHED!$P14,IF(MATCHED!AE14=16,MATCHED!$Q14,IF(MATCHED!AE14=17,MATCHED!$R14,IF(MATCHED!AE14=18,MATCHED!$S14,IF(MATCHED!AE14=19,MATCHED!$T14,IF(MATCHED!AE14=20,MATCHED!$U14,IF(MATCHED!AE14=21,MATCHED!$V14,)))))))&amp;IF(MATCHED!AE14=22,MATCHED!$W14,IF(MATCHED!AE14=23,MATCHED!$X14,IF(MATCHED!AE14=24,MATCHED!$Y14,IF(MATCHED!AE14=25,MATCHED!$Z14,IF(MATCHED!AE14=26,MATCHED!$AA14,IF(MATCHED!AE14=27,MATCHED!$AB14,"."))))))</f>
        <v>#N/A</v>
      </c>
      <c r="D14" s="335" t="e">
        <f>IF(MATCHED!AF14=1,MATCHED!$B14,IF(MATCHED!AF14=2,MATCHED!$C14,IF(MATCHED!AF14=3,MATCHED!$D14,IF(MATCHED!AF14=4,MATCHED!$E14,IF(MATCHED!AF14=3,MATCHED!$F14,IF(MATCHED!AF14=6,MATCHED!$G14,IF(MATCHED!AF14=7,MATCHED!$H14,"")))))))&amp;IF(MATCHED!AF14=8,MATCHED!$I14,IF(MATCHED!AF14=9,MATCHED!$J14,IF(MATCHED!AF14=10,MATCHED!$K14,IF(MATCHED!AF14=11,MATCHED!$L14,IF(MATCHED!AF14=12,MATCHED!$M14,IF(MATCHED!AF14=13,MATCHED!$N14,IF(MATCHED!AF14=14,MATCHED!$O14,"")))))))&amp;IF(MATCHED!AF14=15,MATCHED!$P14,IF(MATCHED!AF14=16,MATCHED!$Q14,IF(MATCHED!AF14=17,MATCHED!$R14,IF(MATCHED!AF14=18,MATCHED!$S14,IF(MATCHED!AF14=19,MATCHED!$T14,IF(MATCHED!AF14=20,MATCHED!$U14,IF(MATCHED!AF14=21,MATCHED!$V14,)))))))&amp;IF(MATCHED!AF14=22,MATCHED!$W14,IF(MATCHED!AF14=23,MATCHED!$X14,IF(MATCHED!AF14=24,MATCHED!$Y14,IF(MATCHED!AF14=25,MATCHED!$Z14,IF(MATCHED!AF14=26,MATCHED!$AA14,IF(MATCHED!AF14=27,MATCHED!$AB14,"."))))))</f>
        <v>#N/A</v>
      </c>
      <c r="E14" s="335" t="e">
        <f>IF(MATCHED!AG14=1,MATCHED!$B14,IF(MATCHED!AG14=2,MATCHED!$C14,IF(MATCHED!AG14=3,MATCHED!$D14,IF(MATCHED!AG14=4,MATCHED!$E14,IF(MATCHED!AG14=3,MATCHED!$F14,IF(MATCHED!AG14=6,MATCHED!$G14,IF(MATCHED!AG14=7,MATCHED!$H14,"")))))))&amp;IF(MATCHED!AG14=8,MATCHED!$I14,IF(MATCHED!AG14=9,MATCHED!$J14,IF(MATCHED!AG14=10,MATCHED!$K14,IF(MATCHED!AG14=11,MATCHED!$L14,IF(MATCHED!AG14=12,MATCHED!$M14,IF(MATCHED!AG14=13,MATCHED!$N14,IF(MATCHED!AG14=14,MATCHED!$O14,"")))))))&amp;IF(MATCHED!AG14=15,MATCHED!$P14,IF(MATCHED!AG14=16,MATCHED!$Q14,IF(MATCHED!AG14=17,MATCHED!$R14,IF(MATCHED!AG14=18,MATCHED!$S14,IF(MATCHED!AG14=19,MATCHED!$T14,IF(MATCHED!AG14=20,MATCHED!$U14,IF(MATCHED!AG14=21,MATCHED!$V14,)))))))&amp;IF(MATCHED!AG14=22,MATCHED!$W14,IF(MATCHED!AG14=23,MATCHED!$X14,IF(MATCHED!AG14=24,MATCHED!$Y14,IF(MATCHED!AG14=25,MATCHED!$Z14,IF(MATCHED!AG14=26,MATCHED!$AA14,IF(MATCHED!AG14=27,MATCHED!$AB14,"."))))))</f>
        <v>#N/A</v>
      </c>
      <c r="F14" s="335" t="e">
        <f>IF(MATCHED!AH14=1,MATCHED!$B14,IF(MATCHED!AH14=2,MATCHED!$C14,IF(MATCHED!AH14=3,MATCHED!$D14,IF(MATCHED!AH14=4,MATCHED!$E14,IF(MATCHED!AH14=3,MATCHED!$F14,IF(MATCHED!AH14=6,MATCHED!$G14,IF(MATCHED!AH14=7,MATCHED!$H14,"")))))))&amp;IF(MATCHED!AH14=8,MATCHED!$I14,IF(MATCHED!AH14=9,MATCHED!$J14,IF(MATCHED!AH14=10,MATCHED!$K14,IF(MATCHED!AH14=11,MATCHED!$L14,IF(MATCHED!AH14=12,MATCHED!$M14,IF(MATCHED!AH14=13,MATCHED!$N14,IF(MATCHED!AH14=14,MATCHED!$O14,"")))))))&amp;IF(MATCHED!AH14=15,MATCHED!$P14,IF(MATCHED!AH14=16,MATCHED!$Q14,IF(MATCHED!AH14=17,MATCHED!$R14,IF(MATCHED!AH14=18,MATCHED!$S14,IF(MATCHED!AH14=19,MATCHED!$T14,IF(MATCHED!AH14=20,MATCHED!$U14,IF(MATCHED!AH14=21,MATCHED!$V14,)))))))&amp;IF(MATCHED!AH14=22,MATCHED!$W14,IF(MATCHED!AH14=23,MATCHED!$X14,IF(MATCHED!AH14=24,MATCHED!$Y14,IF(MATCHED!AH14=25,MATCHED!$Z14,IF(MATCHED!AH14=26,MATCHED!$AA14,IF(MATCHED!AH14=27,MATCHED!$AB14,"."))))))</f>
        <v>#N/A</v>
      </c>
      <c r="G14" s="335" t="e">
        <f>IF(MATCHED!AI14=1,MATCHED!$B14,IF(MATCHED!AI14=2,MATCHED!$C14,IF(MATCHED!AI14=3,MATCHED!$D14,IF(MATCHED!AI14=4,MATCHED!$E14,IF(MATCHED!AI14=3,MATCHED!$F14,IF(MATCHED!AI14=6,MATCHED!$G14,IF(MATCHED!AI14=7,MATCHED!$H14,"")))))))&amp;IF(MATCHED!AI14=8,MATCHED!$I14,IF(MATCHED!AI14=9,MATCHED!$J14,IF(MATCHED!AI14=10,MATCHED!$K14,IF(MATCHED!AI14=11,MATCHED!$L14,IF(MATCHED!AI14=12,MATCHED!$M14,IF(MATCHED!AI14=13,MATCHED!$N14,IF(MATCHED!AI14=14,MATCHED!$O14,"")))))))&amp;IF(MATCHED!AI14=15,MATCHED!$P14,IF(MATCHED!AI14=16,MATCHED!$Q14,IF(MATCHED!AI14=17,MATCHED!$R14,IF(MATCHED!AI14=18,MATCHED!$S14,IF(MATCHED!AI14=19,MATCHED!$T14,IF(MATCHED!AI14=20,MATCHED!$U14,IF(MATCHED!AI14=21,MATCHED!$V14,)))))))&amp;IF(MATCHED!AI14=22,MATCHED!$W14,IF(MATCHED!AI14=23,MATCHED!$X14,IF(MATCHED!AI14=24,MATCHED!$Y14,IF(MATCHED!AI14=25,MATCHED!$Z14,IF(MATCHED!AI14=26,MATCHED!$AA14,IF(MATCHED!AI14=27,MATCHED!$AB14,"."))))))</f>
        <v>#N/A</v>
      </c>
      <c r="H14" s="335" t="e">
        <f>IF(MATCHED!AJ14=1,MATCHED!$B14,IF(MATCHED!AJ14=2,MATCHED!$C14,IF(MATCHED!AJ14=3,MATCHED!$D14,IF(MATCHED!AJ14=4,MATCHED!$E14,IF(MATCHED!AJ14=3,MATCHED!$F14,IF(MATCHED!AJ14=6,MATCHED!$G14,IF(MATCHED!AJ14=7,MATCHED!$H14,"")))))))&amp;IF(MATCHED!AJ14=8,MATCHED!$I14,IF(MATCHED!AJ14=9,MATCHED!$J14,IF(MATCHED!AJ14=10,MATCHED!$K14,IF(MATCHED!AJ14=11,MATCHED!$L14,IF(MATCHED!AJ14=12,MATCHED!$M14,IF(MATCHED!AJ14=13,MATCHED!$N14,IF(MATCHED!AJ14=14,MATCHED!$O14,"")))))))&amp;IF(MATCHED!AJ14=15,MATCHED!$P14,IF(MATCHED!AJ14=16,MATCHED!$Q14,IF(MATCHED!AJ14=17,MATCHED!$R14,IF(MATCHED!AJ14=18,MATCHED!$S14,IF(MATCHED!AJ14=19,MATCHED!$T14,IF(MATCHED!AJ14=20,MATCHED!$U14,IF(MATCHED!AJ14=21,MATCHED!$V14,)))))))&amp;IF(MATCHED!AJ14=22,MATCHED!$W14,IF(MATCHED!AJ14=23,MATCHED!$X14,IF(MATCHED!AJ14=24,MATCHED!$Y14,IF(MATCHED!AJ14=25,MATCHED!$Z14,IF(MATCHED!AJ14=26,MATCHED!$AA14,IF(MATCHED!AJ14=27,MATCHED!$AB14,"."))))))</f>
        <v>#N/A</v>
      </c>
      <c r="I14" s="335" t="e">
        <f>IF(MATCHED!AK14=1,MATCHED!$B14,IF(MATCHED!AK14=2,MATCHED!$C14,IF(MATCHED!AK14=3,MATCHED!$D14,IF(MATCHED!AK14=4,MATCHED!$E14,IF(MATCHED!AK14=3,MATCHED!$F14,IF(MATCHED!AK14=6,MATCHED!$G14,IF(MATCHED!AK14=7,MATCHED!$H14,"")))))))&amp;IF(MATCHED!AK14=8,MATCHED!$I14,IF(MATCHED!AK14=9,MATCHED!$J14,IF(MATCHED!AK14=10,MATCHED!$K14,IF(MATCHED!AK14=11,MATCHED!$L14,IF(MATCHED!AK14=12,MATCHED!$M14,IF(MATCHED!AK14=13,MATCHED!$N14,IF(MATCHED!AK14=14,MATCHED!$O14,"")))))))&amp;IF(MATCHED!AK14=15,MATCHED!$P14,IF(MATCHED!AK14=16,MATCHED!$Q14,IF(MATCHED!AK14=17,MATCHED!$R14,IF(MATCHED!AK14=18,MATCHED!$S14,IF(MATCHED!AK14=19,MATCHED!$T14,IF(MATCHED!AK14=20,MATCHED!$U14,IF(MATCHED!AK14=21,MATCHED!$V14,)))))))&amp;IF(MATCHED!AK14=22,MATCHED!$W14,IF(MATCHED!AK14=23,MATCHED!$X14,IF(MATCHED!AK14=24,MATCHED!$Y14,IF(MATCHED!AK14=25,MATCHED!$Z14,IF(MATCHED!AK14=26,MATCHED!$AA14,IF(MATCHED!AK14=27,MATCHED!$AB14,"."))))))</f>
        <v>#N/A</v>
      </c>
      <c r="J14" s="335" t="e">
        <f>IF(MATCHED!AL14=1,MATCHED!$B14,IF(MATCHED!AL14=2,MATCHED!$C14,IF(MATCHED!AL14=3,MATCHED!$D14,IF(MATCHED!AL14=4,MATCHED!$E14,IF(MATCHED!AL14=3,MATCHED!$F14,IF(MATCHED!AL14=6,MATCHED!$G14,IF(MATCHED!AL14=7,MATCHED!$H14,"")))))))&amp;IF(MATCHED!AL14=8,MATCHED!$I14,IF(MATCHED!AL14=9,MATCHED!$J14,IF(MATCHED!AL14=10,MATCHED!$K14,IF(MATCHED!AL14=11,MATCHED!$L14,IF(MATCHED!AL14=12,MATCHED!$M14,IF(MATCHED!AL14=13,MATCHED!$N14,IF(MATCHED!AL14=14,MATCHED!$O14,"")))))))&amp;IF(MATCHED!AL14=15,MATCHED!$P14,IF(MATCHED!AL14=16,MATCHED!$Q14,IF(MATCHED!AL14=17,MATCHED!$R14,IF(MATCHED!AL14=18,MATCHED!$S14,IF(MATCHED!AL14=19,MATCHED!$T14,IF(MATCHED!AL14=20,MATCHED!$U14,IF(MATCHED!AL14=21,MATCHED!$V14,)))))))&amp;IF(MATCHED!AL14=22,MATCHED!$W14,IF(MATCHED!AL14=23,MATCHED!$X14,IF(MATCHED!AL14=24,MATCHED!$Y14,IF(MATCHED!AL14=25,MATCHED!$Z14,IF(MATCHED!AL14=26,MATCHED!$AA14,IF(MATCHED!AL14=27,MATCHED!$AB14,"."))))))</f>
        <v>#N/A</v>
      </c>
      <c r="K14" s="335" t="e">
        <f>IF(MATCHED!AM14=1,MATCHED!$B14,IF(MATCHED!AM14=2,MATCHED!$C14,IF(MATCHED!AM14=3,MATCHED!$D14,IF(MATCHED!AM14=4,MATCHED!$E14,IF(MATCHED!AM14=3,MATCHED!$F14,IF(MATCHED!AM14=6,MATCHED!$G14,IF(MATCHED!AM14=7,MATCHED!$H14,"")))))))&amp;IF(MATCHED!AM14=8,MATCHED!$I14,IF(MATCHED!AM14=9,MATCHED!$J14,IF(MATCHED!AM14=10,MATCHED!$K14,IF(MATCHED!AM14=11,MATCHED!$L14,IF(MATCHED!AM14=12,MATCHED!$M14,IF(MATCHED!AM14=13,MATCHED!$N14,IF(MATCHED!AM14=14,MATCHED!$O14,"")))))))&amp;IF(MATCHED!AM14=15,MATCHED!$P14,IF(MATCHED!AM14=16,MATCHED!$Q14,IF(MATCHED!AM14=17,MATCHED!$R14,IF(MATCHED!AM14=18,MATCHED!$S14,IF(MATCHED!AM14=19,MATCHED!$T14,IF(MATCHED!AM14=20,MATCHED!$U14,IF(MATCHED!AM14=21,MATCHED!$V14,)))))))&amp;IF(MATCHED!AM14=22,MATCHED!$W14,IF(MATCHED!AM14=23,MATCHED!$X14,IF(MATCHED!AM14=24,MATCHED!$Y14,IF(MATCHED!AM14=25,MATCHED!$Z14,IF(MATCHED!AM14=26,MATCHED!$AA14,IF(MATCHED!AM14=27,MATCHED!$AB14,"."))))))</f>
        <v>#N/A</v>
      </c>
      <c r="L14" s="335" t="e">
        <f>IF(MATCHED!AN14=1,MATCHED!$B14,IF(MATCHED!AN14=2,MATCHED!$C14,IF(MATCHED!AN14=3,MATCHED!$D14,IF(MATCHED!AN14=4,MATCHED!$E14,IF(MATCHED!AN14=3,MATCHED!$F14,IF(MATCHED!AN14=6,MATCHED!$G14,IF(MATCHED!AN14=7,MATCHED!$H14,"")))))))&amp;IF(MATCHED!AN14=8,MATCHED!$I14,IF(MATCHED!AN14=9,MATCHED!$J14,IF(MATCHED!AN14=10,MATCHED!$K14,IF(MATCHED!AN14=11,MATCHED!$L14,IF(MATCHED!AN14=12,MATCHED!$M14,IF(MATCHED!AN14=13,MATCHED!$N14,IF(MATCHED!AN14=14,MATCHED!$O14,"")))))))&amp;IF(MATCHED!AN14=15,MATCHED!$P14,IF(MATCHED!AN14=16,MATCHED!$Q14,IF(MATCHED!AN14=17,MATCHED!$R14,IF(MATCHED!AN14=18,MATCHED!$S14,IF(MATCHED!AN14=19,MATCHED!$T14,IF(MATCHED!AN14=20,MATCHED!$U14,IF(MATCHED!AN14=21,MATCHED!$V14,)))))))&amp;IF(MATCHED!AN14=22,MATCHED!$W14,IF(MATCHED!AN14=23,MATCHED!$X14,IF(MATCHED!AN14=24,MATCHED!$Y14,IF(MATCHED!AN14=25,MATCHED!$Z14,IF(MATCHED!AN14=26,MATCHED!$AA14,IF(MATCHED!AN14=27,MATCHED!$AB14,"."))))))</f>
        <v>#N/A</v>
      </c>
      <c r="M14" s="335" t="e">
        <f>IF(MATCHED!AO14=1,MATCHED!$B14,IF(MATCHED!AO14=2,MATCHED!$C14,IF(MATCHED!AO14=3,MATCHED!$D14,IF(MATCHED!AO14=4,MATCHED!$E14,IF(MATCHED!AO14=3,MATCHED!$F14,IF(MATCHED!AO14=6,MATCHED!$G14,IF(MATCHED!AO14=7,MATCHED!$H14,"")))))))&amp;IF(MATCHED!AO14=8,MATCHED!$I14,IF(MATCHED!AO14=9,MATCHED!$J14,IF(MATCHED!AO14=10,MATCHED!$K14,IF(MATCHED!AO14=11,MATCHED!$L14,IF(MATCHED!AO14=12,MATCHED!$M14,IF(MATCHED!AO14=13,MATCHED!$N14,IF(MATCHED!AO14=14,MATCHED!$O14,"")))))))&amp;IF(MATCHED!AO14=15,MATCHED!$P14,IF(MATCHED!AO14=16,MATCHED!$Q14,IF(MATCHED!AO14=17,MATCHED!$R14,IF(MATCHED!AO14=18,MATCHED!$S14,IF(MATCHED!AO14=19,MATCHED!$T14,IF(MATCHED!AO14=20,MATCHED!$U14,IF(MATCHED!AO14=21,MATCHED!$V14,)))))))&amp;IF(MATCHED!AO14=22,MATCHED!$W14,IF(MATCHED!AO14=23,MATCHED!$X14,IF(MATCHED!AO14=24,MATCHED!$Y14,IF(MATCHED!AO14=25,MATCHED!$Z14,IF(MATCHED!AO14=26,MATCHED!$AA14,IF(MATCHED!AO14=27,MATCHED!$AB14,"."))))))</f>
        <v>#N/A</v>
      </c>
      <c r="N14" s="335" t="e">
        <f>IF(MATCHED!AP14=1,MATCHED!$B14,IF(MATCHED!AP14=2,MATCHED!$C14,IF(MATCHED!AP14=3,MATCHED!$D14,IF(MATCHED!AP14=4,MATCHED!$E14,IF(MATCHED!AP14=3,MATCHED!$F14,IF(MATCHED!AP14=6,MATCHED!$G14,IF(MATCHED!AP14=7,MATCHED!$H14,"")))))))&amp;IF(MATCHED!AP14=8,MATCHED!$I14,IF(MATCHED!AP14=9,MATCHED!$J14,IF(MATCHED!AP14=10,MATCHED!$K14,IF(MATCHED!AP14=11,MATCHED!$L14,IF(MATCHED!AP14=12,MATCHED!$M14,IF(MATCHED!AP14=13,MATCHED!$N14,IF(MATCHED!AP14=14,MATCHED!$O14,"")))))))&amp;IF(MATCHED!AP14=15,MATCHED!$P14,IF(MATCHED!AP14=16,MATCHED!$Q14,IF(MATCHED!AP14=17,MATCHED!$R14,IF(MATCHED!AP14=18,MATCHED!$S14,IF(MATCHED!AP14=19,MATCHED!$T14,IF(MATCHED!AP14=20,MATCHED!$U14,IF(MATCHED!AP14=21,MATCHED!$V14,)))))))&amp;IF(MATCHED!AP14=22,MATCHED!$W14,IF(MATCHED!AP14=23,MATCHED!$X14,IF(MATCHED!AP14=24,MATCHED!$Y14,IF(MATCHED!AP14=25,MATCHED!$Z14,IF(MATCHED!AP14=26,MATCHED!$AA14,IF(MATCHED!AP14=27,MATCHED!$AB14,"."))))))</f>
        <v>#N/A</v>
      </c>
      <c r="O14" s="335" t="e">
        <f>IF(MATCHED!AQ14=1,MATCHED!$B14,IF(MATCHED!AQ14=2,MATCHED!$C14,IF(MATCHED!AQ14=3,MATCHED!$D14,IF(MATCHED!AQ14=4,MATCHED!$E14,IF(MATCHED!AQ14=3,MATCHED!$F14,IF(MATCHED!AQ14=6,MATCHED!$G14,IF(MATCHED!AQ14=7,MATCHED!$H14,"")))))))&amp;IF(MATCHED!AQ14=8,MATCHED!$I14,IF(MATCHED!AQ14=9,MATCHED!$J14,IF(MATCHED!AQ14=10,MATCHED!$K14,IF(MATCHED!AQ14=11,MATCHED!$L14,IF(MATCHED!AQ14=12,MATCHED!$M14,IF(MATCHED!AQ14=13,MATCHED!$N14,IF(MATCHED!AQ14=14,MATCHED!$O14,"")))))))&amp;IF(MATCHED!AQ14=15,MATCHED!$P14,IF(MATCHED!AQ14=16,MATCHED!$Q14,IF(MATCHED!AQ14=17,MATCHED!$R14,IF(MATCHED!AQ14=18,MATCHED!$S14,IF(MATCHED!AQ14=19,MATCHED!$T14,IF(MATCHED!AQ14=20,MATCHED!$U14,IF(MATCHED!AQ14=21,MATCHED!$V14,)))))))&amp;IF(MATCHED!AQ14=22,MATCHED!$W14,IF(MATCHED!AQ14=23,MATCHED!$X14,IF(MATCHED!AQ14=24,MATCHED!$Y14,IF(MATCHED!AQ14=25,MATCHED!$Z14,IF(MATCHED!AQ14=26,MATCHED!$AA14,IF(MATCHED!AQ14=27,MATCHED!$AB14,"."))))))</f>
        <v>#N/A</v>
      </c>
      <c r="P14" s="335" t="e">
        <f>IF(MATCHED!AR14=1,MATCHED!$B14,IF(MATCHED!AR14=2,MATCHED!$C14,IF(MATCHED!AR14=3,MATCHED!$D14,IF(MATCHED!AR14=4,MATCHED!$E14,IF(MATCHED!AR14=3,MATCHED!$F14,IF(MATCHED!AR14=6,MATCHED!$G14,IF(MATCHED!AR14=7,MATCHED!$H14,"")))))))&amp;IF(MATCHED!AR14=8,MATCHED!$I14,IF(MATCHED!AR14=9,MATCHED!$J14,IF(MATCHED!AR14=10,MATCHED!$K14,IF(MATCHED!AR14=11,MATCHED!$L14,IF(MATCHED!AR14=12,MATCHED!$M14,IF(MATCHED!AR14=13,MATCHED!$N14,IF(MATCHED!AR14=14,MATCHED!$O14,"")))))))&amp;IF(MATCHED!AR14=15,MATCHED!$P14,IF(MATCHED!AR14=16,MATCHED!$Q14,IF(MATCHED!AR14=17,MATCHED!$R14,IF(MATCHED!AR14=18,MATCHED!$S14,IF(MATCHED!AR14=19,MATCHED!$T14,IF(MATCHED!AR14=20,MATCHED!$U14,IF(MATCHED!AR14=21,MATCHED!$V14,)))))))&amp;IF(MATCHED!AR14=22,MATCHED!$W14,IF(MATCHED!AR14=23,MATCHED!$X14,IF(MATCHED!AR14=24,MATCHED!$Y14,IF(MATCHED!AR14=25,MATCHED!$Z14,IF(MATCHED!AR14=26,MATCHED!$AA14,IF(MATCHED!AR14=27,MATCHED!$AB14,"."))))))</f>
        <v>#N/A</v>
      </c>
      <c r="Q14" s="344" t="e">
        <f>IF(MATCHED!AS14=1,MATCHED!$B14,IF(MATCHED!AS14=2,MATCHED!$C14,IF(MATCHED!AS14=3,MATCHED!$D14,IF(MATCHED!AS14=4,MATCHED!$E14,IF(MATCHED!AS14=3,MATCHED!$F14,IF(MATCHED!AS14=6,MATCHED!$G14,IF(MATCHED!AS14=7,MATCHED!$H14,"")))))))&amp;IF(MATCHED!AS14=8,MATCHED!$I14,IF(MATCHED!AS14=9,MATCHED!$J14,IF(MATCHED!AS14=10,MATCHED!$K14,IF(MATCHED!AS14=11,MATCHED!$L14,IF(MATCHED!AS14=12,MATCHED!$M14,IF(MATCHED!AS14=13,MATCHED!$N14,IF(MATCHED!AS14=14,MATCHED!$O14,"")))))))&amp;IF(MATCHED!AS14=15,MATCHED!$P14,IF(MATCHED!AS14=16,MATCHED!$Q14,IF(MATCHED!AS14=17,MATCHED!$R14,IF(MATCHED!AS14=18,MATCHED!$S14,IF(MATCHED!AS14=19,MATCHED!$T14,IF(MATCHED!AS14=20,MATCHED!$U14,IF(MATCHED!AS14=21,MATCHED!$V14,)))))))&amp;IF(MATCHED!AS14=22,MATCHED!$W14,IF(MATCHED!AS14=23,MATCHED!$X14,IF(MATCHED!AS14=24,MATCHED!$Y14,IF(MATCHED!AS14=25,MATCHED!$Z14,IF(MATCHED!AS14=26,MATCHED!$AA14,IF(MATCHED!AS14=27,MATCHED!$AB14,"."))))))</f>
        <v>#N/A</v>
      </c>
      <c r="R14" s="335" t="e">
        <f>IF(MATCHED!AT14=1,MATCHED!$B14,IF(MATCHED!AT14=2,MATCHED!$C14,IF(MATCHED!AT14=3,MATCHED!$D14,IF(MATCHED!AT14=4,MATCHED!$E14,IF(MATCHED!AT14=3,MATCHED!$F14,IF(MATCHED!AT14=6,MATCHED!$G14,IF(MATCHED!AT14=7,MATCHED!$H14,"")))))))&amp;IF(MATCHED!AT14=8,MATCHED!$I14,IF(MATCHED!AT14=9,MATCHED!$J14,IF(MATCHED!AT14=10,MATCHED!$K14,IF(MATCHED!AT14=11,MATCHED!$L14,IF(MATCHED!AT14=12,MATCHED!$M14,IF(MATCHED!AT14=13,MATCHED!$N14,IF(MATCHED!AT14=14,MATCHED!$O14,"")))))))&amp;IF(MATCHED!AT14=15,MATCHED!$P14,IF(MATCHED!AT14=16,MATCHED!$Q14,IF(MATCHED!AT14=17,MATCHED!$R14,IF(MATCHED!AT14=18,MATCHED!$S14,IF(MATCHED!AT14=19,MATCHED!$T14,IF(MATCHED!AT14=20,MATCHED!$U14,IF(MATCHED!AT14=21,MATCHED!$V14,)))))))&amp;IF(MATCHED!AT14=22,MATCHED!$W14,IF(MATCHED!AT14=23,MATCHED!$X14,IF(MATCHED!AT14=24,MATCHED!$Y14,IF(MATCHED!AT14=25,MATCHED!$Z14,IF(MATCHED!AT14=26,MATCHED!$AA14,IF(MATCHED!AT14=27,MATCHED!$AB14,"."))))))</f>
        <v>#N/A</v>
      </c>
      <c r="S14" s="335" t="e">
        <f>IF(MATCHED!AU14=1,MATCHED!$B14,IF(MATCHED!AU14=2,MATCHED!$C14,IF(MATCHED!AU14=3,MATCHED!$D14,IF(MATCHED!AU14=4,MATCHED!$E14,IF(MATCHED!AU14=3,MATCHED!$F14,IF(MATCHED!AU14=6,MATCHED!$G14,IF(MATCHED!AU14=7,MATCHED!$H14,"")))))))&amp;IF(MATCHED!AU14=8,MATCHED!$I14,IF(MATCHED!AU14=9,MATCHED!$J14,IF(MATCHED!AU14=10,MATCHED!$K14,IF(MATCHED!AU14=11,MATCHED!$L14,IF(MATCHED!AU14=12,MATCHED!$M14,IF(MATCHED!AU14=13,MATCHED!$N14,IF(MATCHED!AU14=14,MATCHED!$O14,"")))))))&amp;IF(MATCHED!AU14=15,MATCHED!$P14,IF(MATCHED!AU14=16,MATCHED!$Q14,IF(MATCHED!AU14=17,MATCHED!$R14,IF(MATCHED!AU14=18,MATCHED!$S14,IF(MATCHED!AU14=19,MATCHED!$T14,IF(MATCHED!AU14=20,MATCHED!$U14,IF(MATCHED!AU14=21,MATCHED!$V14,)))))))&amp;IF(MATCHED!AU14=22,MATCHED!$W14,IF(MATCHED!AU14=23,MATCHED!$X14,IF(MATCHED!AU14=24,MATCHED!$Y14,IF(MATCHED!AU14=25,MATCHED!$Z14,IF(MATCHED!AU14=26,MATCHED!$AA14,IF(MATCHED!AU14=27,MATCHED!$AB14,"."))))))</f>
        <v>#N/A</v>
      </c>
      <c r="T14" s="335" t="e">
        <f>IF(MATCHED!AV14=1,MATCHED!$B14,IF(MATCHED!AV14=2,MATCHED!$C14,IF(MATCHED!AV14=3,MATCHED!$D14,IF(MATCHED!AV14=4,MATCHED!$E14,IF(MATCHED!AV14=3,MATCHED!$F14,IF(MATCHED!AV14=6,MATCHED!$G14,IF(MATCHED!AV14=7,MATCHED!$H14,"")))))))&amp;IF(MATCHED!AV14=8,MATCHED!$I14,IF(MATCHED!AV14=9,MATCHED!$J14,IF(MATCHED!AV14=10,MATCHED!$K14,IF(MATCHED!AV14=11,MATCHED!$L14,IF(MATCHED!AV14=12,MATCHED!$M14,IF(MATCHED!AV14=13,MATCHED!$N14,IF(MATCHED!AV14=14,MATCHED!$O14,"")))))))&amp;IF(MATCHED!AV14=15,MATCHED!$P14,IF(MATCHED!AV14=16,MATCHED!$Q14,IF(MATCHED!AV14=17,MATCHED!$R14,IF(MATCHED!AV14=18,MATCHED!$S14,IF(MATCHED!AV14=19,MATCHED!$T14,IF(MATCHED!AV14=20,MATCHED!$U14,IF(MATCHED!AV14=21,MATCHED!$V14,)))))))&amp;IF(MATCHED!AV14=22,MATCHED!$W14,IF(MATCHED!AV14=23,MATCHED!$X14,IF(MATCHED!AV14=24,MATCHED!$Y14,IF(MATCHED!AV14=25,MATCHED!$Z14,IF(MATCHED!AV14=26,MATCHED!$AA14,IF(MATCHED!AV14=27,MATCHED!$AB14,"."))))))</f>
        <v>#N/A</v>
      </c>
      <c r="U14" s="335" t="e">
        <f>IF(MATCHED!AW14=1,MATCHED!$B14,IF(MATCHED!AW14=2,MATCHED!$C14,IF(MATCHED!AW14=3,MATCHED!$D14,IF(MATCHED!AW14=4,MATCHED!$E14,IF(MATCHED!AW14=3,MATCHED!$F14,IF(MATCHED!AW14=6,MATCHED!$G14,IF(MATCHED!AW14=7,MATCHED!$H14,"")))))))&amp;IF(MATCHED!AW14=8,MATCHED!$I14,IF(MATCHED!AW14=9,MATCHED!$J14,IF(MATCHED!AW14=10,MATCHED!$K14,IF(MATCHED!AW14=11,MATCHED!$L14,IF(MATCHED!AW14=12,MATCHED!$M14,IF(MATCHED!AW14=13,MATCHED!$N14,IF(MATCHED!AW14=14,MATCHED!$O14,"")))))))&amp;IF(MATCHED!AW14=15,MATCHED!$P14,IF(MATCHED!AW14=16,MATCHED!$Q14,IF(MATCHED!AW14=17,MATCHED!$R14,IF(MATCHED!AW14=18,MATCHED!$S14,IF(MATCHED!AW14=19,MATCHED!$T14,IF(MATCHED!AW14=20,MATCHED!$U14,IF(MATCHED!AW14=21,MATCHED!$V14,)))))))&amp;IF(MATCHED!AW14=22,MATCHED!$W14,IF(MATCHED!AW14=23,MATCHED!$X14,IF(MATCHED!AW14=24,MATCHED!$Y14,IF(MATCHED!AW14=25,MATCHED!$Z14,IF(MATCHED!AW14=26,MATCHED!$AA14,IF(MATCHED!AW14=27,MATCHED!$AB14,"."))))))</f>
        <v>#N/A</v>
      </c>
      <c r="V14" s="335" t="e">
        <f>IF(MATCHED!AX14=1,MATCHED!$B14,IF(MATCHED!AX14=2,MATCHED!$C14,IF(MATCHED!AX14=3,MATCHED!$D14,IF(MATCHED!AX14=4,MATCHED!$E14,IF(MATCHED!AX14=3,MATCHED!$F14,IF(MATCHED!AX14=6,MATCHED!$G14,IF(MATCHED!AX14=7,MATCHED!$H14,"")))))))&amp;IF(MATCHED!AX14=8,MATCHED!$I14,IF(MATCHED!AX14=9,MATCHED!$J14,IF(MATCHED!AX14=10,MATCHED!$K14,IF(MATCHED!AX14=11,MATCHED!$L14,IF(MATCHED!AX14=12,MATCHED!$M14,IF(MATCHED!AX14=13,MATCHED!$N14,IF(MATCHED!AX14=14,MATCHED!$O14,"")))))))&amp;IF(MATCHED!AX14=15,MATCHED!$P14,IF(MATCHED!AX14=16,MATCHED!$Q14,IF(MATCHED!AX14=17,MATCHED!$R14,IF(MATCHED!AX14=18,MATCHED!$S14,IF(MATCHED!AX14=19,MATCHED!$T14,IF(MATCHED!AX14=20,MATCHED!$U14,IF(MATCHED!AX14=21,MATCHED!$V14,)))))))&amp;IF(MATCHED!AX14=22,MATCHED!$W14,IF(MATCHED!AX14=23,MATCHED!$X14,IF(MATCHED!AX14=24,MATCHED!$Y14,IF(MATCHED!AX14=25,MATCHED!$Z14,IF(MATCHED!AX14=26,MATCHED!$AA14,IF(MATCHED!AX14=27,MATCHED!$AB14,"."))))))</f>
        <v>#N/A</v>
      </c>
      <c r="W14" s="335" t="e">
        <f>IF(MATCHED!AY14=1,MATCHED!$B14,IF(MATCHED!AY14=2,MATCHED!$C14,IF(MATCHED!AY14=3,MATCHED!$D14,IF(MATCHED!AY14=4,MATCHED!$E14,IF(MATCHED!AY14=3,MATCHED!$F14,IF(MATCHED!AY14=6,MATCHED!$G14,IF(MATCHED!AY14=7,MATCHED!$H14,"")))))))&amp;IF(MATCHED!AY14=8,MATCHED!$I14,IF(MATCHED!AY14=9,MATCHED!$J14,IF(MATCHED!AY14=10,MATCHED!$K14,IF(MATCHED!AY14=11,MATCHED!$L14,IF(MATCHED!AY14=12,MATCHED!$M14,IF(MATCHED!AY14=13,MATCHED!$N14,IF(MATCHED!AY14=14,MATCHED!$O14,"")))))))&amp;IF(MATCHED!AY14=15,MATCHED!$P14,IF(MATCHED!AY14=16,MATCHED!$Q14,IF(MATCHED!AY14=17,MATCHED!$R14,IF(MATCHED!AY14=18,MATCHED!$S14,IF(MATCHED!AY14=19,MATCHED!$T14,IF(MATCHED!AY14=20,MATCHED!$U14,IF(MATCHED!AY14=21,MATCHED!$V14,)))))))&amp;IF(MATCHED!AY14=22,MATCHED!$W14,IF(MATCHED!AY14=23,MATCHED!$X14,IF(MATCHED!AY14=24,MATCHED!$Y14,IF(MATCHED!AY14=25,MATCHED!$Z14,IF(MATCHED!AY14=26,MATCHED!$AA14,IF(MATCHED!AY14=27,MATCHED!$AB14,"."))))))</f>
        <v>#N/A</v>
      </c>
      <c r="X14" s="335" t="e">
        <f>IF(MATCHED!AZ14=1,MATCHED!$B14,IF(MATCHED!AZ14=2,MATCHED!$C14,IF(MATCHED!AZ14=3,MATCHED!$D14,IF(MATCHED!AZ14=4,MATCHED!$E14,IF(MATCHED!AZ14=3,MATCHED!$F14,IF(MATCHED!AZ14=6,MATCHED!$G14,IF(MATCHED!AZ14=7,MATCHED!$H14,"")))))))&amp;IF(MATCHED!AZ14=8,MATCHED!$I14,IF(MATCHED!AZ14=9,MATCHED!$J14,IF(MATCHED!AZ14=10,MATCHED!$K14,IF(MATCHED!AZ14=11,MATCHED!$L14,IF(MATCHED!AZ14=12,MATCHED!$M14,IF(MATCHED!AZ14=13,MATCHED!$N14,IF(MATCHED!AZ14=14,MATCHED!$O14,"")))))))&amp;IF(MATCHED!AZ14=15,MATCHED!$P14,IF(MATCHED!AZ14=16,MATCHED!$Q14,IF(MATCHED!AZ14=17,MATCHED!$R14,IF(MATCHED!AZ14=18,MATCHED!$S14,IF(MATCHED!AZ14=19,MATCHED!$T14,IF(MATCHED!AZ14=20,MATCHED!$U14,IF(MATCHED!AZ14=21,MATCHED!$V14,)))))))&amp;IF(MATCHED!AZ14=22,MATCHED!$W14,IF(MATCHED!AZ14=23,MATCHED!$X14,IF(MATCHED!AZ14=24,MATCHED!$Y14,IF(MATCHED!AZ14=25,MATCHED!$Z14,IF(MATCHED!AZ14=26,MATCHED!$AA14,IF(MATCHED!AZ14=27,MATCHED!$AB14,"."))))))</f>
        <v>#N/A</v>
      </c>
      <c r="Y14" s="335" t="e">
        <f>IF(MATCHED!BA14=1,MATCHED!$B14,IF(MATCHED!BA14=2,MATCHED!$C14,IF(MATCHED!BA14=3,MATCHED!$D14,IF(MATCHED!BA14=4,MATCHED!$E14,IF(MATCHED!BA14=3,MATCHED!$F14,IF(MATCHED!BA14=6,MATCHED!$G14,IF(MATCHED!BA14=7,MATCHED!$H14,"")))))))&amp;IF(MATCHED!BA14=8,MATCHED!$I14,IF(MATCHED!BA14=9,MATCHED!$J14,IF(MATCHED!BA14=10,MATCHED!$K14,IF(MATCHED!BA14=11,MATCHED!$L14,IF(MATCHED!BA14=12,MATCHED!$M14,IF(MATCHED!BA14=13,MATCHED!$N14,IF(MATCHED!BA14=14,MATCHED!$O14,"")))))))&amp;IF(MATCHED!BA14=15,MATCHED!$P14,IF(MATCHED!BA14=16,MATCHED!$Q14,IF(MATCHED!BA14=17,MATCHED!$R14,IF(MATCHED!BA14=18,MATCHED!$S14,IF(MATCHED!BA14=19,MATCHED!$T14,IF(MATCHED!BA14=20,MATCHED!$U14,IF(MATCHED!BA14=21,MATCHED!$V14,)))))))&amp;IF(MATCHED!BA14=22,MATCHED!$W14,IF(MATCHED!BA14=23,MATCHED!$X14,IF(MATCHED!BA14=24,MATCHED!$Y14,IF(MATCHED!BA14=25,MATCHED!$Z14,IF(MATCHED!BA14=26,MATCHED!$AA14,IF(MATCHED!BA14=27,MATCHED!$AB14,"."))))))</f>
        <v>#N/A</v>
      </c>
      <c r="Z14" s="335" t="e">
        <f>IF(MATCHED!BB14=1,MATCHED!$B14,IF(MATCHED!BB14=2,MATCHED!$C14,IF(MATCHED!BB14=3,MATCHED!$D14,IF(MATCHED!BB14=4,MATCHED!$E14,IF(MATCHED!BB14=3,MATCHED!$F14,IF(MATCHED!BB14=6,MATCHED!$G14,IF(MATCHED!BB14=7,MATCHED!$H14,"")))))))&amp;IF(MATCHED!BB14=8,MATCHED!$I14,IF(MATCHED!BB14=9,MATCHED!$J14,IF(MATCHED!BB14=10,MATCHED!$K14,IF(MATCHED!BB14=11,MATCHED!$L14,IF(MATCHED!BB14=12,MATCHED!$M14,IF(MATCHED!BB14=13,MATCHED!$N14,IF(MATCHED!BB14=14,MATCHED!$O14,"")))))))&amp;IF(MATCHED!BB14=15,MATCHED!$P14,IF(MATCHED!BB14=16,MATCHED!$Q14,IF(MATCHED!BB14=17,MATCHED!$R14,IF(MATCHED!BB14=18,MATCHED!$S14,IF(MATCHED!BB14=19,MATCHED!$T14,IF(MATCHED!BB14=20,MATCHED!$U14,IF(MATCHED!BB14=21,MATCHED!$V14,)))))))&amp;IF(MATCHED!BB14=22,MATCHED!$W14,IF(MATCHED!BB14=23,MATCHED!$X14,IF(MATCHED!BB14=24,MATCHED!$Y14,IF(MATCHED!BB14=25,MATCHED!$Z14,IF(MATCHED!BB14=26,MATCHED!$AA14,IF(MATCHED!BB14=27,MATCHED!$AB14,"."))))))</f>
        <v>#N/A</v>
      </c>
      <c r="AA14" s="335" t="e">
        <f>IF(MATCHED!BC14=1,MATCHED!$B14,IF(MATCHED!BC14=2,MATCHED!$C14,IF(MATCHED!BC14=3,MATCHED!$D14,IF(MATCHED!BC14=4,MATCHED!$E14,IF(MATCHED!BC14=3,MATCHED!$F14,IF(MATCHED!BC14=6,MATCHED!$G14,IF(MATCHED!BC14=7,MATCHED!$H14,"")))))))&amp;IF(MATCHED!BC14=8,MATCHED!$I14,IF(MATCHED!BC14=9,MATCHED!$J14,IF(MATCHED!BC14=10,MATCHED!$K14,IF(MATCHED!BC14=11,MATCHED!$L14,IF(MATCHED!BC14=12,MATCHED!$M14,IF(MATCHED!BC14=13,MATCHED!$N14,IF(MATCHED!BC14=14,MATCHED!$O14,"")))))))&amp;IF(MATCHED!BC14=15,MATCHED!$P14,IF(MATCHED!BC14=16,MATCHED!$Q14,IF(MATCHED!BC14=17,MATCHED!$R14,IF(MATCHED!BC14=18,MATCHED!$S14,IF(MATCHED!BC14=19,MATCHED!$T14,IF(MATCHED!BC14=20,MATCHED!$U14,IF(MATCHED!BC14=21,MATCHED!$V14,)))))))&amp;IF(MATCHED!BC14=22,MATCHED!$W14,IF(MATCHED!BC14=23,MATCHED!$X14,IF(MATCHED!BC14=24,MATCHED!$Y14,IF(MATCHED!BC14=25,MATCHED!$Z14,IF(MATCHED!BC14=26,MATCHED!$AA14,IF(MATCHED!BC14=27,MATCHED!$AB14,"."))))))</f>
        <v>#N/A</v>
      </c>
      <c r="AB14" s="335" t="e">
        <f>IF(MATCHED!BD14=1,MATCHED!$B14,IF(MATCHED!BD14=2,MATCHED!$C14,IF(MATCHED!BD14=3,MATCHED!$D14,IF(MATCHED!BD14=4,MATCHED!$E14,IF(MATCHED!BD14=3,MATCHED!$F14,IF(MATCHED!BD14=6,MATCHED!$G14,IF(MATCHED!BD14=7,MATCHED!$H14,"")))))))&amp;IF(MATCHED!BD14=8,MATCHED!$I14,IF(MATCHED!BD14=9,MATCHED!$J14,IF(MATCHED!BD14=10,MATCHED!$K14,IF(MATCHED!BD14=11,MATCHED!$L14,IF(MATCHED!BD14=12,MATCHED!$M14,IF(MATCHED!BD14=13,MATCHED!$N14,IF(MATCHED!BD14=14,MATCHED!$O14,"")))))))&amp;IF(MATCHED!BD14=15,MATCHED!$P14,IF(MATCHED!BD14=16,MATCHED!$Q14,IF(MATCHED!BD14=17,MATCHED!$R14,IF(MATCHED!BD14=18,MATCHED!$S14,IF(MATCHED!BD14=19,MATCHED!$T14,IF(MATCHED!BD14=20,MATCHED!$U14,IF(MATCHED!BD14=21,MATCHED!$V14,)))))))&amp;IF(MATCHED!BD14=22,MATCHED!$W14,IF(MATCHED!BD14=23,MATCHED!$X14,IF(MATCHED!BD14=24,MATCHED!$Y14,IF(MATCHED!BD14=25,MATCHED!$Z14,IF(MATCHED!BD14=26,MATCHED!$AA14,IF(MATCHED!BD14=27,MATCHED!$AB14,"."))))))</f>
        <v>#N/A</v>
      </c>
      <c r="AC14" s="335" t="e">
        <f>IF(MATCHED!BE14=1,MATCHED!$B14,IF(MATCHED!BE14=2,MATCHED!$C14,IF(MATCHED!BE14=3,MATCHED!$D14,IF(MATCHED!BE14=4,MATCHED!$E14,IF(MATCHED!BE14=3,MATCHED!$F14,IF(MATCHED!BE14=6,MATCHED!$G14,IF(MATCHED!BE14=7,MATCHED!$H14,"")))))))&amp;IF(MATCHED!BE14=8,MATCHED!$I14,IF(MATCHED!BE14=9,MATCHED!$J14,IF(MATCHED!BE14=10,MATCHED!$K14,IF(MATCHED!BE14=11,MATCHED!$L14,IF(MATCHED!BE14=12,MATCHED!$M14,IF(MATCHED!BE14=13,MATCHED!$N14,IF(MATCHED!BE14=14,MATCHED!$O14,"")))))))&amp;IF(MATCHED!BE14=15,MATCHED!$P14,IF(MATCHED!BE14=16,MATCHED!$Q14,IF(MATCHED!BE14=17,MATCHED!$R14,IF(MATCHED!BE14=18,MATCHED!$S14,IF(MATCHED!BE14=19,MATCHED!$T14,IF(MATCHED!BE14=20,MATCHED!$U14,IF(MATCHED!BE14=21,MATCHED!$V14,)))))))&amp;IF(MATCHED!BE14=22,MATCHED!$W14,IF(MATCHED!BE14=23,MATCHED!$X14,IF(MATCHED!BE14=24,MATCHED!$Y14,IF(MATCHED!BE14=25,MATCHED!$Z14,IF(MATCHED!BE14=26,MATCHED!$AA14,IF(MATCHED!BE14=27,MATCHED!$AB14,"."))))))</f>
        <v>#N/A</v>
      </c>
      <c r="AD14" s="335" t="e">
        <f>IF(MATCHED!BF14=1,MATCHED!$B14,IF(MATCHED!BF14=2,MATCHED!$C14,IF(MATCHED!BF14=3,MATCHED!$D14,IF(MATCHED!BF14=4,MATCHED!$E14,IF(MATCHED!BF14=3,MATCHED!$F14,IF(MATCHED!BF14=6,MATCHED!$G14,IF(MATCHED!BF14=7,MATCHED!$H14,"")))))))&amp;IF(MATCHED!BF14=8,MATCHED!$I14,IF(MATCHED!BF14=9,MATCHED!$J14,IF(MATCHED!BF14=10,MATCHED!$K14,IF(MATCHED!BF14=11,MATCHED!$L14,IF(MATCHED!BF14=12,MATCHED!$M14,IF(MATCHED!BF14=13,MATCHED!$N14,IF(MATCHED!BF14=14,MATCHED!$O14,"")))))))&amp;IF(MATCHED!BF14=15,MATCHED!$P14,IF(MATCHED!BF14=16,MATCHED!$Q14,IF(MATCHED!BF14=17,MATCHED!$R14,IF(MATCHED!BF14=18,MATCHED!$S14,IF(MATCHED!BF14=19,MATCHED!$T14,IF(MATCHED!BF14=20,MATCHED!$U14,IF(MATCHED!BF14=21,MATCHED!$V14,)))))))&amp;IF(MATCHED!BF14=22,MATCHED!$W14,IF(MATCHED!BF14=23,MATCHED!$X14,IF(MATCHED!BF14=24,MATCHED!$Y14,IF(MATCHED!BF14=25,MATCHED!$Z14,IF(MATCHED!BF14=26,MATCHED!$AA14,IF(MATCHED!BF14=27,MATCHED!$AB14,"."))))))</f>
        <v>#N/A</v>
      </c>
      <c r="AE14" s="335" t="e">
        <f>IF(MATCHED!BG14=1,MATCHED!$B14,IF(MATCHED!BG14=2,MATCHED!$C14,IF(MATCHED!BG14=3,MATCHED!$D14,IF(MATCHED!BG14=4,MATCHED!$E14,IF(MATCHED!BG14=3,MATCHED!$F14,IF(MATCHED!BG14=6,MATCHED!$G14,IF(MATCHED!BG14=7,MATCHED!$H14,"")))))))&amp;IF(MATCHED!BG14=8,MATCHED!$I14,IF(MATCHED!BG14=9,MATCHED!$J14,IF(MATCHED!BG14=10,MATCHED!$K14,IF(MATCHED!BG14=11,MATCHED!$L14,IF(MATCHED!BG14=12,MATCHED!$M14,IF(MATCHED!BG14=13,MATCHED!$N14,IF(MATCHED!BG14=14,MATCHED!$O14,"")))))))&amp;IF(MATCHED!BG14=15,MATCHED!$P14,IF(MATCHED!BG14=16,MATCHED!$Q14,IF(MATCHED!BG14=17,MATCHED!$R14,IF(MATCHED!BG14=18,MATCHED!$S14,IF(MATCHED!BG14=19,MATCHED!$T14,IF(MATCHED!BG14=20,MATCHED!$U14,IF(MATCHED!BG14=21,MATCHED!$V14,)))))))&amp;IF(MATCHED!BG14=22,MATCHED!$W14,IF(MATCHED!BG14=23,MATCHED!$X14,IF(MATCHED!BG14=24,MATCHED!$Y14,IF(MATCHED!BG14=25,MATCHED!$Z14,IF(MATCHED!BG14=26,MATCHED!$AA14,IF(MATCHED!BG14=27,MATCHED!$AB14,"."))))))</f>
        <v>#N/A</v>
      </c>
      <c r="AF14" s="335" t="e">
        <f>IF(MATCHED!BH14=1,MATCHED!$B14,IF(MATCHED!BH14=2,MATCHED!$C14,IF(MATCHED!BH14=3,MATCHED!$D14,IF(MATCHED!BH14=4,MATCHED!$E14,IF(MATCHED!BH14=3,MATCHED!$F14,IF(MATCHED!BH14=6,MATCHED!$G14,IF(MATCHED!BH14=7,MATCHED!$H14,"")))))))&amp;IF(MATCHED!BH14=8,MATCHED!$I14,IF(MATCHED!BH14=9,MATCHED!$J14,IF(MATCHED!BH14=10,MATCHED!$K14,IF(MATCHED!BH14=11,MATCHED!$L14,IF(MATCHED!BH14=12,MATCHED!$M14,IF(MATCHED!BH14=13,MATCHED!$N14,IF(MATCHED!BH14=14,MATCHED!$O14,"")))))))&amp;IF(MATCHED!BH14=15,MATCHED!$P14,IF(MATCHED!BH14=16,MATCHED!$Q14,IF(MATCHED!BH14=17,MATCHED!$R14,IF(MATCHED!BH14=18,MATCHED!$S14,IF(MATCHED!BH14=19,MATCHED!$T14,IF(MATCHED!BH14=20,MATCHED!$U14,IF(MATCHED!BH14=21,MATCHED!$V14,)))))))&amp;IF(MATCHED!BH14=22,MATCHED!$W14,IF(MATCHED!BH14=23,MATCHED!$X14,IF(MATCHED!BH14=24,MATCHED!$Y14,IF(MATCHED!BH14=25,MATCHED!$Z14,IF(MATCHED!BH14=26,MATCHED!$AA14,IF(MATCHED!BH14=27,MATCHED!$AB14,"."))))))</f>
        <v>#N/A</v>
      </c>
      <c r="AG14" s="335" t="e">
        <f>IF(MATCHED!BI14=1,MATCHED!$B14,IF(MATCHED!BI14=2,MATCHED!$C14,IF(MATCHED!BI14=3,MATCHED!$D14,IF(MATCHED!BI14=4,MATCHED!$E14,IF(MATCHED!BI14=3,MATCHED!$F14,IF(MATCHED!BI14=6,MATCHED!$G14,IF(MATCHED!BI14=7,MATCHED!$H14,"")))))))&amp;IF(MATCHED!BI14=8,MATCHED!$I14,IF(MATCHED!BI14=9,MATCHED!$J14,IF(MATCHED!BI14=10,MATCHED!$K14,IF(MATCHED!BI14=11,MATCHED!$L14,IF(MATCHED!BI14=12,MATCHED!$M14,IF(MATCHED!BI14=13,MATCHED!$N14,IF(MATCHED!BI14=14,MATCHED!$O14,"")))))))&amp;IF(MATCHED!BI14=15,MATCHED!$P14,IF(MATCHED!BI14=16,MATCHED!$Q14,IF(MATCHED!BI14=17,MATCHED!$R14,IF(MATCHED!BI14=18,MATCHED!$S14,IF(MATCHED!BI14=19,MATCHED!$T14,IF(MATCHED!BI14=20,MATCHED!$U14,IF(MATCHED!BI14=21,MATCHED!$V14,)))))))&amp;IF(MATCHED!BI14=22,MATCHED!$W14,IF(MATCHED!BI14=23,MATCHED!$X14,IF(MATCHED!BI14=24,MATCHED!$Y14,IF(MATCHED!BI14=25,MATCHED!$Z14,IF(MATCHED!BI14=26,MATCHED!$AA14,IF(MATCHED!BI14=27,MATCHED!$AB14,"."))))))</f>
        <v>#N/A</v>
      </c>
      <c r="AH14" s="335" t="e">
        <f>IF(MATCHED!BJ14=1,MATCHED!$B14,IF(MATCHED!BJ14=2,MATCHED!$C14,IF(MATCHED!BJ14=3,MATCHED!$D14,IF(MATCHED!BJ14=4,MATCHED!$E14,IF(MATCHED!BJ14=3,MATCHED!$F14,IF(MATCHED!BJ14=6,MATCHED!$G14,IF(MATCHED!BJ14=7,MATCHED!$H14,"")))))))&amp;IF(MATCHED!BJ14=8,MATCHED!$I14,IF(MATCHED!BJ14=9,MATCHED!$J14,IF(MATCHED!BJ14=10,MATCHED!$K14,IF(MATCHED!BJ14=11,MATCHED!$L14,IF(MATCHED!BJ14=12,MATCHED!$M14,IF(MATCHED!BJ14=13,MATCHED!$N14,IF(MATCHED!BJ14=14,MATCHED!$O14,"")))))))&amp;IF(MATCHED!BJ14=15,MATCHED!$P14,IF(MATCHED!BJ14=16,MATCHED!$Q14,IF(MATCHED!BJ14=17,MATCHED!$R14,IF(MATCHED!BJ14=18,MATCHED!$S14,IF(MATCHED!BJ14=19,MATCHED!$T14,IF(MATCHED!BJ14=20,MATCHED!$U14,IF(MATCHED!BJ14=21,MATCHED!$V14,)))))))&amp;IF(MATCHED!BJ14=22,MATCHED!$W14,IF(MATCHED!BJ14=23,MATCHED!$X14,IF(MATCHED!BJ14=24,MATCHED!$Y14,IF(MATCHED!BJ14=25,MATCHED!$Z14,IF(MATCHED!BJ14=26,MATCHED!$AA14,IF(MATCHED!BJ14=27,MATCHED!$AB14,"."))))))</f>
        <v>#N/A</v>
      </c>
      <c r="AI14" s="335" t="e">
        <f>IF(MATCHED!BK14=1,MATCHED!$B14,IF(MATCHED!BK14=2,MATCHED!$C14,IF(MATCHED!BK14=3,MATCHED!$D14,IF(MATCHED!BK14=4,MATCHED!$E14,IF(MATCHED!BK14=3,MATCHED!$F14,IF(MATCHED!BK14=6,MATCHED!$G14,IF(MATCHED!BK14=7,MATCHED!$H14,"")))))))&amp;IF(MATCHED!BK14=8,MATCHED!$I14,IF(MATCHED!BK14=9,MATCHED!$J14,IF(MATCHED!BK14=10,MATCHED!$K14,IF(MATCHED!BK14=11,MATCHED!$L14,IF(MATCHED!BK14=12,MATCHED!$M14,IF(MATCHED!BK14=13,MATCHED!$N14,IF(MATCHED!BK14=14,MATCHED!$O14,"")))))))&amp;IF(MATCHED!BK14=15,MATCHED!$P14,IF(MATCHED!BK14=16,MATCHED!$Q14,IF(MATCHED!BK14=17,MATCHED!$R14,IF(MATCHED!BK14=18,MATCHED!$S14,IF(MATCHED!BK14=19,MATCHED!$T14,IF(MATCHED!BK14=20,MATCHED!$U14,IF(MATCHED!BK14=21,MATCHED!$V14,)))))))&amp;IF(MATCHED!BK14=22,MATCHED!$W14,IF(MATCHED!BK14=23,MATCHED!$X14,IF(MATCHED!BK14=24,MATCHED!$Y14,IF(MATCHED!BK14=25,MATCHED!$Z14,IF(MATCHED!BK14=26,MATCHED!$AA14,IF(MATCHED!BK14=27,MATCHED!$AB14,"."))))))</f>
        <v>#N/A</v>
      </c>
      <c r="AJ14" s="535"/>
    </row>
    <row r="15" spans="1:104" s="338" customFormat="1" x14ac:dyDescent="0.25">
      <c r="A15" s="535"/>
      <c r="B15" s="343" t="e">
        <f>IF(MATCHED!AD15=1,MATCHED!$B15,IF(MATCHED!AD15=2,MATCHED!$C15,IF(MATCHED!AD15=3,MATCHED!$D15,IF(MATCHED!AD15=4,MATCHED!$E15,IF(MATCHED!AD15=3,MATCHED!$F15,IF(MATCHED!AD15=6,MATCHED!$G15,IF(MATCHED!AD15=7,MATCHED!$H15,"")))))))&amp;IF(MATCHED!AD15=8,MATCHED!$I15,IF(MATCHED!AD15=9,MATCHED!$J15,IF(MATCHED!AD15=10,MATCHED!$K15,IF(MATCHED!AD15=11,MATCHED!$L15,IF(MATCHED!AD15=12,MATCHED!$M15,IF(MATCHED!AD15=13,MATCHED!$N15,IF(MATCHED!AD15=14,MATCHED!$O15,"")))))))&amp;IF(MATCHED!AD15=15,MATCHED!$P15,IF(MATCHED!AD15=16,MATCHED!$Q15,IF(MATCHED!AD15=17,MATCHED!$R15,IF(MATCHED!AD15=18,MATCHED!$S15,IF(MATCHED!AD15=19,MATCHED!$T15,IF(MATCHED!AD15=20,MATCHED!$U15,IF(MATCHED!AD15=21,MATCHED!$V15,)))))))&amp;IF(MATCHED!AD15=22,MATCHED!$W15,IF(MATCHED!AD15=23,MATCHED!$X15,IF(MATCHED!AD15=24,MATCHED!$Y15,IF(MATCHED!AD15=25,MATCHED!$Z15,IF(MATCHED!AD15=26,MATCHED!$AA15,IF(MATCHED!AD15=27,MATCHED!$AB15,"."))))))</f>
        <v>#N/A</v>
      </c>
      <c r="C15" s="335" t="e">
        <f>IF(MATCHED!AE15=1,MATCHED!$B15,IF(MATCHED!AE15=2,MATCHED!$C15,IF(MATCHED!AE15=3,MATCHED!$D15,IF(MATCHED!AE15=4,MATCHED!$E15,IF(MATCHED!AE15=3,MATCHED!$F15,IF(MATCHED!AE15=6,MATCHED!$G15,IF(MATCHED!AE15=7,MATCHED!$H15,"")))))))&amp;IF(MATCHED!AE15=8,MATCHED!$I15,IF(MATCHED!AE15=9,MATCHED!$J15,IF(MATCHED!AE15=10,MATCHED!$K15,IF(MATCHED!AE15=11,MATCHED!$L15,IF(MATCHED!AE15=12,MATCHED!$M15,IF(MATCHED!AE15=13,MATCHED!$N15,IF(MATCHED!AE15=14,MATCHED!$O15,"")))))))&amp;IF(MATCHED!AE15=15,MATCHED!$P15,IF(MATCHED!AE15=16,MATCHED!$Q15,IF(MATCHED!AE15=17,MATCHED!$R15,IF(MATCHED!AE15=18,MATCHED!$S15,IF(MATCHED!AE15=19,MATCHED!$T15,IF(MATCHED!AE15=20,MATCHED!$U15,IF(MATCHED!AE15=21,MATCHED!$V15,)))))))&amp;IF(MATCHED!AE15=22,MATCHED!$W15,IF(MATCHED!AE15=23,MATCHED!$X15,IF(MATCHED!AE15=24,MATCHED!$Y15,IF(MATCHED!AE15=25,MATCHED!$Z15,IF(MATCHED!AE15=26,MATCHED!$AA15,IF(MATCHED!AE15=27,MATCHED!$AB15,"."))))))</f>
        <v>#N/A</v>
      </c>
      <c r="D15" s="335" t="e">
        <f>IF(MATCHED!AF15=1,MATCHED!$B15,IF(MATCHED!AF15=2,MATCHED!$C15,IF(MATCHED!AF15=3,MATCHED!$D15,IF(MATCHED!AF15=4,MATCHED!$E15,IF(MATCHED!AF15=3,MATCHED!$F15,IF(MATCHED!AF15=6,MATCHED!$G15,IF(MATCHED!AF15=7,MATCHED!$H15,"")))))))&amp;IF(MATCHED!AF15=8,MATCHED!$I15,IF(MATCHED!AF15=9,MATCHED!$J15,IF(MATCHED!AF15=10,MATCHED!$K15,IF(MATCHED!AF15=11,MATCHED!$L15,IF(MATCHED!AF15=12,MATCHED!$M15,IF(MATCHED!AF15=13,MATCHED!$N15,IF(MATCHED!AF15=14,MATCHED!$O15,"")))))))&amp;IF(MATCHED!AF15=15,MATCHED!$P15,IF(MATCHED!AF15=16,MATCHED!$Q15,IF(MATCHED!AF15=17,MATCHED!$R15,IF(MATCHED!AF15=18,MATCHED!$S15,IF(MATCHED!AF15=19,MATCHED!$T15,IF(MATCHED!AF15=20,MATCHED!$U15,IF(MATCHED!AF15=21,MATCHED!$V15,)))))))&amp;IF(MATCHED!AF15=22,MATCHED!$W15,IF(MATCHED!AF15=23,MATCHED!$X15,IF(MATCHED!AF15=24,MATCHED!$Y15,IF(MATCHED!AF15=25,MATCHED!$Z15,IF(MATCHED!AF15=26,MATCHED!$AA15,IF(MATCHED!AF15=27,MATCHED!$AB15,"."))))))</f>
        <v>#N/A</v>
      </c>
      <c r="E15" s="335" t="e">
        <f>IF(MATCHED!AG15=1,MATCHED!$B15,IF(MATCHED!AG15=2,MATCHED!$C15,IF(MATCHED!AG15=3,MATCHED!$D15,IF(MATCHED!AG15=4,MATCHED!$E15,IF(MATCHED!AG15=3,MATCHED!$F15,IF(MATCHED!AG15=6,MATCHED!$G15,IF(MATCHED!AG15=7,MATCHED!$H15,"")))))))&amp;IF(MATCHED!AG15=8,MATCHED!$I15,IF(MATCHED!AG15=9,MATCHED!$J15,IF(MATCHED!AG15=10,MATCHED!$K15,IF(MATCHED!AG15=11,MATCHED!$L15,IF(MATCHED!AG15=12,MATCHED!$M15,IF(MATCHED!AG15=13,MATCHED!$N15,IF(MATCHED!AG15=14,MATCHED!$O15,"")))))))&amp;IF(MATCHED!AG15=15,MATCHED!$P15,IF(MATCHED!AG15=16,MATCHED!$Q15,IF(MATCHED!AG15=17,MATCHED!$R15,IF(MATCHED!AG15=18,MATCHED!$S15,IF(MATCHED!AG15=19,MATCHED!$T15,IF(MATCHED!AG15=20,MATCHED!$U15,IF(MATCHED!AG15=21,MATCHED!$V15,)))))))&amp;IF(MATCHED!AG15=22,MATCHED!$W15,IF(MATCHED!AG15=23,MATCHED!$X15,IF(MATCHED!AG15=24,MATCHED!$Y15,IF(MATCHED!AG15=25,MATCHED!$Z15,IF(MATCHED!AG15=26,MATCHED!$AA15,IF(MATCHED!AG15=27,MATCHED!$AB15,"."))))))</f>
        <v>#N/A</v>
      </c>
      <c r="F15" s="335" t="e">
        <f>IF(MATCHED!AH15=1,MATCHED!$B15,IF(MATCHED!AH15=2,MATCHED!$C15,IF(MATCHED!AH15=3,MATCHED!$D15,IF(MATCHED!AH15=4,MATCHED!$E15,IF(MATCHED!AH15=3,MATCHED!$F15,IF(MATCHED!AH15=6,MATCHED!$G15,IF(MATCHED!AH15=7,MATCHED!$H15,"")))))))&amp;IF(MATCHED!AH15=8,MATCHED!$I15,IF(MATCHED!AH15=9,MATCHED!$J15,IF(MATCHED!AH15=10,MATCHED!$K15,IF(MATCHED!AH15=11,MATCHED!$L15,IF(MATCHED!AH15=12,MATCHED!$M15,IF(MATCHED!AH15=13,MATCHED!$N15,IF(MATCHED!AH15=14,MATCHED!$O15,"")))))))&amp;IF(MATCHED!AH15=15,MATCHED!$P15,IF(MATCHED!AH15=16,MATCHED!$Q15,IF(MATCHED!AH15=17,MATCHED!$R15,IF(MATCHED!AH15=18,MATCHED!$S15,IF(MATCHED!AH15=19,MATCHED!$T15,IF(MATCHED!AH15=20,MATCHED!$U15,IF(MATCHED!AH15=21,MATCHED!$V15,)))))))&amp;IF(MATCHED!AH15=22,MATCHED!$W15,IF(MATCHED!AH15=23,MATCHED!$X15,IF(MATCHED!AH15=24,MATCHED!$Y15,IF(MATCHED!AH15=25,MATCHED!$Z15,IF(MATCHED!AH15=26,MATCHED!$AA15,IF(MATCHED!AH15=27,MATCHED!$AB15,"."))))))</f>
        <v>#N/A</v>
      </c>
      <c r="G15" s="335" t="e">
        <f>IF(MATCHED!AI15=1,MATCHED!$B15,IF(MATCHED!AI15=2,MATCHED!$C15,IF(MATCHED!AI15=3,MATCHED!$D15,IF(MATCHED!AI15=4,MATCHED!$E15,IF(MATCHED!AI15=3,MATCHED!$F15,IF(MATCHED!AI15=6,MATCHED!$G15,IF(MATCHED!AI15=7,MATCHED!$H15,"")))))))&amp;IF(MATCHED!AI15=8,MATCHED!$I15,IF(MATCHED!AI15=9,MATCHED!$J15,IF(MATCHED!AI15=10,MATCHED!$K15,IF(MATCHED!AI15=11,MATCHED!$L15,IF(MATCHED!AI15=12,MATCHED!$M15,IF(MATCHED!AI15=13,MATCHED!$N15,IF(MATCHED!AI15=14,MATCHED!$O15,"")))))))&amp;IF(MATCHED!AI15=15,MATCHED!$P15,IF(MATCHED!AI15=16,MATCHED!$Q15,IF(MATCHED!AI15=17,MATCHED!$R15,IF(MATCHED!AI15=18,MATCHED!$S15,IF(MATCHED!AI15=19,MATCHED!$T15,IF(MATCHED!AI15=20,MATCHED!$U15,IF(MATCHED!AI15=21,MATCHED!$V15,)))))))&amp;IF(MATCHED!AI15=22,MATCHED!$W15,IF(MATCHED!AI15=23,MATCHED!$X15,IF(MATCHED!AI15=24,MATCHED!$Y15,IF(MATCHED!AI15=25,MATCHED!$Z15,IF(MATCHED!AI15=26,MATCHED!$AA15,IF(MATCHED!AI15=27,MATCHED!$AB15,"."))))))</f>
        <v>#N/A</v>
      </c>
      <c r="H15" s="335" t="e">
        <f>IF(MATCHED!AJ15=1,MATCHED!$B15,IF(MATCHED!AJ15=2,MATCHED!$C15,IF(MATCHED!AJ15=3,MATCHED!$D15,IF(MATCHED!AJ15=4,MATCHED!$E15,IF(MATCHED!AJ15=3,MATCHED!$F15,IF(MATCHED!AJ15=6,MATCHED!$G15,IF(MATCHED!AJ15=7,MATCHED!$H15,"")))))))&amp;IF(MATCHED!AJ15=8,MATCHED!$I15,IF(MATCHED!AJ15=9,MATCHED!$J15,IF(MATCHED!AJ15=10,MATCHED!$K15,IF(MATCHED!AJ15=11,MATCHED!$L15,IF(MATCHED!AJ15=12,MATCHED!$M15,IF(MATCHED!AJ15=13,MATCHED!$N15,IF(MATCHED!AJ15=14,MATCHED!$O15,"")))))))&amp;IF(MATCHED!AJ15=15,MATCHED!$P15,IF(MATCHED!AJ15=16,MATCHED!$Q15,IF(MATCHED!AJ15=17,MATCHED!$R15,IF(MATCHED!AJ15=18,MATCHED!$S15,IF(MATCHED!AJ15=19,MATCHED!$T15,IF(MATCHED!AJ15=20,MATCHED!$U15,IF(MATCHED!AJ15=21,MATCHED!$V15,)))))))&amp;IF(MATCHED!AJ15=22,MATCHED!$W15,IF(MATCHED!AJ15=23,MATCHED!$X15,IF(MATCHED!AJ15=24,MATCHED!$Y15,IF(MATCHED!AJ15=25,MATCHED!$Z15,IF(MATCHED!AJ15=26,MATCHED!$AA15,IF(MATCHED!AJ15=27,MATCHED!$AB15,"."))))))</f>
        <v>#N/A</v>
      </c>
      <c r="I15" s="335" t="e">
        <f>IF(MATCHED!AK15=1,MATCHED!$B15,IF(MATCHED!AK15=2,MATCHED!$C15,IF(MATCHED!AK15=3,MATCHED!$D15,IF(MATCHED!AK15=4,MATCHED!$E15,IF(MATCHED!AK15=3,MATCHED!$F15,IF(MATCHED!AK15=6,MATCHED!$G15,IF(MATCHED!AK15=7,MATCHED!$H15,"")))))))&amp;IF(MATCHED!AK15=8,MATCHED!$I15,IF(MATCHED!AK15=9,MATCHED!$J15,IF(MATCHED!AK15=10,MATCHED!$K15,IF(MATCHED!AK15=11,MATCHED!$L15,IF(MATCHED!AK15=12,MATCHED!$M15,IF(MATCHED!AK15=13,MATCHED!$N15,IF(MATCHED!AK15=14,MATCHED!$O15,"")))))))&amp;IF(MATCHED!AK15=15,MATCHED!$P15,IF(MATCHED!AK15=16,MATCHED!$Q15,IF(MATCHED!AK15=17,MATCHED!$R15,IF(MATCHED!AK15=18,MATCHED!$S15,IF(MATCHED!AK15=19,MATCHED!$T15,IF(MATCHED!AK15=20,MATCHED!$U15,IF(MATCHED!AK15=21,MATCHED!$V15,)))))))&amp;IF(MATCHED!AK15=22,MATCHED!$W15,IF(MATCHED!AK15=23,MATCHED!$X15,IF(MATCHED!AK15=24,MATCHED!$Y15,IF(MATCHED!AK15=25,MATCHED!$Z15,IF(MATCHED!AK15=26,MATCHED!$AA15,IF(MATCHED!AK15=27,MATCHED!$AB15,"."))))))</f>
        <v>#N/A</v>
      </c>
      <c r="J15" s="335" t="e">
        <f>IF(MATCHED!AL15=1,MATCHED!$B15,IF(MATCHED!AL15=2,MATCHED!$C15,IF(MATCHED!AL15=3,MATCHED!$D15,IF(MATCHED!AL15=4,MATCHED!$E15,IF(MATCHED!AL15=3,MATCHED!$F15,IF(MATCHED!AL15=6,MATCHED!$G15,IF(MATCHED!AL15=7,MATCHED!$H15,"")))))))&amp;IF(MATCHED!AL15=8,MATCHED!$I15,IF(MATCHED!AL15=9,MATCHED!$J15,IF(MATCHED!AL15=10,MATCHED!$K15,IF(MATCHED!AL15=11,MATCHED!$L15,IF(MATCHED!AL15=12,MATCHED!$M15,IF(MATCHED!AL15=13,MATCHED!$N15,IF(MATCHED!AL15=14,MATCHED!$O15,"")))))))&amp;IF(MATCHED!AL15=15,MATCHED!$P15,IF(MATCHED!AL15=16,MATCHED!$Q15,IF(MATCHED!AL15=17,MATCHED!$R15,IF(MATCHED!AL15=18,MATCHED!$S15,IF(MATCHED!AL15=19,MATCHED!$T15,IF(MATCHED!AL15=20,MATCHED!$U15,IF(MATCHED!AL15=21,MATCHED!$V15,)))))))&amp;IF(MATCHED!AL15=22,MATCHED!$W15,IF(MATCHED!AL15=23,MATCHED!$X15,IF(MATCHED!AL15=24,MATCHED!$Y15,IF(MATCHED!AL15=25,MATCHED!$Z15,IF(MATCHED!AL15=26,MATCHED!$AA15,IF(MATCHED!AL15=27,MATCHED!$AB15,"."))))))</f>
        <v>#N/A</v>
      </c>
      <c r="K15" s="335" t="e">
        <f>IF(MATCHED!AM15=1,MATCHED!$B15,IF(MATCHED!AM15=2,MATCHED!$C15,IF(MATCHED!AM15=3,MATCHED!$D15,IF(MATCHED!AM15=4,MATCHED!$E15,IF(MATCHED!AM15=3,MATCHED!$F15,IF(MATCHED!AM15=6,MATCHED!$G15,IF(MATCHED!AM15=7,MATCHED!$H15,"")))))))&amp;IF(MATCHED!AM15=8,MATCHED!$I15,IF(MATCHED!AM15=9,MATCHED!$J15,IF(MATCHED!AM15=10,MATCHED!$K15,IF(MATCHED!AM15=11,MATCHED!$L15,IF(MATCHED!AM15=12,MATCHED!$M15,IF(MATCHED!AM15=13,MATCHED!$N15,IF(MATCHED!AM15=14,MATCHED!$O15,"")))))))&amp;IF(MATCHED!AM15=15,MATCHED!$P15,IF(MATCHED!AM15=16,MATCHED!$Q15,IF(MATCHED!AM15=17,MATCHED!$R15,IF(MATCHED!AM15=18,MATCHED!$S15,IF(MATCHED!AM15=19,MATCHED!$T15,IF(MATCHED!AM15=20,MATCHED!$U15,IF(MATCHED!AM15=21,MATCHED!$V15,)))))))&amp;IF(MATCHED!AM15=22,MATCHED!$W15,IF(MATCHED!AM15=23,MATCHED!$X15,IF(MATCHED!AM15=24,MATCHED!$Y15,IF(MATCHED!AM15=25,MATCHED!$Z15,IF(MATCHED!AM15=26,MATCHED!$AA15,IF(MATCHED!AM15=27,MATCHED!$AB15,"."))))))</f>
        <v>#N/A</v>
      </c>
      <c r="L15" s="335" t="e">
        <f>IF(MATCHED!AN15=1,MATCHED!$B15,IF(MATCHED!AN15=2,MATCHED!$C15,IF(MATCHED!AN15=3,MATCHED!$D15,IF(MATCHED!AN15=4,MATCHED!$E15,IF(MATCHED!AN15=3,MATCHED!$F15,IF(MATCHED!AN15=6,MATCHED!$G15,IF(MATCHED!AN15=7,MATCHED!$H15,"")))))))&amp;IF(MATCHED!AN15=8,MATCHED!$I15,IF(MATCHED!AN15=9,MATCHED!$J15,IF(MATCHED!AN15=10,MATCHED!$K15,IF(MATCHED!AN15=11,MATCHED!$L15,IF(MATCHED!AN15=12,MATCHED!$M15,IF(MATCHED!AN15=13,MATCHED!$N15,IF(MATCHED!AN15=14,MATCHED!$O15,"")))))))&amp;IF(MATCHED!AN15=15,MATCHED!$P15,IF(MATCHED!AN15=16,MATCHED!$Q15,IF(MATCHED!AN15=17,MATCHED!$R15,IF(MATCHED!AN15=18,MATCHED!$S15,IF(MATCHED!AN15=19,MATCHED!$T15,IF(MATCHED!AN15=20,MATCHED!$U15,IF(MATCHED!AN15=21,MATCHED!$V15,)))))))&amp;IF(MATCHED!AN15=22,MATCHED!$W15,IF(MATCHED!AN15=23,MATCHED!$X15,IF(MATCHED!AN15=24,MATCHED!$Y15,IF(MATCHED!AN15=25,MATCHED!$Z15,IF(MATCHED!AN15=26,MATCHED!$AA15,IF(MATCHED!AN15=27,MATCHED!$AB15,"."))))))</f>
        <v>#N/A</v>
      </c>
      <c r="M15" s="335" t="e">
        <f>IF(MATCHED!AO15=1,MATCHED!$B15,IF(MATCHED!AO15=2,MATCHED!$C15,IF(MATCHED!AO15=3,MATCHED!$D15,IF(MATCHED!AO15=4,MATCHED!$E15,IF(MATCHED!AO15=3,MATCHED!$F15,IF(MATCHED!AO15=6,MATCHED!$G15,IF(MATCHED!AO15=7,MATCHED!$H15,"")))))))&amp;IF(MATCHED!AO15=8,MATCHED!$I15,IF(MATCHED!AO15=9,MATCHED!$J15,IF(MATCHED!AO15=10,MATCHED!$K15,IF(MATCHED!AO15=11,MATCHED!$L15,IF(MATCHED!AO15=12,MATCHED!$M15,IF(MATCHED!AO15=13,MATCHED!$N15,IF(MATCHED!AO15=14,MATCHED!$O15,"")))))))&amp;IF(MATCHED!AO15=15,MATCHED!$P15,IF(MATCHED!AO15=16,MATCHED!$Q15,IF(MATCHED!AO15=17,MATCHED!$R15,IF(MATCHED!AO15=18,MATCHED!$S15,IF(MATCHED!AO15=19,MATCHED!$T15,IF(MATCHED!AO15=20,MATCHED!$U15,IF(MATCHED!AO15=21,MATCHED!$V15,)))))))&amp;IF(MATCHED!AO15=22,MATCHED!$W15,IF(MATCHED!AO15=23,MATCHED!$X15,IF(MATCHED!AO15=24,MATCHED!$Y15,IF(MATCHED!AO15=25,MATCHED!$Z15,IF(MATCHED!AO15=26,MATCHED!$AA15,IF(MATCHED!AO15=27,MATCHED!$AB15,"."))))))</f>
        <v>#N/A</v>
      </c>
      <c r="N15" s="335" t="e">
        <f>IF(MATCHED!AP15=1,MATCHED!$B15,IF(MATCHED!AP15=2,MATCHED!$C15,IF(MATCHED!AP15=3,MATCHED!$D15,IF(MATCHED!AP15=4,MATCHED!$E15,IF(MATCHED!AP15=3,MATCHED!$F15,IF(MATCHED!AP15=6,MATCHED!$G15,IF(MATCHED!AP15=7,MATCHED!$H15,"")))))))&amp;IF(MATCHED!AP15=8,MATCHED!$I15,IF(MATCHED!AP15=9,MATCHED!$J15,IF(MATCHED!AP15=10,MATCHED!$K15,IF(MATCHED!AP15=11,MATCHED!$L15,IF(MATCHED!AP15=12,MATCHED!$M15,IF(MATCHED!AP15=13,MATCHED!$N15,IF(MATCHED!AP15=14,MATCHED!$O15,"")))))))&amp;IF(MATCHED!AP15=15,MATCHED!$P15,IF(MATCHED!AP15=16,MATCHED!$Q15,IF(MATCHED!AP15=17,MATCHED!$R15,IF(MATCHED!AP15=18,MATCHED!$S15,IF(MATCHED!AP15=19,MATCHED!$T15,IF(MATCHED!AP15=20,MATCHED!$U15,IF(MATCHED!AP15=21,MATCHED!$V15,)))))))&amp;IF(MATCHED!AP15=22,MATCHED!$W15,IF(MATCHED!AP15=23,MATCHED!$X15,IF(MATCHED!AP15=24,MATCHED!$Y15,IF(MATCHED!AP15=25,MATCHED!$Z15,IF(MATCHED!AP15=26,MATCHED!$AA15,IF(MATCHED!AP15=27,MATCHED!$AB15,"."))))))</f>
        <v>#N/A</v>
      </c>
      <c r="O15" s="335" t="e">
        <f>IF(MATCHED!AQ15=1,MATCHED!$B15,IF(MATCHED!AQ15=2,MATCHED!$C15,IF(MATCHED!AQ15=3,MATCHED!$D15,IF(MATCHED!AQ15=4,MATCHED!$E15,IF(MATCHED!AQ15=3,MATCHED!$F15,IF(MATCHED!AQ15=6,MATCHED!$G15,IF(MATCHED!AQ15=7,MATCHED!$H15,"")))))))&amp;IF(MATCHED!AQ15=8,MATCHED!$I15,IF(MATCHED!AQ15=9,MATCHED!$J15,IF(MATCHED!AQ15=10,MATCHED!$K15,IF(MATCHED!AQ15=11,MATCHED!$L15,IF(MATCHED!AQ15=12,MATCHED!$M15,IF(MATCHED!AQ15=13,MATCHED!$N15,IF(MATCHED!AQ15=14,MATCHED!$O15,"")))))))&amp;IF(MATCHED!AQ15=15,MATCHED!$P15,IF(MATCHED!AQ15=16,MATCHED!$Q15,IF(MATCHED!AQ15=17,MATCHED!$R15,IF(MATCHED!AQ15=18,MATCHED!$S15,IF(MATCHED!AQ15=19,MATCHED!$T15,IF(MATCHED!AQ15=20,MATCHED!$U15,IF(MATCHED!AQ15=21,MATCHED!$V15,)))))))&amp;IF(MATCHED!AQ15=22,MATCHED!$W15,IF(MATCHED!AQ15=23,MATCHED!$X15,IF(MATCHED!AQ15=24,MATCHED!$Y15,IF(MATCHED!AQ15=25,MATCHED!$Z15,IF(MATCHED!AQ15=26,MATCHED!$AA15,IF(MATCHED!AQ15=27,MATCHED!$AB15,"."))))))</f>
        <v>#N/A</v>
      </c>
      <c r="P15" s="335" t="e">
        <f>IF(MATCHED!AR15=1,MATCHED!$B15,IF(MATCHED!AR15=2,MATCHED!$C15,IF(MATCHED!AR15=3,MATCHED!$D15,IF(MATCHED!AR15=4,MATCHED!$E15,IF(MATCHED!AR15=3,MATCHED!$F15,IF(MATCHED!AR15=6,MATCHED!$G15,IF(MATCHED!AR15=7,MATCHED!$H15,"")))))))&amp;IF(MATCHED!AR15=8,MATCHED!$I15,IF(MATCHED!AR15=9,MATCHED!$J15,IF(MATCHED!AR15=10,MATCHED!$K15,IF(MATCHED!AR15=11,MATCHED!$L15,IF(MATCHED!AR15=12,MATCHED!$M15,IF(MATCHED!AR15=13,MATCHED!$N15,IF(MATCHED!AR15=14,MATCHED!$O15,"")))))))&amp;IF(MATCHED!AR15=15,MATCHED!$P15,IF(MATCHED!AR15=16,MATCHED!$Q15,IF(MATCHED!AR15=17,MATCHED!$R15,IF(MATCHED!AR15=18,MATCHED!$S15,IF(MATCHED!AR15=19,MATCHED!$T15,IF(MATCHED!AR15=20,MATCHED!$U15,IF(MATCHED!AR15=21,MATCHED!$V15,)))))))&amp;IF(MATCHED!AR15=22,MATCHED!$W15,IF(MATCHED!AR15=23,MATCHED!$X15,IF(MATCHED!AR15=24,MATCHED!$Y15,IF(MATCHED!AR15=25,MATCHED!$Z15,IF(MATCHED!AR15=26,MATCHED!$AA15,IF(MATCHED!AR15=27,MATCHED!$AB15,"."))))))</f>
        <v>#N/A</v>
      </c>
      <c r="Q15" s="344" t="e">
        <f>IF(MATCHED!AS15=1,MATCHED!$B15,IF(MATCHED!AS15=2,MATCHED!$C15,IF(MATCHED!AS15=3,MATCHED!$D15,IF(MATCHED!AS15=4,MATCHED!$E15,IF(MATCHED!AS15=3,MATCHED!$F15,IF(MATCHED!AS15=6,MATCHED!$G15,IF(MATCHED!AS15=7,MATCHED!$H15,"")))))))&amp;IF(MATCHED!AS15=8,MATCHED!$I15,IF(MATCHED!AS15=9,MATCHED!$J15,IF(MATCHED!AS15=10,MATCHED!$K15,IF(MATCHED!AS15=11,MATCHED!$L15,IF(MATCHED!AS15=12,MATCHED!$M15,IF(MATCHED!AS15=13,MATCHED!$N15,IF(MATCHED!AS15=14,MATCHED!$O15,"")))))))&amp;IF(MATCHED!AS15=15,MATCHED!$P15,IF(MATCHED!AS15=16,MATCHED!$Q15,IF(MATCHED!AS15=17,MATCHED!$R15,IF(MATCHED!AS15=18,MATCHED!$S15,IF(MATCHED!AS15=19,MATCHED!$T15,IF(MATCHED!AS15=20,MATCHED!$U15,IF(MATCHED!AS15=21,MATCHED!$V15,)))))))&amp;IF(MATCHED!AS15=22,MATCHED!$W15,IF(MATCHED!AS15=23,MATCHED!$X15,IF(MATCHED!AS15=24,MATCHED!$Y15,IF(MATCHED!AS15=25,MATCHED!$Z15,IF(MATCHED!AS15=26,MATCHED!$AA15,IF(MATCHED!AS15=27,MATCHED!$AB15,"."))))))</f>
        <v>#N/A</v>
      </c>
      <c r="R15" s="335" t="e">
        <f>IF(MATCHED!AT15=1,MATCHED!$B15,IF(MATCHED!AT15=2,MATCHED!$C15,IF(MATCHED!AT15=3,MATCHED!$D15,IF(MATCHED!AT15=4,MATCHED!$E15,IF(MATCHED!AT15=3,MATCHED!$F15,IF(MATCHED!AT15=6,MATCHED!$G15,IF(MATCHED!AT15=7,MATCHED!$H15,"")))))))&amp;IF(MATCHED!AT15=8,MATCHED!$I15,IF(MATCHED!AT15=9,MATCHED!$J15,IF(MATCHED!AT15=10,MATCHED!$K15,IF(MATCHED!AT15=11,MATCHED!$L15,IF(MATCHED!AT15=12,MATCHED!$M15,IF(MATCHED!AT15=13,MATCHED!$N15,IF(MATCHED!AT15=14,MATCHED!$O15,"")))))))&amp;IF(MATCHED!AT15=15,MATCHED!$P15,IF(MATCHED!AT15=16,MATCHED!$Q15,IF(MATCHED!AT15=17,MATCHED!$R15,IF(MATCHED!AT15=18,MATCHED!$S15,IF(MATCHED!AT15=19,MATCHED!$T15,IF(MATCHED!AT15=20,MATCHED!$U15,IF(MATCHED!AT15=21,MATCHED!$V15,)))))))&amp;IF(MATCHED!AT15=22,MATCHED!$W15,IF(MATCHED!AT15=23,MATCHED!$X15,IF(MATCHED!AT15=24,MATCHED!$Y15,IF(MATCHED!AT15=25,MATCHED!$Z15,IF(MATCHED!AT15=26,MATCHED!$AA15,IF(MATCHED!AT15=27,MATCHED!$AB15,"."))))))</f>
        <v>#N/A</v>
      </c>
      <c r="S15" s="335" t="e">
        <f>IF(MATCHED!AU15=1,MATCHED!$B15,IF(MATCHED!AU15=2,MATCHED!$C15,IF(MATCHED!AU15=3,MATCHED!$D15,IF(MATCHED!AU15=4,MATCHED!$E15,IF(MATCHED!AU15=3,MATCHED!$F15,IF(MATCHED!AU15=6,MATCHED!$G15,IF(MATCHED!AU15=7,MATCHED!$H15,"")))))))&amp;IF(MATCHED!AU15=8,MATCHED!$I15,IF(MATCHED!AU15=9,MATCHED!$J15,IF(MATCHED!AU15=10,MATCHED!$K15,IF(MATCHED!AU15=11,MATCHED!$L15,IF(MATCHED!AU15=12,MATCHED!$M15,IF(MATCHED!AU15=13,MATCHED!$N15,IF(MATCHED!AU15=14,MATCHED!$O15,"")))))))&amp;IF(MATCHED!AU15=15,MATCHED!$P15,IF(MATCHED!AU15=16,MATCHED!$Q15,IF(MATCHED!AU15=17,MATCHED!$R15,IF(MATCHED!AU15=18,MATCHED!$S15,IF(MATCHED!AU15=19,MATCHED!$T15,IF(MATCHED!AU15=20,MATCHED!$U15,IF(MATCHED!AU15=21,MATCHED!$V15,)))))))&amp;IF(MATCHED!AU15=22,MATCHED!$W15,IF(MATCHED!AU15=23,MATCHED!$X15,IF(MATCHED!AU15=24,MATCHED!$Y15,IF(MATCHED!AU15=25,MATCHED!$Z15,IF(MATCHED!AU15=26,MATCHED!$AA15,IF(MATCHED!AU15=27,MATCHED!$AB15,"."))))))</f>
        <v>#N/A</v>
      </c>
      <c r="T15" s="335" t="e">
        <f>IF(MATCHED!AV15=1,MATCHED!$B15,IF(MATCHED!AV15=2,MATCHED!$C15,IF(MATCHED!AV15=3,MATCHED!$D15,IF(MATCHED!AV15=4,MATCHED!$E15,IF(MATCHED!AV15=3,MATCHED!$F15,IF(MATCHED!AV15=6,MATCHED!$G15,IF(MATCHED!AV15=7,MATCHED!$H15,"")))))))&amp;IF(MATCHED!AV15=8,MATCHED!$I15,IF(MATCHED!AV15=9,MATCHED!$J15,IF(MATCHED!AV15=10,MATCHED!$K15,IF(MATCHED!AV15=11,MATCHED!$L15,IF(MATCHED!AV15=12,MATCHED!$M15,IF(MATCHED!AV15=13,MATCHED!$N15,IF(MATCHED!AV15=14,MATCHED!$O15,"")))))))&amp;IF(MATCHED!AV15=15,MATCHED!$P15,IF(MATCHED!AV15=16,MATCHED!$Q15,IF(MATCHED!AV15=17,MATCHED!$R15,IF(MATCHED!AV15=18,MATCHED!$S15,IF(MATCHED!AV15=19,MATCHED!$T15,IF(MATCHED!AV15=20,MATCHED!$U15,IF(MATCHED!AV15=21,MATCHED!$V15,)))))))&amp;IF(MATCHED!AV15=22,MATCHED!$W15,IF(MATCHED!AV15=23,MATCHED!$X15,IF(MATCHED!AV15=24,MATCHED!$Y15,IF(MATCHED!AV15=25,MATCHED!$Z15,IF(MATCHED!AV15=26,MATCHED!$AA15,IF(MATCHED!AV15=27,MATCHED!$AB15,"."))))))</f>
        <v>#N/A</v>
      </c>
      <c r="U15" s="335" t="e">
        <f>IF(MATCHED!AW15=1,MATCHED!$B15,IF(MATCHED!AW15=2,MATCHED!$C15,IF(MATCHED!AW15=3,MATCHED!$D15,IF(MATCHED!AW15=4,MATCHED!$E15,IF(MATCHED!AW15=3,MATCHED!$F15,IF(MATCHED!AW15=6,MATCHED!$G15,IF(MATCHED!AW15=7,MATCHED!$H15,"")))))))&amp;IF(MATCHED!AW15=8,MATCHED!$I15,IF(MATCHED!AW15=9,MATCHED!$J15,IF(MATCHED!AW15=10,MATCHED!$K15,IF(MATCHED!AW15=11,MATCHED!$L15,IF(MATCHED!AW15=12,MATCHED!$M15,IF(MATCHED!AW15=13,MATCHED!$N15,IF(MATCHED!AW15=14,MATCHED!$O15,"")))))))&amp;IF(MATCHED!AW15=15,MATCHED!$P15,IF(MATCHED!AW15=16,MATCHED!$Q15,IF(MATCHED!AW15=17,MATCHED!$R15,IF(MATCHED!AW15=18,MATCHED!$S15,IF(MATCHED!AW15=19,MATCHED!$T15,IF(MATCHED!AW15=20,MATCHED!$U15,IF(MATCHED!AW15=21,MATCHED!$V15,)))))))&amp;IF(MATCHED!AW15=22,MATCHED!$W15,IF(MATCHED!AW15=23,MATCHED!$X15,IF(MATCHED!AW15=24,MATCHED!$Y15,IF(MATCHED!AW15=25,MATCHED!$Z15,IF(MATCHED!AW15=26,MATCHED!$AA15,IF(MATCHED!AW15=27,MATCHED!$AB15,"."))))))</f>
        <v>#N/A</v>
      </c>
      <c r="V15" s="335" t="e">
        <f>IF(MATCHED!AX15=1,MATCHED!$B15,IF(MATCHED!AX15=2,MATCHED!$C15,IF(MATCHED!AX15=3,MATCHED!$D15,IF(MATCHED!AX15=4,MATCHED!$E15,IF(MATCHED!AX15=3,MATCHED!$F15,IF(MATCHED!AX15=6,MATCHED!$G15,IF(MATCHED!AX15=7,MATCHED!$H15,"")))))))&amp;IF(MATCHED!AX15=8,MATCHED!$I15,IF(MATCHED!AX15=9,MATCHED!$J15,IF(MATCHED!AX15=10,MATCHED!$K15,IF(MATCHED!AX15=11,MATCHED!$L15,IF(MATCHED!AX15=12,MATCHED!$M15,IF(MATCHED!AX15=13,MATCHED!$N15,IF(MATCHED!AX15=14,MATCHED!$O15,"")))))))&amp;IF(MATCHED!AX15=15,MATCHED!$P15,IF(MATCHED!AX15=16,MATCHED!$Q15,IF(MATCHED!AX15=17,MATCHED!$R15,IF(MATCHED!AX15=18,MATCHED!$S15,IF(MATCHED!AX15=19,MATCHED!$T15,IF(MATCHED!AX15=20,MATCHED!$U15,IF(MATCHED!AX15=21,MATCHED!$V15,)))))))&amp;IF(MATCHED!AX15=22,MATCHED!$W15,IF(MATCHED!AX15=23,MATCHED!$X15,IF(MATCHED!AX15=24,MATCHED!$Y15,IF(MATCHED!AX15=25,MATCHED!$Z15,IF(MATCHED!AX15=26,MATCHED!$AA15,IF(MATCHED!AX15=27,MATCHED!$AB15,"."))))))</f>
        <v>#N/A</v>
      </c>
      <c r="W15" s="335" t="e">
        <f>IF(MATCHED!AY15=1,MATCHED!$B15,IF(MATCHED!AY15=2,MATCHED!$C15,IF(MATCHED!AY15=3,MATCHED!$D15,IF(MATCHED!AY15=4,MATCHED!$E15,IF(MATCHED!AY15=3,MATCHED!$F15,IF(MATCHED!AY15=6,MATCHED!$G15,IF(MATCHED!AY15=7,MATCHED!$H15,"")))))))&amp;IF(MATCHED!AY15=8,MATCHED!$I15,IF(MATCHED!AY15=9,MATCHED!$J15,IF(MATCHED!AY15=10,MATCHED!$K15,IF(MATCHED!AY15=11,MATCHED!$L15,IF(MATCHED!AY15=12,MATCHED!$M15,IF(MATCHED!AY15=13,MATCHED!$N15,IF(MATCHED!AY15=14,MATCHED!$O15,"")))))))&amp;IF(MATCHED!AY15=15,MATCHED!$P15,IF(MATCHED!AY15=16,MATCHED!$Q15,IF(MATCHED!AY15=17,MATCHED!$R15,IF(MATCHED!AY15=18,MATCHED!$S15,IF(MATCHED!AY15=19,MATCHED!$T15,IF(MATCHED!AY15=20,MATCHED!$U15,IF(MATCHED!AY15=21,MATCHED!$V15,)))))))&amp;IF(MATCHED!AY15=22,MATCHED!$W15,IF(MATCHED!AY15=23,MATCHED!$X15,IF(MATCHED!AY15=24,MATCHED!$Y15,IF(MATCHED!AY15=25,MATCHED!$Z15,IF(MATCHED!AY15=26,MATCHED!$AA15,IF(MATCHED!AY15=27,MATCHED!$AB15,"."))))))</f>
        <v>#N/A</v>
      </c>
      <c r="X15" s="335" t="e">
        <f>IF(MATCHED!AZ15=1,MATCHED!$B15,IF(MATCHED!AZ15=2,MATCHED!$C15,IF(MATCHED!AZ15=3,MATCHED!$D15,IF(MATCHED!AZ15=4,MATCHED!$E15,IF(MATCHED!AZ15=3,MATCHED!$F15,IF(MATCHED!AZ15=6,MATCHED!$G15,IF(MATCHED!AZ15=7,MATCHED!$H15,"")))))))&amp;IF(MATCHED!AZ15=8,MATCHED!$I15,IF(MATCHED!AZ15=9,MATCHED!$J15,IF(MATCHED!AZ15=10,MATCHED!$K15,IF(MATCHED!AZ15=11,MATCHED!$L15,IF(MATCHED!AZ15=12,MATCHED!$M15,IF(MATCHED!AZ15=13,MATCHED!$N15,IF(MATCHED!AZ15=14,MATCHED!$O15,"")))))))&amp;IF(MATCHED!AZ15=15,MATCHED!$P15,IF(MATCHED!AZ15=16,MATCHED!$Q15,IF(MATCHED!AZ15=17,MATCHED!$R15,IF(MATCHED!AZ15=18,MATCHED!$S15,IF(MATCHED!AZ15=19,MATCHED!$T15,IF(MATCHED!AZ15=20,MATCHED!$U15,IF(MATCHED!AZ15=21,MATCHED!$V15,)))))))&amp;IF(MATCHED!AZ15=22,MATCHED!$W15,IF(MATCHED!AZ15=23,MATCHED!$X15,IF(MATCHED!AZ15=24,MATCHED!$Y15,IF(MATCHED!AZ15=25,MATCHED!$Z15,IF(MATCHED!AZ15=26,MATCHED!$AA15,IF(MATCHED!AZ15=27,MATCHED!$AB15,"."))))))</f>
        <v>#N/A</v>
      </c>
      <c r="Y15" s="335" t="e">
        <f>IF(MATCHED!BA15=1,MATCHED!$B15,IF(MATCHED!BA15=2,MATCHED!$C15,IF(MATCHED!BA15=3,MATCHED!$D15,IF(MATCHED!BA15=4,MATCHED!$E15,IF(MATCHED!BA15=3,MATCHED!$F15,IF(MATCHED!BA15=6,MATCHED!$G15,IF(MATCHED!BA15=7,MATCHED!$H15,"")))))))&amp;IF(MATCHED!BA15=8,MATCHED!$I15,IF(MATCHED!BA15=9,MATCHED!$J15,IF(MATCHED!BA15=10,MATCHED!$K15,IF(MATCHED!BA15=11,MATCHED!$L15,IF(MATCHED!BA15=12,MATCHED!$M15,IF(MATCHED!BA15=13,MATCHED!$N15,IF(MATCHED!BA15=14,MATCHED!$O15,"")))))))&amp;IF(MATCHED!BA15=15,MATCHED!$P15,IF(MATCHED!BA15=16,MATCHED!$Q15,IF(MATCHED!BA15=17,MATCHED!$R15,IF(MATCHED!BA15=18,MATCHED!$S15,IF(MATCHED!BA15=19,MATCHED!$T15,IF(MATCHED!BA15=20,MATCHED!$U15,IF(MATCHED!BA15=21,MATCHED!$V15,)))))))&amp;IF(MATCHED!BA15=22,MATCHED!$W15,IF(MATCHED!BA15=23,MATCHED!$X15,IF(MATCHED!BA15=24,MATCHED!$Y15,IF(MATCHED!BA15=25,MATCHED!$Z15,IF(MATCHED!BA15=26,MATCHED!$AA15,IF(MATCHED!BA15=27,MATCHED!$AB15,"."))))))</f>
        <v>#N/A</v>
      </c>
      <c r="Z15" s="335" t="e">
        <f>IF(MATCHED!BB15=1,MATCHED!$B15,IF(MATCHED!BB15=2,MATCHED!$C15,IF(MATCHED!BB15=3,MATCHED!$D15,IF(MATCHED!BB15=4,MATCHED!$E15,IF(MATCHED!BB15=3,MATCHED!$F15,IF(MATCHED!BB15=6,MATCHED!$G15,IF(MATCHED!BB15=7,MATCHED!$H15,"")))))))&amp;IF(MATCHED!BB15=8,MATCHED!$I15,IF(MATCHED!BB15=9,MATCHED!$J15,IF(MATCHED!BB15=10,MATCHED!$K15,IF(MATCHED!BB15=11,MATCHED!$L15,IF(MATCHED!BB15=12,MATCHED!$M15,IF(MATCHED!BB15=13,MATCHED!$N15,IF(MATCHED!BB15=14,MATCHED!$O15,"")))))))&amp;IF(MATCHED!BB15=15,MATCHED!$P15,IF(MATCHED!BB15=16,MATCHED!$Q15,IF(MATCHED!BB15=17,MATCHED!$R15,IF(MATCHED!BB15=18,MATCHED!$S15,IF(MATCHED!BB15=19,MATCHED!$T15,IF(MATCHED!BB15=20,MATCHED!$U15,IF(MATCHED!BB15=21,MATCHED!$V15,)))))))&amp;IF(MATCHED!BB15=22,MATCHED!$W15,IF(MATCHED!BB15=23,MATCHED!$X15,IF(MATCHED!BB15=24,MATCHED!$Y15,IF(MATCHED!BB15=25,MATCHED!$Z15,IF(MATCHED!BB15=26,MATCHED!$AA15,IF(MATCHED!BB15=27,MATCHED!$AB15,"."))))))</f>
        <v>#N/A</v>
      </c>
      <c r="AA15" s="335" t="e">
        <f>IF(MATCHED!BC15=1,MATCHED!$B15,IF(MATCHED!BC15=2,MATCHED!$C15,IF(MATCHED!BC15=3,MATCHED!$D15,IF(MATCHED!BC15=4,MATCHED!$E15,IF(MATCHED!BC15=3,MATCHED!$F15,IF(MATCHED!BC15=6,MATCHED!$G15,IF(MATCHED!BC15=7,MATCHED!$H15,"")))))))&amp;IF(MATCHED!BC15=8,MATCHED!$I15,IF(MATCHED!BC15=9,MATCHED!$J15,IF(MATCHED!BC15=10,MATCHED!$K15,IF(MATCHED!BC15=11,MATCHED!$L15,IF(MATCHED!BC15=12,MATCHED!$M15,IF(MATCHED!BC15=13,MATCHED!$N15,IF(MATCHED!BC15=14,MATCHED!$O15,"")))))))&amp;IF(MATCHED!BC15=15,MATCHED!$P15,IF(MATCHED!BC15=16,MATCHED!$Q15,IF(MATCHED!BC15=17,MATCHED!$R15,IF(MATCHED!BC15=18,MATCHED!$S15,IF(MATCHED!BC15=19,MATCHED!$T15,IF(MATCHED!BC15=20,MATCHED!$U15,IF(MATCHED!BC15=21,MATCHED!$V15,)))))))&amp;IF(MATCHED!BC15=22,MATCHED!$W15,IF(MATCHED!BC15=23,MATCHED!$X15,IF(MATCHED!BC15=24,MATCHED!$Y15,IF(MATCHED!BC15=25,MATCHED!$Z15,IF(MATCHED!BC15=26,MATCHED!$AA15,IF(MATCHED!BC15=27,MATCHED!$AB15,"."))))))</f>
        <v>#N/A</v>
      </c>
      <c r="AB15" s="335" t="e">
        <f>IF(MATCHED!BD15=1,MATCHED!$B15,IF(MATCHED!BD15=2,MATCHED!$C15,IF(MATCHED!BD15=3,MATCHED!$D15,IF(MATCHED!BD15=4,MATCHED!$E15,IF(MATCHED!BD15=3,MATCHED!$F15,IF(MATCHED!BD15=6,MATCHED!$G15,IF(MATCHED!BD15=7,MATCHED!$H15,"")))))))&amp;IF(MATCHED!BD15=8,MATCHED!$I15,IF(MATCHED!BD15=9,MATCHED!$J15,IF(MATCHED!BD15=10,MATCHED!$K15,IF(MATCHED!BD15=11,MATCHED!$L15,IF(MATCHED!BD15=12,MATCHED!$M15,IF(MATCHED!BD15=13,MATCHED!$N15,IF(MATCHED!BD15=14,MATCHED!$O15,"")))))))&amp;IF(MATCHED!BD15=15,MATCHED!$P15,IF(MATCHED!BD15=16,MATCHED!$Q15,IF(MATCHED!BD15=17,MATCHED!$R15,IF(MATCHED!BD15=18,MATCHED!$S15,IF(MATCHED!BD15=19,MATCHED!$T15,IF(MATCHED!BD15=20,MATCHED!$U15,IF(MATCHED!BD15=21,MATCHED!$V15,)))))))&amp;IF(MATCHED!BD15=22,MATCHED!$W15,IF(MATCHED!BD15=23,MATCHED!$X15,IF(MATCHED!BD15=24,MATCHED!$Y15,IF(MATCHED!BD15=25,MATCHED!$Z15,IF(MATCHED!BD15=26,MATCHED!$AA15,IF(MATCHED!BD15=27,MATCHED!$AB15,"."))))))</f>
        <v>#N/A</v>
      </c>
      <c r="AC15" s="335" t="e">
        <f>IF(MATCHED!BE15=1,MATCHED!$B15,IF(MATCHED!BE15=2,MATCHED!$C15,IF(MATCHED!BE15=3,MATCHED!$D15,IF(MATCHED!BE15=4,MATCHED!$E15,IF(MATCHED!BE15=3,MATCHED!$F15,IF(MATCHED!BE15=6,MATCHED!$G15,IF(MATCHED!BE15=7,MATCHED!$H15,"")))))))&amp;IF(MATCHED!BE15=8,MATCHED!$I15,IF(MATCHED!BE15=9,MATCHED!$J15,IF(MATCHED!BE15=10,MATCHED!$K15,IF(MATCHED!BE15=11,MATCHED!$L15,IF(MATCHED!BE15=12,MATCHED!$M15,IF(MATCHED!BE15=13,MATCHED!$N15,IF(MATCHED!BE15=14,MATCHED!$O15,"")))))))&amp;IF(MATCHED!BE15=15,MATCHED!$P15,IF(MATCHED!BE15=16,MATCHED!$Q15,IF(MATCHED!BE15=17,MATCHED!$R15,IF(MATCHED!BE15=18,MATCHED!$S15,IF(MATCHED!BE15=19,MATCHED!$T15,IF(MATCHED!BE15=20,MATCHED!$U15,IF(MATCHED!BE15=21,MATCHED!$V15,)))))))&amp;IF(MATCHED!BE15=22,MATCHED!$W15,IF(MATCHED!BE15=23,MATCHED!$X15,IF(MATCHED!BE15=24,MATCHED!$Y15,IF(MATCHED!BE15=25,MATCHED!$Z15,IF(MATCHED!BE15=26,MATCHED!$AA15,IF(MATCHED!BE15=27,MATCHED!$AB15,"."))))))</f>
        <v>#N/A</v>
      </c>
      <c r="AD15" s="335" t="e">
        <f>IF(MATCHED!BF15=1,MATCHED!$B15,IF(MATCHED!BF15=2,MATCHED!$C15,IF(MATCHED!BF15=3,MATCHED!$D15,IF(MATCHED!BF15=4,MATCHED!$E15,IF(MATCHED!BF15=3,MATCHED!$F15,IF(MATCHED!BF15=6,MATCHED!$G15,IF(MATCHED!BF15=7,MATCHED!$H15,"")))))))&amp;IF(MATCHED!BF15=8,MATCHED!$I15,IF(MATCHED!BF15=9,MATCHED!$J15,IF(MATCHED!BF15=10,MATCHED!$K15,IF(MATCHED!BF15=11,MATCHED!$L15,IF(MATCHED!BF15=12,MATCHED!$M15,IF(MATCHED!BF15=13,MATCHED!$N15,IF(MATCHED!BF15=14,MATCHED!$O15,"")))))))&amp;IF(MATCHED!BF15=15,MATCHED!$P15,IF(MATCHED!BF15=16,MATCHED!$Q15,IF(MATCHED!BF15=17,MATCHED!$R15,IF(MATCHED!BF15=18,MATCHED!$S15,IF(MATCHED!BF15=19,MATCHED!$T15,IF(MATCHED!BF15=20,MATCHED!$U15,IF(MATCHED!BF15=21,MATCHED!$V15,)))))))&amp;IF(MATCHED!BF15=22,MATCHED!$W15,IF(MATCHED!BF15=23,MATCHED!$X15,IF(MATCHED!BF15=24,MATCHED!$Y15,IF(MATCHED!BF15=25,MATCHED!$Z15,IF(MATCHED!BF15=26,MATCHED!$AA15,IF(MATCHED!BF15=27,MATCHED!$AB15,"."))))))</f>
        <v>#N/A</v>
      </c>
      <c r="AE15" s="335" t="e">
        <f>IF(MATCHED!BG15=1,MATCHED!$B15,IF(MATCHED!BG15=2,MATCHED!$C15,IF(MATCHED!BG15=3,MATCHED!$D15,IF(MATCHED!BG15=4,MATCHED!$E15,IF(MATCHED!BG15=3,MATCHED!$F15,IF(MATCHED!BG15=6,MATCHED!$G15,IF(MATCHED!BG15=7,MATCHED!$H15,"")))))))&amp;IF(MATCHED!BG15=8,MATCHED!$I15,IF(MATCHED!BG15=9,MATCHED!$J15,IF(MATCHED!BG15=10,MATCHED!$K15,IF(MATCHED!BG15=11,MATCHED!$L15,IF(MATCHED!BG15=12,MATCHED!$M15,IF(MATCHED!BG15=13,MATCHED!$N15,IF(MATCHED!BG15=14,MATCHED!$O15,"")))))))&amp;IF(MATCHED!BG15=15,MATCHED!$P15,IF(MATCHED!BG15=16,MATCHED!$Q15,IF(MATCHED!BG15=17,MATCHED!$R15,IF(MATCHED!BG15=18,MATCHED!$S15,IF(MATCHED!BG15=19,MATCHED!$T15,IF(MATCHED!BG15=20,MATCHED!$U15,IF(MATCHED!BG15=21,MATCHED!$V15,)))))))&amp;IF(MATCHED!BG15=22,MATCHED!$W15,IF(MATCHED!BG15=23,MATCHED!$X15,IF(MATCHED!BG15=24,MATCHED!$Y15,IF(MATCHED!BG15=25,MATCHED!$Z15,IF(MATCHED!BG15=26,MATCHED!$AA15,IF(MATCHED!BG15=27,MATCHED!$AB15,"."))))))</f>
        <v>#N/A</v>
      </c>
      <c r="AF15" s="335" t="e">
        <f>IF(MATCHED!BH15=1,MATCHED!$B15,IF(MATCHED!BH15=2,MATCHED!$C15,IF(MATCHED!BH15=3,MATCHED!$D15,IF(MATCHED!BH15=4,MATCHED!$E15,IF(MATCHED!BH15=3,MATCHED!$F15,IF(MATCHED!BH15=6,MATCHED!$G15,IF(MATCHED!BH15=7,MATCHED!$H15,"")))))))&amp;IF(MATCHED!BH15=8,MATCHED!$I15,IF(MATCHED!BH15=9,MATCHED!$J15,IF(MATCHED!BH15=10,MATCHED!$K15,IF(MATCHED!BH15=11,MATCHED!$L15,IF(MATCHED!BH15=12,MATCHED!$M15,IF(MATCHED!BH15=13,MATCHED!$N15,IF(MATCHED!BH15=14,MATCHED!$O15,"")))))))&amp;IF(MATCHED!BH15=15,MATCHED!$P15,IF(MATCHED!BH15=16,MATCHED!$Q15,IF(MATCHED!BH15=17,MATCHED!$R15,IF(MATCHED!BH15=18,MATCHED!$S15,IF(MATCHED!BH15=19,MATCHED!$T15,IF(MATCHED!BH15=20,MATCHED!$U15,IF(MATCHED!BH15=21,MATCHED!$V15,)))))))&amp;IF(MATCHED!BH15=22,MATCHED!$W15,IF(MATCHED!BH15=23,MATCHED!$X15,IF(MATCHED!BH15=24,MATCHED!$Y15,IF(MATCHED!BH15=25,MATCHED!$Z15,IF(MATCHED!BH15=26,MATCHED!$AA15,IF(MATCHED!BH15=27,MATCHED!$AB15,"."))))))</f>
        <v>#N/A</v>
      </c>
      <c r="AG15" s="335" t="e">
        <f>IF(MATCHED!BI15=1,MATCHED!$B15,IF(MATCHED!BI15=2,MATCHED!$C15,IF(MATCHED!BI15=3,MATCHED!$D15,IF(MATCHED!BI15=4,MATCHED!$E15,IF(MATCHED!BI15=3,MATCHED!$F15,IF(MATCHED!BI15=6,MATCHED!$G15,IF(MATCHED!BI15=7,MATCHED!$H15,"")))))))&amp;IF(MATCHED!BI15=8,MATCHED!$I15,IF(MATCHED!BI15=9,MATCHED!$J15,IF(MATCHED!BI15=10,MATCHED!$K15,IF(MATCHED!BI15=11,MATCHED!$L15,IF(MATCHED!BI15=12,MATCHED!$M15,IF(MATCHED!BI15=13,MATCHED!$N15,IF(MATCHED!BI15=14,MATCHED!$O15,"")))))))&amp;IF(MATCHED!BI15=15,MATCHED!$P15,IF(MATCHED!BI15=16,MATCHED!$Q15,IF(MATCHED!BI15=17,MATCHED!$R15,IF(MATCHED!BI15=18,MATCHED!$S15,IF(MATCHED!BI15=19,MATCHED!$T15,IF(MATCHED!BI15=20,MATCHED!$U15,IF(MATCHED!BI15=21,MATCHED!$V15,)))))))&amp;IF(MATCHED!BI15=22,MATCHED!$W15,IF(MATCHED!BI15=23,MATCHED!$X15,IF(MATCHED!BI15=24,MATCHED!$Y15,IF(MATCHED!BI15=25,MATCHED!$Z15,IF(MATCHED!BI15=26,MATCHED!$AA15,IF(MATCHED!BI15=27,MATCHED!$AB15,"."))))))</f>
        <v>#N/A</v>
      </c>
      <c r="AH15" s="335" t="e">
        <f>IF(MATCHED!BJ15=1,MATCHED!$B15,IF(MATCHED!BJ15=2,MATCHED!$C15,IF(MATCHED!BJ15=3,MATCHED!$D15,IF(MATCHED!BJ15=4,MATCHED!$E15,IF(MATCHED!BJ15=3,MATCHED!$F15,IF(MATCHED!BJ15=6,MATCHED!$G15,IF(MATCHED!BJ15=7,MATCHED!$H15,"")))))))&amp;IF(MATCHED!BJ15=8,MATCHED!$I15,IF(MATCHED!BJ15=9,MATCHED!$J15,IF(MATCHED!BJ15=10,MATCHED!$K15,IF(MATCHED!BJ15=11,MATCHED!$L15,IF(MATCHED!BJ15=12,MATCHED!$M15,IF(MATCHED!BJ15=13,MATCHED!$N15,IF(MATCHED!BJ15=14,MATCHED!$O15,"")))))))&amp;IF(MATCHED!BJ15=15,MATCHED!$P15,IF(MATCHED!BJ15=16,MATCHED!$Q15,IF(MATCHED!BJ15=17,MATCHED!$R15,IF(MATCHED!BJ15=18,MATCHED!$S15,IF(MATCHED!BJ15=19,MATCHED!$T15,IF(MATCHED!BJ15=20,MATCHED!$U15,IF(MATCHED!BJ15=21,MATCHED!$V15,)))))))&amp;IF(MATCHED!BJ15=22,MATCHED!$W15,IF(MATCHED!BJ15=23,MATCHED!$X15,IF(MATCHED!BJ15=24,MATCHED!$Y15,IF(MATCHED!BJ15=25,MATCHED!$Z15,IF(MATCHED!BJ15=26,MATCHED!$AA15,IF(MATCHED!BJ15=27,MATCHED!$AB15,"."))))))</f>
        <v>#N/A</v>
      </c>
      <c r="AI15" s="335" t="e">
        <f>IF(MATCHED!BK15=1,MATCHED!$B15,IF(MATCHED!BK15=2,MATCHED!$C15,IF(MATCHED!BK15=3,MATCHED!$D15,IF(MATCHED!BK15=4,MATCHED!$E15,IF(MATCHED!BK15=3,MATCHED!$F15,IF(MATCHED!BK15=6,MATCHED!$G15,IF(MATCHED!BK15=7,MATCHED!$H15,"")))))))&amp;IF(MATCHED!BK15=8,MATCHED!$I15,IF(MATCHED!BK15=9,MATCHED!$J15,IF(MATCHED!BK15=10,MATCHED!$K15,IF(MATCHED!BK15=11,MATCHED!$L15,IF(MATCHED!BK15=12,MATCHED!$M15,IF(MATCHED!BK15=13,MATCHED!$N15,IF(MATCHED!BK15=14,MATCHED!$O15,"")))))))&amp;IF(MATCHED!BK15=15,MATCHED!$P15,IF(MATCHED!BK15=16,MATCHED!$Q15,IF(MATCHED!BK15=17,MATCHED!$R15,IF(MATCHED!BK15=18,MATCHED!$S15,IF(MATCHED!BK15=19,MATCHED!$T15,IF(MATCHED!BK15=20,MATCHED!$U15,IF(MATCHED!BK15=21,MATCHED!$V15,)))))))&amp;IF(MATCHED!BK15=22,MATCHED!$W15,IF(MATCHED!BK15=23,MATCHED!$X15,IF(MATCHED!BK15=24,MATCHED!$Y15,IF(MATCHED!BK15=25,MATCHED!$Z15,IF(MATCHED!BK15=26,MATCHED!$AA15,IF(MATCHED!BK15=27,MATCHED!$AB15,"."))))))</f>
        <v>#N/A</v>
      </c>
      <c r="AJ15" s="535"/>
    </row>
    <row r="16" spans="1:104" s="338" customFormat="1" ht="15.6" thickBot="1" x14ac:dyDescent="0.3">
      <c r="A16" s="536"/>
      <c r="B16" s="346" t="e">
        <f>IF(MATCHED!AD16=1,MATCHED!$B16,IF(MATCHED!AD16=2,MATCHED!$C16,IF(MATCHED!AD16=3,MATCHED!$D16,IF(MATCHED!AD16=4,MATCHED!$E16,IF(MATCHED!AD16=3,MATCHED!$F16,IF(MATCHED!AD16=6,MATCHED!$G16,IF(MATCHED!AD16=7,MATCHED!$H16,"")))))))&amp;IF(MATCHED!AD16=8,MATCHED!$I16,IF(MATCHED!AD16=9,MATCHED!$J16,IF(MATCHED!AD16=10,MATCHED!$K16,IF(MATCHED!AD16=11,MATCHED!$L16,IF(MATCHED!AD16=12,MATCHED!$M16,IF(MATCHED!AD16=13,MATCHED!$N16,IF(MATCHED!AD16=14,MATCHED!$O16,"")))))))&amp;IF(MATCHED!AD16=15,MATCHED!$P16,IF(MATCHED!AD16=16,MATCHED!$Q16,IF(MATCHED!AD16=17,MATCHED!$R16,IF(MATCHED!AD16=18,MATCHED!$S16,IF(MATCHED!AD16=19,MATCHED!$T16,IF(MATCHED!AD16=20,MATCHED!$U16,IF(MATCHED!AD16=21,MATCHED!$V16,)))))))&amp;IF(MATCHED!AD16=22,MATCHED!$W16,IF(MATCHED!AD16=23,MATCHED!$X16,IF(MATCHED!AD16=24,MATCHED!$Y16,IF(MATCHED!AD16=25,MATCHED!$Z16,IF(MATCHED!AD16=26,MATCHED!$AA16,IF(MATCHED!AD16=27,MATCHED!$AB16,"."))))))</f>
        <v>#N/A</v>
      </c>
      <c r="C16" s="347" t="e">
        <f>IF(MATCHED!AE16=1,MATCHED!$B16,IF(MATCHED!AE16=2,MATCHED!$C16,IF(MATCHED!AE16=3,MATCHED!$D16,IF(MATCHED!AE16=4,MATCHED!$E16,IF(MATCHED!AE16=3,MATCHED!$F16,IF(MATCHED!AE16=6,MATCHED!$G16,IF(MATCHED!AE16=7,MATCHED!$H16,"")))))))&amp;IF(MATCHED!AE16=8,MATCHED!$I16,IF(MATCHED!AE16=9,MATCHED!$J16,IF(MATCHED!AE16=10,MATCHED!$K16,IF(MATCHED!AE16=11,MATCHED!$L16,IF(MATCHED!AE16=12,MATCHED!$M16,IF(MATCHED!AE16=13,MATCHED!$N16,IF(MATCHED!AE16=14,MATCHED!$O16,"")))))))&amp;IF(MATCHED!AE16=15,MATCHED!$P16,IF(MATCHED!AE16=16,MATCHED!$Q16,IF(MATCHED!AE16=17,MATCHED!$R16,IF(MATCHED!AE16=18,MATCHED!$S16,IF(MATCHED!AE16=19,MATCHED!$T16,IF(MATCHED!AE16=20,MATCHED!$U16,IF(MATCHED!AE16=21,MATCHED!$V16,)))))))&amp;IF(MATCHED!AE16=22,MATCHED!$W16,IF(MATCHED!AE16=23,MATCHED!$X16,IF(MATCHED!AE16=24,MATCHED!$Y16,IF(MATCHED!AE16=25,MATCHED!$Z16,IF(MATCHED!AE16=26,MATCHED!$AA16,IF(MATCHED!AE16=27,MATCHED!$AB16,"."))))))</f>
        <v>#N/A</v>
      </c>
      <c r="D16" s="347" t="e">
        <f>IF(MATCHED!AF16=1,MATCHED!$B16,IF(MATCHED!AF16=2,MATCHED!$C16,IF(MATCHED!AF16=3,MATCHED!$D16,IF(MATCHED!AF16=4,MATCHED!$E16,IF(MATCHED!AF16=3,MATCHED!$F16,IF(MATCHED!AF16=6,MATCHED!$G16,IF(MATCHED!AF16=7,MATCHED!$H16,"")))))))&amp;IF(MATCHED!AF16=8,MATCHED!$I16,IF(MATCHED!AF16=9,MATCHED!$J16,IF(MATCHED!AF16=10,MATCHED!$K16,IF(MATCHED!AF16=11,MATCHED!$L16,IF(MATCHED!AF16=12,MATCHED!$M16,IF(MATCHED!AF16=13,MATCHED!$N16,IF(MATCHED!AF16=14,MATCHED!$O16,"")))))))&amp;IF(MATCHED!AF16=15,MATCHED!$P16,IF(MATCHED!AF16=16,MATCHED!$Q16,IF(MATCHED!AF16=17,MATCHED!$R16,IF(MATCHED!AF16=18,MATCHED!$S16,IF(MATCHED!AF16=19,MATCHED!$T16,IF(MATCHED!AF16=20,MATCHED!$U16,IF(MATCHED!AF16=21,MATCHED!$V16,)))))))&amp;IF(MATCHED!AF16=22,MATCHED!$W16,IF(MATCHED!AF16=23,MATCHED!$X16,IF(MATCHED!AF16=24,MATCHED!$Y16,IF(MATCHED!AF16=25,MATCHED!$Z16,IF(MATCHED!AF16=26,MATCHED!$AA16,IF(MATCHED!AF16=27,MATCHED!$AB16,"."))))))</f>
        <v>#N/A</v>
      </c>
      <c r="E16" s="347" t="e">
        <f>IF(MATCHED!AG16=1,MATCHED!$B16,IF(MATCHED!AG16=2,MATCHED!$C16,IF(MATCHED!AG16=3,MATCHED!$D16,IF(MATCHED!AG16=4,MATCHED!$E16,IF(MATCHED!AG16=3,MATCHED!$F16,IF(MATCHED!AG16=6,MATCHED!$G16,IF(MATCHED!AG16=7,MATCHED!$H16,"")))))))&amp;IF(MATCHED!AG16=8,MATCHED!$I16,IF(MATCHED!AG16=9,MATCHED!$J16,IF(MATCHED!AG16=10,MATCHED!$K16,IF(MATCHED!AG16=11,MATCHED!$L16,IF(MATCHED!AG16=12,MATCHED!$M16,IF(MATCHED!AG16=13,MATCHED!$N16,IF(MATCHED!AG16=14,MATCHED!$O16,"")))))))&amp;IF(MATCHED!AG16=15,MATCHED!$P16,IF(MATCHED!AG16=16,MATCHED!$Q16,IF(MATCHED!AG16=17,MATCHED!$R16,IF(MATCHED!AG16=18,MATCHED!$S16,IF(MATCHED!AG16=19,MATCHED!$T16,IF(MATCHED!AG16=20,MATCHED!$U16,IF(MATCHED!AG16=21,MATCHED!$V16,)))))))&amp;IF(MATCHED!AG16=22,MATCHED!$W16,IF(MATCHED!AG16=23,MATCHED!$X16,IF(MATCHED!AG16=24,MATCHED!$Y16,IF(MATCHED!AG16=25,MATCHED!$Z16,IF(MATCHED!AG16=26,MATCHED!$AA16,IF(MATCHED!AG16=27,MATCHED!$AB16,"."))))))</f>
        <v>#N/A</v>
      </c>
      <c r="F16" s="347" t="e">
        <f>IF(MATCHED!AH16=1,MATCHED!$B16,IF(MATCHED!AH16=2,MATCHED!$C16,IF(MATCHED!AH16=3,MATCHED!$D16,IF(MATCHED!AH16=4,MATCHED!$E16,IF(MATCHED!AH16=3,MATCHED!$F16,IF(MATCHED!AH16=6,MATCHED!$G16,IF(MATCHED!AH16=7,MATCHED!$H16,"")))))))&amp;IF(MATCHED!AH16=8,MATCHED!$I16,IF(MATCHED!AH16=9,MATCHED!$J16,IF(MATCHED!AH16=10,MATCHED!$K16,IF(MATCHED!AH16=11,MATCHED!$L16,IF(MATCHED!AH16=12,MATCHED!$M16,IF(MATCHED!AH16=13,MATCHED!$N16,IF(MATCHED!AH16=14,MATCHED!$O16,"")))))))&amp;IF(MATCHED!AH16=15,MATCHED!$P16,IF(MATCHED!AH16=16,MATCHED!$Q16,IF(MATCHED!AH16=17,MATCHED!$R16,IF(MATCHED!AH16=18,MATCHED!$S16,IF(MATCHED!AH16=19,MATCHED!$T16,IF(MATCHED!AH16=20,MATCHED!$U16,IF(MATCHED!AH16=21,MATCHED!$V16,)))))))&amp;IF(MATCHED!AH16=22,MATCHED!$W16,IF(MATCHED!AH16=23,MATCHED!$X16,IF(MATCHED!AH16=24,MATCHED!$Y16,IF(MATCHED!AH16=25,MATCHED!$Z16,IF(MATCHED!AH16=26,MATCHED!$AA16,IF(MATCHED!AH16=27,MATCHED!$AB16,"."))))))</f>
        <v>#N/A</v>
      </c>
      <c r="G16" s="347" t="e">
        <f>IF(MATCHED!AI16=1,MATCHED!$B16,IF(MATCHED!AI16=2,MATCHED!$C16,IF(MATCHED!AI16=3,MATCHED!$D16,IF(MATCHED!AI16=4,MATCHED!$E16,IF(MATCHED!AI16=3,MATCHED!$F16,IF(MATCHED!AI16=6,MATCHED!$G16,IF(MATCHED!AI16=7,MATCHED!$H16,"")))))))&amp;IF(MATCHED!AI16=8,MATCHED!$I16,IF(MATCHED!AI16=9,MATCHED!$J16,IF(MATCHED!AI16=10,MATCHED!$K16,IF(MATCHED!AI16=11,MATCHED!$L16,IF(MATCHED!AI16=12,MATCHED!$M16,IF(MATCHED!AI16=13,MATCHED!$N16,IF(MATCHED!AI16=14,MATCHED!$O16,"")))))))&amp;IF(MATCHED!AI16=15,MATCHED!$P16,IF(MATCHED!AI16=16,MATCHED!$Q16,IF(MATCHED!AI16=17,MATCHED!$R16,IF(MATCHED!AI16=18,MATCHED!$S16,IF(MATCHED!AI16=19,MATCHED!$T16,IF(MATCHED!AI16=20,MATCHED!$U16,IF(MATCHED!AI16=21,MATCHED!$V16,)))))))&amp;IF(MATCHED!AI16=22,MATCHED!$W16,IF(MATCHED!AI16=23,MATCHED!$X16,IF(MATCHED!AI16=24,MATCHED!$Y16,IF(MATCHED!AI16=25,MATCHED!$Z16,IF(MATCHED!AI16=26,MATCHED!$AA16,IF(MATCHED!AI16=27,MATCHED!$AB16,"."))))))</f>
        <v>#N/A</v>
      </c>
      <c r="H16" s="347" t="e">
        <f>IF(MATCHED!AJ16=1,MATCHED!$B16,IF(MATCHED!AJ16=2,MATCHED!$C16,IF(MATCHED!AJ16=3,MATCHED!$D16,IF(MATCHED!AJ16=4,MATCHED!$E16,IF(MATCHED!AJ16=3,MATCHED!$F16,IF(MATCHED!AJ16=6,MATCHED!$G16,IF(MATCHED!AJ16=7,MATCHED!$H16,"")))))))&amp;IF(MATCHED!AJ16=8,MATCHED!$I16,IF(MATCHED!AJ16=9,MATCHED!$J16,IF(MATCHED!AJ16=10,MATCHED!$K16,IF(MATCHED!AJ16=11,MATCHED!$L16,IF(MATCHED!AJ16=12,MATCHED!$M16,IF(MATCHED!AJ16=13,MATCHED!$N16,IF(MATCHED!AJ16=14,MATCHED!$O16,"")))))))&amp;IF(MATCHED!AJ16=15,MATCHED!$P16,IF(MATCHED!AJ16=16,MATCHED!$Q16,IF(MATCHED!AJ16=17,MATCHED!$R16,IF(MATCHED!AJ16=18,MATCHED!$S16,IF(MATCHED!AJ16=19,MATCHED!$T16,IF(MATCHED!AJ16=20,MATCHED!$U16,IF(MATCHED!AJ16=21,MATCHED!$V16,)))))))&amp;IF(MATCHED!AJ16=22,MATCHED!$W16,IF(MATCHED!AJ16=23,MATCHED!$X16,IF(MATCHED!AJ16=24,MATCHED!$Y16,IF(MATCHED!AJ16=25,MATCHED!$Z16,IF(MATCHED!AJ16=26,MATCHED!$AA16,IF(MATCHED!AJ16=27,MATCHED!$AB16,"."))))))</f>
        <v>#N/A</v>
      </c>
      <c r="I16" s="347" t="e">
        <f>IF(MATCHED!AK16=1,MATCHED!$B16,IF(MATCHED!AK16=2,MATCHED!$C16,IF(MATCHED!AK16=3,MATCHED!$D16,IF(MATCHED!AK16=4,MATCHED!$E16,IF(MATCHED!AK16=3,MATCHED!$F16,IF(MATCHED!AK16=6,MATCHED!$G16,IF(MATCHED!AK16=7,MATCHED!$H16,"")))))))&amp;IF(MATCHED!AK16=8,MATCHED!$I16,IF(MATCHED!AK16=9,MATCHED!$J16,IF(MATCHED!AK16=10,MATCHED!$K16,IF(MATCHED!AK16=11,MATCHED!$L16,IF(MATCHED!AK16=12,MATCHED!$M16,IF(MATCHED!AK16=13,MATCHED!$N16,IF(MATCHED!AK16=14,MATCHED!$O16,"")))))))&amp;IF(MATCHED!AK16=15,MATCHED!$P16,IF(MATCHED!AK16=16,MATCHED!$Q16,IF(MATCHED!AK16=17,MATCHED!$R16,IF(MATCHED!AK16=18,MATCHED!$S16,IF(MATCHED!AK16=19,MATCHED!$T16,IF(MATCHED!AK16=20,MATCHED!$U16,IF(MATCHED!AK16=21,MATCHED!$V16,)))))))&amp;IF(MATCHED!AK16=22,MATCHED!$W16,IF(MATCHED!AK16=23,MATCHED!$X16,IF(MATCHED!AK16=24,MATCHED!$Y16,IF(MATCHED!AK16=25,MATCHED!$Z16,IF(MATCHED!AK16=26,MATCHED!$AA16,IF(MATCHED!AK16=27,MATCHED!$AB16,"."))))))</f>
        <v>#N/A</v>
      </c>
      <c r="J16" s="347" t="e">
        <f>IF(MATCHED!AL16=1,MATCHED!$B16,IF(MATCHED!AL16=2,MATCHED!$C16,IF(MATCHED!AL16=3,MATCHED!$D16,IF(MATCHED!AL16=4,MATCHED!$E16,IF(MATCHED!AL16=3,MATCHED!$F16,IF(MATCHED!AL16=6,MATCHED!$G16,IF(MATCHED!AL16=7,MATCHED!$H16,"")))))))&amp;IF(MATCHED!AL16=8,MATCHED!$I16,IF(MATCHED!AL16=9,MATCHED!$J16,IF(MATCHED!AL16=10,MATCHED!$K16,IF(MATCHED!AL16=11,MATCHED!$L16,IF(MATCHED!AL16=12,MATCHED!$M16,IF(MATCHED!AL16=13,MATCHED!$N16,IF(MATCHED!AL16=14,MATCHED!$O16,"")))))))&amp;IF(MATCHED!AL16=15,MATCHED!$P16,IF(MATCHED!AL16=16,MATCHED!$Q16,IF(MATCHED!AL16=17,MATCHED!$R16,IF(MATCHED!AL16=18,MATCHED!$S16,IF(MATCHED!AL16=19,MATCHED!$T16,IF(MATCHED!AL16=20,MATCHED!$U16,IF(MATCHED!AL16=21,MATCHED!$V16,)))))))&amp;IF(MATCHED!AL16=22,MATCHED!$W16,IF(MATCHED!AL16=23,MATCHED!$X16,IF(MATCHED!AL16=24,MATCHED!$Y16,IF(MATCHED!AL16=25,MATCHED!$Z16,IF(MATCHED!AL16=26,MATCHED!$AA16,IF(MATCHED!AL16=27,MATCHED!$AB16,"."))))))</f>
        <v>#N/A</v>
      </c>
      <c r="K16" s="347" t="e">
        <f>IF(MATCHED!AM16=1,MATCHED!$B16,IF(MATCHED!AM16=2,MATCHED!$C16,IF(MATCHED!AM16=3,MATCHED!$D16,IF(MATCHED!AM16=4,MATCHED!$E16,IF(MATCHED!AM16=3,MATCHED!$F16,IF(MATCHED!AM16=6,MATCHED!$G16,IF(MATCHED!AM16=7,MATCHED!$H16,"")))))))&amp;IF(MATCHED!AM16=8,MATCHED!$I16,IF(MATCHED!AM16=9,MATCHED!$J16,IF(MATCHED!AM16=10,MATCHED!$K16,IF(MATCHED!AM16=11,MATCHED!$L16,IF(MATCHED!AM16=12,MATCHED!$M16,IF(MATCHED!AM16=13,MATCHED!$N16,IF(MATCHED!AM16=14,MATCHED!$O16,"")))))))&amp;IF(MATCHED!AM16=15,MATCHED!$P16,IF(MATCHED!AM16=16,MATCHED!$Q16,IF(MATCHED!AM16=17,MATCHED!$R16,IF(MATCHED!AM16=18,MATCHED!$S16,IF(MATCHED!AM16=19,MATCHED!$T16,IF(MATCHED!AM16=20,MATCHED!$U16,IF(MATCHED!AM16=21,MATCHED!$V16,)))))))&amp;IF(MATCHED!AM16=22,MATCHED!$W16,IF(MATCHED!AM16=23,MATCHED!$X16,IF(MATCHED!AM16=24,MATCHED!$Y16,IF(MATCHED!AM16=25,MATCHED!$Z16,IF(MATCHED!AM16=26,MATCHED!$AA16,IF(MATCHED!AM16=27,MATCHED!$AB16,"."))))))</f>
        <v>#N/A</v>
      </c>
      <c r="L16" s="347" t="e">
        <f>IF(MATCHED!AN16=1,MATCHED!$B16,IF(MATCHED!AN16=2,MATCHED!$C16,IF(MATCHED!AN16=3,MATCHED!$D16,IF(MATCHED!AN16=4,MATCHED!$E16,IF(MATCHED!AN16=3,MATCHED!$F16,IF(MATCHED!AN16=6,MATCHED!$G16,IF(MATCHED!AN16=7,MATCHED!$H16,"")))))))&amp;IF(MATCHED!AN16=8,MATCHED!$I16,IF(MATCHED!AN16=9,MATCHED!$J16,IF(MATCHED!AN16=10,MATCHED!$K16,IF(MATCHED!AN16=11,MATCHED!$L16,IF(MATCHED!AN16=12,MATCHED!$M16,IF(MATCHED!AN16=13,MATCHED!$N16,IF(MATCHED!AN16=14,MATCHED!$O16,"")))))))&amp;IF(MATCHED!AN16=15,MATCHED!$P16,IF(MATCHED!AN16=16,MATCHED!$Q16,IF(MATCHED!AN16=17,MATCHED!$R16,IF(MATCHED!AN16=18,MATCHED!$S16,IF(MATCHED!AN16=19,MATCHED!$T16,IF(MATCHED!AN16=20,MATCHED!$U16,IF(MATCHED!AN16=21,MATCHED!$V16,)))))))&amp;IF(MATCHED!AN16=22,MATCHED!$W16,IF(MATCHED!AN16=23,MATCHED!$X16,IF(MATCHED!AN16=24,MATCHED!$Y16,IF(MATCHED!AN16=25,MATCHED!$Z16,IF(MATCHED!AN16=26,MATCHED!$AA16,IF(MATCHED!AN16=27,MATCHED!$AB16,"."))))))</f>
        <v>#N/A</v>
      </c>
      <c r="M16" s="347" t="e">
        <f>IF(MATCHED!AO16=1,MATCHED!$B16,IF(MATCHED!AO16=2,MATCHED!$C16,IF(MATCHED!AO16=3,MATCHED!$D16,IF(MATCHED!AO16=4,MATCHED!$E16,IF(MATCHED!AO16=3,MATCHED!$F16,IF(MATCHED!AO16=6,MATCHED!$G16,IF(MATCHED!AO16=7,MATCHED!$H16,"")))))))&amp;IF(MATCHED!AO16=8,MATCHED!$I16,IF(MATCHED!AO16=9,MATCHED!$J16,IF(MATCHED!AO16=10,MATCHED!$K16,IF(MATCHED!AO16=11,MATCHED!$L16,IF(MATCHED!AO16=12,MATCHED!$M16,IF(MATCHED!AO16=13,MATCHED!$N16,IF(MATCHED!AO16=14,MATCHED!$O16,"")))))))&amp;IF(MATCHED!AO16=15,MATCHED!$P16,IF(MATCHED!AO16=16,MATCHED!$Q16,IF(MATCHED!AO16=17,MATCHED!$R16,IF(MATCHED!AO16=18,MATCHED!$S16,IF(MATCHED!AO16=19,MATCHED!$T16,IF(MATCHED!AO16=20,MATCHED!$U16,IF(MATCHED!AO16=21,MATCHED!$V16,)))))))&amp;IF(MATCHED!AO16=22,MATCHED!$W16,IF(MATCHED!AO16=23,MATCHED!$X16,IF(MATCHED!AO16=24,MATCHED!$Y16,IF(MATCHED!AO16=25,MATCHED!$Z16,IF(MATCHED!AO16=26,MATCHED!$AA16,IF(MATCHED!AO16=27,MATCHED!$AB16,"."))))))</f>
        <v>#N/A</v>
      </c>
      <c r="N16" s="347" t="e">
        <f>IF(MATCHED!AP16=1,MATCHED!$B16,IF(MATCHED!AP16=2,MATCHED!$C16,IF(MATCHED!AP16=3,MATCHED!$D16,IF(MATCHED!AP16=4,MATCHED!$E16,IF(MATCHED!AP16=3,MATCHED!$F16,IF(MATCHED!AP16=6,MATCHED!$G16,IF(MATCHED!AP16=7,MATCHED!$H16,"")))))))&amp;IF(MATCHED!AP16=8,MATCHED!$I16,IF(MATCHED!AP16=9,MATCHED!$J16,IF(MATCHED!AP16=10,MATCHED!$K16,IF(MATCHED!AP16=11,MATCHED!$L16,IF(MATCHED!AP16=12,MATCHED!$M16,IF(MATCHED!AP16=13,MATCHED!$N16,IF(MATCHED!AP16=14,MATCHED!$O16,"")))))))&amp;IF(MATCHED!AP16=15,MATCHED!$P16,IF(MATCHED!AP16=16,MATCHED!$Q16,IF(MATCHED!AP16=17,MATCHED!$R16,IF(MATCHED!AP16=18,MATCHED!$S16,IF(MATCHED!AP16=19,MATCHED!$T16,IF(MATCHED!AP16=20,MATCHED!$U16,IF(MATCHED!AP16=21,MATCHED!$V16,)))))))&amp;IF(MATCHED!AP16=22,MATCHED!$W16,IF(MATCHED!AP16=23,MATCHED!$X16,IF(MATCHED!AP16=24,MATCHED!$Y16,IF(MATCHED!AP16=25,MATCHED!$Z16,IF(MATCHED!AP16=26,MATCHED!$AA16,IF(MATCHED!AP16=27,MATCHED!$AB16,"."))))))</f>
        <v>#N/A</v>
      </c>
      <c r="O16" s="347" t="e">
        <f>IF(MATCHED!AQ16=1,MATCHED!$B16,IF(MATCHED!AQ16=2,MATCHED!$C16,IF(MATCHED!AQ16=3,MATCHED!$D16,IF(MATCHED!AQ16=4,MATCHED!$E16,IF(MATCHED!AQ16=3,MATCHED!$F16,IF(MATCHED!AQ16=6,MATCHED!$G16,IF(MATCHED!AQ16=7,MATCHED!$H16,"")))))))&amp;IF(MATCHED!AQ16=8,MATCHED!$I16,IF(MATCHED!AQ16=9,MATCHED!$J16,IF(MATCHED!AQ16=10,MATCHED!$K16,IF(MATCHED!AQ16=11,MATCHED!$L16,IF(MATCHED!AQ16=12,MATCHED!$M16,IF(MATCHED!AQ16=13,MATCHED!$N16,IF(MATCHED!AQ16=14,MATCHED!$O16,"")))))))&amp;IF(MATCHED!AQ16=15,MATCHED!$P16,IF(MATCHED!AQ16=16,MATCHED!$Q16,IF(MATCHED!AQ16=17,MATCHED!$R16,IF(MATCHED!AQ16=18,MATCHED!$S16,IF(MATCHED!AQ16=19,MATCHED!$T16,IF(MATCHED!AQ16=20,MATCHED!$U16,IF(MATCHED!AQ16=21,MATCHED!$V16,)))))))&amp;IF(MATCHED!AQ16=22,MATCHED!$W16,IF(MATCHED!AQ16=23,MATCHED!$X16,IF(MATCHED!AQ16=24,MATCHED!$Y16,IF(MATCHED!AQ16=25,MATCHED!$Z16,IF(MATCHED!AQ16=26,MATCHED!$AA16,IF(MATCHED!AQ16=27,MATCHED!$AB16,"."))))))</f>
        <v>#N/A</v>
      </c>
      <c r="P16" s="347" t="e">
        <f>IF(MATCHED!AR16=1,MATCHED!$B16,IF(MATCHED!AR16=2,MATCHED!$C16,IF(MATCHED!AR16=3,MATCHED!$D16,IF(MATCHED!AR16=4,MATCHED!$E16,IF(MATCHED!AR16=3,MATCHED!$F16,IF(MATCHED!AR16=6,MATCHED!$G16,IF(MATCHED!AR16=7,MATCHED!$H16,"")))))))&amp;IF(MATCHED!AR16=8,MATCHED!$I16,IF(MATCHED!AR16=9,MATCHED!$J16,IF(MATCHED!AR16=10,MATCHED!$K16,IF(MATCHED!AR16=11,MATCHED!$L16,IF(MATCHED!AR16=12,MATCHED!$M16,IF(MATCHED!AR16=13,MATCHED!$N16,IF(MATCHED!AR16=14,MATCHED!$O16,"")))))))&amp;IF(MATCHED!AR16=15,MATCHED!$P16,IF(MATCHED!AR16=16,MATCHED!$Q16,IF(MATCHED!AR16=17,MATCHED!$R16,IF(MATCHED!AR16=18,MATCHED!$S16,IF(MATCHED!AR16=19,MATCHED!$T16,IF(MATCHED!AR16=20,MATCHED!$U16,IF(MATCHED!AR16=21,MATCHED!$V16,)))))))&amp;IF(MATCHED!AR16=22,MATCHED!$W16,IF(MATCHED!AR16=23,MATCHED!$X16,IF(MATCHED!AR16=24,MATCHED!$Y16,IF(MATCHED!AR16=25,MATCHED!$Z16,IF(MATCHED!AR16=26,MATCHED!$AA16,IF(MATCHED!AR16=27,MATCHED!$AB16,"."))))))</f>
        <v>#N/A</v>
      </c>
      <c r="Q16" s="348" t="e">
        <f>IF(MATCHED!AS16=1,MATCHED!$B16,IF(MATCHED!AS16=2,MATCHED!$C16,IF(MATCHED!AS16=3,MATCHED!$D16,IF(MATCHED!AS16=4,MATCHED!$E16,IF(MATCHED!AS16=3,MATCHED!$F16,IF(MATCHED!AS16=6,MATCHED!$G16,IF(MATCHED!AS16=7,MATCHED!$H16,"")))))))&amp;IF(MATCHED!AS16=8,MATCHED!$I16,IF(MATCHED!AS16=9,MATCHED!$J16,IF(MATCHED!AS16=10,MATCHED!$K16,IF(MATCHED!AS16=11,MATCHED!$L16,IF(MATCHED!AS16=12,MATCHED!$M16,IF(MATCHED!AS16=13,MATCHED!$N16,IF(MATCHED!AS16=14,MATCHED!$O16,"")))))))&amp;IF(MATCHED!AS16=15,MATCHED!$P16,IF(MATCHED!AS16=16,MATCHED!$Q16,IF(MATCHED!AS16=17,MATCHED!$R16,IF(MATCHED!AS16=18,MATCHED!$S16,IF(MATCHED!AS16=19,MATCHED!$T16,IF(MATCHED!AS16=20,MATCHED!$U16,IF(MATCHED!AS16=21,MATCHED!$V16,)))))))&amp;IF(MATCHED!AS16=22,MATCHED!$W16,IF(MATCHED!AS16=23,MATCHED!$X16,IF(MATCHED!AS16=24,MATCHED!$Y16,IF(MATCHED!AS16=25,MATCHED!$Z16,IF(MATCHED!AS16=26,MATCHED!$AA16,IF(MATCHED!AS16=27,MATCHED!$AB16,"."))))))</f>
        <v>#N/A</v>
      </c>
      <c r="R16" s="347" t="e">
        <f>IF(MATCHED!AT16=1,MATCHED!$B16,IF(MATCHED!AT16=2,MATCHED!$C16,IF(MATCHED!AT16=3,MATCHED!$D16,IF(MATCHED!AT16=4,MATCHED!$E16,IF(MATCHED!AT16=3,MATCHED!$F16,IF(MATCHED!AT16=6,MATCHED!$G16,IF(MATCHED!AT16=7,MATCHED!$H16,"")))))))&amp;IF(MATCHED!AT16=8,MATCHED!$I16,IF(MATCHED!AT16=9,MATCHED!$J16,IF(MATCHED!AT16=10,MATCHED!$K16,IF(MATCHED!AT16=11,MATCHED!$L16,IF(MATCHED!AT16=12,MATCHED!$M16,IF(MATCHED!AT16=13,MATCHED!$N16,IF(MATCHED!AT16=14,MATCHED!$O16,"")))))))&amp;IF(MATCHED!AT16=15,MATCHED!$P16,IF(MATCHED!AT16=16,MATCHED!$Q16,IF(MATCHED!AT16=17,MATCHED!$R16,IF(MATCHED!AT16=18,MATCHED!$S16,IF(MATCHED!AT16=19,MATCHED!$T16,IF(MATCHED!AT16=20,MATCHED!$U16,IF(MATCHED!AT16=21,MATCHED!$V16,)))))))&amp;IF(MATCHED!AT16=22,MATCHED!$W16,IF(MATCHED!AT16=23,MATCHED!$X16,IF(MATCHED!AT16=24,MATCHED!$Y16,IF(MATCHED!AT16=25,MATCHED!$Z16,IF(MATCHED!AT16=26,MATCHED!$AA16,IF(MATCHED!AT16=27,MATCHED!$AB16,"."))))))</f>
        <v>#N/A</v>
      </c>
      <c r="S16" s="347" t="e">
        <f>IF(MATCHED!AU16=1,MATCHED!$B16,IF(MATCHED!AU16=2,MATCHED!$C16,IF(MATCHED!AU16=3,MATCHED!$D16,IF(MATCHED!AU16=4,MATCHED!$E16,IF(MATCHED!AU16=3,MATCHED!$F16,IF(MATCHED!AU16=6,MATCHED!$G16,IF(MATCHED!AU16=7,MATCHED!$H16,"")))))))&amp;IF(MATCHED!AU16=8,MATCHED!$I16,IF(MATCHED!AU16=9,MATCHED!$J16,IF(MATCHED!AU16=10,MATCHED!$K16,IF(MATCHED!AU16=11,MATCHED!$L16,IF(MATCHED!AU16=12,MATCHED!$M16,IF(MATCHED!AU16=13,MATCHED!$N16,IF(MATCHED!AU16=14,MATCHED!$O16,"")))))))&amp;IF(MATCHED!AU16=15,MATCHED!$P16,IF(MATCHED!AU16=16,MATCHED!$Q16,IF(MATCHED!AU16=17,MATCHED!$R16,IF(MATCHED!AU16=18,MATCHED!$S16,IF(MATCHED!AU16=19,MATCHED!$T16,IF(MATCHED!AU16=20,MATCHED!$U16,IF(MATCHED!AU16=21,MATCHED!$V16,)))))))&amp;IF(MATCHED!AU16=22,MATCHED!$W16,IF(MATCHED!AU16=23,MATCHED!$X16,IF(MATCHED!AU16=24,MATCHED!$Y16,IF(MATCHED!AU16=25,MATCHED!$Z16,IF(MATCHED!AU16=26,MATCHED!$AA16,IF(MATCHED!AU16=27,MATCHED!$AB16,"."))))))</f>
        <v>#N/A</v>
      </c>
      <c r="T16" s="347" t="e">
        <f>IF(MATCHED!AV16=1,MATCHED!$B16,IF(MATCHED!AV16=2,MATCHED!$C16,IF(MATCHED!AV16=3,MATCHED!$D16,IF(MATCHED!AV16=4,MATCHED!$E16,IF(MATCHED!AV16=3,MATCHED!$F16,IF(MATCHED!AV16=6,MATCHED!$G16,IF(MATCHED!AV16=7,MATCHED!$H16,"")))))))&amp;IF(MATCHED!AV16=8,MATCHED!$I16,IF(MATCHED!AV16=9,MATCHED!$J16,IF(MATCHED!AV16=10,MATCHED!$K16,IF(MATCHED!AV16=11,MATCHED!$L16,IF(MATCHED!AV16=12,MATCHED!$M16,IF(MATCHED!AV16=13,MATCHED!$N16,IF(MATCHED!AV16=14,MATCHED!$O16,"")))))))&amp;IF(MATCHED!AV16=15,MATCHED!$P16,IF(MATCHED!AV16=16,MATCHED!$Q16,IF(MATCHED!AV16=17,MATCHED!$R16,IF(MATCHED!AV16=18,MATCHED!$S16,IF(MATCHED!AV16=19,MATCHED!$T16,IF(MATCHED!AV16=20,MATCHED!$U16,IF(MATCHED!AV16=21,MATCHED!$V16,)))))))&amp;IF(MATCHED!AV16=22,MATCHED!$W16,IF(MATCHED!AV16=23,MATCHED!$X16,IF(MATCHED!AV16=24,MATCHED!$Y16,IF(MATCHED!AV16=25,MATCHED!$Z16,IF(MATCHED!AV16=26,MATCHED!$AA16,IF(MATCHED!AV16=27,MATCHED!$AB16,"."))))))</f>
        <v>#N/A</v>
      </c>
      <c r="U16" s="347" t="e">
        <f>IF(MATCHED!AW16=1,MATCHED!$B16,IF(MATCHED!AW16=2,MATCHED!$C16,IF(MATCHED!AW16=3,MATCHED!$D16,IF(MATCHED!AW16=4,MATCHED!$E16,IF(MATCHED!AW16=3,MATCHED!$F16,IF(MATCHED!AW16=6,MATCHED!$G16,IF(MATCHED!AW16=7,MATCHED!$H16,"")))))))&amp;IF(MATCHED!AW16=8,MATCHED!$I16,IF(MATCHED!AW16=9,MATCHED!$J16,IF(MATCHED!AW16=10,MATCHED!$K16,IF(MATCHED!AW16=11,MATCHED!$L16,IF(MATCHED!AW16=12,MATCHED!$M16,IF(MATCHED!AW16=13,MATCHED!$N16,IF(MATCHED!AW16=14,MATCHED!$O16,"")))))))&amp;IF(MATCHED!AW16=15,MATCHED!$P16,IF(MATCHED!AW16=16,MATCHED!$Q16,IF(MATCHED!AW16=17,MATCHED!$R16,IF(MATCHED!AW16=18,MATCHED!$S16,IF(MATCHED!AW16=19,MATCHED!$T16,IF(MATCHED!AW16=20,MATCHED!$U16,IF(MATCHED!AW16=21,MATCHED!$V16,)))))))&amp;IF(MATCHED!AW16=22,MATCHED!$W16,IF(MATCHED!AW16=23,MATCHED!$X16,IF(MATCHED!AW16=24,MATCHED!$Y16,IF(MATCHED!AW16=25,MATCHED!$Z16,IF(MATCHED!AW16=26,MATCHED!$AA16,IF(MATCHED!AW16=27,MATCHED!$AB16,"."))))))</f>
        <v>#N/A</v>
      </c>
      <c r="V16" s="347" t="e">
        <f>IF(MATCHED!AX16=1,MATCHED!$B16,IF(MATCHED!AX16=2,MATCHED!$C16,IF(MATCHED!AX16=3,MATCHED!$D16,IF(MATCHED!AX16=4,MATCHED!$E16,IF(MATCHED!AX16=3,MATCHED!$F16,IF(MATCHED!AX16=6,MATCHED!$G16,IF(MATCHED!AX16=7,MATCHED!$H16,"")))))))&amp;IF(MATCHED!AX16=8,MATCHED!$I16,IF(MATCHED!AX16=9,MATCHED!$J16,IF(MATCHED!AX16=10,MATCHED!$K16,IF(MATCHED!AX16=11,MATCHED!$L16,IF(MATCHED!AX16=12,MATCHED!$M16,IF(MATCHED!AX16=13,MATCHED!$N16,IF(MATCHED!AX16=14,MATCHED!$O16,"")))))))&amp;IF(MATCHED!AX16=15,MATCHED!$P16,IF(MATCHED!AX16=16,MATCHED!$Q16,IF(MATCHED!AX16=17,MATCHED!$R16,IF(MATCHED!AX16=18,MATCHED!$S16,IF(MATCHED!AX16=19,MATCHED!$T16,IF(MATCHED!AX16=20,MATCHED!$U16,IF(MATCHED!AX16=21,MATCHED!$V16,)))))))&amp;IF(MATCHED!AX16=22,MATCHED!$W16,IF(MATCHED!AX16=23,MATCHED!$X16,IF(MATCHED!AX16=24,MATCHED!$Y16,IF(MATCHED!AX16=25,MATCHED!$Z16,IF(MATCHED!AX16=26,MATCHED!$AA16,IF(MATCHED!AX16=27,MATCHED!$AB16,"."))))))</f>
        <v>#N/A</v>
      </c>
      <c r="W16" s="347" t="e">
        <f>IF(MATCHED!AY16=1,MATCHED!$B16,IF(MATCHED!AY16=2,MATCHED!$C16,IF(MATCHED!AY16=3,MATCHED!$D16,IF(MATCHED!AY16=4,MATCHED!$E16,IF(MATCHED!AY16=3,MATCHED!$F16,IF(MATCHED!AY16=6,MATCHED!$G16,IF(MATCHED!AY16=7,MATCHED!$H16,"")))))))&amp;IF(MATCHED!AY16=8,MATCHED!$I16,IF(MATCHED!AY16=9,MATCHED!$J16,IF(MATCHED!AY16=10,MATCHED!$K16,IF(MATCHED!AY16=11,MATCHED!$L16,IF(MATCHED!AY16=12,MATCHED!$M16,IF(MATCHED!AY16=13,MATCHED!$N16,IF(MATCHED!AY16=14,MATCHED!$O16,"")))))))&amp;IF(MATCHED!AY16=15,MATCHED!$P16,IF(MATCHED!AY16=16,MATCHED!$Q16,IF(MATCHED!AY16=17,MATCHED!$R16,IF(MATCHED!AY16=18,MATCHED!$S16,IF(MATCHED!AY16=19,MATCHED!$T16,IF(MATCHED!AY16=20,MATCHED!$U16,IF(MATCHED!AY16=21,MATCHED!$V16,)))))))&amp;IF(MATCHED!AY16=22,MATCHED!$W16,IF(MATCHED!AY16=23,MATCHED!$X16,IF(MATCHED!AY16=24,MATCHED!$Y16,IF(MATCHED!AY16=25,MATCHED!$Z16,IF(MATCHED!AY16=26,MATCHED!$AA16,IF(MATCHED!AY16=27,MATCHED!$AB16,"."))))))</f>
        <v>#N/A</v>
      </c>
      <c r="X16" s="347" t="e">
        <f>IF(MATCHED!AZ16=1,MATCHED!$B16,IF(MATCHED!AZ16=2,MATCHED!$C16,IF(MATCHED!AZ16=3,MATCHED!$D16,IF(MATCHED!AZ16=4,MATCHED!$E16,IF(MATCHED!AZ16=3,MATCHED!$F16,IF(MATCHED!AZ16=6,MATCHED!$G16,IF(MATCHED!AZ16=7,MATCHED!$H16,"")))))))&amp;IF(MATCHED!AZ16=8,MATCHED!$I16,IF(MATCHED!AZ16=9,MATCHED!$J16,IF(MATCHED!AZ16=10,MATCHED!$K16,IF(MATCHED!AZ16=11,MATCHED!$L16,IF(MATCHED!AZ16=12,MATCHED!$M16,IF(MATCHED!AZ16=13,MATCHED!$N16,IF(MATCHED!AZ16=14,MATCHED!$O16,"")))))))&amp;IF(MATCHED!AZ16=15,MATCHED!$P16,IF(MATCHED!AZ16=16,MATCHED!$Q16,IF(MATCHED!AZ16=17,MATCHED!$R16,IF(MATCHED!AZ16=18,MATCHED!$S16,IF(MATCHED!AZ16=19,MATCHED!$T16,IF(MATCHED!AZ16=20,MATCHED!$U16,IF(MATCHED!AZ16=21,MATCHED!$V16,)))))))&amp;IF(MATCHED!AZ16=22,MATCHED!$W16,IF(MATCHED!AZ16=23,MATCHED!$X16,IF(MATCHED!AZ16=24,MATCHED!$Y16,IF(MATCHED!AZ16=25,MATCHED!$Z16,IF(MATCHED!AZ16=26,MATCHED!$AA16,IF(MATCHED!AZ16=27,MATCHED!$AB16,"."))))))</f>
        <v>#N/A</v>
      </c>
      <c r="Y16" s="347" t="e">
        <f>IF(MATCHED!BA16=1,MATCHED!$B16,IF(MATCHED!BA16=2,MATCHED!$C16,IF(MATCHED!BA16=3,MATCHED!$D16,IF(MATCHED!BA16=4,MATCHED!$E16,IF(MATCHED!BA16=3,MATCHED!$F16,IF(MATCHED!BA16=6,MATCHED!$G16,IF(MATCHED!BA16=7,MATCHED!$H16,"")))))))&amp;IF(MATCHED!BA16=8,MATCHED!$I16,IF(MATCHED!BA16=9,MATCHED!$J16,IF(MATCHED!BA16=10,MATCHED!$K16,IF(MATCHED!BA16=11,MATCHED!$L16,IF(MATCHED!BA16=12,MATCHED!$M16,IF(MATCHED!BA16=13,MATCHED!$N16,IF(MATCHED!BA16=14,MATCHED!$O16,"")))))))&amp;IF(MATCHED!BA16=15,MATCHED!$P16,IF(MATCHED!BA16=16,MATCHED!$Q16,IF(MATCHED!BA16=17,MATCHED!$R16,IF(MATCHED!BA16=18,MATCHED!$S16,IF(MATCHED!BA16=19,MATCHED!$T16,IF(MATCHED!BA16=20,MATCHED!$U16,IF(MATCHED!BA16=21,MATCHED!$V16,)))))))&amp;IF(MATCHED!BA16=22,MATCHED!$W16,IF(MATCHED!BA16=23,MATCHED!$X16,IF(MATCHED!BA16=24,MATCHED!$Y16,IF(MATCHED!BA16=25,MATCHED!$Z16,IF(MATCHED!BA16=26,MATCHED!$AA16,IF(MATCHED!BA16=27,MATCHED!$AB16,"."))))))</f>
        <v>#N/A</v>
      </c>
      <c r="Z16" s="347" t="e">
        <f>IF(MATCHED!BB16=1,MATCHED!$B16,IF(MATCHED!BB16=2,MATCHED!$C16,IF(MATCHED!BB16=3,MATCHED!$D16,IF(MATCHED!BB16=4,MATCHED!$E16,IF(MATCHED!BB16=3,MATCHED!$F16,IF(MATCHED!BB16=6,MATCHED!$G16,IF(MATCHED!BB16=7,MATCHED!$H16,"")))))))&amp;IF(MATCHED!BB16=8,MATCHED!$I16,IF(MATCHED!BB16=9,MATCHED!$J16,IF(MATCHED!BB16=10,MATCHED!$K16,IF(MATCHED!BB16=11,MATCHED!$L16,IF(MATCHED!BB16=12,MATCHED!$M16,IF(MATCHED!BB16=13,MATCHED!$N16,IF(MATCHED!BB16=14,MATCHED!$O16,"")))))))&amp;IF(MATCHED!BB16=15,MATCHED!$P16,IF(MATCHED!BB16=16,MATCHED!$Q16,IF(MATCHED!BB16=17,MATCHED!$R16,IF(MATCHED!BB16=18,MATCHED!$S16,IF(MATCHED!BB16=19,MATCHED!$T16,IF(MATCHED!BB16=20,MATCHED!$U16,IF(MATCHED!BB16=21,MATCHED!$V16,)))))))&amp;IF(MATCHED!BB16=22,MATCHED!$W16,IF(MATCHED!BB16=23,MATCHED!$X16,IF(MATCHED!BB16=24,MATCHED!$Y16,IF(MATCHED!BB16=25,MATCHED!$Z16,IF(MATCHED!BB16=26,MATCHED!$AA16,IF(MATCHED!BB16=27,MATCHED!$AB16,"."))))))</f>
        <v>#N/A</v>
      </c>
      <c r="AA16" s="347" t="e">
        <f>IF(MATCHED!BC16=1,MATCHED!$B16,IF(MATCHED!BC16=2,MATCHED!$C16,IF(MATCHED!BC16=3,MATCHED!$D16,IF(MATCHED!BC16=4,MATCHED!$E16,IF(MATCHED!BC16=3,MATCHED!$F16,IF(MATCHED!BC16=6,MATCHED!$G16,IF(MATCHED!BC16=7,MATCHED!$H16,"")))))))&amp;IF(MATCHED!BC16=8,MATCHED!$I16,IF(MATCHED!BC16=9,MATCHED!$J16,IF(MATCHED!BC16=10,MATCHED!$K16,IF(MATCHED!BC16=11,MATCHED!$L16,IF(MATCHED!BC16=12,MATCHED!$M16,IF(MATCHED!BC16=13,MATCHED!$N16,IF(MATCHED!BC16=14,MATCHED!$O16,"")))))))&amp;IF(MATCHED!BC16=15,MATCHED!$P16,IF(MATCHED!BC16=16,MATCHED!$Q16,IF(MATCHED!BC16=17,MATCHED!$R16,IF(MATCHED!BC16=18,MATCHED!$S16,IF(MATCHED!BC16=19,MATCHED!$T16,IF(MATCHED!BC16=20,MATCHED!$U16,IF(MATCHED!BC16=21,MATCHED!$V16,)))))))&amp;IF(MATCHED!BC16=22,MATCHED!$W16,IF(MATCHED!BC16=23,MATCHED!$X16,IF(MATCHED!BC16=24,MATCHED!$Y16,IF(MATCHED!BC16=25,MATCHED!$Z16,IF(MATCHED!BC16=26,MATCHED!$AA16,IF(MATCHED!BC16=27,MATCHED!$AB16,"."))))))</f>
        <v>#N/A</v>
      </c>
      <c r="AB16" s="347" t="e">
        <f>IF(MATCHED!BD16=1,MATCHED!$B16,IF(MATCHED!BD16=2,MATCHED!$C16,IF(MATCHED!BD16=3,MATCHED!$D16,IF(MATCHED!BD16=4,MATCHED!$E16,IF(MATCHED!BD16=3,MATCHED!$F16,IF(MATCHED!BD16=6,MATCHED!$G16,IF(MATCHED!BD16=7,MATCHED!$H16,"")))))))&amp;IF(MATCHED!BD16=8,MATCHED!$I16,IF(MATCHED!BD16=9,MATCHED!$J16,IF(MATCHED!BD16=10,MATCHED!$K16,IF(MATCHED!BD16=11,MATCHED!$L16,IF(MATCHED!BD16=12,MATCHED!$M16,IF(MATCHED!BD16=13,MATCHED!$N16,IF(MATCHED!BD16=14,MATCHED!$O16,"")))))))&amp;IF(MATCHED!BD16=15,MATCHED!$P16,IF(MATCHED!BD16=16,MATCHED!$Q16,IF(MATCHED!BD16=17,MATCHED!$R16,IF(MATCHED!BD16=18,MATCHED!$S16,IF(MATCHED!BD16=19,MATCHED!$T16,IF(MATCHED!BD16=20,MATCHED!$U16,IF(MATCHED!BD16=21,MATCHED!$V16,)))))))&amp;IF(MATCHED!BD16=22,MATCHED!$W16,IF(MATCHED!BD16=23,MATCHED!$X16,IF(MATCHED!BD16=24,MATCHED!$Y16,IF(MATCHED!BD16=25,MATCHED!$Z16,IF(MATCHED!BD16=26,MATCHED!$AA16,IF(MATCHED!BD16=27,MATCHED!$AB16,"."))))))</f>
        <v>#N/A</v>
      </c>
      <c r="AC16" s="347" t="e">
        <f>IF(MATCHED!BE16=1,MATCHED!$B16,IF(MATCHED!BE16=2,MATCHED!$C16,IF(MATCHED!BE16=3,MATCHED!$D16,IF(MATCHED!BE16=4,MATCHED!$E16,IF(MATCHED!BE16=3,MATCHED!$F16,IF(MATCHED!BE16=6,MATCHED!$G16,IF(MATCHED!BE16=7,MATCHED!$H16,"")))))))&amp;IF(MATCHED!BE16=8,MATCHED!$I16,IF(MATCHED!BE16=9,MATCHED!$J16,IF(MATCHED!BE16=10,MATCHED!$K16,IF(MATCHED!BE16=11,MATCHED!$L16,IF(MATCHED!BE16=12,MATCHED!$M16,IF(MATCHED!BE16=13,MATCHED!$N16,IF(MATCHED!BE16=14,MATCHED!$O16,"")))))))&amp;IF(MATCHED!BE16=15,MATCHED!$P16,IF(MATCHED!BE16=16,MATCHED!$Q16,IF(MATCHED!BE16=17,MATCHED!$R16,IF(MATCHED!BE16=18,MATCHED!$S16,IF(MATCHED!BE16=19,MATCHED!$T16,IF(MATCHED!BE16=20,MATCHED!$U16,IF(MATCHED!BE16=21,MATCHED!$V16,)))))))&amp;IF(MATCHED!BE16=22,MATCHED!$W16,IF(MATCHED!BE16=23,MATCHED!$X16,IF(MATCHED!BE16=24,MATCHED!$Y16,IF(MATCHED!BE16=25,MATCHED!$Z16,IF(MATCHED!BE16=26,MATCHED!$AA16,IF(MATCHED!BE16=27,MATCHED!$AB16,"."))))))</f>
        <v>#N/A</v>
      </c>
      <c r="AD16" s="347" t="e">
        <f>IF(MATCHED!BF16=1,MATCHED!$B16,IF(MATCHED!BF16=2,MATCHED!$C16,IF(MATCHED!BF16=3,MATCHED!$D16,IF(MATCHED!BF16=4,MATCHED!$E16,IF(MATCHED!BF16=3,MATCHED!$F16,IF(MATCHED!BF16=6,MATCHED!$G16,IF(MATCHED!BF16=7,MATCHED!$H16,"")))))))&amp;IF(MATCHED!BF16=8,MATCHED!$I16,IF(MATCHED!BF16=9,MATCHED!$J16,IF(MATCHED!BF16=10,MATCHED!$K16,IF(MATCHED!BF16=11,MATCHED!$L16,IF(MATCHED!BF16=12,MATCHED!$M16,IF(MATCHED!BF16=13,MATCHED!$N16,IF(MATCHED!BF16=14,MATCHED!$O16,"")))))))&amp;IF(MATCHED!BF16=15,MATCHED!$P16,IF(MATCHED!BF16=16,MATCHED!$Q16,IF(MATCHED!BF16=17,MATCHED!$R16,IF(MATCHED!BF16=18,MATCHED!$S16,IF(MATCHED!BF16=19,MATCHED!$T16,IF(MATCHED!BF16=20,MATCHED!$U16,IF(MATCHED!BF16=21,MATCHED!$V16,)))))))&amp;IF(MATCHED!BF16=22,MATCHED!$W16,IF(MATCHED!BF16=23,MATCHED!$X16,IF(MATCHED!BF16=24,MATCHED!$Y16,IF(MATCHED!BF16=25,MATCHED!$Z16,IF(MATCHED!BF16=26,MATCHED!$AA16,IF(MATCHED!BF16=27,MATCHED!$AB16,"."))))))</f>
        <v>#N/A</v>
      </c>
      <c r="AE16" s="347" t="e">
        <f>IF(MATCHED!BG16=1,MATCHED!$B16,IF(MATCHED!BG16=2,MATCHED!$C16,IF(MATCHED!BG16=3,MATCHED!$D16,IF(MATCHED!BG16=4,MATCHED!$E16,IF(MATCHED!BG16=3,MATCHED!$F16,IF(MATCHED!BG16=6,MATCHED!$G16,IF(MATCHED!BG16=7,MATCHED!$H16,"")))))))&amp;IF(MATCHED!BG16=8,MATCHED!$I16,IF(MATCHED!BG16=9,MATCHED!$J16,IF(MATCHED!BG16=10,MATCHED!$K16,IF(MATCHED!BG16=11,MATCHED!$L16,IF(MATCHED!BG16=12,MATCHED!$M16,IF(MATCHED!BG16=13,MATCHED!$N16,IF(MATCHED!BG16=14,MATCHED!$O16,"")))))))&amp;IF(MATCHED!BG16=15,MATCHED!$P16,IF(MATCHED!BG16=16,MATCHED!$Q16,IF(MATCHED!BG16=17,MATCHED!$R16,IF(MATCHED!BG16=18,MATCHED!$S16,IF(MATCHED!BG16=19,MATCHED!$T16,IF(MATCHED!BG16=20,MATCHED!$U16,IF(MATCHED!BG16=21,MATCHED!$V16,)))))))&amp;IF(MATCHED!BG16=22,MATCHED!$W16,IF(MATCHED!BG16=23,MATCHED!$X16,IF(MATCHED!BG16=24,MATCHED!$Y16,IF(MATCHED!BG16=25,MATCHED!$Z16,IF(MATCHED!BG16=26,MATCHED!$AA16,IF(MATCHED!BG16=27,MATCHED!$AB16,"."))))))</f>
        <v>#N/A</v>
      </c>
      <c r="AF16" s="347" t="e">
        <f>IF(MATCHED!BH16=1,MATCHED!$B16,IF(MATCHED!BH16=2,MATCHED!$C16,IF(MATCHED!BH16=3,MATCHED!$D16,IF(MATCHED!BH16=4,MATCHED!$E16,IF(MATCHED!BH16=3,MATCHED!$F16,IF(MATCHED!BH16=6,MATCHED!$G16,IF(MATCHED!BH16=7,MATCHED!$H16,"")))))))&amp;IF(MATCHED!BH16=8,MATCHED!$I16,IF(MATCHED!BH16=9,MATCHED!$J16,IF(MATCHED!BH16=10,MATCHED!$K16,IF(MATCHED!BH16=11,MATCHED!$L16,IF(MATCHED!BH16=12,MATCHED!$M16,IF(MATCHED!BH16=13,MATCHED!$N16,IF(MATCHED!BH16=14,MATCHED!$O16,"")))))))&amp;IF(MATCHED!BH16=15,MATCHED!$P16,IF(MATCHED!BH16=16,MATCHED!$Q16,IF(MATCHED!BH16=17,MATCHED!$R16,IF(MATCHED!BH16=18,MATCHED!$S16,IF(MATCHED!BH16=19,MATCHED!$T16,IF(MATCHED!BH16=20,MATCHED!$U16,IF(MATCHED!BH16=21,MATCHED!$V16,)))))))&amp;IF(MATCHED!BH16=22,MATCHED!$W16,IF(MATCHED!BH16=23,MATCHED!$X16,IF(MATCHED!BH16=24,MATCHED!$Y16,IF(MATCHED!BH16=25,MATCHED!$Z16,IF(MATCHED!BH16=26,MATCHED!$AA16,IF(MATCHED!BH16=27,MATCHED!$AB16,"."))))))</f>
        <v>#N/A</v>
      </c>
      <c r="AG16" s="347" t="e">
        <f>IF(MATCHED!BI16=1,MATCHED!$B16,IF(MATCHED!BI16=2,MATCHED!$C16,IF(MATCHED!BI16=3,MATCHED!$D16,IF(MATCHED!BI16=4,MATCHED!$E16,IF(MATCHED!BI16=3,MATCHED!$F16,IF(MATCHED!BI16=6,MATCHED!$G16,IF(MATCHED!BI16=7,MATCHED!$H16,"")))))))&amp;IF(MATCHED!BI16=8,MATCHED!$I16,IF(MATCHED!BI16=9,MATCHED!$J16,IF(MATCHED!BI16=10,MATCHED!$K16,IF(MATCHED!BI16=11,MATCHED!$L16,IF(MATCHED!BI16=12,MATCHED!$M16,IF(MATCHED!BI16=13,MATCHED!$N16,IF(MATCHED!BI16=14,MATCHED!$O16,"")))))))&amp;IF(MATCHED!BI16=15,MATCHED!$P16,IF(MATCHED!BI16=16,MATCHED!$Q16,IF(MATCHED!BI16=17,MATCHED!$R16,IF(MATCHED!BI16=18,MATCHED!$S16,IF(MATCHED!BI16=19,MATCHED!$T16,IF(MATCHED!BI16=20,MATCHED!$U16,IF(MATCHED!BI16=21,MATCHED!$V16,)))))))&amp;IF(MATCHED!BI16=22,MATCHED!$W16,IF(MATCHED!BI16=23,MATCHED!$X16,IF(MATCHED!BI16=24,MATCHED!$Y16,IF(MATCHED!BI16=25,MATCHED!$Z16,IF(MATCHED!BI16=26,MATCHED!$AA16,IF(MATCHED!BI16=27,MATCHED!$AB16,"."))))))</f>
        <v>#N/A</v>
      </c>
      <c r="AH16" s="347" t="e">
        <f>IF(MATCHED!BJ16=1,MATCHED!$B16,IF(MATCHED!BJ16=2,MATCHED!$C16,IF(MATCHED!BJ16=3,MATCHED!$D16,IF(MATCHED!BJ16=4,MATCHED!$E16,IF(MATCHED!BJ16=3,MATCHED!$F16,IF(MATCHED!BJ16=6,MATCHED!$G16,IF(MATCHED!BJ16=7,MATCHED!$H16,"")))))))&amp;IF(MATCHED!BJ16=8,MATCHED!$I16,IF(MATCHED!BJ16=9,MATCHED!$J16,IF(MATCHED!BJ16=10,MATCHED!$K16,IF(MATCHED!BJ16=11,MATCHED!$L16,IF(MATCHED!BJ16=12,MATCHED!$M16,IF(MATCHED!BJ16=13,MATCHED!$N16,IF(MATCHED!BJ16=14,MATCHED!$O16,"")))))))&amp;IF(MATCHED!BJ16=15,MATCHED!$P16,IF(MATCHED!BJ16=16,MATCHED!$Q16,IF(MATCHED!BJ16=17,MATCHED!$R16,IF(MATCHED!BJ16=18,MATCHED!$S16,IF(MATCHED!BJ16=19,MATCHED!$T16,IF(MATCHED!BJ16=20,MATCHED!$U16,IF(MATCHED!BJ16=21,MATCHED!$V16,)))))))&amp;IF(MATCHED!BJ16=22,MATCHED!$W16,IF(MATCHED!BJ16=23,MATCHED!$X16,IF(MATCHED!BJ16=24,MATCHED!$Y16,IF(MATCHED!BJ16=25,MATCHED!$Z16,IF(MATCHED!BJ16=26,MATCHED!$AA16,IF(MATCHED!BJ16=27,MATCHED!$AB16,"."))))))</f>
        <v>#N/A</v>
      </c>
      <c r="AI16" s="347" t="e">
        <f>IF(MATCHED!BK16=1,MATCHED!$B16,IF(MATCHED!BK16=2,MATCHED!$C16,IF(MATCHED!BK16=3,MATCHED!$D16,IF(MATCHED!BK16=4,MATCHED!$E16,IF(MATCHED!BK16=3,MATCHED!$F16,IF(MATCHED!BK16=6,MATCHED!$G16,IF(MATCHED!BK16=7,MATCHED!$H16,"")))))))&amp;IF(MATCHED!BK16=8,MATCHED!$I16,IF(MATCHED!BK16=9,MATCHED!$J16,IF(MATCHED!BK16=10,MATCHED!$K16,IF(MATCHED!BK16=11,MATCHED!$L16,IF(MATCHED!BK16=12,MATCHED!$M16,IF(MATCHED!BK16=13,MATCHED!$N16,IF(MATCHED!BK16=14,MATCHED!$O16,"")))))))&amp;IF(MATCHED!BK16=15,MATCHED!$P16,IF(MATCHED!BK16=16,MATCHED!$Q16,IF(MATCHED!BK16=17,MATCHED!$R16,IF(MATCHED!BK16=18,MATCHED!$S16,IF(MATCHED!BK16=19,MATCHED!$T16,IF(MATCHED!BK16=20,MATCHED!$U16,IF(MATCHED!BK16=21,MATCHED!$V16,)))))))&amp;IF(MATCHED!BK16=22,MATCHED!$W16,IF(MATCHED!BK16=23,MATCHED!$X16,IF(MATCHED!BK16=24,MATCHED!$Y16,IF(MATCHED!BK16=25,MATCHED!$Z16,IF(MATCHED!BK16=26,MATCHED!$AA16,IF(MATCHED!BK16=27,MATCHED!$AB16,"."))))))</f>
        <v>#N/A</v>
      </c>
      <c r="AJ16" s="536"/>
    </row>
    <row r="17" spans="1:36" s="351" customFormat="1" ht="15.6" thickBot="1" x14ac:dyDescent="0.3">
      <c r="A17" s="350"/>
      <c r="B17" s="321" t="e">
        <f>IF(MATCHED!AD17=1,MATCHED!$B17,IF(MATCHED!AD17=2,MATCHED!$C17,IF(MATCHED!AD17=3,MATCHED!$D17,IF(MATCHED!AD17=4,MATCHED!$E17,IF(MATCHED!AD17=3,MATCHED!$F17,IF(MATCHED!AD17=6,MATCHED!$G17,IF(MATCHED!AD17=7,MATCHED!$H17,"")))))))&amp;IF(MATCHED!AD17=8,MATCHED!$I17,IF(MATCHED!AD17=9,MATCHED!$J17,IF(MATCHED!AD17=10,MATCHED!$K17,IF(MATCHED!AD17=11,MATCHED!$L17,IF(MATCHED!AD17=12,MATCHED!$M17,IF(MATCHED!AD17=13,MATCHED!$N17,IF(MATCHED!AD17=14,MATCHED!$O17,"")))))))&amp;IF(MATCHED!AD17=15,MATCHED!$P17,IF(MATCHED!AD17=16,MATCHED!$Q17,IF(MATCHED!AD17=17,MATCHED!$R17,IF(MATCHED!AD17=18,MATCHED!$S17,IF(MATCHED!AD17=19,MATCHED!$T17,IF(MATCHED!AD17=20,MATCHED!$U17,IF(MATCHED!AD17=21,MATCHED!$V17,)))))))&amp;IF(MATCHED!AD17=22,MATCHED!$W17,IF(MATCHED!AD17=23,MATCHED!$X17,IF(MATCHED!AD17=24,MATCHED!$Y17,IF(MATCHED!AD17=25,MATCHED!$Z17,IF(MATCHED!AD17=26,MATCHED!$AA17,IF(MATCHED!AD17=27,MATCHED!$AB17,"."))))))</f>
        <v>#N/A</v>
      </c>
      <c r="C17" s="321" t="e">
        <f>IF(MATCHED!AE17=1,MATCHED!$B17,IF(MATCHED!AE17=2,MATCHED!$C17,IF(MATCHED!AE17=3,MATCHED!$D17,IF(MATCHED!AE17=4,MATCHED!$E17,IF(MATCHED!AE17=3,MATCHED!$F17,IF(MATCHED!AE17=6,MATCHED!$G17,IF(MATCHED!AE17=7,MATCHED!$H17,"")))))))&amp;IF(MATCHED!AE17=8,MATCHED!$I17,IF(MATCHED!AE17=9,MATCHED!$J17,IF(MATCHED!AE17=10,MATCHED!$K17,IF(MATCHED!AE17=11,MATCHED!$L17,IF(MATCHED!AE17=12,MATCHED!$M17,IF(MATCHED!AE17=13,MATCHED!$N17,IF(MATCHED!AE17=14,MATCHED!$O17,"")))))))&amp;IF(MATCHED!AE17=15,MATCHED!$P17,IF(MATCHED!AE17=16,MATCHED!$Q17,IF(MATCHED!AE17=17,MATCHED!$R17,IF(MATCHED!AE17=18,MATCHED!$S17,IF(MATCHED!AE17=19,MATCHED!$T17,IF(MATCHED!AE17=20,MATCHED!$U17,IF(MATCHED!AE17=21,MATCHED!$V17,)))))))&amp;IF(MATCHED!AE17=22,MATCHED!$W17,IF(MATCHED!AE17=23,MATCHED!$X17,IF(MATCHED!AE17=24,MATCHED!$Y17,IF(MATCHED!AE17=25,MATCHED!$Z17,IF(MATCHED!AE17=26,MATCHED!$AA17,IF(MATCHED!AE17=27,MATCHED!$AB17,"."))))))</f>
        <v>#N/A</v>
      </c>
      <c r="D17" s="321" t="e">
        <f>IF(MATCHED!AF17=1,MATCHED!$B17,IF(MATCHED!AF17=2,MATCHED!$C17,IF(MATCHED!AF17=3,MATCHED!$D17,IF(MATCHED!AF17=4,MATCHED!$E17,IF(MATCHED!AF17=3,MATCHED!$F17,IF(MATCHED!AF17=6,MATCHED!$G17,IF(MATCHED!AF17=7,MATCHED!$H17,"")))))))&amp;IF(MATCHED!AF17=8,MATCHED!$I17,IF(MATCHED!AF17=9,MATCHED!$J17,IF(MATCHED!AF17=10,MATCHED!$K17,IF(MATCHED!AF17=11,MATCHED!$L17,IF(MATCHED!AF17=12,MATCHED!$M17,IF(MATCHED!AF17=13,MATCHED!$N17,IF(MATCHED!AF17=14,MATCHED!$O17,"")))))))&amp;IF(MATCHED!AF17=15,MATCHED!$P17,IF(MATCHED!AF17=16,MATCHED!$Q17,IF(MATCHED!AF17=17,MATCHED!$R17,IF(MATCHED!AF17=18,MATCHED!$S17,IF(MATCHED!AF17=19,MATCHED!$T17,IF(MATCHED!AF17=20,MATCHED!$U17,IF(MATCHED!AF17=21,MATCHED!$V17,)))))))&amp;IF(MATCHED!AF17=22,MATCHED!$W17,IF(MATCHED!AF17=23,MATCHED!$X17,IF(MATCHED!AF17=24,MATCHED!$Y17,IF(MATCHED!AF17=25,MATCHED!$Z17,IF(MATCHED!AF17=26,MATCHED!$AA17,IF(MATCHED!AF17=27,MATCHED!$AB17,"."))))))</f>
        <v>#N/A</v>
      </c>
      <c r="E17" s="322" t="e">
        <f>IF(MATCHED!AG17=1,MATCHED!$B17,IF(MATCHED!AG17=2,MATCHED!$C17,IF(MATCHED!AG17=3,MATCHED!$D17,IF(MATCHED!AG17=4,MATCHED!$E17,IF(MATCHED!AG17=3,MATCHED!$F17,IF(MATCHED!AG17=6,MATCHED!$G17,IF(MATCHED!AG17=7,MATCHED!$H17,"")))))))&amp;IF(MATCHED!AG17=8,MATCHED!$I17,IF(MATCHED!AG17=9,MATCHED!$J17,IF(MATCHED!AG17=10,MATCHED!$K17,IF(MATCHED!AG17=11,MATCHED!$L17,IF(MATCHED!AG17=12,MATCHED!$M17,IF(MATCHED!AG17=13,MATCHED!$N17,IF(MATCHED!AG17=14,MATCHED!$O17,"")))))))&amp;IF(MATCHED!AG17=15,MATCHED!$P17,IF(MATCHED!AG17=16,MATCHED!$Q17,IF(MATCHED!AG17=17,MATCHED!$R17,IF(MATCHED!AG17=18,MATCHED!$S17,IF(MATCHED!AG17=19,MATCHED!$T17,IF(MATCHED!AG17=20,MATCHED!$U17,IF(MATCHED!AG17=21,MATCHED!$V17,)))))))&amp;IF(MATCHED!AG17=22,MATCHED!$W17,IF(MATCHED!AG17=23,MATCHED!$X17,IF(MATCHED!AG17=24,MATCHED!$Y17,IF(MATCHED!AG17=25,MATCHED!$Z17,IF(MATCHED!AG17=26,MATCHED!$AA17,IF(MATCHED!AG17=27,MATCHED!$AB17,"."))))))</f>
        <v>#N/A</v>
      </c>
      <c r="F17" s="321" t="e">
        <f>IF(MATCHED!AH17=1,MATCHED!$B17,IF(MATCHED!AH17=2,MATCHED!$C17,IF(MATCHED!AH17=3,MATCHED!$D17,IF(MATCHED!AH17=4,MATCHED!$E17,IF(MATCHED!AH17=3,MATCHED!$F17,IF(MATCHED!AH17=6,MATCHED!$G17,IF(MATCHED!AH17=7,MATCHED!$H17,"")))))))&amp;IF(MATCHED!AH17=8,MATCHED!$I17,IF(MATCHED!AH17=9,MATCHED!$J17,IF(MATCHED!AH17=10,MATCHED!$K17,IF(MATCHED!AH17=11,MATCHED!$L17,IF(MATCHED!AH17=12,MATCHED!$M17,IF(MATCHED!AH17=13,MATCHED!$N17,IF(MATCHED!AH17=14,MATCHED!$O17,"")))))))&amp;IF(MATCHED!AH17=15,MATCHED!$P17,IF(MATCHED!AH17=16,MATCHED!$Q17,IF(MATCHED!AH17=17,MATCHED!$R17,IF(MATCHED!AH17=18,MATCHED!$S17,IF(MATCHED!AH17=19,MATCHED!$T17,IF(MATCHED!AH17=20,MATCHED!$U17,IF(MATCHED!AH17=21,MATCHED!$V17,)))))))&amp;IF(MATCHED!AH17=22,MATCHED!$W17,IF(MATCHED!AH17=23,MATCHED!$X17,IF(MATCHED!AH17=24,MATCHED!$Y17,IF(MATCHED!AH17=25,MATCHED!$Z17,IF(MATCHED!AH17=26,MATCHED!$AA17,IF(MATCHED!AH17=27,MATCHED!$AB17,"."))))))</f>
        <v>#N/A</v>
      </c>
      <c r="G17" s="321" t="e">
        <f>IF(MATCHED!AI17=1,MATCHED!$B17,IF(MATCHED!AI17=2,MATCHED!$C17,IF(MATCHED!AI17=3,MATCHED!$D17,IF(MATCHED!AI17=4,MATCHED!$E17,IF(MATCHED!AI17=3,MATCHED!$F17,IF(MATCHED!AI17=6,MATCHED!$G17,IF(MATCHED!AI17=7,MATCHED!$H17,"")))))))&amp;IF(MATCHED!AI17=8,MATCHED!$I17,IF(MATCHED!AI17=9,MATCHED!$J17,IF(MATCHED!AI17=10,MATCHED!$K17,IF(MATCHED!AI17=11,MATCHED!$L17,IF(MATCHED!AI17=12,MATCHED!$M17,IF(MATCHED!AI17=13,MATCHED!$N17,IF(MATCHED!AI17=14,MATCHED!$O17,"")))))))&amp;IF(MATCHED!AI17=15,MATCHED!$P17,IF(MATCHED!AI17=16,MATCHED!$Q17,IF(MATCHED!AI17=17,MATCHED!$R17,IF(MATCHED!AI17=18,MATCHED!$S17,IF(MATCHED!AI17=19,MATCHED!$T17,IF(MATCHED!AI17=20,MATCHED!$U17,IF(MATCHED!AI17=21,MATCHED!$V17,)))))))&amp;IF(MATCHED!AI17=22,MATCHED!$W17,IF(MATCHED!AI17=23,MATCHED!$X17,IF(MATCHED!AI17=24,MATCHED!$Y17,IF(MATCHED!AI17=25,MATCHED!$Z17,IF(MATCHED!AI17=26,MATCHED!$AA17,IF(MATCHED!AI17=27,MATCHED!$AB17,"."))))))</f>
        <v>#N/A</v>
      </c>
      <c r="H17" s="321" t="e">
        <f>IF(MATCHED!AJ17=1,MATCHED!$B17,IF(MATCHED!AJ17=2,MATCHED!$C17,IF(MATCHED!AJ17=3,MATCHED!$D17,IF(MATCHED!AJ17=4,MATCHED!$E17,IF(MATCHED!AJ17=3,MATCHED!$F17,IF(MATCHED!AJ17=6,MATCHED!$G17,IF(MATCHED!AJ17=7,MATCHED!$H17,"")))))))&amp;IF(MATCHED!AJ17=8,MATCHED!$I17,IF(MATCHED!AJ17=9,MATCHED!$J17,IF(MATCHED!AJ17=10,MATCHED!$K17,IF(MATCHED!AJ17=11,MATCHED!$L17,IF(MATCHED!AJ17=12,MATCHED!$M17,IF(MATCHED!AJ17=13,MATCHED!$N17,IF(MATCHED!AJ17=14,MATCHED!$O17,"")))))))&amp;IF(MATCHED!AJ17=15,MATCHED!$P17,IF(MATCHED!AJ17=16,MATCHED!$Q17,IF(MATCHED!AJ17=17,MATCHED!$R17,IF(MATCHED!AJ17=18,MATCHED!$S17,IF(MATCHED!AJ17=19,MATCHED!$T17,IF(MATCHED!AJ17=20,MATCHED!$U17,IF(MATCHED!AJ17=21,MATCHED!$V17,)))))))&amp;IF(MATCHED!AJ17=22,MATCHED!$W17,IF(MATCHED!AJ17=23,MATCHED!$X17,IF(MATCHED!AJ17=24,MATCHED!$Y17,IF(MATCHED!AJ17=25,MATCHED!$Z17,IF(MATCHED!AJ17=26,MATCHED!$AA17,IF(MATCHED!AJ17=27,MATCHED!$AB17,"."))))))</f>
        <v>#N/A</v>
      </c>
      <c r="I17" s="323" t="e">
        <f>IF(MATCHED!AK17=1,MATCHED!$B17,IF(MATCHED!AK17=2,MATCHED!$C17,IF(MATCHED!AK17=3,MATCHED!$D17,IF(MATCHED!AK17=4,MATCHED!$E17,IF(MATCHED!AK17=3,MATCHED!$F17,IF(MATCHED!AK17=6,MATCHED!$G17,IF(MATCHED!AK17=7,MATCHED!$H17,"")))))))&amp;IF(MATCHED!AK17=8,MATCHED!$I17,IF(MATCHED!AK17=9,MATCHED!$J17,IF(MATCHED!AK17=10,MATCHED!$K17,IF(MATCHED!AK17=11,MATCHED!$L17,IF(MATCHED!AK17=12,MATCHED!$M17,IF(MATCHED!AK17=13,MATCHED!$N17,IF(MATCHED!AK17=14,MATCHED!$O17,"")))))))&amp;IF(MATCHED!AK17=15,MATCHED!$P17,IF(MATCHED!AK17=16,MATCHED!$Q17,IF(MATCHED!AK17=17,MATCHED!$R17,IF(MATCHED!AK17=18,MATCHED!$S17,IF(MATCHED!AK17=19,MATCHED!$T17,IF(MATCHED!AK17=20,MATCHED!$U17,IF(MATCHED!AK17=21,MATCHED!$V17,)))))))&amp;IF(MATCHED!AK17=22,MATCHED!$W17,IF(MATCHED!AK17=23,MATCHED!$X17,IF(MATCHED!AK17=24,MATCHED!$Y17,IF(MATCHED!AK17=25,MATCHED!$Z17,IF(MATCHED!AK17=26,MATCHED!$AA17,IF(MATCHED!AK17=27,MATCHED!$AB17,"."))))))</f>
        <v>#N/A</v>
      </c>
      <c r="J17" s="321" t="e">
        <f>IF(MATCHED!AL17=1,MATCHED!$B17,IF(MATCHED!AL17=2,MATCHED!$C17,IF(MATCHED!AL17=3,MATCHED!$D17,IF(MATCHED!AL17=4,MATCHED!$E17,IF(MATCHED!AL17=3,MATCHED!$F17,IF(MATCHED!AL17=6,MATCHED!$G17,IF(MATCHED!AL17=7,MATCHED!$H17,"")))))))&amp;IF(MATCHED!AL17=8,MATCHED!$I17,IF(MATCHED!AL17=9,MATCHED!$J17,IF(MATCHED!AL17=10,MATCHED!$K17,IF(MATCHED!AL17=11,MATCHED!$L17,IF(MATCHED!AL17=12,MATCHED!$M17,IF(MATCHED!AL17=13,MATCHED!$N17,IF(MATCHED!AL17=14,MATCHED!$O17,"")))))))&amp;IF(MATCHED!AL17=15,MATCHED!$P17,IF(MATCHED!AL17=16,MATCHED!$Q17,IF(MATCHED!AL17=17,MATCHED!$R17,IF(MATCHED!AL17=18,MATCHED!$S17,IF(MATCHED!AL17=19,MATCHED!$T17,IF(MATCHED!AL17=20,MATCHED!$U17,IF(MATCHED!AL17=21,MATCHED!$V17,)))))))&amp;IF(MATCHED!AL17=22,MATCHED!$W17,IF(MATCHED!AL17=23,MATCHED!$X17,IF(MATCHED!AL17=24,MATCHED!$Y17,IF(MATCHED!AL17=25,MATCHED!$Z17,IF(MATCHED!AL17=26,MATCHED!$AA17,IF(MATCHED!AL17=27,MATCHED!$AB17,"."))))))</f>
        <v>#N/A</v>
      </c>
      <c r="K17" s="321" t="e">
        <f>IF(MATCHED!AM17=1,MATCHED!$B17,IF(MATCHED!AM17=2,MATCHED!$C17,IF(MATCHED!AM17=3,MATCHED!$D17,IF(MATCHED!AM17=4,MATCHED!$E17,IF(MATCHED!AM17=3,MATCHED!$F17,IF(MATCHED!AM17=6,MATCHED!$G17,IF(MATCHED!AM17=7,MATCHED!$H17,"")))))))&amp;IF(MATCHED!AM17=8,MATCHED!$I17,IF(MATCHED!AM17=9,MATCHED!$J17,IF(MATCHED!AM17=10,MATCHED!$K17,IF(MATCHED!AM17=11,MATCHED!$L17,IF(MATCHED!AM17=12,MATCHED!$M17,IF(MATCHED!AM17=13,MATCHED!$N17,IF(MATCHED!AM17=14,MATCHED!$O17,"")))))))&amp;IF(MATCHED!AM17=15,MATCHED!$P17,IF(MATCHED!AM17=16,MATCHED!$Q17,IF(MATCHED!AM17=17,MATCHED!$R17,IF(MATCHED!AM17=18,MATCHED!$S17,IF(MATCHED!AM17=19,MATCHED!$T17,IF(MATCHED!AM17=20,MATCHED!$U17,IF(MATCHED!AM17=21,MATCHED!$V17,)))))))&amp;IF(MATCHED!AM17=22,MATCHED!$W17,IF(MATCHED!AM17=23,MATCHED!$X17,IF(MATCHED!AM17=24,MATCHED!$Y17,IF(MATCHED!AM17=25,MATCHED!$Z17,IF(MATCHED!AM17=26,MATCHED!$AA17,IF(MATCHED!AM17=27,MATCHED!$AB17,"."))))))</f>
        <v>#N/A</v>
      </c>
      <c r="L17" s="321" t="e">
        <f>IF(MATCHED!AN17=1,MATCHED!$B17,IF(MATCHED!AN17=2,MATCHED!$C17,IF(MATCHED!AN17=3,MATCHED!$D17,IF(MATCHED!AN17=4,MATCHED!$E17,IF(MATCHED!AN17=3,MATCHED!$F17,IF(MATCHED!AN17=6,MATCHED!$G17,IF(MATCHED!AN17=7,MATCHED!$H17,"")))))))&amp;IF(MATCHED!AN17=8,MATCHED!$I17,IF(MATCHED!AN17=9,MATCHED!$J17,IF(MATCHED!AN17=10,MATCHED!$K17,IF(MATCHED!AN17=11,MATCHED!$L17,IF(MATCHED!AN17=12,MATCHED!$M17,IF(MATCHED!AN17=13,MATCHED!$N17,IF(MATCHED!AN17=14,MATCHED!$O17,"")))))))&amp;IF(MATCHED!AN17=15,MATCHED!$P17,IF(MATCHED!AN17=16,MATCHED!$Q17,IF(MATCHED!AN17=17,MATCHED!$R17,IF(MATCHED!AN17=18,MATCHED!$S17,IF(MATCHED!AN17=19,MATCHED!$T17,IF(MATCHED!AN17=20,MATCHED!$U17,IF(MATCHED!AN17=21,MATCHED!$V17,)))))))&amp;IF(MATCHED!AN17=22,MATCHED!$W17,IF(MATCHED!AN17=23,MATCHED!$X17,IF(MATCHED!AN17=24,MATCHED!$Y17,IF(MATCHED!AN17=25,MATCHED!$Z17,IF(MATCHED!AN17=26,MATCHED!$AA17,IF(MATCHED!AN17=27,MATCHED!$AB17,"."))))))</f>
        <v>#N/A</v>
      </c>
      <c r="M17" s="324" t="e">
        <f>IF(MATCHED!AO17=1,MATCHED!$B17,IF(MATCHED!AO17=2,MATCHED!$C17,IF(MATCHED!AO17=3,MATCHED!$D17,IF(MATCHED!AO17=4,MATCHED!$E17,IF(MATCHED!AO17=3,MATCHED!$F17,IF(MATCHED!AO17=6,MATCHED!$G17,IF(MATCHED!AO17=7,MATCHED!$H17,"")))))))&amp;IF(MATCHED!AO17=8,MATCHED!$I17,IF(MATCHED!AO17=9,MATCHED!$J17,IF(MATCHED!AO17=10,MATCHED!$K17,IF(MATCHED!AO17=11,MATCHED!$L17,IF(MATCHED!AO17=12,MATCHED!$M17,IF(MATCHED!AO17=13,MATCHED!$N17,IF(MATCHED!AO17=14,MATCHED!$O17,"")))))))&amp;IF(MATCHED!AO17=15,MATCHED!$P17,IF(MATCHED!AO17=16,MATCHED!$Q17,IF(MATCHED!AO17=17,MATCHED!$R17,IF(MATCHED!AO17=18,MATCHED!$S17,IF(MATCHED!AO17=19,MATCHED!$T17,IF(MATCHED!AO17=20,MATCHED!$U17,IF(MATCHED!AO17=21,MATCHED!$V17,)))))))&amp;IF(MATCHED!AO17=22,MATCHED!$W17,IF(MATCHED!AO17=23,MATCHED!$X17,IF(MATCHED!AO17=24,MATCHED!$Y17,IF(MATCHED!AO17=25,MATCHED!$Z17,IF(MATCHED!AO17=26,MATCHED!$AA17,IF(MATCHED!AO17=27,MATCHED!$AB17,"."))))))</f>
        <v>#N/A</v>
      </c>
      <c r="N17" s="321" t="e">
        <f>IF(MATCHED!AP17=1,MATCHED!$B17,IF(MATCHED!AP17=2,MATCHED!$C17,IF(MATCHED!AP17=3,MATCHED!$D17,IF(MATCHED!AP17=4,MATCHED!$E17,IF(MATCHED!AP17=3,MATCHED!$F17,IF(MATCHED!AP17=6,MATCHED!$G17,IF(MATCHED!AP17=7,MATCHED!$H17,"")))))))&amp;IF(MATCHED!AP17=8,MATCHED!$I17,IF(MATCHED!AP17=9,MATCHED!$J17,IF(MATCHED!AP17=10,MATCHED!$K17,IF(MATCHED!AP17=11,MATCHED!$L17,IF(MATCHED!AP17=12,MATCHED!$M17,IF(MATCHED!AP17=13,MATCHED!$N17,IF(MATCHED!AP17=14,MATCHED!$O17,"")))))))&amp;IF(MATCHED!AP17=15,MATCHED!$P17,IF(MATCHED!AP17=16,MATCHED!$Q17,IF(MATCHED!AP17=17,MATCHED!$R17,IF(MATCHED!AP17=18,MATCHED!$S17,IF(MATCHED!AP17=19,MATCHED!$T17,IF(MATCHED!AP17=20,MATCHED!$U17,IF(MATCHED!AP17=21,MATCHED!$V17,)))))))&amp;IF(MATCHED!AP17=22,MATCHED!$W17,IF(MATCHED!AP17=23,MATCHED!$X17,IF(MATCHED!AP17=24,MATCHED!$Y17,IF(MATCHED!AP17=25,MATCHED!$Z17,IF(MATCHED!AP17=26,MATCHED!$AA17,IF(MATCHED!AP17=27,MATCHED!$AB17,"."))))))</f>
        <v>#N/A</v>
      </c>
      <c r="O17" s="321" t="e">
        <f>IF(MATCHED!AQ17=1,MATCHED!$B17,IF(MATCHED!AQ17=2,MATCHED!$C17,IF(MATCHED!AQ17=3,MATCHED!$D17,IF(MATCHED!AQ17=4,MATCHED!$E17,IF(MATCHED!AQ17=3,MATCHED!$F17,IF(MATCHED!AQ17=6,MATCHED!$G17,IF(MATCHED!AQ17=7,MATCHED!$H17,"")))))))&amp;IF(MATCHED!AQ17=8,MATCHED!$I17,IF(MATCHED!AQ17=9,MATCHED!$J17,IF(MATCHED!AQ17=10,MATCHED!$K17,IF(MATCHED!AQ17=11,MATCHED!$L17,IF(MATCHED!AQ17=12,MATCHED!$M17,IF(MATCHED!AQ17=13,MATCHED!$N17,IF(MATCHED!AQ17=14,MATCHED!$O17,"")))))))&amp;IF(MATCHED!AQ17=15,MATCHED!$P17,IF(MATCHED!AQ17=16,MATCHED!$Q17,IF(MATCHED!AQ17=17,MATCHED!$R17,IF(MATCHED!AQ17=18,MATCHED!$S17,IF(MATCHED!AQ17=19,MATCHED!$T17,IF(MATCHED!AQ17=20,MATCHED!$U17,IF(MATCHED!AQ17=21,MATCHED!$V17,)))))))&amp;IF(MATCHED!AQ17=22,MATCHED!$W17,IF(MATCHED!AQ17=23,MATCHED!$X17,IF(MATCHED!AQ17=24,MATCHED!$Y17,IF(MATCHED!AQ17=25,MATCHED!$Z17,IF(MATCHED!AQ17=26,MATCHED!$AA17,IF(MATCHED!AQ17=27,MATCHED!$AB17,"."))))))</f>
        <v>#N/A</v>
      </c>
      <c r="P17" s="321" t="e">
        <f>IF(MATCHED!AR17=1,MATCHED!$B17,IF(MATCHED!AR17=2,MATCHED!$C17,IF(MATCHED!AR17=3,MATCHED!$D17,IF(MATCHED!AR17=4,MATCHED!$E17,IF(MATCHED!AR17=3,MATCHED!$F17,IF(MATCHED!AR17=6,MATCHED!$G17,IF(MATCHED!AR17=7,MATCHED!$H17,"")))))))&amp;IF(MATCHED!AR17=8,MATCHED!$I17,IF(MATCHED!AR17=9,MATCHED!$J17,IF(MATCHED!AR17=10,MATCHED!$K17,IF(MATCHED!AR17=11,MATCHED!$L17,IF(MATCHED!AR17=12,MATCHED!$M17,IF(MATCHED!AR17=13,MATCHED!$N17,IF(MATCHED!AR17=14,MATCHED!$O17,"")))))))&amp;IF(MATCHED!AR17=15,MATCHED!$P17,IF(MATCHED!AR17=16,MATCHED!$Q17,IF(MATCHED!AR17=17,MATCHED!$R17,IF(MATCHED!AR17=18,MATCHED!$S17,IF(MATCHED!AR17=19,MATCHED!$T17,IF(MATCHED!AR17=20,MATCHED!$U17,IF(MATCHED!AR17=21,MATCHED!$V17,)))))))&amp;IF(MATCHED!AR17=22,MATCHED!$W17,IF(MATCHED!AR17=23,MATCHED!$X17,IF(MATCHED!AR17=24,MATCHED!$Y17,IF(MATCHED!AR17=25,MATCHED!$Z17,IF(MATCHED!AR17=26,MATCHED!$AA17,IF(MATCHED!AR17=27,MATCHED!$AB17,"."))))))</f>
        <v>#N/A</v>
      </c>
      <c r="Q17" s="322" t="e">
        <f>IF(MATCHED!AS17=1,MATCHED!$B17,IF(MATCHED!AS17=2,MATCHED!$C17,IF(MATCHED!AS17=3,MATCHED!$D17,IF(MATCHED!AS17=4,MATCHED!$E17,IF(MATCHED!AS17=3,MATCHED!$F17,IF(MATCHED!AS17=6,MATCHED!$G17,IF(MATCHED!AS17=7,MATCHED!$H17,"")))))))&amp;IF(MATCHED!AS17=8,MATCHED!$I17,IF(MATCHED!AS17=9,MATCHED!$J17,IF(MATCHED!AS17=10,MATCHED!$K17,IF(MATCHED!AS17=11,MATCHED!$L17,IF(MATCHED!AS17=12,MATCHED!$M17,IF(MATCHED!AS17=13,MATCHED!$N17,IF(MATCHED!AS17=14,MATCHED!$O17,"")))))))&amp;IF(MATCHED!AS17=15,MATCHED!$P17,IF(MATCHED!AS17=16,MATCHED!$Q17,IF(MATCHED!AS17=17,MATCHED!$R17,IF(MATCHED!AS17=18,MATCHED!$S17,IF(MATCHED!AS17=19,MATCHED!$T17,IF(MATCHED!AS17=20,MATCHED!$U17,IF(MATCHED!AS17=21,MATCHED!$V17,)))))))&amp;IF(MATCHED!AS17=22,MATCHED!$W17,IF(MATCHED!AS17=23,MATCHED!$X17,IF(MATCHED!AS17=24,MATCHED!$Y17,IF(MATCHED!AS17=25,MATCHED!$Z17,IF(MATCHED!AS17=26,MATCHED!$AA17,IF(MATCHED!AS17=27,MATCHED!$AB17,"."))))))</f>
        <v>#N/A</v>
      </c>
      <c r="R17" s="321" t="e">
        <f>IF(MATCHED!AT17=1,MATCHED!$B17,IF(MATCHED!AT17=2,MATCHED!$C17,IF(MATCHED!AT17=3,MATCHED!$D17,IF(MATCHED!AT17=4,MATCHED!$E17,IF(MATCHED!AT17=3,MATCHED!$F17,IF(MATCHED!AT17=6,MATCHED!$G17,IF(MATCHED!AT17=7,MATCHED!$H17,"")))))))&amp;IF(MATCHED!AT17=8,MATCHED!$I17,IF(MATCHED!AT17=9,MATCHED!$J17,IF(MATCHED!AT17=10,MATCHED!$K17,IF(MATCHED!AT17=11,MATCHED!$L17,IF(MATCHED!AT17=12,MATCHED!$M17,IF(MATCHED!AT17=13,MATCHED!$N17,IF(MATCHED!AT17=14,MATCHED!$O17,"")))))))&amp;IF(MATCHED!AT17=15,MATCHED!$P17,IF(MATCHED!AT17=16,MATCHED!$Q17,IF(MATCHED!AT17=17,MATCHED!$R17,IF(MATCHED!AT17=18,MATCHED!$S17,IF(MATCHED!AT17=19,MATCHED!$T17,IF(MATCHED!AT17=20,MATCHED!$U17,IF(MATCHED!AT17=21,MATCHED!$V17,)))))))&amp;IF(MATCHED!AT17=22,MATCHED!$W17,IF(MATCHED!AT17=23,MATCHED!$X17,IF(MATCHED!AT17=24,MATCHED!$Y17,IF(MATCHED!AT17=25,MATCHED!$Z17,IF(MATCHED!AT17=26,MATCHED!$AA17,IF(MATCHED!AT17=27,MATCHED!$AB17,"."))))))</f>
        <v>#N/A</v>
      </c>
      <c r="S17" s="321" t="e">
        <f>IF(MATCHED!AU17=1,MATCHED!$B17,IF(MATCHED!AU17=2,MATCHED!$C17,IF(MATCHED!AU17=3,MATCHED!$D17,IF(MATCHED!AU17=4,MATCHED!$E17,IF(MATCHED!AU17=3,MATCHED!$F17,IF(MATCHED!AU17=6,MATCHED!$G17,IF(MATCHED!AU17=7,MATCHED!$H17,"")))))))&amp;IF(MATCHED!AU17=8,MATCHED!$I17,IF(MATCHED!AU17=9,MATCHED!$J17,IF(MATCHED!AU17=10,MATCHED!$K17,IF(MATCHED!AU17=11,MATCHED!$L17,IF(MATCHED!AU17=12,MATCHED!$M17,IF(MATCHED!AU17=13,MATCHED!$N17,IF(MATCHED!AU17=14,MATCHED!$O17,"")))))))&amp;IF(MATCHED!AU17=15,MATCHED!$P17,IF(MATCHED!AU17=16,MATCHED!$Q17,IF(MATCHED!AU17=17,MATCHED!$R17,IF(MATCHED!AU17=18,MATCHED!$S17,IF(MATCHED!AU17=19,MATCHED!$T17,IF(MATCHED!AU17=20,MATCHED!$U17,IF(MATCHED!AU17=21,MATCHED!$V17,)))))))&amp;IF(MATCHED!AU17=22,MATCHED!$W17,IF(MATCHED!AU17=23,MATCHED!$X17,IF(MATCHED!AU17=24,MATCHED!$Y17,IF(MATCHED!AU17=25,MATCHED!$Z17,IF(MATCHED!AU17=26,MATCHED!$AA17,IF(MATCHED!AU17=27,MATCHED!$AB17,"."))))))</f>
        <v>#N/A</v>
      </c>
      <c r="T17" s="321" t="e">
        <f>IF(MATCHED!AV17=1,MATCHED!$B17,IF(MATCHED!AV17=2,MATCHED!$C17,IF(MATCHED!AV17=3,MATCHED!$D17,IF(MATCHED!AV17=4,MATCHED!$E17,IF(MATCHED!AV17=3,MATCHED!$F17,IF(MATCHED!AV17=6,MATCHED!$G17,IF(MATCHED!AV17=7,MATCHED!$H17,"")))))))&amp;IF(MATCHED!AV17=8,MATCHED!$I17,IF(MATCHED!AV17=9,MATCHED!$J17,IF(MATCHED!AV17=10,MATCHED!$K17,IF(MATCHED!AV17=11,MATCHED!$L17,IF(MATCHED!AV17=12,MATCHED!$M17,IF(MATCHED!AV17=13,MATCHED!$N17,IF(MATCHED!AV17=14,MATCHED!$O17,"")))))))&amp;IF(MATCHED!AV17=15,MATCHED!$P17,IF(MATCHED!AV17=16,MATCHED!$Q17,IF(MATCHED!AV17=17,MATCHED!$R17,IF(MATCHED!AV17=18,MATCHED!$S17,IF(MATCHED!AV17=19,MATCHED!$T17,IF(MATCHED!AV17=20,MATCHED!$U17,IF(MATCHED!AV17=21,MATCHED!$V17,)))))))&amp;IF(MATCHED!AV17=22,MATCHED!$W17,IF(MATCHED!AV17=23,MATCHED!$X17,IF(MATCHED!AV17=24,MATCHED!$Y17,IF(MATCHED!AV17=25,MATCHED!$Z17,IF(MATCHED!AV17=26,MATCHED!$AA17,IF(MATCHED!AV17=27,MATCHED!$AB17,"."))))))</f>
        <v>#N/A</v>
      </c>
      <c r="U17" s="321" t="e">
        <f>IF(MATCHED!AW17=1,MATCHED!$B17,IF(MATCHED!AW17=2,MATCHED!$C17,IF(MATCHED!AW17=3,MATCHED!$D17,IF(MATCHED!AW17=4,MATCHED!$E17,IF(MATCHED!AW17=3,MATCHED!$F17,IF(MATCHED!AW17=6,MATCHED!$G17,IF(MATCHED!AW17=7,MATCHED!$H17,"")))))))&amp;IF(MATCHED!AW17=8,MATCHED!$I17,IF(MATCHED!AW17=9,MATCHED!$J17,IF(MATCHED!AW17=10,MATCHED!$K17,IF(MATCHED!AW17=11,MATCHED!$L17,IF(MATCHED!AW17=12,MATCHED!$M17,IF(MATCHED!AW17=13,MATCHED!$N17,IF(MATCHED!AW17=14,MATCHED!$O17,"")))))))&amp;IF(MATCHED!AW17=15,MATCHED!$P17,IF(MATCHED!AW17=16,MATCHED!$Q17,IF(MATCHED!AW17=17,MATCHED!$R17,IF(MATCHED!AW17=18,MATCHED!$S17,IF(MATCHED!AW17=19,MATCHED!$T17,IF(MATCHED!AW17=20,MATCHED!$U17,IF(MATCHED!AW17=21,MATCHED!$V17,)))))))&amp;IF(MATCHED!AW17=22,MATCHED!$W17,IF(MATCHED!AW17=23,MATCHED!$X17,IF(MATCHED!AW17=24,MATCHED!$Y17,IF(MATCHED!AW17=25,MATCHED!$Z17,IF(MATCHED!AW17=26,MATCHED!$AA17,IF(MATCHED!AW17=27,MATCHED!$AB17,"."))))))</f>
        <v>#N/A</v>
      </c>
      <c r="V17" s="321" t="e">
        <f>IF(MATCHED!AX17=1,MATCHED!$B17,IF(MATCHED!AX17=2,MATCHED!$C17,IF(MATCHED!AX17=3,MATCHED!$D17,IF(MATCHED!AX17=4,MATCHED!$E17,IF(MATCHED!AX17=3,MATCHED!$F17,IF(MATCHED!AX17=6,MATCHED!$G17,IF(MATCHED!AX17=7,MATCHED!$H17,"")))))))&amp;IF(MATCHED!AX17=8,MATCHED!$I17,IF(MATCHED!AX17=9,MATCHED!$J17,IF(MATCHED!AX17=10,MATCHED!$K17,IF(MATCHED!AX17=11,MATCHED!$L17,IF(MATCHED!AX17=12,MATCHED!$M17,IF(MATCHED!AX17=13,MATCHED!$N17,IF(MATCHED!AX17=14,MATCHED!$O17,"")))))))&amp;IF(MATCHED!AX17=15,MATCHED!$P17,IF(MATCHED!AX17=16,MATCHED!$Q17,IF(MATCHED!AX17=17,MATCHED!$R17,IF(MATCHED!AX17=18,MATCHED!$S17,IF(MATCHED!AX17=19,MATCHED!$T17,IF(MATCHED!AX17=20,MATCHED!$U17,IF(MATCHED!AX17=21,MATCHED!$V17,)))))))&amp;IF(MATCHED!AX17=22,MATCHED!$W17,IF(MATCHED!AX17=23,MATCHED!$X17,IF(MATCHED!AX17=24,MATCHED!$Y17,IF(MATCHED!AX17=25,MATCHED!$Z17,IF(MATCHED!AX17=26,MATCHED!$AA17,IF(MATCHED!AX17=27,MATCHED!$AB17,"."))))))</f>
        <v>#N/A</v>
      </c>
      <c r="W17" s="321" t="e">
        <f>IF(MATCHED!AY17=1,MATCHED!$B17,IF(MATCHED!AY17=2,MATCHED!$C17,IF(MATCHED!AY17=3,MATCHED!$D17,IF(MATCHED!AY17=4,MATCHED!$E17,IF(MATCHED!AY17=3,MATCHED!$F17,IF(MATCHED!AY17=6,MATCHED!$G17,IF(MATCHED!AY17=7,MATCHED!$H17,"")))))))&amp;IF(MATCHED!AY17=8,MATCHED!$I17,IF(MATCHED!AY17=9,MATCHED!$J17,IF(MATCHED!AY17=10,MATCHED!$K17,IF(MATCHED!AY17=11,MATCHED!$L17,IF(MATCHED!AY17=12,MATCHED!$M17,IF(MATCHED!AY17=13,MATCHED!$N17,IF(MATCHED!AY17=14,MATCHED!$O17,"")))))))&amp;IF(MATCHED!AY17=15,MATCHED!$P17,IF(MATCHED!AY17=16,MATCHED!$Q17,IF(MATCHED!AY17=17,MATCHED!$R17,IF(MATCHED!AY17=18,MATCHED!$S17,IF(MATCHED!AY17=19,MATCHED!$T17,IF(MATCHED!AY17=20,MATCHED!$U17,IF(MATCHED!AY17=21,MATCHED!$V17,)))))))&amp;IF(MATCHED!AY17=22,MATCHED!$W17,IF(MATCHED!AY17=23,MATCHED!$X17,IF(MATCHED!AY17=24,MATCHED!$Y17,IF(MATCHED!AY17=25,MATCHED!$Z17,IF(MATCHED!AY17=26,MATCHED!$AA17,IF(MATCHED!AY17=27,MATCHED!$AB17,"."))))))</f>
        <v>#N/A</v>
      </c>
      <c r="X17" s="321" t="e">
        <f>IF(MATCHED!AZ17=1,MATCHED!$B17,IF(MATCHED!AZ17=2,MATCHED!$C17,IF(MATCHED!AZ17=3,MATCHED!$D17,IF(MATCHED!AZ17=4,MATCHED!$E17,IF(MATCHED!AZ17=3,MATCHED!$F17,IF(MATCHED!AZ17=6,MATCHED!$G17,IF(MATCHED!AZ17=7,MATCHED!$H17,"")))))))&amp;IF(MATCHED!AZ17=8,MATCHED!$I17,IF(MATCHED!AZ17=9,MATCHED!$J17,IF(MATCHED!AZ17=10,MATCHED!$K17,IF(MATCHED!AZ17=11,MATCHED!$L17,IF(MATCHED!AZ17=12,MATCHED!$M17,IF(MATCHED!AZ17=13,MATCHED!$N17,IF(MATCHED!AZ17=14,MATCHED!$O17,"")))))))&amp;IF(MATCHED!AZ17=15,MATCHED!$P17,IF(MATCHED!AZ17=16,MATCHED!$Q17,IF(MATCHED!AZ17=17,MATCHED!$R17,IF(MATCHED!AZ17=18,MATCHED!$S17,IF(MATCHED!AZ17=19,MATCHED!$T17,IF(MATCHED!AZ17=20,MATCHED!$U17,IF(MATCHED!AZ17=21,MATCHED!$V17,)))))))&amp;IF(MATCHED!AZ17=22,MATCHED!$W17,IF(MATCHED!AZ17=23,MATCHED!$X17,IF(MATCHED!AZ17=24,MATCHED!$Y17,IF(MATCHED!AZ17=25,MATCHED!$Z17,IF(MATCHED!AZ17=26,MATCHED!$AA17,IF(MATCHED!AZ17=27,MATCHED!$AB17,"."))))))</f>
        <v>#N/A</v>
      </c>
      <c r="Y17" s="321" t="e">
        <f>IF(MATCHED!BA17=1,MATCHED!$B17,IF(MATCHED!BA17=2,MATCHED!$C17,IF(MATCHED!BA17=3,MATCHED!$D17,IF(MATCHED!BA17=4,MATCHED!$E17,IF(MATCHED!BA17=3,MATCHED!$F17,IF(MATCHED!BA17=6,MATCHED!$G17,IF(MATCHED!BA17=7,MATCHED!$H17,"")))))))&amp;IF(MATCHED!BA17=8,MATCHED!$I17,IF(MATCHED!BA17=9,MATCHED!$J17,IF(MATCHED!BA17=10,MATCHED!$K17,IF(MATCHED!BA17=11,MATCHED!$L17,IF(MATCHED!BA17=12,MATCHED!$M17,IF(MATCHED!BA17=13,MATCHED!$N17,IF(MATCHED!BA17=14,MATCHED!$O17,"")))))))&amp;IF(MATCHED!BA17=15,MATCHED!$P17,IF(MATCHED!BA17=16,MATCHED!$Q17,IF(MATCHED!BA17=17,MATCHED!$R17,IF(MATCHED!BA17=18,MATCHED!$S17,IF(MATCHED!BA17=19,MATCHED!$T17,IF(MATCHED!BA17=20,MATCHED!$U17,IF(MATCHED!BA17=21,MATCHED!$V17,)))))))&amp;IF(MATCHED!BA17=22,MATCHED!$W17,IF(MATCHED!BA17=23,MATCHED!$X17,IF(MATCHED!BA17=24,MATCHED!$Y17,IF(MATCHED!BA17=25,MATCHED!$Z17,IF(MATCHED!BA17=26,MATCHED!$AA17,IF(MATCHED!BA17=27,MATCHED!$AB17,"."))))))</f>
        <v>#N/A</v>
      </c>
      <c r="Z17" s="321" t="e">
        <f>IF(MATCHED!BB17=1,MATCHED!$B17,IF(MATCHED!BB17=2,MATCHED!$C17,IF(MATCHED!BB17=3,MATCHED!$D17,IF(MATCHED!BB17=4,MATCHED!$E17,IF(MATCHED!BB17=3,MATCHED!$F17,IF(MATCHED!BB17=6,MATCHED!$G17,IF(MATCHED!BB17=7,MATCHED!$H17,"")))))))&amp;IF(MATCHED!BB17=8,MATCHED!$I17,IF(MATCHED!BB17=9,MATCHED!$J17,IF(MATCHED!BB17=10,MATCHED!$K17,IF(MATCHED!BB17=11,MATCHED!$L17,IF(MATCHED!BB17=12,MATCHED!$M17,IF(MATCHED!BB17=13,MATCHED!$N17,IF(MATCHED!BB17=14,MATCHED!$O17,"")))))))&amp;IF(MATCHED!BB17=15,MATCHED!$P17,IF(MATCHED!BB17=16,MATCHED!$Q17,IF(MATCHED!BB17=17,MATCHED!$R17,IF(MATCHED!BB17=18,MATCHED!$S17,IF(MATCHED!BB17=19,MATCHED!$T17,IF(MATCHED!BB17=20,MATCHED!$U17,IF(MATCHED!BB17=21,MATCHED!$V17,)))))))&amp;IF(MATCHED!BB17=22,MATCHED!$W17,IF(MATCHED!BB17=23,MATCHED!$X17,IF(MATCHED!BB17=24,MATCHED!$Y17,IF(MATCHED!BB17=25,MATCHED!$Z17,IF(MATCHED!BB17=26,MATCHED!$AA17,IF(MATCHED!BB17=27,MATCHED!$AB17,"."))))))</f>
        <v>#N/A</v>
      </c>
      <c r="AA17" s="321" t="e">
        <f>IF(MATCHED!BC17=1,MATCHED!$B17,IF(MATCHED!BC17=2,MATCHED!$C17,IF(MATCHED!BC17=3,MATCHED!$D17,IF(MATCHED!BC17=4,MATCHED!$E17,IF(MATCHED!BC17=3,MATCHED!$F17,IF(MATCHED!BC17=6,MATCHED!$G17,IF(MATCHED!BC17=7,MATCHED!$H17,"")))))))&amp;IF(MATCHED!BC17=8,MATCHED!$I17,IF(MATCHED!BC17=9,MATCHED!$J17,IF(MATCHED!BC17=10,MATCHED!$K17,IF(MATCHED!BC17=11,MATCHED!$L17,IF(MATCHED!BC17=12,MATCHED!$M17,IF(MATCHED!BC17=13,MATCHED!$N17,IF(MATCHED!BC17=14,MATCHED!$O17,"")))))))&amp;IF(MATCHED!BC17=15,MATCHED!$P17,IF(MATCHED!BC17=16,MATCHED!$Q17,IF(MATCHED!BC17=17,MATCHED!$R17,IF(MATCHED!BC17=18,MATCHED!$S17,IF(MATCHED!BC17=19,MATCHED!$T17,IF(MATCHED!BC17=20,MATCHED!$U17,IF(MATCHED!BC17=21,MATCHED!$V17,)))))))&amp;IF(MATCHED!BC17=22,MATCHED!$W17,IF(MATCHED!BC17=23,MATCHED!$X17,IF(MATCHED!BC17=24,MATCHED!$Y17,IF(MATCHED!BC17=25,MATCHED!$Z17,IF(MATCHED!BC17=26,MATCHED!$AA17,IF(MATCHED!BC17=27,MATCHED!$AB17,"."))))))</f>
        <v>#N/A</v>
      </c>
      <c r="AB17" s="321" t="e">
        <f>IF(MATCHED!BD17=1,MATCHED!$B17,IF(MATCHED!BD17=2,MATCHED!$C17,IF(MATCHED!BD17=3,MATCHED!$D17,IF(MATCHED!BD17=4,MATCHED!$E17,IF(MATCHED!BD17=3,MATCHED!$F17,IF(MATCHED!BD17=6,MATCHED!$G17,IF(MATCHED!BD17=7,MATCHED!$H17,"")))))))&amp;IF(MATCHED!BD17=8,MATCHED!$I17,IF(MATCHED!BD17=9,MATCHED!$J17,IF(MATCHED!BD17=10,MATCHED!$K17,IF(MATCHED!BD17=11,MATCHED!$L17,IF(MATCHED!BD17=12,MATCHED!$M17,IF(MATCHED!BD17=13,MATCHED!$N17,IF(MATCHED!BD17=14,MATCHED!$O17,"")))))))&amp;IF(MATCHED!BD17=15,MATCHED!$P17,IF(MATCHED!BD17=16,MATCHED!$Q17,IF(MATCHED!BD17=17,MATCHED!$R17,IF(MATCHED!BD17=18,MATCHED!$S17,IF(MATCHED!BD17=19,MATCHED!$T17,IF(MATCHED!BD17=20,MATCHED!$U17,IF(MATCHED!BD17=21,MATCHED!$V17,)))))))&amp;IF(MATCHED!BD17=22,MATCHED!$W17,IF(MATCHED!BD17=23,MATCHED!$X17,IF(MATCHED!BD17=24,MATCHED!$Y17,IF(MATCHED!BD17=25,MATCHED!$Z17,IF(MATCHED!BD17=26,MATCHED!$AA17,IF(MATCHED!BD17=27,MATCHED!$AB17,"."))))))</f>
        <v>#N/A</v>
      </c>
      <c r="AC17" s="321" t="e">
        <f>IF(MATCHED!BE17=1,MATCHED!$B17,IF(MATCHED!BE17=2,MATCHED!$C17,IF(MATCHED!BE17=3,MATCHED!$D17,IF(MATCHED!BE17=4,MATCHED!$E17,IF(MATCHED!BE17=3,MATCHED!$F17,IF(MATCHED!BE17=6,MATCHED!$G17,IF(MATCHED!BE17=7,MATCHED!$H17,"")))))))&amp;IF(MATCHED!BE17=8,MATCHED!$I17,IF(MATCHED!BE17=9,MATCHED!$J17,IF(MATCHED!BE17=10,MATCHED!$K17,IF(MATCHED!BE17=11,MATCHED!$L17,IF(MATCHED!BE17=12,MATCHED!$M17,IF(MATCHED!BE17=13,MATCHED!$N17,IF(MATCHED!BE17=14,MATCHED!$O17,"")))))))&amp;IF(MATCHED!BE17=15,MATCHED!$P17,IF(MATCHED!BE17=16,MATCHED!$Q17,IF(MATCHED!BE17=17,MATCHED!$R17,IF(MATCHED!BE17=18,MATCHED!$S17,IF(MATCHED!BE17=19,MATCHED!$T17,IF(MATCHED!BE17=20,MATCHED!$U17,IF(MATCHED!BE17=21,MATCHED!$V17,)))))))&amp;IF(MATCHED!BE17=22,MATCHED!$W17,IF(MATCHED!BE17=23,MATCHED!$X17,IF(MATCHED!BE17=24,MATCHED!$Y17,IF(MATCHED!BE17=25,MATCHED!$Z17,IF(MATCHED!BE17=26,MATCHED!$AA17,IF(MATCHED!BE17=27,MATCHED!$AB17,"."))))))</f>
        <v>#N/A</v>
      </c>
      <c r="AD17" s="321" t="e">
        <f>IF(MATCHED!BF17=1,MATCHED!$B17,IF(MATCHED!BF17=2,MATCHED!$C17,IF(MATCHED!BF17=3,MATCHED!$D17,IF(MATCHED!BF17=4,MATCHED!$E17,IF(MATCHED!BF17=3,MATCHED!$F17,IF(MATCHED!BF17=6,MATCHED!$G17,IF(MATCHED!BF17=7,MATCHED!$H17,"")))))))&amp;IF(MATCHED!BF17=8,MATCHED!$I17,IF(MATCHED!BF17=9,MATCHED!$J17,IF(MATCHED!BF17=10,MATCHED!$K17,IF(MATCHED!BF17=11,MATCHED!$L17,IF(MATCHED!BF17=12,MATCHED!$M17,IF(MATCHED!BF17=13,MATCHED!$N17,IF(MATCHED!BF17=14,MATCHED!$O17,"")))))))&amp;IF(MATCHED!BF17=15,MATCHED!$P17,IF(MATCHED!BF17=16,MATCHED!$Q17,IF(MATCHED!BF17=17,MATCHED!$R17,IF(MATCHED!BF17=18,MATCHED!$S17,IF(MATCHED!BF17=19,MATCHED!$T17,IF(MATCHED!BF17=20,MATCHED!$U17,IF(MATCHED!BF17=21,MATCHED!$V17,)))))))&amp;IF(MATCHED!BF17=22,MATCHED!$W17,IF(MATCHED!BF17=23,MATCHED!$X17,IF(MATCHED!BF17=24,MATCHED!$Y17,IF(MATCHED!BF17=25,MATCHED!$Z17,IF(MATCHED!BF17=26,MATCHED!$AA17,IF(MATCHED!BF17=27,MATCHED!$AB17,"."))))))</f>
        <v>#N/A</v>
      </c>
      <c r="AE17" s="321" t="e">
        <f>IF(MATCHED!BG17=1,MATCHED!$B17,IF(MATCHED!BG17=2,MATCHED!$C17,IF(MATCHED!BG17=3,MATCHED!$D17,IF(MATCHED!BG17=4,MATCHED!$E17,IF(MATCHED!BG17=3,MATCHED!$F17,IF(MATCHED!BG17=6,MATCHED!$G17,IF(MATCHED!BG17=7,MATCHED!$H17,"")))))))&amp;IF(MATCHED!BG17=8,MATCHED!$I17,IF(MATCHED!BG17=9,MATCHED!$J17,IF(MATCHED!BG17=10,MATCHED!$K17,IF(MATCHED!BG17=11,MATCHED!$L17,IF(MATCHED!BG17=12,MATCHED!$M17,IF(MATCHED!BG17=13,MATCHED!$N17,IF(MATCHED!BG17=14,MATCHED!$O17,"")))))))&amp;IF(MATCHED!BG17=15,MATCHED!$P17,IF(MATCHED!BG17=16,MATCHED!$Q17,IF(MATCHED!BG17=17,MATCHED!$R17,IF(MATCHED!BG17=18,MATCHED!$S17,IF(MATCHED!BG17=19,MATCHED!$T17,IF(MATCHED!BG17=20,MATCHED!$U17,IF(MATCHED!BG17=21,MATCHED!$V17,)))))))&amp;IF(MATCHED!BG17=22,MATCHED!$W17,IF(MATCHED!BG17=23,MATCHED!$X17,IF(MATCHED!BG17=24,MATCHED!$Y17,IF(MATCHED!BG17=25,MATCHED!$Z17,IF(MATCHED!BG17=26,MATCHED!$AA17,IF(MATCHED!BG17=27,MATCHED!$AB17,"."))))))</f>
        <v>#N/A</v>
      </c>
      <c r="AF17" s="321" t="e">
        <f>IF(MATCHED!BH17=1,MATCHED!$B17,IF(MATCHED!BH17=2,MATCHED!$C17,IF(MATCHED!BH17=3,MATCHED!$D17,IF(MATCHED!BH17=4,MATCHED!$E17,IF(MATCHED!BH17=3,MATCHED!$F17,IF(MATCHED!BH17=6,MATCHED!$G17,IF(MATCHED!BH17=7,MATCHED!$H17,"")))))))&amp;IF(MATCHED!BH17=8,MATCHED!$I17,IF(MATCHED!BH17=9,MATCHED!$J17,IF(MATCHED!BH17=10,MATCHED!$K17,IF(MATCHED!BH17=11,MATCHED!$L17,IF(MATCHED!BH17=12,MATCHED!$M17,IF(MATCHED!BH17=13,MATCHED!$N17,IF(MATCHED!BH17=14,MATCHED!$O17,"")))))))&amp;IF(MATCHED!BH17=15,MATCHED!$P17,IF(MATCHED!BH17=16,MATCHED!$Q17,IF(MATCHED!BH17=17,MATCHED!$R17,IF(MATCHED!BH17=18,MATCHED!$S17,IF(MATCHED!BH17=19,MATCHED!$T17,IF(MATCHED!BH17=20,MATCHED!$U17,IF(MATCHED!BH17=21,MATCHED!$V17,)))))))&amp;IF(MATCHED!BH17=22,MATCHED!$W17,IF(MATCHED!BH17=23,MATCHED!$X17,IF(MATCHED!BH17=24,MATCHED!$Y17,IF(MATCHED!BH17=25,MATCHED!$Z17,IF(MATCHED!BH17=26,MATCHED!$AA17,IF(MATCHED!BH17=27,MATCHED!$AB17,"."))))))</f>
        <v>#N/A</v>
      </c>
      <c r="AG17" s="321" t="e">
        <f>IF(MATCHED!BI17=1,MATCHED!$B17,IF(MATCHED!BI17=2,MATCHED!$C17,IF(MATCHED!BI17=3,MATCHED!$D17,IF(MATCHED!BI17=4,MATCHED!$E17,IF(MATCHED!BI17=3,MATCHED!$F17,IF(MATCHED!BI17=6,MATCHED!$G17,IF(MATCHED!BI17=7,MATCHED!$H17,"")))))))&amp;IF(MATCHED!BI17=8,MATCHED!$I17,IF(MATCHED!BI17=9,MATCHED!$J17,IF(MATCHED!BI17=10,MATCHED!$K17,IF(MATCHED!BI17=11,MATCHED!$L17,IF(MATCHED!BI17=12,MATCHED!$M17,IF(MATCHED!BI17=13,MATCHED!$N17,IF(MATCHED!BI17=14,MATCHED!$O17,"")))))))&amp;IF(MATCHED!BI17=15,MATCHED!$P17,IF(MATCHED!BI17=16,MATCHED!$Q17,IF(MATCHED!BI17=17,MATCHED!$R17,IF(MATCHED!BI17=18,MATCHED!$S17,IF(MATCHED!BI17=19,MATCHED!$T17,IF(MATCHED!BI17=20,MATCHED!$U17,IF(MATCHED!BI17=21,MATCHED!$V17,)))))))&amp;IF(MATCHED!BI17=22,MATCHED!$W17,IF(MATCHED!BI17=23,MATCHED!$X17,IF(MATCHED!BI17=24,MATCHED!$Y17,IF(MATCHED!BI17=25,MATCHED!$Z17,IF(MATCHED!BI17=26,MATCHED!$AA17,IF(MATCHED!BI17=27,MATCHED!$AB17,"."))))))</f>
        <v>#N/A</v>
      </c>
      <c r="AH17" s="322" t="e">
        <f>IF(MATCHED!BJ17=1,MATCHED!$B17,IF(MATCHED!BJ17=2,MATCHED!$C17,IF(MATCHED!BJ17=3,MATCHED!$D17,IF(MATCHED!BJ17=4,MATCHED!$E17,IF(MATCHED!BJ17=3,MATCHED!$F17,IF(MATCHED!BJ17=6,MATCHED!$G17,IF(MATCHED!BJ17=7,MATCHED!$H17,"")))))))&amp;IF(MATCHED!BJ17=8,MATCHED!$I17,IF(MATCHED!BJ17=9,MATCHED!$J17,IF(MATCHED!BJ17=10,MATCHED!$K17,IF(MATCHED!BJ17=11,MATCHED!$L17,IF(MATCHED!BJ17=12,MATCHED!$M17,IF(MATCHED!BJ17=13,MATCHED!$N17,IF(MATCHED!BJ17=14,MATCHED!$O17,"")))))))&amp;IF(MATCHED!BJ17=15,MATCHED!$P17,IF(MATCHED!BJ17=16,MATCHED!$Q17,IF(MATCHED!BJ17=17,MATCHED!$R17,IF(MATCHED!BJ17=18,MATCHED!$S17,IF(MATCHED!BJ17=19,MATCHED!$T17,IF(MATCHED!BJ17=20,MATCHED!$U17,IF(MATCHED!BJ17=21,MATCHED!$V17,)))))))&amp;IF(MATCHED!BJ17=22,MATCHED!$W17,IF(MATCHED!BJ17=23,MATCHED!$X17,IF(MATCHED!BJ17=24,MATCHED!$Y17,IF(MATCHED!BJ17=25,MATCHED!$Z17,IF(MATCHED!BJ17=26,MATCHED!$AA17,IF(MATCHED!BJ17=27,MATCHED!$AB17,"."))))))</f>
        <v>#N/A</v>
      </c>
      <c r="AI17" s="321" t="e">
        <f>IF(MATCHED!BK17=1,MATCHED!$B17,IF(MATCHED!BK17=2,MATCHED!$C17,IF(MATCHED!BK17=3,MATCHED!$D17,IF(MATCHED!BK17=4,MATCHED!$E17,IF(MATCHED!BK17=3,MATCHED!$F17,IF(MATCHED!BK17=6,MATCHED!$G17,IF(MATCHED!BK17=7,MATCHED!$H17,"")))))))&amp;IF(MATCHED!BK17=8,MATCHED!$I17,IF(MATCHED!BK17=9,MATCHED!$J17,IF(MATCHED!BK17=10,MATCHED!$K17,IF(MATCHED!BK17=11,MATCHED!$L17,IF(MATCHED!BK17=12,MATCHED!$M17,IF(MATCHED!BK17=13,MATCHED!$N17,IF(MATCHED!BK17=14,MATCHED!$O17,"")))))))&amp;IF(MATCHED!BK17=15,MATCHED!$P17,IF(MATCHED!BK17=16,MATCHED!$Q17,IF(MATCHED!BK17=17,MATCHED!$R17,IF(MATCHED!BK17=18,MATCHED!$S17,IF(MATCHED!BK17=19,MATCHED!$T17,IF(MATCHED!BK17=20,MATCHED!$U17,IF(MATCHED!BK17=21,MATCHED!$V17,)))))))&amp;IF(MATCHED!BK17=22,MATCHED!$W17,IF(MATCHED!BK17=23,MATCHED!$X17,IF(MATCHED!BK17=24,MATCHED!$Y17,IF(MATCHED!BK17=25,MATCHED!$Z17,IF(MATCHED!BK17=26,MATCHED!$AA17,IF(MATCHED!BK17=27,MATCHED!$AB17,"."))))))</f>
        <v>#N/A</v>
      </c>
      <c r="AJ17" s="350"/>
    </row>
    <row r="18" spans="1:36" s="338" customFormat="1" x14ac:dyDescent="0.25">
      <c r="A18" s="540" t="s">
        <v>181</v>
      </c>
      <c r="B18" s="352" t="e">
        <f>IF(MATCHED!AD18=1,MATCHED!$B18,IF(MATCHED!AD18=2,MATCHED!$C18,IF(MATCHED!AD18=3,MATCHED!$D18,IF(MATCHED!AD18=4,MATCHED!$E18,IF(MATCHED!AD18=3,MATCHED!$F18,IF(MATCHED!AD18=6,MATCHED!$G18,IF(MATCHED!AD18=7,MATCHED!$H18,"")))))))&amp;IF(MATCHED!AD18=8,MATCHED!$I18,IF(MATCHED!AD18=9,MATCHED!$J18,IF(MATCHED!AD18=10,MATCHED!$K18,IF(MATCHED!AD18=11,MATCHED!$L18,IF(MATCHED!AD18=12,MATCHED!$M18,IF(MATCHED!AD18=13,MATCHED!$N18,IF(MATCHED!AD18=14,MATCHED!$O18,"")))))))&amp;IF(MATCHED!AD18=15,MATCHED!$P18,IF(MATCHED!AD18=16,MATCHED!$Q18,IF(MATCHED!AD18=17,MATCHED!$R18,IF(MATCHED!AD18=18,MATCHED!$S18,IF(MATCHED!AD18=19,MATCHED!$T18,IF(MATCHED!AD18=20,MATCHED!$U18,IF(MATCHED!AD18=21,MATCHED!$V18,)))))))&amp;IF(MATCHED!AD18=22,MATCHED!$W18,IF(MATCHED!AD18=23,MATCHED!$X18,IF(MATCHED!AD18=24,MATCHED!$Y18,IF(MATCHED!AD18=25,MATCHED!$Z18,IF(MATCHED!AD18=26,MATCHED!$AA18,IF(MATCHED!AD18=27,MATCHED!$AB18,"."))))))</f>
        <v>#N/A</v>
      </c>
      <c r="C18" s="353" t="e">
        <f>IF(MATCHED!AE18=1,MATCHED!$B18,IF(MATCHED!AE18=2,MATCHED!$C18,IF(MATCHED!AE18=3,MATCHED!$D18,IF(MATCHED!AE18=4,MATCHED!$E18,IF(MATCHED!AE18=3,MATCHED!$F18,IF(MATCHED!AE18=6,MATCHED!$G18,IF(MATCHED!AE18=7,MATCHED!$H18,"")))))))&amp;IF(MATCHED!AE18=8,MATCHED!$I18,IF(MATCHED!AE18=9,MATCHED!$J18,IF(MATCHED!AE18=10,MATCHED!$K18,IF(MATCHED!AE18=11,MATCHED!$L18,IF(MATCHED!AE18=12,MATCHED!$M18,IF(MATCHED!AE18=13,MATCHED!$N18,IF(MATCHED!AE18=14,MATCHED!$O18,"")))))))&amp;IF(MATCHED!AE18=15,MATCHED!$P18,IF(MATCHED!AE18=16,MATCHED!$Q18,IF(MATCHED!AE18=17,MATCHED!$R18,IF(MATCHED!AE18=18,MATCHED!$S18,IF(MATCHED!AE18=19,MATCHED!$T18,IF(MATCHED!AE18=20,MATCHED!$U18,IF(MATCHED!AE18=21,MATCHED!$V18,)))))))&amp;IF(MATCHED!AE18=22,MATCHED!$W18,IF(MATCHED!AE18=23,MATCHED!$X18,IF(MATCHED!AE18=24,MATCHED!$Y18,IF(MATCHED!AE18=25,MATCHED!$Z18,IF(MATCHED!AE18=26,MATCHED!$AA18,IF(MATCHED!AE18=27,MATCHED!$AB18,"."))))))</f>
        <v>#N/A</v>
      </c>
      <c r="D18" s="353" t="e">
        <f>IF(MATCHED!AF18=1,MATCHED!$B18,IF(MATCHED!AF18=2,MATCHED!$C18,IF(MATCHED!AF18=3,MATCHED!$D18,IF(MATCHED!AF18=4,MATCHED!$E18,IF(MATCHED!AF18=3,MATCHED!$F18,IF(MATCHED!AF18=6,MATCHED!$G18,IF(MATCHED!AF18=7,MATCHED!$H18,"")))))))&amp;IF(MATCHED!AF18=8,MATCHED!$I18,IF(MATCHED!AF18=9,MATCHED!$J18,IF(MATCHED!AF18=10,MATCHED!$K18,IF(MATCHED!AF18=11,MATCHED!$L18,IF(MATCHED!AF18=12,MATCHED!$M18,IF(MATCHED!AF18=13,MATCHED!$N18,IF(MATCHED!AF18=14,MATCHED!$O18,"")))))))&amp;IF(MATCHED!AF18=15,MATCHED!$P18,IF(MATCHED!AF18=16,MATCHED!$Q18,IF(MATCHED!AF18=17,MATCHED!$R18,IF(MATCHED!AF18=18,MATCHED!$S18,IF(MATCHED!AF18=19,MATCHED!$T18,IF(MATCHED!AF18=20,MATCHED!$U18,IF(MATCHED!AF18=21,MATCHED!$V18,)))))))&amp;IF(MATCHED!AF18=22,MATCHED!$W18,IF(MATCHED!AF18=23,MATCHED!$X18,IF(MATCHED!AF18=24,MATCHED!$Y18,IF(MATCHED!AF18=25,MATCHED!$Z18,IF(MATCHED!AF18=26,MATCHED!$AA18,IF(MATCHED!AF18=27,MATCHED!$AB18,"."))))))</f>
        <v>#N/A</v>
      </c>
      <c r="E18" s="353" t="e">
        <f>IF(MATCHED!AG18=1,MATCHED!$B18,IF(MATCHED!AG18=2,MATCHED!$C18,IF(MATCHED!AG18=3,MATCHED!$D18,IF(MATCHED!AG18=4,MATCHED!$E18,IF(MATCHED!AG18=3,MATCHED!$F18,IF(MATCHED!AG18=6,MATCHED!$G18,IF(MATCHED!AG18=7,MATCHED!$H18,"")))))))&amp;IF(MATCHED!AG18=8,MATCHED!$I18,IF(MATCHED!AG18=9,MATCHED!$J18,IF(MATCHED!AG18=10,MATCHED!$K18,IF(MATCHED!AG18=11,MATCHED!$L18,IF(MATCHED!AG18=12,MATCHED!$M18,IF(MATCHED!AG18=13,MATCHED!$N18,IF(MATCHED!AG18=14,MATCHED!$O18,"")))))))&amp;IF(MATCHED!AG18=15,MATCHED!$P18,IF(MATCHED!AG18=16,MATCHED!$Q18,IF(MATCHED!AG18=17,MATCHED!$R18,IF(MATCHED!AG18=18,MATCHED!$S18,IF(MATCHED!AG18=19,MATCHED!$T18,IF(MATCHED!AG18=20,MATCHED!$U18,IF(MATCHED!AG18=21,MATCHED!$V18,)))))))&amp;IF(MATCHED!AG18=22,MATCHED!$W18,IF(MATCHED!AG18=23,MATCHED!$X18,IF(MATCHED!AG18=24,MATCHED!$Y18,IF(MATCHED!AG18=25,MATCHED!$Z18,IF(MATCHED!AG18=26,MATCHED!$AA18,IF(MATCHED!AG18=27,MATCHED!$AB18,"."))))))</f>
        <v>#N/A</v>
      </c>
      <c r="F18" s="353" t="e">
        <f>IF(MATCHED!AH18=1,MATCHED!$B18,IF(MATCHED!AH18=2,MATCHED!$C18,IF(MATCHED!AH18=3,MATCHED!$D18,IF(MATCHED!AH18=4,MATCHED!$E18,IF(MATCHED!AH18=3,MATCHED!$F18,IF(MATCHED!AH18=6,MATCHED!$G18,IF(MATCHED!AH18=7,MATCHED!$H18,"")))))))&amp;IF(MATCHED!AH18=8,MATCHED!$I18,IF(MATCHED!AH18=9,MATCHED!$J18,IF(MATCHED!AH18=10,MATCHED!$K18,IF(MATCHED!AH18=11,MATCHED!$L18,IF(MATCHED!AH18=12,MATCHED!$M18,IF(MATCHED!AH18=13,MATCHED!$N18,IF(MATCHED!AH18=14,MATCHED!$O18,"")))))))&amp;IF(MATCHED!AH18=15,MATCHED!$P18,IF(MATCHED!AH18=16,MATCHED!$Q18,IF(MATCHED!AH18=17,MATCHED!$R18,IF(MATCHED!AH18=18,MATCHED!$S18,IF(MATCHED!AH18=19,MATCHED!$T18,IF(MATCHED!AH18=20,MATCHED!$U18,IF(MATCHED!AH18=21,MATCHED!$V18,)))))))&amp;IF(MATCHED!AH18=22,MATCHED!$W18,IF(MATCHED!AH18=23,MATCHED!$X18,IF(MATCHED!AH18=24,MATCHED!$Y18,IF(MATCHED!AH18=25,MATCHED!$Z18,IF(MATCHED!AH18=26,MATCHED!$AA18,IF(MATCHED!AH18=27,MATCHED!$AB18,"."))))))</f>
        <v>#N/A</v>
      </c>
      <c r="G18" s="353" t="e">
        <f>IF(MATCHED!AI18=1,MATCHED!$B18,IF(MATCHED!AI18=2,MATCHED!$C18,IF(MATCHED!AI18=3,MATCHED!$D18,IF(MATCHED!AI18=4,MATCHED!$E18,IF(MATCHED!AI18=3,MATCHED!$F18,IF(MATCHED!AI18=6,MATCHED!$G18,IF(MATCHED!AI18=7,MATCHED!$H18,"")))))))&amp;IF(MATCHED!AI18=8,MATCHED!$I18,IF(MATCHED!AI18=9,MATCHED!$J18,IF(MATCHED!AI18=10,MATCHED!$K18,IF(MATCHED!AI18=11,MATCHED!$L18,IF(MATCHED!AI18=12,MATCHED!$M18,IF(MATCHED!AI18=13,MATCHED!$N18,IF(MATCHED!AI18=14,MATCHED!$O18,"")))))))&amp;IF(MATCHED!AI18=15,MATCHED!$P18,IF(MATCHED!AI18=16,MATCHED!$Q18,IF(MATCHED!AI18=17,MATCHED!$R18,IF(MATCHED!AI18=18,MATCHED!$S18,IF(MATCHED!AI18=19,MATCHED!$T18,IF(MATCHED!AI18=20,MATCHED!$U18,IF(MATCHED!AI18=21,MATCHED!$V18,)))))))&amp;IF(MATCHED!AI18=22,MATCHED!$W18,IF(MATCHED!AI18=23,MATCHED!$X18,IF(MATCHED!AI18=24,MATCHED!$Y18,IF(MATCHED!AI18=25,MATCHED!$Z18,IF(MATCHED!AI18=26,MATCHED!$AA18,IF(MATCHED!AI18=27,MATCHED!$AB18,"."))))))</f>
        <v>#N/A</v>
      </c>
      <c r="H18" s="353" t="e">
        <f>IF(MATCHED!AJ18=1,MATCHED!$B18,IF(MATCHED!AJ18=2,MATCHED!$C18,IF(MATCHED!AJ18=3,MATCHED!$D18,IF(MATCHED!AJ18=4,MATCHED!$E18,IF(MATCHED!AJ18=3,MATCHED!$F18,IF(MATCHED!AJ18=6,MATCHED!$G18,IF(MATCHED!AJ18=7,MATCHED!$H18,"")))))))&amp;IF(MATCHED!AJ18=8,MATCHED!$I18,IF(MATCHED!AJ18=9,MATCHED!$J18,IF(MATCHED!AJ18=10,MATCHED!$K18,IF(MATCHED!AJ18=11,MATCHED!$L18,IF(MATCHED!AJ18=12,MATCHED!$M18,IF(MATCHED!AJ18=13,MATCHED!$N18,IF(MATCHED!AJ18=14,MATCHED!$O18,"")))))))&amp;IF(MATCHED!AJ18=15,MATCHED!$P18,IF(MATCHED!AJ18=16,MATCHED!$Q18,IF(MATCHED!AJ18=17,MATCHED!$R18,IF(MATCHED!AJ18=18,MATCHED!$S18,IF(MATCHED!AJ18=19,MATCHED!$T18,IF(MATCHED!AJ18=20,MATCHED!$U18,IF(MATCHED!AJ18=21,MATCHED!$V18,)))))))&amp;IF(MATCHED!AJ18=22,MATCHED!$W18,IF(MATCHED!AJ18=23,MATCHED!$X18,IF(MATCHED!AJ18=24,MATCHED!$Y18,IF(MATCHED!AJ18=25,MATCHED!$Z18,IF(MATCHED!AJ18=26,MATCHED!$AA18,IF(MATCHED!AJ18=27,MATCHED!$AB18,"."))))))</f>
        <v>#N/A</v>
      </c>
      <c r="I18" s="353" t="e">
        <f>IF(MATCHED!AK18=1,MATCHED!$B18,IF(MATCHED!AK18=2,MATCHED!$C18,IF(MATCHED!AK18=3,MATCHED!$D18,IF(MATCHED!AK18=4,MATCHED!$E18,IF(MATCHED!AK18=3,MATCHED!$F18,IF(MATCHED!AK18=6,MATCHED!$G18,IF(MATCHED!AK18=7,MATCHED!$H18,"")))))))&amp;IF(MATCHED!AK18=8,MATCHED!$I18,IF(MATCHED!AK18=9,MATCHED!$J18,IF(MATCHED!AK18=10,MATCHED!$K18,IF(MATCHED!AK18=11,MATCHED!$L18,IF(MATCHED!AK18=12,MATCHED!$M18,IF(MATCHED!AK18=13,MATCHED!$N18,IF(MATCHED!AK18=14,MATCHED!$O18,"")))))))&amp;IF(MATCHED!AK18=15,MATCHED!$P18,IF(MATCHED!AK18=16,MATCHED!$Q18,IF(MATCHED!AK18=17,MATCHED!$R18,IF(MATCHED!AK18=18,MATCHED!$S18,IF(MATCHED!AK18=19,MATCHED!$T18,IF(MATCHED!AK18=20,MATCHED!$U18,IF(MATCHED!AK18=21,MATCHED!$V18,)))))))&amp;IF(MATCHED!AK18=22,MATCHED!$W18,IF(MATCHED!AK18=23,MATCHED!$X18,IF(MATCHED!AK18=24,MATCHED!$Y18,IF(MATCHED!AK18=25,MATCHED!$Z18,IF(MATCHED!AK18=26,MATCHED!$AA18,IF(MATCHED!AK18=27,MATCHED!$AB18,"."))))))</f>
        <v>#N/A</v>
      </c>
      <c r="J18" s="353" t="e">
        <f>IF(MATCHED!AL18=1,MATCHED!$B18,IF(MATCHED!AL18=2,MATCHED!$C18,IF(MATCHED!AL18=3,MATCHED!$D18,IF(MATCHED!AL18=4,MATCHED!$E18,IF(MATCHED!AL18=3,MATCHED!$F18,IF(MATCHED!AL18=6,MATCHED!$G18,IF(MATCHED!AL18=7,MATCHED!$H18,"")))))))&amp;IF(MATCHED!AL18=8,MATCHED!$I18,IF(MATCHED!AL18=9,MATCHED!$J18,IF(MATCHED!AL18=10,MATCHED!$K18,IF(MATCHED!AL18=11,MATCHED!$L18,IF(MATCHED!AL18=12,MATCHED!$M18,IF(MATCHED!AL18=13,MATCHED!$N18,IF(MATCHED!AL18=14,MATCHED!$O18,"")))))))&amp;IF(MATCHED!AL18=15,MATCHED!$P18,IF(MATCHED!AL18=16,MATCHED!$Q18,IF(MATCHED!AL18=17,MATCHED!$R18,IF(MATCHED!AL18=18,MATCHED!$S18,IF(MATCHED!AL18=19,MATCHED!$T18,IF(MATCHED!AL18=20,MATCHED!$U18,IF(MATCHED!AL18=21,MATCHED!$V18,)))))))&amp;IF(MATCHED!AL18=22,MATCHED!$W18,IF(MATCHED!AL18=23,MATCHED!$X18,IF(MATCHED!AL18=24,MATCHED!$Y18,IF(MATCHED!AL18=25,MATCHED!$Z18,IF(MATCHED!AL18=26,MATCHED!$AA18,IF(MATCHED!AL18=27,MATCHED!$AB18,"."))))))</f>
        <v>#N/A</v>
      </c>
      <c r="K18" s="353" t="e">
        <f>IF(MATCHED!AM18=1,MATCHED!$B18,IF(MATCHED!AM18=2,MATCHED!$C18,IF(MATCHED!AM18=3,MATCHED!$D18,IF(MATCHED!AM18=4,MATCHED!$E18,IF(MATCHED!AM18=3,MATCHED!$F18,IF(MATCHED!AM18=6,MATCHED!$G18,IF(MATCHED!AM18=7,MATCHED!$H18,"")))))))&amp;IF(MATCHED!AM18=8,MATCHED!$I18,IF(MATCHED!AM18=9,MATCHED!$J18,IF(MATCHED!AM18=10,MATCHED!$K18,IF(MATCHED!AM18=11,MATCHED!$L18,IF(MATCHED!AM18=12,MATCHED!$M18,IF(MATCHED!AM18=13,MATCHED!$N18,IF(MATCHED!AM18=14,MATCHED!$O18,"")))))))&amp;IF(MATCHED!AM18=15,MATCHED!$P18,IF(MATCHED!AM18=16,MATCHED!$Q18,IF(MATCHED!AM18=17,MATCHED!$R18,IF(MATCHED!AM18=18,MATCHED!$S18,IF(MATCHED!AM18=19,MATCHED!$T18,IF(MATCHED!AM18=20,MATCHED!$U18,IF(MATCHED!AM18=21,MATCHED!$V18,)))))))&amp;IF(MATCHED!AM18=22,MATCHED!$W18,IF(MATCHED!AM18=23,MATCHED!$X18,IF(MATCHED!AM18=24,MATCHED!$Y18,IF(MATCHED!AM18=25,MATCHED!$Z18,IF(MATCHED!AM18=26,MATCHED!$AA18,IF(MATCHED!AM18=27,MATCHED!$AB18,"."))))))</f>
        <v>#N/A</v>
      </c>
      <c r="L18" s="353" t="e">
        <f>IF(MATCHED!AN18=1,MATCHED!$B18,IF(MATCHED!AN18=2,MATCHED!$C18,IF(MATCHED!AN18=3,MATCHED!$D18,IF(MATCHED!AN18=4,MATCHED!$E18,IF(MATCHED!AN18=3,MATCHED!$F18,IF(MATCHED!AN18=6,MATCHED!$G18,IF(MATCHED!AN18=7,MATCHED!$H18,"")))))))&amp;IF(MATCHED!AN18=8,MATCHED!$I18,IF(MATCHED!AN18=9,MATCHED!$J18,IF(MATCHED!AN18=10,MATCHED!$K18,IF(MATCHED!AN18=11,MATCHED!$L18,IF(MATCHED!AN18=12,MATCHED!$M18,IF(MATCHED!AN18=13,MATCHED!$N18,IF(MATCHED!AN18=14,MATCHED!$O18,"")))))))&amp;IF(MATCHED!AN18=15,MATCHED!$P18,IF(MATCHED!AN18=16,MATCHED!$Q18,IF(MATCHED!AN18=17,MATCHED!$R18,IF(MATCHED!AN18=18,MATCHED!$S18,IF(MATCHED!AN18=19,MATCHED!$T18,IF(MATCHED!AN18=20,MATCHED!$U18,IF(MATCHED!AN18=21,MATCHED!$V18,)))))))&amp;IF(MATCHED!AN18=22,MATCHED!$W18,IF(MATCHED!AN18=23,MATCHED!$X18,IF(MATCHED!AN18=24,MATCHED!$Y18,IF(MATCHED!AN18=25,MATCHED!$Z18,IF(MATCHED!AN18=26,MATCHED!$AA18,IF(MATCHED!AN18=27,MATCHED!$AB18,"."))))))</f>
        <v>#N/A</v>
      </c>
      <c r="M18" s="353" t="e">
        <f>IF(MATCHED!AO18=1,MATCHED!$B18,IF(MATCHED!AO18=2,MATCHED!$C18,IF(MATCHED!AO18=3,MATCHED!$D18,IF(MATCHED!AO18=4,MATCHED!$E18,IF(MATCHED!AO18=3,MATCHED!$F18,IF(MATCHED!AO18=6,MATCHED!$G18,IF(MATCHED!AO18=7,MATCHED!$H18,"")))))))&amp;IF(MATCHED!AO18=8,MATCHED!$I18,IF(MATCHED!AO18=9,MATCHED!$J18,IF(MATCHED!AO18=10,MATCHED!$K18,IF(MATCHED!AO18=11,MATCHED!$L18,IF(MATCHED!AO18=12,MATCHED!$M18,IF(MATCHED!AO18=13,MATCHED!$N18,IF(MATCHED!AO18=14,MATCHED!$O18,"")))))))&amp;IF(MATCHED!AO18=15,MATCHED!$P18,IF(MATCHED!AO18=16,MATCHED!$Q18,IF(MATCHED!AO18=17,MATCHED!$R18,IF(MATCHED!AO18=18,MATCHED!$S18,IF(MATCHED!AO18=19,MATCHED!$T18,IF(MATCHED!AO18=20,MATCHED!$U18,IF(MATCHED!AO18=21,MATCHED!$V18,)))))))&amp;IF(MATCHED!AO18=22,MATCHED!$W18,IF(MATCHED!AO18=23,MATCHED!$X18,IF(MATCHED!AO18=24,MATCHED!$Y18,IF(MATCHED!AO18=25,MATCHED!$Z18,IF(MATCHED!AO18=26,MATCHED!$AA18,IF(MATCHED!AO18=27,MATCHED!$AB18,"."))))))</f>
        <v>#N/A</v>
      </c>
      <c r="N18" s="353" t="e">
        <f>IF(MATCHED!AP18=1,MATCHED!$B18,IF(MATCHED!AP18=2,MATCHED!$C18,IF(MATCHED!AP18=3,MATCHED!$D18,IF(MATCHED!AP18=4,MATCHED!$E18,IF(MATCHED!AP18=3,MATCHED!$F18,IF(MATCHED!AP18=6,MATCHED!$G18,IF(MATCHED!AP18=7,MATCHED!$H18,"")))))))&amp;IF(MATCHED!AP18=8,MATCHED!$I18,IF(MATCHED!AP18=9,MATCHED!$J18,IF(MATCHED!AP18=10,MATCHED!$K18,IF(MATCHED!AP18=11,MATCHED!$L18,IF(MATCHED!AP18=12,MATCHED!$M18,IF(MATCHED!AP18=13,MATCHED!$N18,IF(MATCHED!AP18=14,MATCHED!$O18,"")))))))&amp;IF(MATCHED!AP18=15,MATCHED!$P18,IF(MATCHED!AP18=16,MATCHED!$Q18,IF(MATCHED!AP18=17,MATCHED!$R18,IF(MATCHED!AP18=18,MATCHED!$S18,IF(MATCHED!AP18=19,MATCHED!$T18,IF(MATCHED!AP18=20,MATCHED!$U18,IF(MATCHED!AP18=21,MATCHED!$V18,)))))))&amp;IF(MATCHED!AP18=22,MATCHED!$W18,IF(MATCHED!AP18=23,MATCHED!$X18,IF(MATCHED!AP18=24,MATCHED!$Y18,IF(MATCHED!AP18=25,MATCHED!$Z18,IF(MATCHED!AP18=26,MATCHED!$AA18,IF(MATCHED!AP18=27,MATCHED!$AB18,"."))))))</f>
        <v>#N/A</v>
      </c>
      <c r="O18" s="353" t="e">
        <f>IF(MATCHED!AQ18=1,MATCHED!$B18,IF(MATCHED!AQ18=2,MATCHED!$C18,IF(MATCHED!AQ18=3,MATCHED!$D18,IF(MATCHED!AQ18=4,MATCHED!$E18,IF(MATCHED!AQ18=3,MATCHED!$F18,IF(MATCHED!AQ18=6,MATCHED!$G18,IF(MATCHED!AQ18=7,MATCHED!$H18,"")))))))&amp;IF(MATCHED!AQ18=8,MATCHED!$I18,IF(MATCHED!AQ18=9,MATCHED!$J18,IF(MATCHED!AQ18=10,MATCHED!$K18,IF(MATCHED!AQ18=11,MATCHED!$L18,IF(MATCHED!AQ18=12,MATCHED!$M18,IF(MATCHED!AQ18=13,MATCHED!$N18,IF(MATCHED!AQ18=14,MATCHED!$O18,"")))))))&amp;IF(MATCHED!AQ18=15,MATCHED!$P18,IF(MATCHED!AQ18=16,MATCHED!$Q18,IF(MATCHED!AQ18=17,MATCHED!$R18,IF(MATCHED!AQ18=18,MATCHED!$S18,IF(MATCHED!AQ18=19,MATCHED!$T18,IF(MATCHED!AQ18=20,MATCHED!$U18,IF(MATCHED!AQ18=21,MATCHED!$V18,)))))))&amp;IF(MATCHED!AQ18=22,MATCHED!$W18,IF(MATCHED!AQ18=23,MATCHED!$X18,IF(MATCHED!AQ18=24,MATCHED!$Y18,IF(MATCHED!AQ18=25,MATCHED!$Z18,IF(MATCHED!AQ18=26,MATCHED!$AA18,IF(MATCHED!AQ18=27,MATCHED!$AB18,"."))))))</f>
        <v>#N/A</v>
      </c>
      <c r="P18" s="353" t="e">
        <f>IF(MATCHED!AR18=1,MATCHED!$B18,IF(MATCHED!AR18=2,MATCHED!$C18,IF(MATCHED!AR18=3,MATCHED!$D18,IF(MATCHED!AR18=4,MATCHED!$E18,IF(MATCHED!AR18=3,MATCHED!$F18,IF(MATCHED!AR18=6,MATCHED!$G18,IF(MATCHED!AR18=7,MATCHED!$H18,"")))))))&amp;IF(MATCHED!AR18=8,MATCHED!$I18,IF(MATCHED!AR18=9,MATCHED!$J18,IF(MATCHED!AR18=10,MATCHED!$K18,IF(MATCHED!AR18=11,MATCHED!$L18,IF(MATCHED!AR18=12,MATCHED!$M18,IF(MATCHED!AR18=13,MATCHED!$N18,IF(MATCHED!AR18=14,MATCHED!$O18,"")))))))&amp;IF(MATCHED!AR18=15,MATCHED!$P18,IF(MATCHED!AR18=16,MATCHED!$Q18,IF(MATCHED!AR18=17,MATCHED!$R18,IF(MATCHED!AR18=18,MATCHED!$S18,IF(MATCHED!AR18=19,MATCHED!$T18,IF(MATCHED!AR18=20,MATCHED!$U18,IF(MATCHED!AR18=21,MATCHED!$V18,)))))))&amp;IF(MATCHED!AR18=22,MATCHED!$W18,IF(MATCHED!AR18=23,MATCHED!$X18,IF(MATCHED!AR18=24,MATCHED!$Y18,IF(MATCHED!AR18=25,MATCHED!$Z18,IF(MATCHED!AR18=26,MATCHED!$AA18,IF(MATCHED!AR18=27,MATCHED!$AB18,"."))))))</f>
        <v>#N/A</v>
      </c>
      <c r="Q18" s="354" t="e">
        <f>IF(MATCHED!AS18=1,MATCHED!$B18,IF(MATCHED!AS18=2,MATCHED!$C18,IF(MATCHED!AS18=3,MATCHED!$D18,IF(MATCHED!AS18=4,MATCHED!$E18,IF(MATCHED!AS18=3,MATCHED!$F18,IF(MATCHED!AS18=6,MATCHED!$G18,IF(MATCHED!AS18=7,MATCHED!$H18,"")))))))&amp;IF(MATCHED!AS18=8,MATCHED!$I18,IF(MATCHED!AS18=9,MATCHED!$J18,IF(MATCHED!AS18=10,MATCHED!$K18,IF(MATCHED!AS18=11,MATCHED!$L18,IF(MATCHED!AS18=12,MATCHED!$M18,IF(MATCHED!AS18=13,MATCHED!$N18,IF(MATCHED!AS18=14,MATCHED!$O18,"")))))))&amp;IF(MATCHED!AS18=15,MATCHED!$P18,IF(MATCHED!AS18=16,MATCHED!$Q18,IF(MATCHED!AS18=17,MATCHED!$R18,IF(MATCHED!AS18=18,MATCHED!$S18,IF(MATCHED!AS18=19,MATCHED!$T18,IF(MATCHED!AS18=20,MATCHED!$U18,IF(MATCHED!AS18=21,MATCHED!$V18,)))))))&amp;IF(MATCHED!AS18=22,MATCHED!$W18,IF(MATCHED!AS18=23,MATCHED!$X18,IF(MATCHED!AS18=24,MATCHED!$Y18,IF(MATCHED!AS18=25,MATCHED!$Z18,IF(MATCHED!AS18=26,MATCHED!$AA18,IF(MATCHED!AS18=27,MATCHED!$AB18,"."))))))</f>
        <v>#N/A</v>
      </c>
      <c r="R18" s="353" t="e">
        <f>IF(MATCHED!AT18=1,MATCHED!$B18,IF(MATCHED!AT18=2,MATCHED!$C18,IF(MATCHED!AT18=3,MATCHED!$D18,IF(MATCHED!AT18=4,MATCHED!$E18,IF(MATCHED!AT18=3,MATCHED!$F18,IF(MATCHED!AT18=6,MATCHED!$G18,IF(MATCHED!AT18=7,MATCHED!$H18,"")))))))&amp;IF(MATCHED!AT18=8,MATCHED!$I18,IF(MATCHED!AT18=9,MATCHED!$J18,IF(MATCHED!AT18=10,MATCHED!$K18,IF(MATCHED!AT18=11,MATCHED!$L18,IF(MATCHED!AT18=12,MATCHED!$M18,IF(MATCHED!AT18=13,MATCHED!$N18,IF(MATCHED!AT18=14,MATCHED!$O18,"")))))))&amp;IF(MATCHED!AT18=15,MATCHED!$P18,IF(MATCHED!AT18=16,MATCHED!$Q18,IF(MATCHED!AT18=17,MATCHED!$R18,IF(MATCHED!AT18=18,MATCHED!$S18,IF(MATCHED!AT18=19,MATCHED!$T18,IF(MATCHED!AT18=20,MATCHED!$U18,IF(MATCHED!AT18=21,MATCHED!$V18,)))))))&amp;IF(MATCHED!AT18=22,MATCHED!$W18,IF(MATCHED!AT18=23,MATCHED!$X18,IF(MATCHED!AT18=24,MATCHED!$Y18,IF(MATCHED!AT18=25,MATCHED!$Z18,IF(MATCHED!AT18=26,MATCHED!$AA18,IF(MATCHED!AT18=27,MATCHED!$AB18,"."))))))</f>
        <v>#N/A</v>
      </c>
      <c r="S18" s="353" t="e">
        <f>IF(MATCHED!AU18=1,MATCHED!$B18,IF(MATCHED!AU18=2,MATCHED!$C18,IF(MATCHED!AU18=3,MATCHED!$D18,IF(MATCHED!AU18=4,MATCHED!$E18,IF(MATCHED!AU18=3,MATCHED!$F18,IF(MATCHED!AU18=6,MATCHED!$G18,IF(MATCHED!AU18=7,MATCHED!$H18,"")))))))&amp;IF(MATCHED!AU18=8,MATCHED!$I18,IF(MATCHED!AU18=9,MATCHED!$J18,IF(MATCHED!AU18=10,MATCHED!$K18,IF(MATCHED!AU18=11,MATCHED!$L18,IF(MATCHED!AU18=12,MATCHED!$M18,IF(MATCHED!AU18=13,MATCHED!$N18,IF(MATCHED!AU18=14,MATCHED!$O18,"")))))))&amp;IF(MATCHED!AU18=15,MATCHED!$P18,IF(MATCHED!AU18=16,MATCHED!$Q18,IF(MATCHED!AU18=17,MATCHED!$R18,IF(MATCHED!AU18=18,MATCHED!$S18,IF(MATCHED!AU18=19,MATCHED!$T18,IF(MATCHED!AU18=20,MATCHED!$U18,IF(MATCHED!AU18=21,MATCHED!$V18,)))))))&amp;IF(MATCHED!AU18=22,MATCHED!$W18,IF(MATCHED!AU18=23,MATCHED!$X18,IF(MATCHED!AU18=24,MATCHED!$Y18,IF(MATCHED!AU18=25,MATCHED!$Z18,IF(MATCHED!AU18=26,MATCHED!$AA18,IF(MATCHED!AU18=27,MATCHED!$AB18,"."))))))</f>
        <v>#N/A</v>
      </c>
      <c r="T18" s="353" t="e">
        <f>IF(MATCHED!AV18=1,MATCHED!$B18,IF(MATCHED!AV18=2,MATCHED!$C18,IF(MATCHED!AV18=3,MATCHED!$D18,IF(MATCHED!AV18=4,MATCHED!$E18,IF(MATCHED!AV18=3,MATCHED!$F18,IF(MATCHED!AV18=6,MATCHED!$G18,IF(MATCHED!AV18=7,MATCHED!$H18,"")))))))&amp;IF(MATCHED!AV18=8,MATCHED!$I18,IF(MATCHED!AV18=9,MATCHED!$J18,IF(MATCHED!AV18=10,MATCHED!$K18,IF(MATCHED!AV18=11,MATCHED!$L18,IF(MATCHED!AV18=12,MATCHED!$M18,IF(MATCHED!AV18=13,MATCHED!$N18,IF(MATCHED!AV18=14,MATCHED!$O18,"")))))))&amp;IF(MATCHED!AV18=15,MATCHED!$P18,IF(MATCHED!AV18=16,MATCHED!$Q18,IF(MATCHED!AV18=17,MATCHED!$R18,IF(MATCHED!AV18=18,MATCHED!$S18,IF(MATCHED!AV18=19,MATCHED!$T18,IF(MATCHED!AV18=20,MATCHED!$U18,IF(MATCHED!AV18=21,MATCHED!$V18,)))))))&amp;IF(MATCHED!AV18=22,MATCHED!$W18,IF(MATCHED!AV18=23,MATCHED!$X18,IF(MATCHED!AV18=24,MATCHED!$Y18,IF(MATCHED!AV18=25,MATCHED!$Z18,IF(MATCHED!AV18=26,MATCHED!$AA18,IF(MATCHED!AV18=27,MATCHED!$AB18,"."))))))</f>
        <v>#N/A</v>
      </c>
      <c r="U18" s="353" t="e">
        <f>IF(MATCHED!AW18=1,MATCHED!$B18,IF(MATCHED!AW18=2,MATCHED!$C18,IF(MATCHED!AW18=3,MATCHED!$D18,IF(MATCHED!AW18=4,MATCHED!$E18,IF(MATCHED!AW18=3,MATCHED!$F18,IF(MATCHED!AW18=6,MATCHED!$G18,IF(MATCHED!AW18=7,MATCHED!$H18,"")))))))&amp;IF(MATCHED!AW18=8,MATCHED!$I18,IF(MATCHED!AW18=9,MATCHED!$J18,IF(MATCHED!AW18=10,MATCHED!$K18,IF(MATCHED!AW18=11,MATCHED!$L18,IF(MATCHED!AW18=12,MATCHED!$M18,IF(MATCHED!AW18=13,MATCHED!$N18,IF(MATCHED!AW18=14,MATCHED!$O18,"")))))))&amp;IF(MATCHED!AW18=15,MATCHED!$P18,IF(MATCHED!AW18=16,MATCHED!$Q18,IF(MATCHED!AW18=17,MATCHED!$R18,IF(MATCHED!AW18=18,MATCHED!$S18,IF(MATCHED!AW18=19,MATCHED!$T18,IF(MATCHED!AW18=20,MATCHED!$U18,IF(MATCHED!AW18=21,MATCHED!$V18,)))))))&amp;IF(MATCHED!AW18=22,MATCHED!$W18,IF(MATCHED!AW18=23,MATCHED!$X18,IF(MATCHED!AW18=24,MATCHED!$Y18,IF(MATCHED!AW18=25,MATCHED!$Z18,IF(MATCHED!AW18=26,MATCHED!$AA18,IF(MATCHED!AW18=27,MATCHED!$AB18,"."))))))</f>
        <v>#N/A</v>
      </c>
      <c r="V18" s="353" t="e">
        <f>IF(MATCHED!AX18=1,MATCHED!$B18,IF(MATCHED!AX18=2,MATCHED!$C18,IF(MATCHED!AX18=3,MATCHED!$D18,IF(MATCHED!AX18=4,MATCHED!$E18,IF(MATCHED!AX18=3,MATCHED!$F18,IF(MATCHED!AX18=6,MATCHED!$G18,IF(MATCHED!AX18=7,MATCHED!$H18,"")))))))&amp;IF(MATCHED!AX18=8,MATCHED!$I18,IF(MATCHED!AX18=9,MATCHED!$J18,IF(MATCHED!AX18=10,MATCHED!$K18,IF(MATCHED!AX18=11,MATCHED!$L18,IF(MATCHED!AX18=12,MATCHED!$M18,IF(MATCHED!AX18=13,MATCHED!$N18,IF(MATCHED!AX18=14,MATCHED!$O18,"")))))))&amp;IF(MATCHED!AX18=15,MATCHED!$P18,IF(MATCHED!AX18=16,MATCHED!$Q18,IF(MATCHED!AX18=17,MATCHED!$R18,IF(MATCHED!AX18=18,MATCHED!$S18,IF(MATCHED!AX18=19,MATCHED!$T18,IF(MATCHED!AX18=20,MATCHED!$U18,IF(MATCHED!AX18=21,MATCHED!$V18,)))))))&amp;IF(MATCHED!AX18=22,MATCHED!$W18,IF(MATCHED!AX18=23,MATCHED!$X18,IF(MATCHED!AX18=24,MATCHED!$Y18,IF(MATCHED!AX18=25,MATCHED!$Z18,IF(MATCHED!AX18=26,MATCHED!$AA18,IF(MATCHED!AX18=27,MATCHED!$AB18,"."))))))</f>
        <v>#N/A</v>
      </c>
      <c r="W18" s="353" t="e">
        <f>IF(MATCHED!AY18=1,MATCHED!$B18,IF(MATCHED!AY18=2,MATCHED!$C18,IF(MATCHED!AY18=3,MATCHED!$D18,IF(MATCHED!AY18=4,MATCHED!$E18,IF(MATCHED!AY18=3,MATCHED!$F18,IF(MATCHED!AY18=6,MATCHED!$G18,IF(MATCHED!AY18=7,MATCHED!$H18,"")))))))&amp;IF(MATCHED!AY18=8,MATCHED!$I18,IF(MATCHED!AY18=9,MATCHED!$J18,IF(MATCHED!AY18=10,MATCHED!$K18,IF(MATCHED!AY18=11,MATCHED!$L18,IF(MATCHED!AY18=12,MATCHED!$M18,IF(MATCHED!AY18=13,MATCHED!$N18,IF(MATCHED!AY18=14,MATCHED!$O18,"")))))))&amp;IF(MATCHED!AY18=15,MATCHED!$P18,IF(MATCHED!AY18=16,MATCHED!$Q18,IF(MATCHED!AY18=17,MATCHED!$R18,IF(MATCHED!AY18=18,MATCHED!$S18,IF(MATCHED!AY18=19,MATCHED!$T18,IF(MATCHED!AY18=20,MATCHED!$U18,IF(MATCHED!AY18=21,MATCHED!$V18,)))))))&amp;IF(MATCHED!AY18=22,MATCHED!$W18,IF(MATCHED!AY18=23,MATCHED!$X18,IF(MATCHED!AY18=24,MATCHED!$Y18,IF(MATCHED!AY18=25,MATCHED!$Z18,IF(MATCHED!AY18=26,MATCHED!$AA18,IF(MATCHED!AY18=27,MATCHED!$AB18,"."))))))</f>
        <v>#N/A</v>
      </c>
      <c r="X18" s="353" t="e">
        <f>IF(MATCHED!AZ18=1,MATCHED!$B18,IF(MATCHED!AZ18=2,MATCHED!$C18,IF(MATCHED!AZ18=3,MATCHED!$D18,IF(MATCHED!AZ18=4,MATCHED!$E18,IF(MATCHED!AZ18=3,MATCHED!$F18,IF(MATCHED!AZ18=6,MATCHED!$G18,IF(MATCHED!AZ18=7,MATCHED!$H18,"")))))))&amp;IF(MATCHED!AZ18=8,MATCHED!$I18,IF(MATCHED!AZ18=9,MATCHED!$J18,IF(MATCHED!AZ18=10,MATCHED!$K18,IF(MATCHED!AZ18=11,MATCHED!$L18,IF(MATCHED!AZ18=12,MATCHED!$M18,IF(MATCHED!AZ18=13,MATCHED!$N18,IF(MATCHED!AZ18=14,MATCHED!$O18,"")))))))&amp;IF(MATCHED!AZ18=15,MATCHED!$P18,IF(MATCHED!AZ18=16,MATCHED!$Q18,IF(MATCHED!AZ18=17,MATCHED!$R18,IF(MATCHED!AZ18=18,MATCHED!$S18,IF(MATCHED!AZ18=19,MATCHED!$T18,IF(MATCHED!AZ18=20,MATCHED!$U18,IF(MATCHED!AZ18=21,MATCHED!$V18,)))))))&amp;IF(MATCHED!AZ18=22,MATCHED!$W18,IF(MATCHED!AZ18=23,MATCHED!$X18,IF(MATCHED!AZ18=24,MATCHED!$Y18,IF(MATCHED!AZ18=25,MATCHED!$Z18,IF(MATCHED!AZ18=26,MATCHED!$AA18,IF(MATCHED!AZ18=27,MATCHED!$AB18,"."))))))</f>
        <v>#N/A</v>
      </c>
      <c r="Y18" s="353" t="e">
        <f>IF(MATCHED!BA18=1,MATCHED!$B18,IF(MATCHED!BA18=2,MATCHED!$C18,IF(MATCHED!BA18=3,MATCHED!$D18,IF(MATCHED!BA18=4,MATCHED!$E18,IF(MATCHED!BA18=3,MATCHED!$F18,IF(MATCHED!BA18=6,MATCHED!$G18,IF(MATCHED!BA18=7,MATCHED!$H18,"")))))))&amp;IF(MATCHED!BA18=8,MATCHED!$I18,IF(MATCHED!BA18=9,MATCHED!$J18,IF(MATCHED!BA18=10,MATCHED!$K18,IF(MATCHED!BA18=11,MATCHED!$L18,IF(MATCHED!BA18=12,MATCHED!$M18,IF(MATCHED!BA18=13,MATCHED!$N18,IF(MATCHED!BA18=14,MATCHED!$O18,"")))))))&amp;IF(MATCHED!BA18=15,MATCHED!$P18,IF(MATCHED!BA18=16,MATCHED!$Q18,IF(MATCHED!BA18=17,MATCHED!$R18,IF(MATCHED!BA18=18,MATCHED!$S18,IF(MATCHED!BA18=19,MATCHED!$T18,IF(MATCHED!BA18=20,MATCHED!$U18,IF(MATCHED!BA18=21,MATCHED!$V18,)))))))&amp;IF(MATCHED!BA18=22,MATCHED!$W18,IF(MATCHED!BA18=23,MATCHED!$X18,IF(MATCHED!BA18=24,MATCHED!$Y18,IF(MATCHED!BA18=25,MATCHED!$Z18,IF(MATCHED!BA18=26,MATCHED!$AA18,IF(MATCHED!BA18=27,MATCHED!$AB18,"."))))))</f>
        <v>#N/A</v>
      </c>
      <c r="Z18" s="353" t="e">
        <f>IF(MATCHED!BB18=1,MATCHED!$B18,IF(MATCHED!BB18=2,MATCHED!$C18,IF(MATCHED!BB18=3,MATCHED!$D18,IF(MATCHED!BB18=4,MATCHED!$E18,IF(MATCHED!BB18=3,MATCHED!$F18,IF(MATCHED!BB18=6,MATCHED!$G18,IF(MATCHED!BB18=7,MATCHED!$H18,"")))))))&amp;IF(MATCHED!BB18=8,MATCHED!$I18,IF(MATCHED!BB18=9,MATCHED!$J18,IF(MATCHED!BB18=10,MATCHED!$K18,IF(MATCHED!BB18=11,MATCHED!$L18,IF(MATCHED!BB18=12,MATCHED!$M18,IF(MATCHED!BB18=13,MATCHED!$N18,IF(MATCHED!BB18=14,MATCHED!$O18,"")))))))&amp;IF(MATCHED!BB18=15,MATCHED!$P18,IF(MATCHED!BB18=16,MATCHED!$Q18,IF(MATCHED!BB18=17,MATCHED!$R18,IF(MATCHED!BB18=18,MATCHED!$S18,IF(MATCHED!BB18=19,MATCHED!$T18,IF(MATCHED!BB18=20,MATCHED!$U18,IF(MATCHED!BB18=21,MATCHED!$V18,)))))))&amp;IF(MATCHED!BB18=22,MATCHED!$W18,IF(MATCHED!BB18=23,MATCHED!$X18,IF(MATCHED!BB18=24,MATCHED!$Y18,IF(MATCHED!BB18=25,MATCHED!$Z18,IF(MATCHED!BB18=26,MATCHED!$AA18,IF(MATCHED!BB18=27,MATCHED!$AB18,"."))))))</f>
        <v>#N/A</v>
      </c>
      <c r="AA18" s="353" t="e">
        <f>IF(MATCHED!BC18=1,MATCHED!$B18,IF(MATCHED!BC18=2,MATCHED!$C18,IF(MATCHED!BC18=3,MATCHED!$D18,IF(MATCHED!BC18=4,MATCHED!$E18,IF(MATCHED!BC18=3,MATCHED!$F18,IF(MATCHED!BC18=6,MATCHED!$G18,IF(MATCHED!BC18=7,MATCHED!$H18,"")))))))&amp;IF(MATCHED!BC18=8,MATCHED!$I18,IF(MATCHED!BC18=9,MATCHED!$J18,IF(MATCHED!BC18=10,MATCHED!$K18,IF(MATCHED!BC18=11,MATCHED!$L18,IF(MATCHED!BC18=12,MATCHED!$M18,IF(MATCHED!BC18=13,MATCHED!$N18,IF(MATCHED!BC18=14,MATCHED!$O18,"")))))))&amp;IF(MATCHED!BC18=15,MATCHED!$P18,IF(MATCHED!BC18=16,MATCHED!$Q18,IF(MATCHED!BC18=17,MATCHED!$R18,IF(MATCHED!BC18=18,MATCHED!$S18,IF(MATCHED!BC18=19,MATCHED!$T18,IF(MATCHED!BC18=20,MATCHED!$U18,IF(MATCHED!BC18=21,MATCHED!$V18,)))))))&amp;IF(MATCHED!BC18=22,MATCHED!$W18,IF(MATCHED!BC18=23,MATCHED!$X18,IF(MATCHED!BC18=24,MATCHED!$Y18,IF(MATCHED!BC18=25,MATCHED!$Z18,IF(MATCHED!BC18=26,MATCHED!$AA18,IF(MATCHED!BC18=27,MATCHED!$AB18,"."))))))</f>
        <v>#N/A</v>
      </c>
      <c r="AB18" s="353" t="e">
        <f>IF(MATCHED!BD18=1,MATCHED!$B18,IF(MATCHED!BD18=2,MATCHED!$C18,IF(MATCHED!BD18=3,MATCHED!$D18,IF(MATCHED!BD18=4,MATCHED!$E18,IF(MATCHED!BD18=3,MATCHED!$F18,IF(MATCHED!BD18=6,MATCHED!$G18,IF(MATCHED!BD18=7,MATCHED!$H18,"")))))))&amp;IF(MATCHED!BD18=8,MATCHED!$I18,IF(MATCHED!BD18=9,MATCHED!$J18,IF(MATCHED!BD18=10,MATCHED!$K18,IF(MATCHED!BD18=11,MATCHED!$L18,IF(MATCHED!BD18=12,MATCHED!$M18,IF(MATCHED!BD18=13,MATCHED!$N18,IF(MATCHED!BD18=14,MATCHED!$O18,"")))))))&amp;IF(MATCHED!BD18=15,MATCHED!$P18,IF(MATCHED!BD18=16,MATCHED!$Q18,IF(MATCHED!BD18=17,MATCHED!$R18,IF(MATCHED!BD18=18,MATCHED!$S18,IF(MATCHED!BD18=19,MATCHED!$T18,IF(MATCHED!BD18=20,MATCHED!$U18,IF(MATCHED!BD18=21,MATCHED!$V18,)))))))&amp;IF(MATCHED!BD18=22,MATCHED!$W18,IF(MATCHED!BD18=23,MATCHED!$X18,IF(MATCHED!BD18=24,MATCHED!$Y18,IF(MATCHED!BD18=25,MATCHED!$Z18,IF(MATCHED!BD18=26,MATCHED!$AA18,IF(MATCHED!BD18=27,MATCHED!$AB18,"."))))))</f>
        <v>#N/A</v>
      </c>
      <c r="AC18" s="353" t="e">
        <f>IF(MATCHED!BE18=1,MATCHED!$B18,IF(MATCHED!BE18=2,MATCHED!$C18,IF(MATCHED!BE18=3,MATCHED!$D18,IF(MATCHED!BE18=4,MATCHED!$E18,IF(MATCHED!BE18=3,MATCHED!$F18,IF(MATCHED!BE18=6,MATCHED!$G18,IF(MATCHED!BE18=7,MATCHED!$H18,"")))))))&amp;IF(MATCHED!BE18=8,MATCHED!$I18,IF(MATCHED!BE18=9,MATCHED!$J18,IF(MATCHED!BE18=10,MATCHED!$K18,IF(MATCHED!BE18=11,MATCHED!$L18,IF(MATCHED!BE18=12,MATCHED!$M18,IF(MATCHED!BE18=13,MATCHED!$N18,IF(MATCHED!BE18=14,MATCHED!$O18,"")))))))&amp;IF(MATCHED!BE18=15,MATCHED!$P18,IF(MATCHED!BE18=16,MATCHED!$Q18,IF(MATCHED!BE18=17,MATCHED!$R18,IF(MATCHED!BE18=18,MATCHED!$S18,IF(MATCHED!BE18=19,MATCHED!$T18,IF(MATCHED!BE18=20,MATCHED!$U18,IF(MATCHED!BE18=21,MATCHED!$V18,)))))))&amp;IF(MATCHED!BE18=22,MATCHED!$W18,IF(MATCHED!BE18=23,MATCHED!$X18,IF(MATCHED!BE18=24,MATCHED!$Y18,IF(MATCHED!BE18=25,MATCHED!$Z18,IF(MATCHED!BE18=26,MATCHED!$AA18,IF(MATCHED!BE18=27,MATCHED!$AB18,"."))))))</f>
        <v>#N/A</v>
      </c>
      <c r="AD18" s="353" t="e">
        <f>IF(MATCHED!BF18=1,MATCHED!$B18,IF(MATCHED!BF18=2,MATCHED!$C18,IF(MATCHED!BF18=3,MATCHED!$D18,IF(MATCHED!BF18=4,MATCHED!$E18,IF(MATCHED!BF18=3,MATCHED!$F18,IF(MATCHED!BF18=6,MATCHED!$G18,IF(MATCHED!BF18=7,MATCHED!$H18,"")))))))&amp;IF(MATCHED!BF18=8,MATCHED!$I18,IF(MATCHED!BF18=9,MATCHED!$J18,IF(MATCHED!BF18=10,MATCHED!$K18,IF(MATCHED!BF18=11,MATCHED!$L18,IF(MATCHED!BF18=12,MATCHED!$M18,IF(MATCHED!BF18=13,MATCHED!$N18,IF(MATCHED!BF18=14,MATCHED!$O18,"")))))))&amp;IF(MATCHED!BF18=15,MATCHED!$P18,IF(MATCHED!BF18=16,MATCHED!$Q18,IF(MATCHED!BF18=17,MATCHED!$R18,IF(MATCHED!BF18=18,MATCHED!$S18,IF(MATCHED!BF18=19,MATCHED!$T18,IF(MATCHED!BF18=20,MATCHED!$U18,IF(MATCHED!BF18=21,MATCHED!$V18,)))))))&amp;IF(MATCHED!BF18=22,MATCHED!$W18,IF(MATCHED!BF18=23,MATCHED!$X18,IF(MATCHED!BF18=24,MATCHED!$Y18,IF(MATCHED!BF18=25,MATCHED!$Z18,IF(MATCHED!BF18=26,MATCHED!$AA18,IF(MATCHED!BF18=27,MATCHED!$AB18,"."))))))</f>
        <v>#N/A</v>
      </c>
      <c r="AE18" s="353" t="e">
        <f>IF(MATCHED!BG18=1,MATCHED!$B18,IF(MATCHED!BG18=2,MATCHED!$C18,IF(MATCHED!BG18=3,MATCHED!$D18,IF(MATCHED!BG18=4,MATCHED!$E18,IF(MATCHED!BG18=3,MATCHED!$F18,IF(MATCHED!BG18=6,MATCHED!$G18,IF(MATCHED!BG18=7,MATCHED!$H18,"")))))))&amp;IF(MATCHED!BG18=8,MATCHED!$I18,IF(MATCHED!BG18=9,MATCHED!$J18,IF(MATCHED!BG18=10,MATCHED!$K18,IF(MATCHED!BG18=11,MATCHED!$L18,IF(MATCHED!BG18=12,MATCHED!$M18,IF(MATCHED!BG18=13,MATCHED!$N18,IF(MATCHED!BG18=14,MATCHED!$O18,"")))))))&amp;IF(MATCHED!BG18=15,MATCHED!$P18,IF(MATCHED!BG18=16,MATCHED!$Q18,IF(MATCHED!BG18=17,MATCHED!$R18,IF(MATCHED!BG18=18,MATCHED!$S18,IF(MATCHED!BG18=19,MATCHED!$T18,IF(MATCHED!BG18=20,MATCHED!$U18,IF(MATCHED!BG18=21,MATCHED!$V18,)))))))&amp;IF(MATCHED!BG18=22,MATCHED!$W18,IF(MATCHED!BG18=23,MATCHED!$X18,IF(MATCHED!BG18=24,MATCHED!$Y18,IF(MATCHED!BG18=25,MATCHED!$Z18,IF(MATCHED!BG18=26,MATCHED!$AA18,IF(MATCHED!BG18=27,MATCHED!$AB18,"."))))))</f>
        <v>#N/A</v>
      </c>
      <c r="AF18" s="353" t="e">
        <f>IF(MATCHED!BH18=1,MATCHED!$B18,IF(MATCHED!BH18=2,MATCHED!$C18,IF(MATCHED!BH18=3,MATCHED!$D18,IF(MATCHED!BH18=4,MATCHED!$E18,IF(MATCHED!BH18=3,MATCHED!$F18,IF(MATCHED!BH18=6,MATCHED!$G18,IF(MATCHED!BH18=7,MATCHED!$H18,"")))))))&amp;IF(MATCHED!BH18=8,MATCHED!$I18,IF(MATCHED!BH18=9,MATCHED!$J18,IF(MATCHED!BH18=10,MATCHED!$K18,IF(MATCHED!BH18=11,MATCHED!$L18,IF(MATCHED!BH18=12,MATCHED!$M18,IF(MATCHED!BH18=13,MATCHED!$N18,IF(MATCHED!BH18=14,MATCHED!$O18,"")))))))&amp;IF(MATCHED!BH18=15,MATCHED!$P18,IF(MATCHED!BH18=16,MATCHED!$Q18,IF(MATCHED!BH18=17,MATCHED!$R18,IF(MATCHED!BH18=18,MATCHED!$S18,IF(MATCHED!BH18=19,MATCHED!$T18,IF(MATCHED!BH18=20,MATCHED!$U18,IF(MATCHED!BH18=21,MATCHED!$V18,)))))))&amp;IF(MATCHED!BH18=22,MATCHED!$W18,IF(MATCHED!BH18=23,MATCHED!$X18,IF(MATCHED!BH18=24,MATCHED!$Y18,IF(MATCHED!BH18=25,MATCHED!$Z18,IF(MATCHED!BH18=26,MATCHED!$AA18,IF(MATCHED!BH18=27,MATCHED!$AB18,"."))))))</f>
        <v>#N/A</v>
      </c>
      <c r="AG18" s="353" t="e">
        <f>IF(MATCHED!BI18=1,MATCHED!$B18,IF(MATCHED!BI18=2,MATCHED!$C18,IF(MATCHED!BI18=3,MATCHED!$D18,IF(MATCHED!BI18=4,MATCHED!$E18,IF(MATCHED!BI18=3,MATCHED!$F18,IF(MATCHED!BI18=6,MATCHED!$G18,IF(MATCHED!BI18=7,MATCHED!$H18,"")))))))&amp;IF(MATCHED!BI18=8,MATCHED!$I18,IF(MATCHED!BI18=9,MATCHED!$J18,IF(MATCHED!BI18=10,MATCHED!$K18,IF(MATCHED!BI18=11,MATCHED!$L18,IF(MATCHED!BI18=12,MATCHED!$M18,IF(MATCHED!BI18=13,MATCHED!$N18,IF(MATCHED!BI18=14,MATCHED!$O18,"")))))))&amp;IF(MATCHED!BI18=15,MATCHED!$P18,IF(MATCHED!BI18=16,MATCHED!$Q18,IF(MATCHED!BI18=17,MATCHED!$R18,IF(MATCHED!BI18=18,MATCHED!$S18,IF(MATCHED!BI18=19,MATCHED!$T18,IF(MATCHED!BI18=20,MATCHED!$U18,IF(MATCHED!BI18=21,MATCHED!$V18,)))))))&amp;IF(MATCHED!BI18=22,MATCHED!$W18,IF(MATCHED!BI18=23,MATCHED!$X18,IF(MATCHED!BI18=24,MATCHED!$Y18,IF(MATCHED!BI18=25,MATCHED!$Z18,IF(MATCHED!BI18=26,MATCHED!$AA18,IF(MATCHED!BI18=27,MATCHED!$AB18,"."))))))</f>
        <v>#N/A</v>
      </c>
      <c r="AH18" s="353" t="e">
        <f>IF(MATCHED!BJ18=1,MATCHED!$B18,IF(MATCHED!BJ18=2,MATCHED!$C18,IF(MATCHED!BJ18=3,MATCHED!$D18,IF(MATCHED!BJ18=4,MATCHED!$E18,IF(MATCHED!BJ18=3,MATCHED!$F18,IF(MATCHED!BJ18=6,MATCHED!$G18,IF(MATCHED!BJ18=7,MATCHED!$H18,"")))))))&amp;IF(MATCHED!BJ18=8,MATCHED!$I18,IF(MATCHED!BJ18=9,MATCHED!$J18,IF(MATCHED!BJ18=10,MATCHED!$K18,IF(MATCHED!BJ18=11,MATCHED!$L18,IF(MATCHED!BJ18=12,MATCHED!$M18,IF(MATCHED!BJ18=13,MATCHED!$N18,IF(MATCHED!BJ18=14,MATCHED!$O18,"")))))))&amp;IF(MATCHED!BJ18=15,MATCHED!$P18,IF(MATCHED!BJ18=16,MATCHED!$Q18,IF(MATCHED!BJ18=17,MATCHED!$R18,IF(MATCHED!BJ18=18,MATCHED!$S18,IF(MATCHED!BJ18=19,MATCHED!$T18,IF(MATCHED!BJ18=20,MATCHED!$U18,IF(MATCHED!BJ18=21,MATCHED!$V18,)))))))&amp;IF(MATCHED!BJ18=22,MATCHED!$W18,IF(MATCHED!BJ18=23,MATCHED!$X18,IF(MATCHED!BJ18=24,MATCHED!$Y18,IF(MATCHED!BJ18=25,MATCHED!$Z18,IF(MATCHED!BJ18=26,MATCHED!$AA18,IF(MATCHED!BJ18=27,MATCHED!$AB18,"."))))))</f>
        <v>#N/A</v>
      </c>
      <c r="AI18" s="353" t="e">
        <f>IF(MATCHED!BK18=1,MATCHED!$B18,IF(MATCHED!BK18=2,MATCHED!$C18,IF(MATCHED!BK18=3,MATCHED!$D18,IF(MATCHED!BK18=4,MATCHED!$E18,IF(MATCHED!BK18=3,MATCHED!$F18,IF(MATCHED!BK18=6,MATCHED!$G18,IF(MATCHED!BK18=7,MATCHED!$H18,"")))))))&amp;IF(MATCHED!BK18=8,MATCHED!$I18,IF(MATCHED!BK18=9,MATCHED!$J18,IF(MATCHED!BK18=10,MATCHED!$K18,IF(MATCHED!BK18=11,MATCHED!$L18,IF(MATCHED!BK18=12,MATCHED!$M18,IF(MATCHED!BK18=13,MATCHED!$N18,IF(MATCHED!BK18=14,MATCHED!$O18,"")))))))&amp;IF(MATCHED!BK18=15,MATCHED!$P18,IF(MATCHED!BK18=16,MATCHED!$Q18,IF(MATCHED!BK18=17,MATCHED!$R18,IF(MATCHED!BK18=18,MATCHED!$S18,IF(MATCHED!BK18=19,MATCHED!$T18,IF(MATCHED!BK18=20,MATCHED!$U18,IF(MATCHED!BK18=21,MATCHED!$V18,)))))))&amp;IF(MATCHED!BK18=22,MATCHED!$W18,IF(MATCHED!BK18=23,MATCHED!$X18,IF(MATCHED!BK18=24,MATCHED!$Y18,IF(MATCHED!BK18=25,MATCHED!$Z18,IF(MATCHED!BK18=26,MATCHED!$AA18,IF(MATCHED!BK18=27,MATCHED!$AB18,"."))))))</f>
        <v>#N/A</v>
      </c>
      <c r="AJ18" s="540" t="s">
        <v>181</v>
      </c>
    </row>
    <row r="19" spans="1:36" s="338" customFormat="1" x14ac:dyDescent="0.25">
      <c r="A19" s="535"/>
      <c r="B19" s="355" t="e">
        <f>IF(MATCHED!AD19=1,MATCHED!$B19,IF(MATCHED!AD19=2,MATCHED!$C19,IF(MATCHED!AD19=3,MATCHED!$D19,IF(MATCHED!AD19=4,MATCHED!$E19,IF(MATCHED!AD19=3,MATCHED!$F19,IF(MATCHED!AD19=6,MATCHED!$G19,IF(MATCHED!AD19=7,MATCHED!$H19,"")))))))&amp;IF(MATCHED!AD19=8,MATCHED!$I19,IF(MATCHED!AD19=9,MATCHED!$J19,IF(MATCHED!AD19=10,MATCHED!$K19,IF(MATCHED!AD19=11,MATCHED!$L19,IF(MATCHED!AD19=12,MATCHED!$M19,IF(MATCHED!AD19=13,MATCHED!$N19,IF(MATCHED!AD19=14,MATCHED!$O19,"")))))))&amp;IF(MATCHED!AD19=15,MATCHED!$P19,IF(MATCHED!AD19=16,MATCHED!$Q19,IF(MATCHED!AD19=17,MATCHED!$R19,IF(MATCHED!AD19=18,MATCHED!$S19,IF(MATCHED!AD19=19,MATCHED!$T19,IF(MATCHED!AD19=20,MATCHED!$U19,IF(MATCHED!AD19=21,MATCHED!$V19,)))))))&amp;IF(MATCHED!AD19=22,MATCHED!$W19,IF(MATCHED!AD19=23,MATCHED!$X19,IF(MATCHED!AD19=24,MATCHED!$Y19,IF(MATCHED!AD19=25,MATCHED!$Z19,IF(MATCHED!AD19=26,MATCHED!$AA19,IF(MATCHED!AD19=27,MATCHED!$AB19,"."))))))</f>
        <v>#N/A</v>
      </c>
      <c r="C19" s="356" t="e">
        <f>IF(MATCHED!AE19=1,MATCHED!$B19,IF(MATCHED!AE19=2,MATCHED!$C19,IF(MATCHED!AE19=3,MATCHED!$D19,IF(MATCHED!AE19=4,MATCHED!$E19,IF(MATCHED!AE19=3,MATCHED!$F19,IF(MATCHED!AE19=6,MATCHED!$G19,IF(MATCHED!AE19=7,MATCHED!$H19,"")))))))&amp;IF(MATCHED!AE19=8,MATCHED!$I19,IF(MATCHED!AE19=9,MATCHED!$J19,IF(MATCHED!AE19=10,MATCHED!$K19,IF(MATCHED!AE19=11,MATCHED!$L19,IF(MATCHED!AE19=12,MATCHED!$M19,IF(MATCHED!AE19=13,MATCHED!$N19,IF(MATCHED!AE19=14,MATCHED!$O19,"")))))))&amp;IF(MATCHED!AE19=15,MATCHED!$P19,IF(MATCHED!AE19=16,MATCHED!$Q19,IF(MATCHED!AE19=17,MATCHED!$R19,IF(MATCHED!AE19=18,MATCHED!$S19,IF(MATCHED!AE19=19,MATCHED!$T19,IF(MATCHED!AE19=20,MATCHED!$U19,IF(MATCHED!AE19=21,MATCHED!$V19,)))))))&amp;IF(MATCHED!AE19=22,MATCHED!$W19,IF(MATCHED!AE19=23,MATCHED!$X19,IF(MATCHED!AE19=24,MATCHED!$Y19,IF(MATCHED!AE19=25,MATCHED!$Z19,IF(MATCHED!AE19=26,MATCHED!$AA19,IF(MATCHED!AE19=27,MATCHED!$AB19,"."))))))</f>
        <v>#N/A</v>
      </c>
      <c r="D19" s="356" t="e">
        <f>IF(MATCHED!AF19=1,MATCHED!$B19,IF(MATCHED!AF19=2,MATCHED!$C19,IF(MATCHED!AF19=3,MATCHED!$D19,IF(MATCHED!AF19=4,MATCHED!$E19,IF(MATCHED!AF19=3,MATCHED!$F19,IF(MATCHED!AF19=6,MATCHED!$G19,IF(MATCHED!AF19=7,MATCHED!$H19,"")))))))&amp;IF(MATCHED!AF19=8,MATCHED!$I19,IF(MATCHED!AF19=9,MATCHED!$J19,IF(MATCHED!AF19=10,MATCHED!$K19,IF(MATCHED!AF19=11,MATCHED!$L19,IF(MATCHED!AF19=12,MATCHED!$M19,IF(MATCHED!AF19=13,MATCHED!$N19,IF(MATCHED!AF19=14,MATCHED!$O19,"")))))))&amp;IF(MATCHED!AF19=15,MATCHED!$P19,IF(MATCHED!AF19=16,MATCHED!$Q19,IF(MATCHED!AF19=17,MATCHED!$R19,IF(MATCHED!AF19=18,MATCHED!$S19,IF(MATCHED!AF19=19,MATCHED!$T19,IF(MATCHED!AF19=20,MATCHED!$U19,IF(MATCHED!AF19=21,MATCHED!$V19,)))))))&amp;IF(MATCHED!AF19=22,MATCHED!$W19,IF(MATCHED!AF19=23,MATCHED!$X19,IF(MATCHED!AF19=24,MATCHED!$Y19,IF(MATCHED!AF19=25,MATCHED!$Z19,IF(MATCHED!AF19=26,MATCHED!$AA19,IF(MATCHED!AF19=27,MATCHED!$AB19,"."))))))</f>
        <v>#N/A</v>
      </c>
      <c r="E19" s="356" t="e">
        <f>IF(MATCHED!AG19=1,MATCHED!$B19,IF(MATCHED!AG19=2,MATCHED!$C19,IF(MATCHED!AG19=3,MATCHED!$D19,IF(MATCHED!AG19=4,MATCHED!$E19,IF(MATCHED!AG19=3,MATCHED!$F19,IF(MATCHED!AG19=6,MATCHED!$G19,IF(MATCHED!AG19=7,MATCHED!$H19,"")))))))&amp;IF(MATCHED!AG19=8,MATCHED!$I19,IF(MATCHED!AG19=9,MATCHED!$J19,IF(MATCHED!AG19=10,MATCHED!$K19,IF(MATCHED!AG19=11,MATCHED!$L19,IF(MATCHED!AG19=12,MATCHED!$M19,IF(MATCHED!AG19=13,MATCHED!$N19,IF(MATCHED!AG19=14,MATCHED!$O19,"")))))))&amp;IF(MATCHED!AG19=15,MATCHED!$P19,IF(MATCHED!AG19=16,MATCHED!$Q19,IF(MATCHED!AG19=17,MATCHED!$R19,IF(MATCHED!AG19=18,MATCHED!$S19,IF(MATCHED!AG19=19,MATCHED!$T19,IF(MATCHED!AG19=20,MATCHED!$U19,IF(MATCHED!AG19=21,MATCHED!$V19,)))))))&amp;IF(MATCHED!AG19=22,MATCHED!$W19,IF(MATCHED!AG19=23,MATCHED!$X19,IF(MATCHED!AG19=24,MATCHED!$Y19,IF(MATCHED!AG19=25,MATCHED!$Z19,IF(MATCHED!AG19=26,MATCHED!$AA19,IF(MATCHED!AG19=27,MATCHED!$AB19,"."))))))</f>
        <v>#N/A</v>
      </c>
      <c r="F19" s="356" t="e">
        <f>IF(MATCHED!AH19=1,MATCHED!$B19,IF(MATCHED!AH19=2,MATCHED!$C19,IF(MATCHED!AH19=3,MATCHED!$D19,IF(MATCHED!AH19=4,MATCHED!$E19,IF(MATCHED!AH19=3,MATCHED!$F19,IF(MATCHED!AH19=6,MATCHED!$G19,IF(MATCHED!AH19=7,MATCHED!$H19,"")))))))&amp;IF(MATCHED!AH19=8,MATCHED!$I19,IF(MATCHED!AH19=9,MATCHED!$J19,IF(MATCHED!AH19=10,MATCHED!$K19,IF(MATCHED!AH19=11,MATCHED!$L19,IF(MATCHED!AH19=12,MATCHED!$M19,IF(MATCHED!AH19=13,MATCHED!$N19,IF(MATCHED!AH19=14,MATCHED!$O19,"")))))))&amp;IF(MATCHED!AH19=15,MATCHED!$P19,IF(MATCHED!AH19=16,MATCHED!$Q19,IF(MATCHED!AH19=17,MATCHED!$R19,IF(MATCHED!AH19=18,MATCHED!$S19,IF(MATCHED!AH19=19,MATCHED!$T19,IF(MATCHED!AH19=20,MATCHED!$U19,IF(MATCHED!AH19=21,MATCHED!$V19,)))))))&amp;IF(MATCHED!AH19=22,MATCHED!$W19,IF(MATCHED!AH19=23,MATCHED!$X19,IF(MATCHED!AH19=24,MATCHED!$Y19,IF(MATCHED!AH19=25,MATCHED!$Z19,IF(MATCHED!AH19=26,MATCHED!$AA19,IF(MATCHED!AH19=27,MATCHED!$AB19,"."))))))</f>
        <v>#N/A</v>
      </c>
      <c r="G19" s="356" t="e">
        <f>IF(MATCHED!AI19=1,MATCHED!$B19,IF(MATCHED!AI19=2,MATCHED!$C19,IF(MATCHED!AI19=3,MATCHED!$D19,IF(MATCHED!AI19=4,MATCHED!$E19,IF(MATCHED!AI19=3,MATCHED!$F19,IF(MATCHED!AI19=6,MATCHED!$G19,IF(MATCHED!AI19=7,MATCHED!$H19,"")))))))&amp;IF(MATCHED!AI19=8,MATCHED!$I19,IF(MATCHED!AI19=9,MATCHED!$J19,IF(MATCHED!AI19=10,MATCHED!$K19,IF(MATCHED!AI19=11,MATCHED!$L19,IF(MATCHED!AI19=12,MATCHED!$M19,IF(MATCHED!AI19=13,MATCHED!$N19,IF(MATCHED!AI19=14,MATCHED!$O19,"")))))))&amp;IF(MATCHED!AI19=15,MATCHED!$P19,IF(MATCHED!AI19=16,MATCHED!$Q19,IF(MATCHED!AI19=17,MATCHED!$R19,IF(MATCHED!AI19=18,MATCHED!$S19,IF(MATCHED!AI19=19,MATCHED!$T19,IF(MATCHED!AI19=20,MATCHED!$U19,IF(MATCHED!AI19=21,MATCHED!$V19,)))))))&amp;IF(MATCHED!AI19=22,MATCHED!$W19,IF(MATCHED!AI19=23,MATCHED!$X19,IF(MATCHED!AI19=24,MATCHED!$Y19,IF(MATCHED!AI19=25,MATCHED!$Z19,IF(MATCHED!AI19=26,MATCHED!$AA19,IF(MATCHED!AI19=27,MATCHED!$AB19,"."))))))</f>
        <v>#N/A</v>
      </c>
      <c r="H19" s="356" t="e">
        <f>IF(MATCHED!AJ19=1,MATCHED!$B19,IF(MATCHED!AJ19=2,MATCHED!$C19,IF(MATCHED!AJ19=3,MATCHED!$D19,IF(MATCHED!AJ19=4,MATCHED!$E19,IF(MATCHED!AJ19=3,MATCHED!$F19,IF(MATCHED!AJ19=6,MATCHED!$G19,IF(MATCHED!AJ19=7,MATCHED!$H19,"")))))))&amp;IF(MATCHED!AJ19=8,MATCHED!$I19,IF(MATCHED!AJ19=9,MATCHED!$J19,IF(MATCHED!AJ19=10,MATCHED!$K19,IF(MATCHED!AJ19=11,MATCHED!$L19,IF(MATCHED!AJ19=12,MATCHED!$M19,IF(MATCHED!AJ19=13,MATCHED!$N19,IF(MATCHED!AJ19=14,MATCHED!$O19,"")))))))&amp;IF(MATCHED!AJ19=15,MATCHED!$P19,IF(MATCHED!AJ19=16,MATCHED!$Q19,IF(MATCHED!AJ19=17,MATCHED!$R19,IF(MATCHED!AJ19=18,MATCHED!$S19,IF(MATCHED!AJ19=19,MATCHED!$T19,IF(MATCHED!AJ19=20,MATCHED!$U19,IF(MATCHED!AJ19=21,MATCHED!$V19,)))))))&amp;IF(MATCHED!AJ19=22,MATCHED!$W19,IF(MATCHED!AJ19=23,MATCHED!$X19,IF(MATCHED!AJ19=24,MATCHED!$Y19,IF(MATCHED!AJ19=25,MATCHED!$Z19,IF(MATCHED!AJ19=26,MATCHED!$AA19,IF(MATCHED!AJ19=27,MATCHED!$AB19,"."))))))</f>
        <v>#N/A</v>
      </c>
      <c r="I19" s="356" t="e">
        <f>IF(MATCHED!AK19=1,MATCHED!$B19,IF(MATCHED!AK19=2,MATCHED!$C19,IF(MATCHED!AK19=3,MATCHED!$D19,IF(MATCHED!AK19=4,MATCHED!$E19,IF(MATCHED!AK19=3,MATCHED!$F19,IF(MATCHED!AK19=6,MATCHED!$G19,IF(MATCHED!AK19=7,MATCHED!$H19,"")))))))&amp;IF(MATCHED!AK19=8,MATCHED!$I19,IF(MATCHED!AK19=9,MATCHED!$J19,IF(MATCHED!AK19=10,MATCHED!$K19,IF(MATCHED!AK19=11,MATCHED!$L19,IF(MATCHED!AK19=12,MATCHED!$M19,IF(MATCHED!AK19=13,MATCHED!$N19,IF(MATCHED!AK19=14,MATCHED!$O19,"")))))))&amp;IF(MATCHED!AK19=15,MATCHED!$P19,IF(MATCHED!AK19=16,MATCHED!$Q19,IF(MATCHED!AK19=17,MATCHED!$R19,IF(MATCHED!AK19=18,MATCHED!$S19,IF(MATCHED!AK19=19,MATCHED!$T19,IF(MATCHED!AK19=20,MATCHED!$U19,IF(MATCHED!AK19=21,MATCHED!$V19,)))))))&amp;IF(MATCHED!AK19=22,MATCHED!$W19,IF(MATCHED!AK19=23,MATCHED!$X19,IF(MATCHED!AK19=24,MATCHED!$Y19,IF(MATCHED!AK19=25,MATCHED!$Z19,IF(MATCHED!AK19=26,MATCHED!$AA19,IF(MATCHED!AK19=27,MATCHED!$AB19,"."))))))</f>
        <v>#N/A</v>
      </c>
      <c r="J19" s="356" t="e">
        <f>IF(MATCHED!AL19=1,MATCHED!$B19,IF(MATCHED!AL19=2,MATCHED!$C19,IF(MATCHED!AL19=3,MATCHED!$D19,IF(MATCHED!AL19=4,MATCHED!$E19,IF(MATCHED!AL19=3,MATCHED!$F19,IF(MATCHED!AL19=6,MATCHED!$G19,IF(MATCHED!AL19=7,MATCHED!$H19,"")))))))&amp;IF(MATCHED!AL19=8,MATCHED!$I19,IF(MATCHED!AL19=9,MATCHED!$J19,IF(MATCHED!AL19=10,MATCHED!$K19,IF(MATCHED!AL19=11,MATCHED!$L19,IF(MATCHED!AL19=12,MATCHED!$M19,IF(MATCHED!AL19=13,MATCHED!$N19,IF(MATCHED!AL19=14,MATCHED!$O19,"")))))))&amp;IF(MATCHED!AL19=15,MATCHED!$P19,IF(MATCHED!AL19=16,MATCHED!$Q19,IF(MATCHED!AL19=17,MATCHED!$R19,IF(MATCHED!AL19=18,MATCHED!$S19,IF(MATCHED!AL19=19,MATCHED!$T19,IF(MATCHED!AL19=20,MATCHED!$U19,IF(MATCHED!AL19=21,MATCHED!$V19,)))))))&amp;IF(MATCHED!AL19=22,MATCHED!$W19,IF(MATCHED!AL19=23,MATCHED!$X19,IF(MATCHED!AL19=24,MATCHED!$Y19,IF(MATCHED!AL19=25,MATCHED!$Z19,IF(MATCHED!AL19=26,MATCHED!$AA19,IF(MATCHED!AL19=27,MATCHED!$AB19,"."))))))</f>
        <v>#N/A</v>
      </c>
      <c r="K19" s="356" t="e">
        <f>IF(MATCHED!AM19=1,MATCHED!$B19,IF(MATCHED!AM19=2,MATCHED!$C19,IF(MATCHED!AM19=3,MATCHED!$D19,IF(MATCHED!AM19=4,MATCHED!$E19,IF(MATCHED!AM19=3,MATCHED!$F19,IF(MATCHED!AM19=6,MATCHED!$G19,IF(MATCHED!AM19=7,MATCHED!$H19,"")))))))&amp;IF(MATCHED!AM19=8,MATCHED!$I19,IF(MATCHED!AM19=9,MATCHED!$J19,IF(MATCHED!AM19=10,MATCHED!$K19,IF(MATCHED!AM19=11,MATCHED!$L19,IF(MATCHED!AM19=12,MATCHED!$M19,IF(MATCHED!AM19=13,MATCHED!$N19,IF(MATCHED!AM19=14,MATCHED!$O19,"")))))))&amp;IF(MATCHED!AM19=15,MATCHED!$P19,IF(MATCHED!AM19=16,MATCHED!$Q19,IF(MATCHED!AM19=17,MATCHED!$R19,IF(MATCHED!AM19=18,MATCHED!$S19,IF(MATCHED!AM19=19,MATCHED!$T19,IF(MATCHED!AM19=20,MATCHED!$U19,IF(MATCHED!AM19=21,MATCHED!$V19,)))))))&amp;IF(MATCHED!AM19=22,MATCHED!$W19,IF(MATCHED!AM19=23,MATCHED!$X19,IF(MATCHED!AM19=24,MATCHED!$Y19,IF(MATCHED!AM19=25,MATCHED!$Z19,IF(MATCHED!AM19=26,MATCHED!$AA19,IF(MATCHED!AM19=27,MATCHED!$AB19,"."))))))</f>
        <v>#N/A</v>
      </c>
      <c r="L19" s="356" t="e">
        <f>IF(MATCHED!AN19=1,MATCHED!$B19,IF(MATCHED!AN19=2,MATCHED!$C19,IF(MATCHED!AN19=3,MATCHED!$D19,IF(MATCHED!AN19=4,MATCHED!$E19,IF(MATCHED!AN19=3,MATCHED!$F19,IF(MATCHED!AN19=6,MATCHED!$G19,IF(MATCHED!AN19=7,MATCHED!$H19,"")))))))&amp;IF(MATCHED!AN19=8,MATCHED!$I19,IF(MATCHED!AN19=9,MATCHED!$J19,IF(MATCHED!AN19=10,MATCHED!$K19,IF(MATCHED!AN19=11,MATCHED!$L19,IF(MATCHED!AN19=12,MATCHED!$M19,IF(MATCHED!AN19=13,MATCHED!$N19,IF(MATCHED!AN19=14,MATCHED!$O19,"")))))))&amp;IF(MATCHED!AN19=15,MATCHED!$P19,IF(MATCHED!AN19=16,MATCHED!$Q19,IF(MATCHED!AN19=17,MATCHED!$R19,IF(MATCHED!AN19=18,MATCHED!$S19,IF(MATCHED!AN19=19,MATCHED!$T19,IF(MATCHED!AN19=20,MATCHED!$U19,IF(MATCHED!AN19=21,MATCHED!$V19,)))))))&amp;IF(MATCHED!AN19=22,MATCHED!$W19,IF(MATCHED!AN19=23,MATCHED!$X19,IF(MATCHED!AN19=24,MATCHED!$Y19,IF(MATCHED!AN19=25,MATCHED!$Z19,IF(MATCHED!AN19=26,MATCHED!$AA19,IF(MATCHED!AN19=27,MATCHED!$AB19,"."))))))</f>
        <v>#N/A</v>
      </c>
      <c r="M19" s="356" t="e">
        <f>IF(MATCHED!AO19=1,MATCHED!$B19,IF(MATCHED!AO19=2,MATCHED!$C19,IF(MATCHED!AO19=3,MATCHED!$D19,IF(MATCHED!AO19=4,MATCHED!$E19,IF(MATCHED!AO19=3,MATCHED!$F19,IF(MATCHED!AO19=6,MATCHED!$G19,IF(MATCHED!AO19=7,MATCHED!$H19,"")))))))&amp;IF(MATCHED!AO19=8,MATCHED!$I19,IF(MATCHED!AO19=9,MATCHED!$J19,IF(MATCHED!AO19=10,MATCHED!$K19,IF(MATCHED!AO19=11,MATCHED!$L19,IF(MATCHED!AO19=12,MATCHED!$M19,IF(MATCHED!AO19=13,MATCHED!$N19,IF(MATCHED!AO19=14,MATCHED!$O19,"")))))))&amp;IF(MATCHED!AO19=15,MATCHED!$P19,IF(MATCHED!AO19=16,MATCHED!$Q19,IF(MATCHED!AO19=17,MATCHED!$R19,IF(MATCHED!AO19=18,MATCHED!$S19,IF(MATCHED!AO19=19,MATCHED!$T19,IF(MATCHED!AO19=20,MATCHED!$U19,IF(MATCHED!AO19=21,MATCHED!$V19,)))))))&amp;IF(MATCHED!AO19=22,MATCHED!$W19,IF(MATCHED!AO19=23,MATCHED!$X19,IF(MATCHED!AO19=24,MATCHED!$Y19,IF(MATCHED!AO19=25,MATCHED!$Z19,IF(MATCHED!AO19=26,MATCHED!$AA19,IF(MATCHED!AO19=27,MATCHED!$AB19,"."))))))</f>
        <v>#N/A</v>
      </c>
      <c r="N19" s="356" t="e">
        <f>IF(MATCHED!AP19=1,MATCHED!$B19,IF(MATCHED!AP19=2,MATCHED!$C19,IF(MATCHED!AP19=3,MATCHED!$D19,IF(MATCHED!AP19=4,MATCHED!$E19,IF(MATCHED!AP19=3,MATCHED!$F19,IF(MATCHED!AP19=6,MATCHED!$G19,IF(MATCHED!AP19=7,MATCHED!$H19,"")))))))&amp;IF(MATCHED!AP19=8,MATCHED!$I19,IF(MATCHED!AP19=9,MATCHED!$J19,IF(MATCHED!AP19=10,MATCHED!$K19,IF(MATCHED!AP19=11,MATCHED!$L19,IF(MATCHED!AP19=12,MATCHED!$M19,IF(MATCHED!AP19=13,MATCHED!$N19,IF(MATCHED!AP19=14,MATCHED!$O19,"")))))))&amp;IF(MATCHED!AP19=15,MATCHED!$P19,IF(MATCHED!AP19=16,MATCHED!$Q19,IF(MATCHED!AP19=17,MATCHED!$R19,IF(MATCHED!AP19=18,MATCHED!$S19,IF(MATCHED!AP19=19,MATCHED!$T19,IF(MATCHED!AP19=20,MATCHED!$U19,IF(MATCHED!AP19=21,MATCHED!$V19,)))))))&amp;IF(MATCHED!AP19=22,MATCHED!$W19,IF(MATCHED!AP19=23,MATCHED!$X19,IF(MATCHED!AP19=24,MATCHED!$Y19,IF(MATCHED!AP19=25,MATCHED!$Z19,IF(MATCHED!AP19=26,MATCHED!$AA19,IF(MATCHED!AP19=27,MATCHED!$AB19,"."))))))</f>
        <v>#N/A</v>
      </c>
      <c r="O19" s="356" t="e">
        <f>IF(MATCHED!AQ19=1,MATCHED!$B19,IF(MATCHED!AQ19=2,MATCHED!$C19,IF(MATCHED!AQ19=3,MATCHED!$D19,IF(MATCHED!AQ19=4,MATCHED!$E19,IF(MATCHED!AQ19=3,MATCHED!$F19,IF(MATCHED!AQ19=6,MATCHED!$G19,IF(MATCHED!AQ19=7,MATCHED!$H19,"")))))))&amp;IF(MATCHED!AQ19=8,MATCHED!$I19,IF(MATCHED!AQ19=9,MATCHED!$J19,IF(MATCHED!AQ19=10,MATCHED!$K19,IF(MATCHED!AQ19=11,MATCHED!$L19,IF(MATCHED!AQ19=12,MATCHED!$M19,IF(MATCHED!AQ19=13,MATCHED!$N19,IF(MATCHED!AQ19=14,MATCHED!$O19,"")))))))&amp;IF(MATCHED!AQ19=15,MATCHED!$P19,IF(MATCHED!AQ19=16,MATCHED!$Q19,IF(MATCHED!AQ19=17,MATCHED!$R19,IF(MATCHED!AQ19=18,MATCHED!$S19,IF(MATCHED!AQ19=19,MATCHED!$T19,IF(MATCHED!AQ19=20,MATCHED!$U19,IF(MATCHED!AQ19=21,MATCHED!$V19,)))))))&amp;IF(MATCHED!AQ19=22,MATCHED!$W19,IF(MATCHED!AQ19=23,MATCHED!$X19,IF(MATCHED!AQ19=24,MATCHED!$Y19,IF(MATCHED!AQ19=25,MATCHED!$Z19,IF(MATCHED!AQ19=26,MATCHED!$AA19,IF(MATCHED!AQ19=27,MATCHED!$AB19,"."))))))</f>
        <v>#N/A</v>
      </c>
      <c r="P19" s="356" t="e">
        <f>IF(MATCHED!AR19=1,MATCHED!$B19,IF(MATCHED!AR19=2,MATCHED!$C19,IF(MATCHED!AR19=3,MATCHED!$D19,IF(MATCHED!AR19=4,MATCHED!$E19,IF(MATCHED!AR19=3,MATCHED!$F19,IF(MATCHED!AR19=6,MATCHED!$G19,IF(MATCHED!AR19=7,MATCHED!$H19,"")))))))&amp;IF(MATCHED!AR19=8,MATCHED!$I19,IF(MATCHED!AR19=9,MATCHED!$J19,IF(MATCHED!AR19=10,MATCHED!$K19,IF(MATCHED!AR19=11,MATCHED!$L19,IF(MATCHED!AR19=12,MATCHED!$M19,IF(MATCHED!AR19=13,MATCHED!$N19,IF(MATCHED!AR19=14,MATCHED!$O19,"")))))))&amp;IF(MATCHED!AR19=15,MATCHED!$P19,IF(MATCHED!AR19=16,MATCHED!$Q19,IF(MATCHED!AR19=17,MATCHED!$R19,IF(MATCHED!AR19=18,MATCHED!$S19,IF(MATCHED!AR19=19,MATCHED!$T19,IF(MATCHED!AR19=20,MATCHED!$U19,IF(MATCHED!AR19=21,MATCHED!$V19,)))))))&amp;IF(MATCHED!AR19=22,MATCHED!$W19,IF(MATCHED!AR19=23,MATCHED!$X19,IF(MATCHED!AR19=24,MATCHED!$Y19,IF(MATCHED!AR19=25,MATCHED!$Z19,IF(MATCHED!AR19=26,MATCHED!$AA19,IF(MATCHED!AR19=27,MATCHED!$AB19,"."))))))</f>
        <v>#N/A</v>
      </c>
      <c r="Q19" s="357" t="e">
        <f>IF(MATCHED!AS19=1,MATCHED!$B19,IF(MATCHED!AS19=2,MATCHED!$C19,IF(MATCHED!AS19=3,MATCHED!$D19,IF(MATCHED!AS19=4,MATCHED!$E19,IF(MATCHED!AS19=3,MATCHED!$F19,IF(MATCHED!AS19=6,MATCHED!$G19,IF(MATCHED!AS19=7,MATCHED!$H19,"")))))))&amp;IF(MATCHED!AS19=8,MATCHED!$I19,IF(MATCHED!AS19=9,MATCHED!$J19,IF(MATCHED!AS19=10,MATCHED!$K19,IF(MATCHED!AS19=11,MATCHED!$L19,IF(MATCHED!AS19=12,MATCHED!$M19,IF(MATCHED!AS19=13,MATCHED!$N19,IF(MATCHED!AS19=14,MATCHED!$O19,"")))))))&amp;IF(MATCHED!AS19=15,MATCHED!$P19,IF(MATCHED!AS19=16,MATCHED!$Q19,IF(MATCHED!AS19=17,MATCHED!$R19,IF(MATCHED!AS19=18,MATCHED!$S19,IF(MATCHED!AS19=19,MATCHED!$T19,IF(MATCHED!AS19=20,MATCHED!$U19,IF(MATCHED!AS19=21,MATCHED!$V19,)))))))&amp;IF(MATCHED!AS19=22,MATCHED!$W19,IF(MATCHED!AS19=23,MATCHED!$X19,IF(MATCHED!AS19=24,MATCHED!$Y19,IF(MATCHED!AS19=25,MATCHED!$Z19,IF(MATCHED!AS19=26,MATCHED!$AA19,IF(MATCHED!AS19=27,MATCHED!$AB19,"."))))))</f>
        <v>#N/A</v>
      </c>
      <c r="R19" s="356" t="e">
        <f>IF(MATCHED!AT19=1,MATCHED!$B19,IF(MATCHED!AT19=2,MATCHED!$C19,IF(MATCHED!AT19=3,MATCHED!$D19,IF(MATCHED!AT19=4,MATCHED!$E19,IF(MATCHED!AT19=3,MATCHED!$F19,IF(MATCHED!AT19=6,MATCHED!$G19,IF(MATCHED!AT19=7,MATCHED!$H19,"")))))))&amp;IF(MATCHED!AT19=8,MATCHED!$I19,IF(MATCHED!AT19=9,MATCHED!$J19,IF(MATCHED!AT19=10,MATCHED!$K19,IF(MATCHED!AT19=11,MATCHED!$L19,IF(MATCHED!AT19=12,MATCHED!$M19,IF(MATCHED!AT19=13,MATCHED!$N19,IF(MATCHED!AT19=14,MATCHED!$O19,"")))))))&amp;IF(MATCHED!AT19=15,MATCHED!$P19,IF(MATCHED!AT19=16,MATCHED!$Q19,IF(MATCHED!AT19=17,MATCHED!$R19,IF(MATCHED!AT19=18,MATCHED!$S19,IF(MATCHED!AT19=19,MATCHED!$T19,IF(MATCHED!AT19=20,MATCHED!$U19,IF(MATCHED!AT19=21,MATCHED!$V19,)))))))&amp;IF(MATCHED!AT19=22,MATCHED!$W19,IF(MATCHED!AT19=23,MATCHED!$X19,IF(MATCHED!AT19=24,MATCHED!$Y19,IF(MATCHED!AT19=25,MATCHED!$Z19,IF(MATCHED!AT19=26,MATCHED!$AA19,IF(MATCHED!AT19=27,MATCHED!$AB19,"."))))))</f>
        <v>#N/A</v>
      </c>
      <c r="S19" s="356" t="e">
        <f>IF(MATCHED!AU19=1,MATCHED!$B19,IF(MATCHED!AU19=2,MATCHED!$C19,IF(MATCHED!AU19=3,MATCHED!$D19,IF(MATCHED!AU19=4,MATCHED!$E19,IF(MATCHED!AU19=3,MATCHED!$F19,IF(MATCHED!AU19=6,MATCHED!$G19,IF(MATCHED!AU19=7,MATCHED!$H19,"")))))))&amp;IF(MATCHED!AU19=8,MATCHED!$I19,IF(MATCHED!AU19=9,MATCHED!$J19,IF(MATCHED!AU19=10,MATCHED!$K19,IF(MATCHED!AU19=11,MATCHED!$L19,IF(MATCHED!AU19=12,MATCHED!$M19,IF(MATCHED!AU19=13,MATCHED!$N19,IF(MATCHED!AU19=14,MATCHED!$O19,"")))))))&amp;IF(MATCHED!AU19=15,MATCHED!$P19,IF(MATCHED!AU19=16,MATCHED!$Q19,IF(MATCHED!AU19=17,MATCHED!$R19,IF(MATCHED!AU19=18,MATCHED!$S19,IF(MATCHED!AU19=19,MATCHED!$T19,IF(MATCHED!AU19=20,MATCHED!$U19,IF(MATCHED!AU19=21,MATCHED!$V19,)))))))&amp;IF(MATCHED!AU19=22,MATCHED!$W19,IF(MATCHED!AU19=23,MATCHED!$X19,IF(MATCHED!AU19=24,MATCHED!$Y19,IF(MATCHED!AU19=25,MATCHED!$Z19,IF(MATCHED!AU19=26,MATCHED!$AA19,IF(MATCHED!AU19=27,MATCHED!$AB19,"."))))))</f>
        <v>#N/A</v>
      </c>
      <c r="T19" s="356" t="e">
        <f>IF(MATCHED!AV19=1,MATCHED!$B19,IF(MATCHED!AV19=2,MATCHED!$C19,IF(MATCHED!AV19=3,MATCHED!$D19,IF(MATCHED!AV19=4,MATCHED!$E19,IF(MATCHED!AV19=3,MATCHED!$F19,IF(MATCHED!AV19=6,MATCHED!$G19,IF(MATCHED!AV19=7,MATCHED!$H19,"")))))))&amp;IF(MATCHED!AV19=8,MATCHED!$I19,IF(MATCHED!AV19=9,MATCHED!$J19,IF(MATCHED!AV19=10,MATCHED!$K19,IF(MATCHED!AV19=11,MATCHED!$L19,IF(MATCHED!AV19=12,MATCHED!$M19,IF(MATCHED!AV19=13,MATCHED!$N19,IF(MATCHED!AV19=14,MATCHED!$O19,"")))))))&amp;IF(MATCHED!AV19=15,MATCHED!$P19,IF(MATCHED!AV19=16,MATCHED!$Q19,IF(MATCHED!AV19=17,MATCHED!$R19,IF(MATCHED!AV19=18,MATCHED!$S19,IF(MATCHED!AV19=19,MATCHED!$T19,IF(MATCHED!AV19=20,MATCHED!$U19,IF(MATCHED!AV19=21,MATCHED!$V19,)))))))&amp;IF(MATCHED!AV19=22,MATCHED!$W19,IF(MATCHED!AV19=23,MATCHED!$X19,IF(MATCHED!AV19=24,MATCHED!$Y19,IF(MATCHED!AV19=25,MATCHED!$Z19,IF(MATCHED!AV19=26,MATCHED!$AA19,IF(MATCHED!AV19=27,MATCHED!$AB19,"."))))))</f>
        <v>#N/A</v>
      </c>
      <c r="U19" s="356" t="e">
        <f>IF(MATCHED!AW19=1,MATCHED!$B19,IF(MATCHED!AW19=2,MATCHED!$C19,IF(MATCHED!AW19=3,MATCHED!$D19,IF(MATCHED!AW19=4,MATCHED!$E19,IF(MATCHED!AW19=3,MATCHED!$F19,IF(MATCHED!AW19=6,MATCHED!$G19,IF(MATCHED!AW19=7,MATCHED!$H19,"")))))))&amp;IF(MATCHED!AW19=8,MATCHED!$I19,IF(MATCHED!AW19=9,MATCHED!$J19,IF(MATCHED!AW19=10,MATCHED!$K19,IF(MATCHED!AW19=11,MATCHED!$L19,IF(MATCHED!AW19=12,MATCHED!$M19,IF(MATCHED!AW19=13,MATCHED!$N19,IF(MATCHED!AW19=14,MATCHED!$O19,"")))))))&amp;IF(MATCHED!AW19=15,MATCHED!$P19,IF(MATCHED!AW19=16,MATCHED!$Q19,IF(MATCHED!AW19=17,MATCHED!$R19,IF(MATCHED!AW19=18,MATCHED!$S19,IF(MATCHED!AW19=19,MATCHED!$T19,IF(MATCHED!AW19=20,MATCHED!$U19,IF(MATCHED!AW19=21,MATCHED!$V19,)))))))&amp;IF(MATCHED!AW19=22,MATCHED!$W19,IF(MATCHED!AW19=23,MATCHED!$X19,IF(MATCHED!AW19=24,MATCHED!$Y19,IF(MATCHED!AW19=25,MATCHED!$Z19,IF(MATCHED!AW19=26,MATCHED!$AA19,IF(MATCHED!AW19=27,MATCHED!$AB19,"."))))))</f>
        <v>#N/A</v>
      </c>
      <c r="V19" s="356" t="e">
        <f>IF(MATCHED!AX19=1,MATCHED!$B19,IF(MATCHED!AX19=2,MATCHED!$C19,IF(MATCHED!AX19=3,MATCHED!$D19,IF(MATCHED!AX19=4,MATCHED!$E19,IF(MATCHED!AX19=3,MATCHED!$F19,IF(MATCHED!AX19=6,MATCHED!$G19,IF(MATCHED!AX19=7,MATCHED!$H19,"")))))))&amp;IF(MATCHED!AX19=8,MATCHED!$I19,IF(MATCHED!AX19=9,MATCHED!$J19,IF(MATCHED!AX19=10,MATCHED!$K19,IF(MATCHED!AX19=11,MATCHED!$L19,IF(MATCHED!AX19=12,MATCHED!$M19,IF(MATCHED!AX19=13,MATCHED!$N19,IF(MATCHED!AX19=14,MATCHED!$O19,"")))))))&amp;IF(MATCHED!AX19=15,MATCHED!$P19,IF(MATCHED!AX19=16,MATCHED!$Q19,IF(MATCHED!AX19=17,MATCHED!$R19,IF(MATCHED!AX19=18,MATCHED!$S19,IF(MATCHED!AX19=19,MATCHED!$T19,IF(MATCHED!AX19=20,MATCHED!$U19,IF(MATCHED!AX19=21,MATCHED!$V19,)))))))&amp;IF(MATCHED!AX19=22,MATCHED!$W19,IF(MATCHED!AX19=23,MATCHED!$X19,IF(MATCHED!AX19=24,MATCHED!$Y19,IF(MATCHED!AX19=25,MATCHED!$Z19,IF(MATCHED!AX19=26,MATCHED!$AA19,IF(MATCHED!AX19=27,MATCHED!$AB19,"."))))))</f>
        <v>#N/A</v>
      </c>
      <c r="W19" s="356" t="e">
        <f>IF(MATCHED!AY19=1,MATCHED!$B19,IF(MATCHED!AY19=2,MATCHED!$C19,IF(MATCHED!AY19=3,MATCHED!$D19,IF(MATCHED!AY19=4,MATCHED!$E19,IF(MATCHED!AY19=3,MATCHED!$F19,IF(MATCHED!AY19=6,MATCHED!$G19,IF(MATCHED!AY19=7,MATCHED!$H19,"")))))))&amp;IF(MATCHED!AY19=8,MATCHED!$I19,IF(MATCHED!AY19=9,MATCHED!$J19,IF(MATCHED!AY19=10,MATCHED!$K19,IF(MATCHED!AY19=11,MATCHED!$L19,IF(MATCHED!AY19=12,MATCHED!$M19,IF(MATCHED!AY19=13,MATCHED!$N19,IF(MATCHED!AY19=14,MATCHED!$O19,"")))))))&amp;IF(MATCHED!AY19=15,MATCHED!$P19,IF(MATCHED!AY19=16,MATCHED!$Q19,IF(MATCHED!AY19=17,MATCHED!$R19,IF(MATCHED!AY19=18,MATCHED!$S19,IF(MATCHED!AY19=19,MATCHED!$T19,IF(MATCHED!AY19=20,MATCHED!$U19,IF(MATCHED!AY19=21,MATCHED!$V19,)))))))&amp;IF(MATCHED!AY19=22,MATCHED!$W19,IF(MATCHED!AY19=23,MATCHED!$X19,IF(MATCHED!AY19=24,MATCHED!$Y19,IF(MATCHED!AY19=25,MATCHED!$Z19,IF(MATCHED!AY19=26,MATCHED!$AA19,IF(MATCHED!AY19=27,MATCHED!$AB19,"."))))))</f>
        <v>#N/A</v>
      </c>
      <c r="X19" s="356" t="e">
        <f>IF(MATCHED!AZ19=1,MATCHED!$B19,IF(MATCHED!AZ19=2,MATCHED!$C19,IF(MATCHED!AZ19=3,MATCHED!$D19,IF(MATCHED!AZ19=4,MATCHED!$E19,IF(MATCHED!AZ19=3,MATCHED!$F19,IF(MATCHED!AZ19=6,MATCHED!$G19,IF(MATCHED!AZ19=7,MATCHED!$H19,"")))))))&amp;IF(MATCHED!AZ19=8,MATCHED!$I19,IF(MATCHED!AZ19=9,MATCHED!$J19,IF(MATCHED!AZ19=10,MATCHED!$K19,IF(MATCHED!AZ19=11,MATCHED!$L19,IF(MATCHED!AZ19=12,MATCHED!$M19,IF(MATCHED!AZ19=13,MATCHED!$N19,IF(MATCHED!AZ19=14,MATCHED!$O19,"")))))))&amp;IF(MATCHED!AZ19=15,MATCHED!$P19,IF(MATCHED!AZ19=16,MATCHED!$Q19,IF(MATCHED!AZ19=17,MATCHED!$R19,IF(MATCHED!AZ19=18,MATCHED!$S19,IF(MATCHED!AZ19=19,MATCHED!$T19,IF(MATCHED!AZ19=20,MATCHED!$U19,IF(MATCHED!AZ19=21,MATCHED!$V19,)))))))&amp;IF(MATCHED!AZ19=22,MATCHED!$W19,IF(MATCHED!AZ19=23,MATCHED!$X19,IF(MATCHED!AZ19=24,MATCHED!$Y19,IF(MATCHED!AZ19=25,MATCHED!$Z19,IF(MATCHED!AZ19=26,MATCHED!$AA19,IF(MATCHED!AZ19=27,MATCHED!$AB19,"."))))))</f>
        <v>#N/A</v>
      </c>
      <c r="Y19" s="356" t="e">
        <f>IF(MATCHED!BA19=1,MATCHED!$B19,IF(MATCHED!BA19=2,MATCHED!$C19,IF(MATCHED!BA19=3,MATCHED!$D19,IF(MATCHED!BA19=4,MATCHED!$E19,IF(MATCHED!BA19=3,MATCHED!$F19,IF(MATCHED!BA19=6,MATCHED!$G19,IF(MATCHED!BA19=7,MATCHED!$H19,"")))))))&amp;IF(MATCHED!BA19=8,MATCHED!$I19,IF(MATCHED!BA19=9,MATCHED!$J19,IF(MATCHED!BA19=10,MATCHED!$K19,IF(MATCHED!BA19=11,MATCHED!$L19,IF(MATCHED!BA19=12,MATCHED!$M19,IF(MATCHED!BA19=13,MATCHED!$N19,IF(MATCHED!BA19=14,MATCHED!$O19,"")))))))&amp;IF(MATCHED!BA19=15,MATCHED!$P19,IF(MATCHED!BA19=16,MATCHED!$Q19,IF(MATCHED!BA19=17,MATCHED!$R19,IF(MATCHED!BA19=18,MATCHED!$S19,IF(MATCHED!BA19=19,MATCHED!$T19,IF(MATCHED!BA19=20,MATCHED!$U19,IF(MATCHED!BA19=21,MATCHED!$V19,)))))))&amp;IF(MATCHED!BA19=22,MATCHED!$W19,IF(MATCHED!BA19=23,MATCHED!$X19,IF(MATCHED!BA19=24,MATCHED!$Y19,IF(MATCHED!BA19=25,MATCHED!$Z19,IF(MATCHED!BA19=26,MATCHED!$AA19,IF(MATCHED!BA19=27,MATCHED!$AB19,"."))))))</f>
        <v>#N/A</v>
      </c>
      <c r="Z19" s="356" t="e">
        <f>IF(MATCHED!BB19=1,MATCHED!$B19,IF(MATCHED!BB19=2,MATCHED!$C19,IF(MATCHED!BB19=3,MATCHED!$D19,IF(MATCHED!BB19=4,MATCHED!$E19,IF(MATCHED!BB19=3,MATCHED!$F19,IF(MATCHED!BB19=6,MATCHED!$G19,IF(MATCHED!BB19=7,MATCHED!$H19,"")))))))&amp;IF(MATCHED!BB19=8,MATCHED!$I19,IF(MATCHED!BB19=9,MATCHED!$J19,IF(MATCHED!BB19=10,MATCHED!$K19,IF(MATCHED!BB19=11,MATCHED!$L19,IF(MATCHED!BB19=12,MATCHED!$M19,IF(MATCHED!BB19=13,MATCHED!$N19,IF(MATCHED!BB19=14,MATCHED!$O19,"")))))))&amp;IF(MATCHED!BB19=15,MATCHED!$P19,IF(MATCHED!BB19=16,MATCHED!$Q19,IF(MATCHED!BB19=17,MATCHED!$R19,IF(MATCHED!BB19=18,MATCHED!$S19,IF(MATCHED!BB19=19,MATCHED!$T19,IF(MATCHED!BB19=20,MATCHED!$U19,IF(MATCHED!BB19=21,MATCHED!$V19,)))))))&amp;IF(MATCHED!BB19=22,MATCHED!$W19,IF(MATCHED!BB19=23,MATCHED!$X19,IF(MATCHED!BB19=24,MATCHED!$Y19,IF(MATCHED!BB19=25,MATCHED!$Z19,IF(MATCHED!BB19=26,MATCHED!$AA19,IF(MATCHED!BB19=27,MATCHED!$AB19,"."))))))</f>
        <v>#N/A</v>
      </c>
      <c r="AA19" s="356" t="e">
        <f>IF(MATCHED!BC19=1,MATCHED!$B19,IF(MATCHED!BC19=2,MATCHED!$C19,IF(MATCHED!BC19=3,MATCHED!$D19,IF(MATCHED!BC19=4,MATCHED!$E19,IF(MATCHED!BC19=3,MATCHED!$F19,IF(MATCHED!BC19=6,MATCHED!$G19,IF(MATCHED!BC19=7,MATCHED!$H19,"")))))))&amp;IF(MATCHED!BC19=8,MATCHED!$I19,IF(MATCHED!BC19=9,MATCHED!$J19,IF(MATCHED!BC19=10,MATCHED!$K19,IF(MATCHED!BC19=11,MATCHED!$L19,IF(MATCHED!BC19=12,MATCHED!$M19,IF(MATCHED!BC19=13,MATCHED!$N19,IF(MATCHED!BC19=14,MATCHED!$O19,"")))))))&amp;IF(MATCHED!BC19=15,MATCHED!$P19,IF(MATCHED!BC19=16,MATCHED!$Q19,IF(MATCHED!BC19=17,MATCHED!$R19,IF(MATCHED!BC19=18,MATCHED!$S19,IF(MATCHED!BC19=19,MATCHED!$T19,IF(MATCHED!BC19=20,MATCHED!$U19,IF(MATCHED!BC19=21,MATCHED!$V19,)))))))&amp;IF(MATCHED!BC19=22,MATCHED!$W19,IF(MATCHED!BC19=23,MATCHED!$X19,IF(MATCHED!BC19=24,MATCHED!$Y19,IF(MATCHED!BC19=25,MATCHED!$Z19,IF(MATCHED!BC19=26,MATCHED!$AA19,IF(MATCHED!BC19=27,MATCHED!$AB19,"."))))))</f>
        <v>#N/A</v>
      </c>
      <c r="AB19" s="356" t="e">
        <f>IF(MATCHED!BD19=1,MATCHED!$B19,IF(MATCHED!BD19=2,MATCHED!$C19,IF(MATCHED!BD19=3,MATCHED!$D19,IF(MATCHED!BD19=4,MATCHED!$E19,IF(MATCHED!BD19=3,MATCHED!$F19,IF(MATCHED!BD19=6,MATCHED!$G19,IF(MATCHED!BD19=7,MATCHED!$H19,"")))))))&amp;IF(MATCHED!BD19=8,MATCHED!$I19,IF(MATCHED!BD19=9,MATCHED!$J19,IF(MATCHED!BD19=10,MATCHED!$K19,IF(MATCHED!BD19=11,MATCHED!$L19,IF(MATCHED!BD19=12,MATCHED!$M19,IF(MATCHED!BD19=13,MATCHED!$N19,IF(MATCHED!BD19=14,MATCHED!$O19,"")))))))&amp;IF(MATCHED!BD19=15,MATCHED!$P19,IF(MATCHED!BD19=16,MATCHED!$Q19,IF(MATCHED!BD19=17,MATCHED!$R19,IF(MATCHED!BD19=18,MATCHED!$S19,IF(MATCHED!BD19=19,MATCHED!$T19,IF(MATCHED!BD19=20,MATCHED!$U19,IF(MATCHED!BD19=21,MATCHED!$V19,)))))))&amp;IF(MATCHED!BD19=22,MATCHED!$W19,IF(MATCHED!BD19=23,MATCHED!$X19,IF(MATCHED!BD19=24,MATCHED!$Y19,IF(MATCHED!BD19=25,MATCHED!$Z19,IF(MATCHED!BD19=26,MATCHED!$AA19,IF(MATCHED!BD19=27,MATCHED!$AB19,"."))))))</f>
        <v>#N/A</v>
      </c>
      <c r="AC19" s="356" t="e">
        <f>IF(MATCHED!BE19=1,MATCHED!$B19,IF(MATCHED!BE19=2,MATCHED!$C19,IF(MATCHED!BE19=3,MATCHED!$D19,IF(MATCHED!BE19=4,MATCHED!$E19,IF(MATCHED!BE19=3,MATCHED!$F19,IF(MATCHED!BE19=6,MATCHED!$G19,IF(MATCHED!BE19=7,MATCHED!$H19,"")))))))&amp;IF(MATCHED!BE19=8,MATCHED!$I19,IF(MATCHED!BE19=9,MATCHED!$J19,IF(MATCHED!BE19=10,MATCHED!$K19,IF(MATCHED!BE19=11,MATCHED!$L19,IF(MATCHED!BE19=12,MATCHED!$M19,IF(MATCHED!BE19=13,MATCHED!$N19,IF(MATCHED!BE19=14,MATCHED!$O19,"")))))))&amp;IF(MATCHED!BE19=15,MATCHED!$P19,IF(MATCHED!BE19=16,MATCHED!$Q19,IF(MATCHED!BE19=17,MATCHED!$R19,IF(MATCHED!BE19=18,MATCHED!$S19,IF(MATCHED!BE19=19,MATCHED!$T19,IF(MATCHED!BE19=20,MATCHED!$U19,IF(MATCHED!BE19=21,MATCHED!$V19,)))))))&amp;IF(MATCHED!BE19=22,MATCHED!$W19,IF(MATCHED!BE19=23,MATCHED!$X19,IF(MATCHED!BE19=24,MATCHED!$Y19,IF(MATCHED!BE19=25,MATCHED!$Z19,IF(MATCHED!BE19=26,MATCHED!$AA19,IF(MATCHED!BE19=27,MATCHED!$AB19,"."))))))</f>
        <v>#N/A</v>
      </c>
      <c r="AD19" s="356" t="e">
        <f>IF(MATCHED!BF19=1,MATCHED!$B19,IF(MATCHED!BF19=2,MATCHED!$C19,IF(MATCHED!BF19=3,MATCHED!$D19,IF(MATCHED!BF19=4,MATCHED!$E19,IF(MATCHED!BF19=3,MATCHED!$F19,IF(MATCHED!BF19=6,MATCHED!$G19,IF(MATCHED!BF19=7,MATCHED!$H19,"")))))))&amp;IF(MATCHED!BF19=8,MATCHED!$I19,IF(MATCHED!BF19=9,MATCHED!$J19,IF(MATCHED!BF19=10,MATCHED!$K19,IF(MATCHED!BF19=11,MATCHED!$L19,IF(MATCHED!BF19=12,MATCHED!$M19,IF(MATCHED!BF19=13,MATCHED!$N19,IF(MATCHED!BF19=14,MATCHED!$O19,"")))))))&amp;IF(MATCHED!BF19=15,MATCHED!$P19,IF(MATCHED!BF19=16,MATCHED!$Q19,IF(MATCHED!BF19=17,MATCHED!$R19,IF(MATCHED!BF19=18,MATCHED!$S19,IF(MATCHED!BF19=19,MATCHED!$T19,IF(MATCHED!BF19=20,MATCHED!$U19,IF(MATCHED!BF19=21,MATCHED!$V19,)))))))&amp;IF(MATCHED!BF19=22,MATCHED!$W19,IF(MATCHED!BF19=23,MATCHED!$X19,IF(MATCHED!BF19=24,MATCHED!$Y19,IF(MATCHED!BF19=25,MATCHED!$Z19,IF(MATCHED!BF19=26,MATCHED!$AA19,IF(MATCHED!BF19=27,MATCHED!$AB19,"."))))))</f>
        <v>#N/A</v>
      </c>
      <c r="AE19" s="356" t="e">
        <f>IF(MATCHED!BG19=1,MATCHED!$B19,IF(MATCHED!BG19=2,MATCHED!$C19,IF(MATCHED!BG19=3,MATCHED!$D19,IF(MATCHED!BG19=4,MATCHED!$E19,IF(MATCHED!BG19=3,MATCHED!$F19,IF(MATCHED!BG19=6,MATCHED!$G19,IF(MATCHED!BG19=7,MATCHED!$H19,"")))))))&amp;IF(MATCHED!BG19=8,MATCHED!$I19,IF(MATCHED!BG19=9,MATCHED!$J19,IF(MATCHED!BG19=10,MATCHED!$K19,IF(MATCHED!BG19=11,MATCHED!$L19,IF(MATCHED!BG19=12,MATCHED!$M19,IF(MATCHED!BG19=13,MATCHED!$N19,IF(MATCHED!BG19=14,MATCHED!$O19,"")))))))&amp;IF(MATCHED!BG19=15,MATCHED!$P19,IF(MATCHED!BG19=16,MATCHED!$Q19,IF(MATCHED!BG19=17,MATCHED!$R19,IF(MATCHED!BG19=18,MATCHED!$S19,IF(MATCHED!BG19=19,MATCHED!$T19,IF(MATCHED!BG19=20,MATCHED!$U19,IF(MATCHED!BG19=21,MATCHED!$V19,)))))))&amp;IF(MATCHED!BG19=22,MATCHED!$W19,IF(MATCHED!BG19=23,MATCHED!$X19,IF(MATCHED!BG19=24,MATCHED!$Y19,IF(MATCHED!BG19=25,MATCHED!$Z19,IF(MATCHED!BG19=26,MATCHED!$AA19,IF(MATCHED!BG19=27,MATCHED!$AB19,"."))))))</f>
        <v>#N/A</v>
      </c>
      <c r="AF19" s="356" t="e">
        <f>IF(MATCHED!BH19=1,MATCHED!$B19,IF(MATCHED!BH19=2,MATCHED!$C19,IF(MATCHED!BH19=3,MATCHED!$D19,IF(MATCHED!BH19=4,MATCHED!$E19,IF(MATCHED!BH19=3,MATCHED!$F19,IF(MATCHED!BH19=6,MATCHED!$G19,IF(MATCHED!BH19=7,MATCHED!$H19,"")))))))&amp;IF(MATCHED!BH19=8,MATCHED!$I19,IF(MATCHED!BH19=9,MATCHED!$J19,IF(MATCHED!BH19=10,MATCHED!$K19,IF(MATCHED!BH19=11,MATCHED!$L19,IF(MATCHED!BH19=12,MATCHED!$M19,IF(MATCHED!BH19=13,MATCHED!$N19,IF(MATCHED!BH19=14,MATCHED!$O19,"")))))))&amp;IF(MATCHED!BH19=15,MATCHED!$P19,IF(MATCHED!BH19=16,MATCHED!$Q19,IF(MATCHED!BH19=17,MATCHED!$R19,IF(MATCHED!BH19=18,MATCHED!$S19,IF(MATCHED!BH19=19,MATCHED!$T19,IF(MATCHED!BH19=20,MATCHED!$U19,IF(MATCHED!BH19=21,MATCHED!$V19,)))))))&amp;IF(MATCHED!BH19=22,MATCHED!$W19,IF(MATCHED!BH19=23,MATCHED!$X19,IF(MATCHED!BH19=24,MATCHED!$Y19,IF(MATCHED!BH19=25,MATCHED!$Z19,IF(MATCHED!BH19=26,MATCHED!$AA19,IF(MATCHED!BH19=27,MATCHED!$AB19,"."))))))</f>
        <v>#N/A</v>
      </c>
      <c r="AG19" s="356" t="e">
        <f>IF(MATCHED!BI19=1,MATCHED!$B19,IF(MATCHED!BI19=2,MATCHED!$C19,IF(MATCHED!BI19=3,MATCHED!$D19,IF(MATCHED!BI19=4,MATCHED!$E19,IF(MATCHED!BI19=3,MATCHED!$F19,IF(MATCHED!BI19=6,MATCHED!$G19,IF(MATCHED!BI19=7,MATCHED!$H19,"")))))))&amp;IF(MATCHED!BI19=8,MATCHED!$I19,IF(MATCHED!BI19=9,MATCHED!$J19,IF(MATCHED!BI19=10,MATCHED!$K19,IF(MATCHED!BI19=11,MATCHED!$L19,IF(MATCHED!BI19=12,MATCHED!$M19,IF(MATCHED!BI19=13,MATCHED!$N19,IF(MATCHED!BI19=14,MATCHED!$O19,"")))))))&amp;IF(MATCHED!BI19=15,MATCHED!$P19,IF(MATCHED!BI19=16,MATCHED!$Q19,IF(MATCHED!BI19=17,MATCHED!$R19,IF(MATCHED!BI19=18,MATCHED!$S19,IF(MATCHED!BI19=19,MATCHED!$T19,IF(MATCHED!BI19=20,MATCHED!$U19,IF(MATCHED!BI19=21,MATCHED!$V19,)))))))&amp;IF(MATCHED!BI19=22,MATCHED!$W19,IF(MATCHED!BI19=23,MATCHED!$X19,IF(MATCHED!BI19=24,MATCHED!$Y19,IF(MATCHED!BI19=25,MATCHED!$Z19,IF(MATCHED!BI19=26,MATCHED!$AA19,IF(MATCHED!BI19=27,MATCHED!$AB19,"."))))))</f>
        <v>#N/A</v>
      </c>
      <c r="AH19" s="356" t="e">
        <f>IF(MATCHED!BJ19=1,MATCHED!$B19,IF(MATCHED!BJ19=2,MATCHED!$C19,IF(MATCHED!BJ19=3,MATCHED!$D19,IF(MATCHED!BJ19=4,MATCHED!$E19,IF(MATCHED!BJ19=3,MATCHED!$F19,IF(MATCHED!BJ19=6,MATCHED!$G19,IF(MATCHED!BJ19=7,MATCHED!$H19,"")))))))&amp;IF(MATCHED!BJ19=8,MATCHED!$I19,IF(MATCHED!BJ19=9,MATCHED!$J19,IF(MATCHED!BJ19=10,MATCHED!$K19,IF(MATCHED!BJ19=11,MATCHED!$L19,IF(MATCHED!BJ19=12,MATCHED!$M19,IF(MATCHED!BJ19=13,MATCHED!$N19,IF(MATCHED!BJ19=14,MATCHED!$O19,"")))))))&amp;IF(MATCHED!BJ19=15,MATCHED!$P19,IF(MATCHED!BJ19=16,MATCHED!$Q19,IF(MATCHED!BJ19=17,MATCHED!$R19,IF(MATCHED!BJ19=18,MATCHED!$S19,IF(MATCHED!BJ19=19,MATCHED!$T19,IF(MATCHED!BJ19=20,MATCHED!$U19,IF(MATCHED!BJ19=21,MATCHED!$V19,)))))))&amp;IF(MATCHED!BJ19=22,MATCHED!$W19,IF(MATCHED!BJ19=23,MATCHED!$X19,IF(MATCHED!BJ19=24,MATCHED!$Y19,IF(MATCHED!BJ19=25,MATCHED!$Z19,IF(MATCHED!BJ19=26,MATCHED!$AA19,IF(MATCHED!BJ19=27,MATCHED!$AB19,"."))))))</f>
        <v>#N/A</v>
      </c>
      <c r="AI19" s="356" t="e">
        <f>IF(MATCHED!BK19=1,MATCHED!$B19,IF(MATCHED!BK19=2,MATCHED!$C19,IF(MATCHED!BK19=3,MATCHED!$D19,IF(MATCHED!BK19=4,MATCHED!$E19,IF(MATCHED!BK19=3,MATCHED!$F19,IF(MATCHED!BK19=6,MATCHED!$G19,IF(MATCHED!BK19=7,MATCHED!$H19,"")))))))&amp;IF(MATCHED!BK19=8,MATCHED!$I19,IF(MATCHED!BK19=9,MATCHED!$J19,IF(MATCHED!BK19=10,MATCHED!$K19,IF(MATCHED!BK19=11,MATCHED!$L19,IF(MATCHED!BK19=12,MATCHED!$M19,IF(MATCHED!BK19=13,MATCHED!$N19,IF(MATCHED!BK19=14,MATCHED!$O19,"")))))))&amp;IF(MATCHED!BK19=15,MATCHED!$P19,IF(MATCHED!BK19=16,MATCHED!$Q19,IF(MATCHED!BK19=17,MATCHED!$R19,IF(MATCHED!BK19=18,MATCHED!$S19,IF(MATCHED!BK19=19,MATCHED!$T19,IF(MATCHED!BK19=20,MATCHED!$U19,IF(MATCHED!BK19=21,MATCHED!$V19,)))))))&amp;IF(MATCHED!BK19=22,MATCHED!$W19,IF(MATCHED!BK19=23,MATCHED!$X19,IF(MATCHED!BK19=24,MATCHED!$Y19,IF(MATCHED!BK19=25,MATCHED!$Z19,IF(MATCHED!BK19=26,MATCHED!$AA19,IF(MATCHED!BK19=27,MATCHED!$AB19,"."))))))</f>
        <v>#N/A</v>
      </c>
      <c r="AJ19" s="535"/>
    </row>
    <row r="20" spans="1:36" s="338" customFormat="1" x14ac:dyDescent="0.25">
      <c r="A20" s="535"/>
      <c r="B20" s="355" t="e">
        <f>IF(MATCHED!AD20=1,MATCHED!$B20,IF(MATCHED!AD20=2,MATCHED!$C20,IF(MATCHED!AD20=3,MATCHED!$D20,IF(MATCHED!AD20=4,MATCHED!$E20,IF(MATCHED!AD20=3,MATCHED!$F20,IF(MATCHED!AD20=6,MATCHED!$G20,IF(MATCHED!AD20=7,MATCHED!$H20,"")))))))&amp;IF(MATCHED!AD20=8,MATCHED!$I20,IF(MATCHED!AD20=9,MATCHED!$J20,IF(MATCHED!AD20=10,MATCHED!$K20,IF(MATCHED!AD20=11,MATCHED!$L20,IF(MATCHED!AD20=12,MATCHED!$M20,IF(MATCHED!AD20=13,MATCHED!$N20,IF(MATCHED!AD20=14,MATCHED!$O20,"")))))))&amp;IF(MATCHED!AD20=15,MATCHED!$P20,IF(MATCHED!AD20=16,MATCHED!$Q20,IF(MATCHED!AD20=17,MATCHED!$R20,IF(MATCHED!AD20=18,MATCHED!$S20,IF(MATCHED!AD20=19,MATCHED!$T20,IF(MATCHED!AD20=20,MATCHED!$U20,IF(MATCHED!AD20=21,MATCHED!$V20,)))))))&amp;IF(MATCHED!AD20=22,MATCHED!$W20,IF(MATCHED!AD20=23,MATCHED!$X20,IF(MATCHED!AD20=24,MATCHED!$Y20,IF(MATCHED!AD20=25,MATCHED!$Z20,IF(MATCHED!AD20=26,MATCHED!$AA20,IF(MATCHED!AD20=27,MATCHED!$AB20,"."))))))</f>
        <v>#N/A</v>
      </c>
      <c r="C20" s="356" t="e">
        <f>IF(MATCHED!AE20=1,MATCHED!$B20,IF(MATCHED!AE20=2,MATCHED!$C20,IF(MATCHED!AE20=3,MATCHED!$D20,IF(MATCHED!AE20=4,MATCHED!$E20,IF(MATCHED!AE20=3,MATCHED!$F20,IF(MATCHED!AE20=6,MATCHED!$G20,IF(MATCHED!AE20=7,MATCHED!$H20,"")))))))&amp;IF(MATCHED!AE20=8,MATCHED!$I20,IF(MATCHED!AE20=9,MATCHED!$J20,IF(MATCHED!AE20=10,MATCHED!$K20,IF(MATCHED!AE20=11,MATCHED!$L20,IF(MATCHED!AE20=12,MATCHED!$M20,IF(MATCHED!AE20=13,MATCHED!$N20,IF(MATCHED!AE20=14,MATCHED!$O20,"")))))))&amp;IF(MATCHED!AE20=15,MATCHED!$P20,IF(MATCHED!AE20=16,MATCHED!$Q20,IF(MATCHED!AE20=17,MATCHED!$R20,IF(MATCHED!AE20=18,MATCHED!$S20,IF(MATCHED!AE20=19,MATCHED!$T20,IF(MATCHED!AE20=20,MATCHED!$U20,IF(MATCHED!AE20=21,MATCHED!$V20,)))))))&amp;IF(MATCHED!AE20=22,MATCHED!$W20,IF(MATCHED!AE20=23,MATCHED!$X20,IF(MATCHED!AE20=24,MATCHED!$Y20,IF(MATCHED!AE20=25,MATCHED!$Z20,IF(MATCHED!AE20=26,MATCHED!$AA20,IF(MATCHED!AE20=27,MATCHED!$AB20,"."))))))</f>
        <v>#N/A</v>
      </c>
      <c r="D20" s="356" t="e">
        <f>IF(MATCHED!AF20=1,MATCHED!$B20,IF(MATCHED!AF20=2,MATCHED!$C20,IF(MATCHED!AF20=3,MATCHED!$D20,IF(MATCHED!AF20=4,MATCHED!$E20,IF(MATCHED!AF20=3,MATCHED!$F20,IF(MATCHED!AF20=6,MATCHED!$G20,IF(MATCHED!AF20=7,MATCHED!$H20,"")))))))&amp;IF(MATCHED!AF20=8,MATCHED!$I20,IF(MATCHED!AF20=9,MATCHED!$J20,IF(MATCHED!AF20=10,MATCHED!$K20,IF(MATCHED!AF20=11,MATCHED!$L20,IF(MATCHED!AF20=12,MATCHED!$M20,IF(MATCHED!AF20=13,MATCHED!$N20,IF(MATCHED!AF20=14,MATCHED!$O20,"")))))))&amp;IF(MATCHED!AF20=15,MATCHED!$P20,IF(MATCHED!AF20=16,MATCHED!$Q20,IF(MATCHED!AF20=17,MATCHED!$R20,IF(MATCHED!AF20=18,MATCHED!$S20,IF(MATCHED!AF20=19,MATCHED!$T20,IF(MATCHED!AF20=20,MATCHED!$U20,IF(MATCHED!AF20=21,MATCHED!$V20,)))))))&amp;IF(MATCHED!AF20=22,MATCHED!$W20,IF(MATCHED!AF20=23,MATCHED!$X20,IF(MATCHED!AF20=24,MATCHED!$Y20,IF(MATCHED!AF20=25,MATCHED!$Z20,IF(MATCHED!AF20=26,MATCHED!$AA20,IF(MATCHED!AF20=27,MATCHED!$AB20,"."))))))</f>
        <v>#N/A</v>
      </c>
      <c r="E20" s="356" t="e">
        <f>IF(MATCHED!AG20=1,MATCHED!$B20,IF(MATCHED!AG20=2,MATCHED!$C20,IF(MATCHED!AG20=3,MATCHED!$D20,IF(MATCHED!AG20=4,MATCHED!$E20,IF(MATCHED!AG20=3,MATCHED!$F20,IF(MATCHED!AG20=6,MATCHED!$G20,IF(MATCHED!AG20=7,MATCHED!$H20,"")))))))&amp;IF(MATCHED!AG20=8,MATCHED!$I20,IF(MATCHED!AG20=9,MATCHED!$J20,IF(MATCHED!AG20=10,MATCHED!$K20,IF(MATCHED!AG20=11,MATCHED!$L20,IF(MATCHED!AG20=12,MATCHED!$M20,IF(MATCHED!AG20=13,MATCHED!$N20,IF(MATCHED!AG20=14,MATCHED!$O20,"")))))))&amp;IF(MATCHED!AG20=15,MATCHED!$P20,IF(MATCHED!AG20=16,MATCHED!$Q20,IF(MATCHED!AG20=17,MATCHED!$R20,IF(MATCHED!AG20=18,MATCHED!$S20,IF(MATCHED!AG20=19,MATCHED!$T20,IF(MATCHED!AG20=20,MATCHED!$U20,IF(MATCHED!AG20=21,MATCHED!$V20,)))))))&amp;IF(MATCHED!AG20=22,MATCHED!$W20,IF(MATCHED!AG20=23,MATCHED!$X20,IF(MATCHED!AG20=24,MATCHED!$Y20,IF(MATCHED!AG20=25,MATCHED!$Z20,IF(MATCHED!AG20=26,MATCHED!$AA20,IF(MATCHED!AG20=27,MATCHED!$AB20,"."))))))</f>
        <v>#N/A</v>
      </c>
      <c r="F20" s="356" t="e">
        <f>IF(MATCHED!AH20=1,MATCHED!$B20,IF(MATCHED!AH20=2,MATCHED!$C20,IF(MATCHED!AH20=3,MATCHED!$D20,IF(MATCHED!AH20=4,MATCHED!$E20,IF(MATCHED!AH20=3,MATCHED!$F20,IF(MATCHED!AH20=6,MATCHED!$G20,IF(MATCHED!AH20=7,MATCHED!$H20,"")))))))&amp;IF(MATCHED!AH20=8,MATCHED!$I20,IF(MATCHED!AH20=9,MATCHED!$J20,IF(MATCHED!AH20=10,MATCHED!$K20,IF(MATCHED!AH20=11,MATCHED!$L20,IF(MATCHED!AH20=12,MATCHED!$M20,IF(MATCHED!AH20=13,MATCHED!$N20,IF(MATCHED!AH20=14,MATCHED!$O20,"")))))))&amp;IF(MATCHED!AH20=15,MATCHED!$P20,IF(MATCHED!AH20=16,MATCHED!$Q20,IF(MATCHED!AH20=17,MATCHED!$R20,IF(MATCHED!AH20=18,MATCHED!$S20,IF(MATCHED!AH20=19,MATCHED!$T20,IF(MATCHED!AH20=20,MATCHED!$U20,IF(MATCHED!AH20=21,MATCHED!$V20,)))))))&amp;IF(MATCHED!AH20=22,MATCHED!$W20,IF(MATCHED!AH20=23,MATCHED!$X20,IF(MATCHED!AH20=24,MATCHED!$Y20,IF(MATCHED!AH20=25,MATCHED!$Z20,IF(MATCHED!AH20=26,MATCHED!$AA20,IF(MATCHED!AH20=27,MATCHED!$AB20,"."))))))</f>
        <v>#N/A</v>
      </c>
      <c r="G20" s="356" t="e">
        <f>IF(MATCHED!AI20=1,MATCHED!$B20,IF(MATCHED!AI20=2,MATCHED!$C20,IF(MATCHED!AI20=3,MATCHED!$D20,IF(MATCHED!AI20=4,MATCHED!$E20,IF(MATCHED!AI20=3,MATCHED!$F20,IF(MATCHED!AI20=6,MATCHED!$G20,IF(MATCHED!AI20=7,MATCHED!$H20,"")))))))&amp;IF(MATCHED!AI20=8,MATCHED!$I20,IF(MATCHED!AI20=9,MATCHED!$J20,IF(MATCHED!AI20=10,MATCHED!$K20,IF(MATCHED!AI20=11,MATCHED!$L20,IF(MATCHED!AI20=12,MATCHED!$M20,IF(MATCHED!AI20=13,MATCHED!$N20,IF(MATCHED!AI20=14,MATCHED!$O20,"")))))))&amp;IF(MATCHED!AI20=15,MATCHED!$P20,IF(MATCHED!AI20=16,MATCHED!$Q20,IF(MATCHED!AI20=17,MATCHED!$R20,IF(MATCHED!AI20=18,MATCHED!$S20,IF(MATCHED!AI20=19,MATCHED!$T20,IF(MATCHED!AI20=20,MATCHED!$U20,IF(MATCHED!AI20=21,MATCHED!$V20,)))))))&amp;IF(MATCHED!AI20=22,MATCHED!$W20,IF(MATCHED!AI20=23,MATCHED!$X20,IF(MATCHED!AI20=24,MATCHED!$Y20,IF(MATCHED!AI20=25,MATCHED!$Z20,IF(MATCHED!AI20=26,MATCHED!$AA20,IF(MATCHED!AI20=27,MATCHED!$AB20,"."))))))</f>
        <v>#N/A</v>
      </c>
      <c r="H20" s="356" t="e">
        <f>IF(MATCHED!AJ20=1,MATCHED!$B20,IF(MATCHED!AJ20=2,MATCHED!$C20,IF(MATCHED!AJ20=3,MATCHED!$D20,IF(MATCHED!AJ20=4,MATCHED!$E20,IF(MATCHED!AJ20=3,MATCHED!$F20,IF(MATCHED!AJ20=6,MATCHED!$G20,IF(MATCHED!AJ20=7,MATCHED!$H20,"")))))))&amp;IF(MATCHED!AJ20=8,MATCHED!$I20,IF(MATCHED!AJ20=9,MATCHED!$J20,IF(MATCHED!AJ20=10,MATCHED!$K20,IF(MATCHED!AJ20=11,MATCHED!$L20,IF(MATCHED!AJ20=12,MATCHED!$M20,IF(MATCHED!AJ20=13,MATCHED!$N20,IF(MATCHED!AJ20=14,MATCHED!$O20,"")))))))&amp;IF(MATCHED!AJ20=15,MATCHED!$P20,IF(MATCHED!AJ20=16,MATCHED!$Q20,IF(MATCHED!AJ20=17,MATCHED!$R20,IF(MATCHED!AJ20=18,MATCHED!$S20,IF(MATCHED!AJ20=19,MATCHED!$T20,IF(MATCHED!AJ20=20,MATCHED!$U20,IF(MATCHED!AJ20=21,MATCHED!$V20,)))))))&amp;IF(MATCHED!AJ20=22,MATCHED!$W20,IF(MATCHED!AJ20=23,MATCHED!$X20,IF(MATCHED!AJ20=24,MATCHED!$Y20,IF(MATCHED!AJ20=25,MATCHED!$Z20,IF(MATCHED!AJ20=26,MATCHED!$AA20,IF(MATCHED!AJ20=27,MATCHED!$AB20,"."))))))</f>
        <v>#N/A</v>
      </c>
      <c r="I20" s="356" t="e">
        <f>IF(MATCHED!AK20=1,MATCHED!$B20,IF(MATCHED!AK20=2,MATCHED!$C20,IF(MATCHED!AK20=3,MATCHED!$D20,IF(MATCHED!AK20=4,MATCHED!$E20,IF(MATCHED!AK20=3,MATCHED!$F20,IF(MATCHED!AK20=6,MATCHED!$G20,IF(MATCHED!AK20=7,MATCHED!$H20,"")))))))&amp;IF(MATCHED!AK20=8,MATCHED!$I20,IF(MATCHED!AK20=9,MATCHED!$J20,IF(MATCHED!AK20=10,MATCHED!$K20,IF(MATCHED!AK20=11,MATCHED!$L20,IF(MATCHED!AK20=12,MATCHED!$M20,IF(MATCHED!AK20=13,MATCHED!$N20,IF(MATCHED!AK20=14,MATCHED!$O20,"")))))))&amp;IF(MATCHED!AK20=15,MATCHED!$P20,IF(MATCHED!AK20=16,MATCHED!$Q20,IF(MATCHED!AK20=17,MATCHED!$R20,IF(MATCHED!AK20=18,MATCHED!$S20,IF(MATCHED!AK20=19,MATCHED!$T20,IF(MATCHED!AK20=20,MATCHED!$U20,IF(MATCHED!AK20=21,MATCHED!$V20,)))))))&amp;IF(MATCHED!AK20=22,MATCHED!$W20,IF(MATCHED!AK20=23,MATCHED!$X20,IF(MATCHED!AK20=24,MATCHED!$Y20,IF(MATCHED!AK20=25,MATCHED!$Z20,IF(MATCHED!AK20=26,MATCHED!$AA20,IF(MATCHED!AK20=27,MATCHED!$AB20,"."))))))</f>
        <v>#N/A</v>
      </c>
      <c r="J20" s="356" t="e">
        <f>IF(MATCHED!AL20=1,MATCHED!$B20,IF(MATCHED!AL20=2,MATCHED!$C20,IF(MATCHED!AL20=3,MATCHED!$D20,IF(MATCHED!AL20=4,MATCHED!$E20,IF(MATCHED!AL20=3,MATCHED!$F20,IF(MATCHED!AL20=6,MATCHED!$G20,IF(MATCHED!AL20=7,MATCHED!$H20,"")))))))&amp;IF(MATCHED!AL20=8,MATCHED!$I20,IF(MATCHED!AL20=9,MATCHED!$J20,IF(MATCHED!AL20=10,MATCHED!$K20,IF(MATCHED!AL20=11,MATCHED!$L20,IF(MATCHED!AL20=12,MATCHED!$M20,IF(MATCHED!AL20=13,MATCHED!$N20,IF(MATCHED!AL20=14,MATCHED!$O20,"")))))))&amp;IF(MATCHED!AL20=15,MATCHED!$P20,IF(MATCHED!AL20=16,MATCHED!$Q20,IF(MATCHED!AL20=17,MATCHED!$R20,IF(MATCHED!AL20=18,MATCHED!$S20,IF(MATCHED!AL20=19,MATCHED!$T20,IF(MATCHED!AL20=20,MATCHED!$U20,IF(MATCHED!AL20=21,MATCHED!$V20,)))))))&amp;IF(MATCHED!AL20=22,MATCHED!$W20,IF(MATCHED!AL20=23,MATCHED!$X20,IF(MATCHED!AL20=24,MATCHED!$Y20,IF(MATCHED!AL20=25,MATCHED!$Z20,IF(MATCHED!AL20=26,MATCHED!$AA20,IF(MATCHED!AL20=27,MATCHED!$AB20,"."))))))</f>
        <v>#N/A</v>
      </c>
      <c r="K20" s="356" t="e">
        <f>IF(MATCHED!AM20=1,MATCHED!$B20,IF(MATCHED!AM20=2,MATCHED!$C20,IF(MATCHED!AM20=3,MATCHED!$D20,IF(MATCHED!AM20=4,MATCHED!$E20,IF(MATCHED!AM20=3,MATCHED!$F20,IF(MATCHED!AM20=6,MATCHED!$G20,IF(MATCHED!AM20=7,MATCHED!$H20,"")))))))&amp;IF(MATCHED!AM20=8,MATCHED!$I20,IF(MATCHED!AM20=9,MATCHED!$J20,IF(MATCHED!AM20=10,MATCHED!$K20,IF(MATCHED!AM20=11,MATCHED!$L20,IF(MATCHED!AM20=12,MATCHED!$M20,IF(MATCHED!AM20=13,MATCHED!$N20,IF(MATCHED!AM20=14,MATCHED!$O20,"")))))))&amp;IF(MATCHED!AM20=15,MATCHED!$P20,IF(MATCHED!AM20=16,MATCHED!$Q20,IF(MATCHED!AM20=17,MATCHED!$R20,IF(MATCHED!AM20=18,MATCHED!$S20,IF(MATCHED!AM20=19,MATCHED!$T20,IF(MATCHED!AM20=20,MATCHED!$U20,IF(MATCHED!AM20=21,MATCHED!$V20,)))))))&amp;IF(MATCHED!AM20=22,MATCHED!$W20,IF(MATCHED!AM20=23,MATCHED!$X20,IF(MATCHED!AM20=24,MATCHED!$Y20,IF(MATCHED!AM20=25,MATCHED!$Z20,IF(MATCHED!AM20=26,MATCHED!$AA20,IF(MATCHED!AM20=27,MATCHED!$AB20,"."))))))</f>
        <v>#N/A</v>
      </c>
      <c r="L20" s="356" t="e">
        <f>IF(MATCHED!AN20=1,MATCHED!$B20,IF(MATCHED!AN20=2,MATCHED!$C20,IF(MATCHED!AN20=3,MATCHED!$D20,IF(MATCHED!AN20=4,MATCHED!$E20,IF(MATCHED!AN20=3,MATCHED!$F20,IF(MATCHED!AN20=6,MATCHED!$G20,IF(MATCHED!AN20=7,MATCHED!$H20,"")))))))&amp;IF(MATCHED!AN20=8,MATCHED!$I20,IF(MATCHED!AN20=9,MATCHED!$J20,IF(MATCHED!AN20=10,MATCHED!$K20,IF(MATCHED!AN20=11,MATCHED!$L20,IF(MATCHED!AN20=12,MATCHED!$M20,IF(MATCHED!AN20=13,MATCHED!$N20,IF(MATCHED!AN20=14,MATCHED!$O20,"")))))))&amp;IF(MATCHED!AN20=15,MATCHED!$P20,IF(MATCHED!AN20=16,MATCHED!$Q20,IF(MATCHED!AN20=17,MATCHED!$R20,IF(MATCHED!AN20=18,MATCHED!$S20,IF(MATCHED!AN20=19,MATCHED!$T20,IF(MATCHED!AN20=20,MATCHED!$U20,IF(MATCHED!AN20=21,MATCHED!$V20,)))))))&amp;IF(MATCHED!AN20=22,MATCHED!$W20,IF(MATCHED!AN20=23,MATCHED!$X20,IF(MATCHED!AN20=24,MATCHED!$Y20,IF(MATCHED!AN20=25,MATCHED!$Z20,IF(MATCHED!AN20=26,MATCHED!$AA20,IF(MATCHED!AN20=27,MATCHED!$AB20,"."))))))</f>
        <v>#N/A</v>
      </c>
      <c r="M20" s="356" t="e">
        <f>IF(MATCHED!AO20=1,MATCHED!$B20,IF(MATCHED!AO20=2,MATCHED!$C20,IF(MATCHED!AO20=3,MATCHED!$D20,IF(MATCHED!AO20=4,MATCHED!$E20,IF(MATCHED!AO20=3,MATCHED!$F20,IF(MATCHED!AO20=6,MATCHED!$G20,IF(MATCHED!AO20=7,MATCHED!$H20,"")))))))&amp;IF(MATCHED!AO20=8,MATCHED!$I20,IF(MATCHED!AO20=9,MATCHED!$J20,IF(MATCHED!AO20=10,MATCHED!$K20,IF(MATCHED!AO20=11,MATCHED!$L20,IF(MATCHED!AO20=12,MATCHED!$M20,IF(MATCHED!AO20=13,MATCHED!$N20,IF(MATCHED!AO20=14,MATCHED!$O20,"")))))))&amp;IF(MATCHED!AO20=15,MATCHED!$P20,IF(MATCHED!AO20=16,MATCHED!$Q20,IF(MATCHED!AO20=17,MATCHED!$R20,IF(MATCHED!AO20=18,MATCHED!$S20,IF(MATCHED!AO20=19,MATCHED!$T20,IF(MATCHED!AO20=20,MATCHED!$U20,IF(MATCHED!AO20=21,MATCHED!$V20,)))))))&amp;IF(MATCHED!AO20=22,MATCHED!$W20,IF(MATCHED!AO20=23,MATCHED!$X20,IF(MATCHED!AO20=24,MATCHED!$Y20,IF(MATCHED!AO20=25,MATCHED!$Z20,IF(MATCHED!AO20=26,MATCHED!$AA20,IF(MATCHED!AO20=27,MATCHED!$AB20,"."))))))</f>
        <v>#N/A</v>
      </c>
      <c r="N20" s="356" t="e">
        <f>IF(MATCHED!AP20=1,MATCHED!$B20,IF(MATCHED!AP20=2,MATCHED!$C20,IF(MATCHED!AP20=3,MATCHED!$D20,IF(MATCHED!AP20=4,MATCHED!$E20,IF(MATCHED!AP20=3,MATCHED!$F20,IF(MATCHED!AP20=6,MATCHED!$G20,IF(MATCHED!AP20=7,MATCHED!$H20,"")))))))&amp;IF(MATCHED!AP20=8,MATCHED!$I20,IF(MATCHED!AP20=9,MATCHED!$J20,IF(MATCHED!AP20=10,MATCHED!$K20,IF(MATCHED!AP20=11,MATCHED!$L20,IF(MATCHED!AP20=12,MATCHED!$M20,IF(MATCHED!AP20=13,MATCHED!$N20,IF(MATCHED!AP20=14,MATCHED!$O20,"")))))))&amp;IF(MATCHED!AP20=15,MATCHED!$P20,IF(MATCHED!AP20=16,MATCHED!$Q20,IF(MATCHED!AP20=17,MATCHED!$R20,IF(MATCHED!AP20=18,MATCHED!$S20,IF(MATCHED!AP20=19,MATCHED!$T20,IF(MATCHED!AP20=20,MATCHED!$U20,IF(MATCHED!AP20=21,MATCHED!$V20,)))))))&amp;IF(MATCHED!AP20=22,MATCHED!$W20,IF(MATCHED!AP20=23,MATCHED!$X20,IF(MATCHED!AP20=24,MATCHED!$Y20,IF(MATCHED!AP20=25,MATCHED!$Z20,IF(MATCHED!AP20=26,MATCHED!$AA20,IF(MATCHED!AP20=27,MATCHED!$AB20,"."))))))</f>
        <v>#N/A</v>
      </c>
      <c r="O20" s="356" t="e">
        <f>IF(MATCHED!AQ20=1,MATCHED!$B20,IF(MATCHED!AQ20=2,MATCHED!$C20,IF(MATCHED!AQ20=3,MATCHED!$D20,IF(MATCHED!AQ20=4,MATCHED!$E20,IF(MATCHED!AQ20=3,MATCHED!$F20,IF(MATCHED!AQ20=6,MATCHED!$G20,IF(MATCHED!AQ20=7,MATCHED!$H20,"")))))))&amp;IF(MATCHED!AQ20=8,MATCHED!$I20,IF(MATCHED!AQ20=9,MATCHED!$J20,IF(MATCHED!AQ20=10,MATCHED!$K20,IF(MATCHED!AQ20=11,MATCHED!$L20,IF(MATCHED!AQ20=12,MATCHED!$M20,IF(MATCHED!AQ20=13,MATCHED!$N20,IF(MATCHED!AQ20=14,MATCHED!$O20,"")))))))&amp;IF(MATCHED!AQ20=15,MATCHED!$P20,IF(MATCHED!AQ20=16,MATCHED!$Q20,IF(MATCHED!AQ20=17,MATCHED!$R20,IF(MATCHED!AQ20=18,MATCHED!$S20,IF(MATCHED!AQ20=19,MATCHED!$T20,IF(MATCHED!AQ20=20,MATCHED!$U20,IF(MATCHED!AQ20=21,MATCHED!$V20,)))))))&amp;IF(MATCHED!AQ20=22,MATCHED!$W20,IF(MATCHED!AQ20=23,MATCHED!$X20,IF(MATCHED!AQ20=24,MATCHED!$Y20,IF(MATCHED!AQ20=25,MATCHED!$Z20,IF(MATCHED!AQ20=26,MATCHED!$AA20,IF(MATCHED!AQ20=27,MATCHED!$AB20,"."))))))</f>
        <v>#N/A</v>
      </c>
      <c r="P20" s="356" t="e">
        <f>IF(MATCHED!AR20=1,MATCHED!$B20,IF(MATCHED!AR20=2,MATCHED!$C20,IF(MATCHED!AR20=3,MATCHED!$D20,IF(MATCHED!AR20=4,MATCHED!$E20,IF(MATCHED!AR20=3,MATCHED!$F20,IF(MATCHED!AR20=6,MATCHED!$G20,IF(MATCHED!AR20=7,MATCHED!$H20,"")))))))&amp;IF(MATCHED!AR20=8,MATCHED!$I20,IF(MATCHED!AR20=9,MATCHED!$J20,IF(MATCHED!AR20=10,MATCHED!$K20,IF(MATCHED!AR20=11,MATCHED!$L20,IF(MATCHED!AR20=12,MATCHED!$M20,IF(MATCHED!AR20=13,MATCHED!$N20,IF(MATCHED!AR20=14,MATCHED!$O20,"")))))))&amp;IF(MATCHED!AR20=15,MATCHED!$P20,IF(MATCHED!AR20=16,MATCHED!$Q20,IF(MATCHED!AR20=17,MATCHED!$R20,IF(MATCHED!AR20=18,MATCHED!$S20,IF(MATCHED!AR20=19,MATCHED!$T20,IF(MATCHED!AR20=20,MATCHED!$U20,IF(MATCHED!AR20=21,MATCHED!$V20,)))))))&amp;IF(MATCHED!AR20=22,MATCHED!$W20,IF(MATCHED!AR20=23,MATCHED!$X20,IF(MATCHED!AR20=24,MATCHED!$Y20,IF(MATCHED!AR20=25,MATCHED!$Z20,IF(MATCHED!AR20=26,MATCHED!$AA20,IF(MATCHED!AR20=27,MATCHED!$AB20,"."))))))</f>
        <v>#N/A</v>
      </c>
      <c r="Q20" s="357" t="e">
        <f>IF(MATCHED!AS20=1,MATCHED!$B20,IF(MATCHED!AS20=2,MATCHED!$C20,IF(MATCHED!AS20=3,MATCHED!$D20,IF(MATCHED!AS20=4,MATCHED!$E20,IF(MATCHED!AS20=3,MATCHED!$F20,IF(MATCHED!AS20=6,MATCHED!$G20,IF(MATCHED!AS20=7,MATCHED!$H20,"")))))))&amp;IF(MATCHED!AS20=8,MATCHED!$I20,IF(MATCHED!AS20=9,MATCHED!$J20,IF(MATCHED!AS20=10,MATCHED!$K20,IF(MATCHED!AS20=11,MATCHED!$L20,IF(MATCHED!AS20=12,MATCHED!$M20,IF(MATCHED!AS20=13,MATCHED!$N20,IF(MATCHED!AS20=14,MATCHED!$O20,"")))))))&amp;IF(MATCHED!AS20=15,MATCHED!$P20,IF(MATCHED!AS20=16,MATCHED!$Q20,IF(MATCHED!AS20=17,MATCHED!$R20,IF(MATCHED!AS20=18,MATCHED!$S20,IF(MATCHED!AS20=19,MATCHED!$T20,IF(MATCHED!AS20=20,MATCHED!$U20,IF(MATCHED!AS20=21,MATCHED!$V20,)))))))&amp;IF(MATCHED!AS20=22,MATCHED!$W20,IF(MATCHED!AS20=23,MATCHED!$X20,IF(MATCHED!AS20=24,MATCHED!$Y20,IF(MATCHED!AS20=25,MATCHED!$Z20,IF(MATCHED!AS20=26,MATCHED!$AA20,IF(MATCHED!AS20=27,MATCHED!$AB20,"."))))))</f>
        <v>#N/A</v>
      </c>
      <c r="R20" s="356" t="e">
        <f>IF(MATCHED!AT20=1,MATCHED!$B20,IF(MATCHED!AT20=2,MATCHED!$C20,IF(MATCHED!AT20=3,MATCHED!$D20,IF(MATCHED!AT20=4,MATCHED!$E20,IF(MATCHED!AT20=3,MATCHED!$F20,IF(MATCHED!AT20=6,MATCHED!$G20,IF(MATCHED!AT20=7,MATCHED!$H20,"")))))))&amp;IF(MATCHED!AT20=8,MATCHED!$I20,IF(MATCHED!AT20=9,MATCHED!$J20,IF(MATCHED!AT20=10,MATCHED!$K20,IF(MATCHED!AT20=11,MATCHED!$L20,IF(MATCHED!AT20=12,MATCHED!$M20,IF(MATCHED!AT20=13,MATCHED!$N20,IF(MATCHED!AT20=14,MATCHED!$O20,"")))))))&amp;IF(MATCHED!AT20=15,MATCHED!$P20,IF(MATCHED!AT20=16,MATCHED!$Q20,IF(MATCHED!AT20=17,MATCHED!$R20,IF(MATCHED!AT20=18,MATCHED!$S20,IF(MATCHED!AT20=19,MATCHED!$T20,IF(MATCHED!AT20=20,MATCHED!$U20,IF(MATCHED!AT20=21,MATCHED!$V20,)))))))&amp;IF(MATCHED!AT20=22,MATCHED!$W20,IF(MATCHED!AT20=23,MATCHED!$X20,IF(MATCHED!AT20=24,MATCHED!$Y20,IF(MATCHED!AT20=25,MATCHED!$Z20,IF(MATCHED!AT20=26,MATCHED!$AA20,IF(MATCHED!AT20=27,MATCHED!$AB20,"."))))))</f>
        <v>#N/A</v>
      </c>
      <c r="S20" s="356" t="e">
        <f>IF(MATCHED!AU20=1,MATCHED!$B20,IF(MATCHED!AU20=2,MATCHED!$C20,IF(MATCHED!AU20=3,MATCHED!$D20,IF(MATCHED!AU20=4,MATCHED!$E20,IF(MATCHED!AU20=3,MATCHED!$F20,IF(MATCHED!AU20=6,MATCHED!$G20,IF(MATCHED!AU20=7,MATCHED!$H20,"")))))))&amp;IF(MATCHED!AU20=8,MATCHED!$I20,IF(MATCHED!AU20=9,MATCHED!$J20,IF(MATCHED!AU20=10,MATCHED!$K20,IF(MATCHED!AU20=11,MATCHED!$L20,IF(MATCHED!AU20=12,MATCHED!$M20,IF(MATCHED!AU20=13,MATCHED!$N20,IF(MATCHED!AU20=14,MATCHED!$O20,"")))))))&amp;IF(MATCHED!AU20=15,MATCHED!$P20,IF(MATCHED!AU20=16,MATCHED!$Q20,IF(MATCHED!AU20=17,MATCHED!$R20,IF(MATCHED!AU20=18,MATCHED!$S20,IF(MATCHED!AU20=19,MATCHED!$T20,IF(MATCHED!AU20=20,MATCHED!$U20,IF(MATCHED!AU20=21,MATCHED!$V20,)))))))&amp;IF(MATCHED!AU20=22,MATCHED!$W20,IF(MATCHED!AU20=23,MATCHED!$X20,IF(MATCHED!AU20=24,MATCHED!$Y20,IF(MATCHED!AU20=25,MATCHED!$Z20,IF(MATCHED!AU20=26,MATCHED!$AA20,IF(MATCHED!AU20=27,MATCHED!$AB20,"."))))))</f>
        <v>#N/A</v>
      </c>
      <c r="T20" s="356" t="e">
        <f>IF(MATCHED!AV20=1,MATCHED!$B20,IF(MATCHED!AV20=2,MATCHED!$C20,IF(MATCHED!AV20=3,MATCHED!$D20,IF(MATCHED!AV20=4,MATCHED!$E20,IF(MATCHED!AV20=3,MATCHED!$F20,IF(MATCHED!AV20=6,MATCHED!$G20,IF(MATCHED!AV20=7,MATCHED!$H20,"")))))))&amp;IF(MATCHED!AV20=8,MATCHED!$I20,IF(MATCHED!AV20=9,MATCHED!$J20,IF(MATCHED!AV20=10,MATCHED!$K20,IF(MATCHED!AV20=11,MATCHED!$L20,IF(MATCHED!AV20=12,MATCHED!$M20,IF(MATCHED!AV20=13,MATCHED!$N20,IF(MATCHED!AV20=14,MATCHED!$O20,"")))))))&amp;IF(MATCHED!AV20=15,MATCHED!$P20,IF(MATCHED!AV20=16,MATCHED!$Q20,IF(MATCHED!AV20=17,MATCHED!$R20,IF(MATCHED!AV20=18,MATCHED!$S20,IF(MATCHED!AV20=19,MATCHED!$T20,IF(MATCHED!AV20=20,MATCHED!$U20,IF(MATCHED!AV20=21,MATCHED!$V20,)))))))&amp;IF(MATCHED!AV20=22,MATCHED!$W20,IF(MATCHED!AV20=23,MATCHED!$X20,IF(MATCHED!AV20=24,MATCHED!$Y20,IF(MATCHED!AV20=25,MATCHED!$Z20,IF(MATCHED!AV20=26,MATCHED!$AA20,IF(MATCHED!AV20=27,MATCHED!$AB20,"."))))))</f>
        <v>#N/A</v>
      </c>
      <c r="U20" s="356" t="e">
        <f>IF(MATCHED!AW20=1,MATCHED!$B20,IF(MATCHED!AW20=2,MATCHED!$C20,IF(MATCHED!AW20=3,MATCHED!$D20,IF(MATCHED!AW20=4,MATCHED!$E20,IF(MATCHED!AW20=3,MATCHED!$F20,IF(MATCHED!AW20=6,MATCHED!$G20,IF(MATCHED!AW20=7,MATCHED!$H20,"")))))))&amp;IF(MATCHED!AW20=8,MATCHED!$I20,IF(MATCHED!AW20=9,MATCHED!$J20,IF(MATCHED!AW20=10,MATCHED!$K20,IF(MATCHED!AW20=11,MATCHED!$L20,IF(MATCHED!AW20=12,MATCHED!$M20,IF(MATCHED!AW20=13,MATCHED!$N20,IF(MATCHED!AW20=14,MATCHED!$O20,"")))))))&amp;IF(MATCHED!AW20=15,MATCHED!$P20,IF(MATCHED!AW20=16,MATCHED!$Q20,IF(MATCHED!AW20=17,MATCHED!$R20,IF(MATCHED!AW20=18,MATCHED!$S20,IF(MATCHED!AW20=19,MATCHED!$T20,IF(MATCHED!AW20=20,MATCHED!$U20,IF(MATCHED!AW20=21,MATCHED!$V20,)))))))&amp;IF(MATCHED!AW20=22,MATCHED!$W20,IF(MATCHED!AW20=23,MATCHED!$X20,IF(MATCHED!AW20=24,MATCHED!$Y20,IF(MATCHED!AW20=25,MATCHED!$Z20,IF(MATCHED!AW20=26,MATCHED!$AA20,IF(MATCHED!AW20=27,MATCHED!$AB20,"."))))))</f>
        <v>#N/A</v>
      </c>
      <c r="V20" s="356" t="e">
        <f>IF(MATCHED!AX20=1,MATCHED!$B20,IF(MATCHED!AX20=2,MATCHED!$C20,IF(MATCHED!AX20=3,MATCHED!$D20,IF(MATCHED!AX20=4,MATCHED!$E20,IF(MATCHED!AX20=3,MATCHED!$F20,IF(MATCHED!AX20=6,MATCHED!$G20,IF(MATCHED!AX20=7,MATCHED!$H20,"")))))))&amp;IF(MATCHED!AX20=8,MATCHED!$I20,IF(MATCHED!AX20=9,MATCHED!$J20,IF(MATCHED!AX20=10,MATCHED!$K20,IF(MATCHED!AX20=11,MATCHED!$L20,IF(MATCHED!AX20=12,MATCHED!$M20,IF(MATCHED!AX20=13,MATCHED!$N20,IF(MATCHED!AX20=14,MATCHED!$O20,"")))))))&amp;IF(MATCHED!AX20=15,MATCHED!$P20,IF(MATCHED!AX20=16,MATCHED!$Q20,IF(MATCHED!AX20=17,MATCHED!$R20,IF(MATCHED!AX20=18,MATCHED!$S20,IF(MATCHED!AX20=19,MATCHED!$T20,IF(MATCHED!AX20=20,MATCHED!$U20,IF(MATCHED!AX20=21,MATCHED!$V20,)))))))&amp;IF(MATCHED!AX20=22,MATCHED!$W20,IF(MATCHED!AX20=23,MATCHED!$X20,IF(MATCHED!AX20=24,MATCHED!$Y20,IF(MATCHED!AX20=25,MATCHED!$Z20,IF(MATCHED!AX20=26,MATCHED!$AA20,IF(MATCHED!AX20=27,MATCHED!$AB20,"."))))))</f>
        <v>#N/A</v>
      </c>
      <c r="W20" s="356" t="e">
        <f>IF(MATCHED!AY20=1,MATCHED!$B20,IF(MATCHED!AY20=2,MATCHED!$C20,IF(MATCHED!AY20=3,MATCHED!$D20,IF(MATCHED!AY20=4,MATCHED!$E20,IF(MATCHED!AY20=3,MATCHED!$F20,IF(MATCHED!AY20=6,MATCHED!$G20,IF(MATCHED!AY20=7,MATCHED!$H20,"")))))))&amp;IF(MATCHED!AY20=8,MATCHED!$I20,IF(MATCHED!AY20=9,MATCHED!$J20,IF(MATCHED!AY20=10,MATCHED!$K20,IF(MATCHED!AY20=11,MATCHED!$L20,IF(MATCHED!AY20=12,MATCHED!$M20,IF(MATCHED!AY20=13,MATCHED!$N20,IF(MATCHED!AY20=14,MATCHED!$O20,"")))))))&amp;IF(MATCHED!AY20=15,MATCHED!$P20,IF(MATCHED!AY20=16,MATCHED!$Q20,IF(MATCHED!AY20=17,MATCHED!$R20,IF(MATCHED!AY20=18,MATCHED!$S20,IF(MATCHED!AY20=19,MATCHED!$T20,IF(MATCHED!AY20=20,MATCHED!$U20,IF(MATCHED!AY20=21,MATCHED!$V20,)))))))&amp;IF(MATCHED!AY20=22,MATCHED!$W20,IF(MATCHED!AY20=23,MATCHED!$X20,IF(MATCHED!AY20=24,MATCHED!$Y20,IF(MATCHED!AY20=25,MATCHED!$Z20,IF(MATCHED!AY20=26,MATCHED!$AA20,IF(MATCHED!AY20=27,MATCHED!$AB20,"."))))))</f>
        <v>#N/A</v>
      </c>
      <c r="X20" s="356" t="e">
        <f>IF(MATCHED!AZ20=1,MATCHED!$B20,IF(MATCHED!AZ20=2,MATCHED!$C20,IF(MATCHED!AZ20=3,MATCHED!$D20,IF(MATCHED!AZ20=4,MATCHED!$E20,IF(MATCHED!AZ20=3,MATCHED!$F20,IF(MATCHED!AZ20=6,MATCHED!$G20,IF(MATCHED!AZ20=7,MATCHED!$H20,"")))))))&amp;IF(MATCHED!AZ20=8,MATCHED!$I20,IF(MATCHED!AZ20=9,MATCHED!$J20,IF(MATCHED!AZ20=10,MATCHED!$K20,IF(MATCHED!AZ20=11,MATCHED!$L20,IF(MATCHED!AZ20=12,MATCHED!$M20,IF(MATCHED!AZ20=13,MATCHED!$N20,IF(MATCHED!AZ20=14,MATCHED!$O20,"")))))))&amp;IF(MATCHED!AZ20=15,MATCHED!$P20,IF(MATCHED!AZ20=16,MATCHED!$Q20,IF(MATCHED!AZ20=17,MATCHED!$R20,IF(MATCHED!AZ20=18,MATCHED!$S20,IF(MATCHED!AZ20=19,MATCHED!$T20,IF(MATCHED!AZ20=20,MATCHED!$U20,IF(MATCHED!AZ20=21,MATCHED!$V20,)))))))&amp;IF(MATCHED!AZ20=22,MATCHED!$W20,IF(MATCHED!AZ20=23,MATCHED!$X20,IF(MATCHED!AZ20=24,MATCHED!$Y20,IF(MATCHED!AZ20=25,MATCHED!$Z20,IF(MATCHED!AZ20=26,MATCHED!$AA20,IF(MATCHED!AZ20=27,MATCHED!$AB20,"."))))))</f>
        <v>#N/A</v>
      </c>
      <c r="Y20" s="356" t="e">
        <f>IF(MATCHED!BA20=1,MATCHED!$B20,IF(MATCHED!BA20=2,MATCHED!$C20,IF(MATCHED!BA20=3,MATCHED!$D20,IF(MATCHED!BA20=4,MATCHED!$E20,IF(MATCHED!BA20=3,MATCHED!$F20,IF(MATCHED!BA20=6,MATCHED!$G20,IF(MATCHED!BA20=7,MATCHED!$H20,"")))))))&amp;IF(MATCHED!BA20=8,MATCHED!$I20,IF(MATCHED!BA20=9,MATCHED!$J20,IF(MATCHED!BA20=10,MATCHED!$K20,IF(MATCHED!BA20=11,MATCHED!$L20,IF(MATCHED!BA20=12,MATCHED!$M20,IF(MATCHED!BA20=13,MATCHED!$N20,IF(MATCHED!BA20=14,MATCHED!$O20,"")))))))&amp;IF(MATCHED!BA20=15,MATCHED!$P20,IF(MATCHED!BA20=16,MATCHED!$Q20,IF(MATCHED!BA20=17,MATCHED!$R20,IF(MATCHED!BA20=18,MATCHED!$S20,IF(MATCHED!BA20=19,MATCHED!$T20,IF(MATCHED!BA20=20,MATCHED!$U20,IF(MATCHED!BA20=21,MATCHED!$V20,)))))))&amp;IF(MATCHED!BA20=22,MATCHED!$W20,IF(MATCHED!BA20=23,MATCHED!$X20,IF(MATCHED!BA20=24,MATCHED!$Y20,IF(MATCHED!BA20=25,MATCHED!$Z20,IF(MATCHED!BA20=26,MATCHED!$AA20,IF(MATCHED!BA20=27,MATCHED!$AB20,"."))))))</f>
        <v>#N/A</v>
      </c>
      <c r="Z20" s="356" t="e">
        <f>IF(MATCHED!BB20=1,MATCHED!$B20,IF(MATCHED!BB20=2,MATCHED!$C20,IF(MATCHED!BB20=3,MATCHED!$D20,IF(MATCHED!BB20=4,MATCHED!$E20,IF(MATCHED!BB20=3,MATCHED!$F20,IF(MATCHED!BB20=6,MATCHED!$G20,IF(MATCHED!BB20=7,MATCHED!$H20,"")))))))&amp;IF(MATCHED!BB20=8,MATCHED!$I20,IF(MATCHED!BB20=9,MATCHED!$J20,IF(MATCHED!BB20=10,MATCHED!$K20,IF(MATCHED!BB20=11,MATCHED!$L20,IF(MATCHED!BB20=12,MATCHED!$M20,IF(MATCHED!BB20=13,MATCHED!$N20,IF(MATCHED!BB20=14,MATCHED!$O20,"")))))))&amp;IF(MATCHED!BB20=15,MATCHED!$P20,IF(MATCHED!BB20=16,MATCHED!$Q20,IF(MATCHED!BB20=17,MATCHED!$R20,IF(MATCHED!BB20=18,MATCHED!$S20,IF(MATCHED!BB20=19,MATCHED!$T20,IF(MATCHED!BB20=20,MATCHED!$U20,IF(MATCHED!BB20=21,MATCHED!$V20,)))))))&amp;IF(MATCHED!BB20=22,MATCHED!$W20,IF(MATCHED!BB20=23,MATCHED!$X20,IF(MATCHED!BB20=24,MATCHED!$Y20,IF(MATCHED!BB20=25,MATCHED!$Z20,IF(MATCHED!BB20=26,MATCHED!$AA20,IF(MATCHED!BB20=27,MATCHED!$AB20,"."))))))</f>
        <v>#N/A</v>
      </c>
      <c r="AA20" s="356" t="e">
        <f>IF(MATCHED!BC20=1,MATCHED!$B20,IF(MATCHED!BC20=2,MATCHED!$C20,IF(MATCHED!BC20=3,MATCHED!$D20,IF(MATCHED!BC20=4,MATCHED!$E20,IF(MATCHED!BC20=3,MATCHED!$F20,IF(MATCHED!BC20=6,MATCHED!$G20,IF(MATCHED!BC20=7,MATCHED!$H20,"")))))))&amp;IF(MATCHED!BC20=8,MATCHED!$I20,IF(MATCHED!BC20=9,MATCHED!$J20,IF(MATCHED!BC20=10,MATCHED!$K20,IF(MATCHED!BC20=11,MATCHED!$L20,IF(MATCHED!BC20=12,MATCHED!$M20,IF(MATCHED!BC20=13,MATCHED!$N20,IF(MATCHED!BC20=14,MATCHED!$O20,"")))))))&amp;IF(MATCHED!BC20=15,MATCHED!$P20,IF(MATCHED!BC20=16,MATCHED!$Q20,IF(MATCHED!BC20=17,MATCHED!$R20,IF(MATCHED!BC20=18,MATCHED!$S20,IF(MATCHED!BC20=19,MATCHED!$T20,IF(MATCHED!BC20=20,MATCHED!$U20,IF(MATCHED!BC20=21,MATCHED!$V20,)))))))&amp;IF(MATCHED!BC20=22,MATCHED!$W20,IF(MATCHED!BC20=23,MATCHED!$X20,IF(MATCHED!BC20=24,MATCHED!$Y20,IF(MATCHED!BC20=25,MATCHED!$Z20,IF(MATCHED!BC20=26,MATCHED!$AA20,IF(MATCHED!BC20=27,MATCHED!$AB20,"."))))))</f>
        <v>#N/A</v>
      </c>
      <c r="AB20" s="356" t="e">
        <f>IF(MATCHED!BD20=1,MATCHED!$B20,IF(MATCHED!BD20=2,MATCHED!$C20,IF(MATCHED!BD20=3,MATCHED!$D20,IF(MATCHED!BD20=4,MATCHED!$E20,IF(MATCHED!BD20=3,MATCHED!$F20,IF(MATCHED!BD20=6,MATCHED!$G20,IF(MATCHED!BD20=7,MATCHED!$H20,"")))))))&amp;IF(MATCHED!BD20=8,MATCHED!$I20,IF(MATCHED!BD20=9,MATCHED!$J20,IF(MATCHED!BD20=10,MATCHED!$K20,IF(MATCHED!BD20=11,MATCHED!$L20,IF(MATCHED!BD20=12,MATCHED!$M20,IF(MATCHED!BD20=13,MATCHED!$N20,IF(MATCHED!BD20=14,MATCHED!$O20,"")))))))&amp;IF(MATCHED!BD20=15,MATCHED!$P20,IF(MATCHED!BD20=16,MATCHED!$Q20,IF(MATCHED!BD20=17,MATCHED!$R20,IF(MATCHED!BD20=18,MATCHED!$S20,IF(MATCHED!BD20=19,MATCHED!$T20,IF(MATCHED!BD20=20,MATCHED!$U20,IF(MATCHED!BD20=21,MATCHED!$V20,)))))))&amp;IF(MATCHED!BD20=22,MATCHED!$W20,IF(MATCHED!BD20=23,MATCHED!$X20,IF(MATCHED!BD20=24,MATCHED!$Y20,IF(MATCHED!BD20=25,MATCHED!$Z20,IF(MATCHED!BD20=26,MATCHED!$AA20,IF(MATCHED!BD20=27,MATCHED!$AB20,"."))))))</f>
        <v>#N/A</v>
      </c>
      <c r="AC20" s="356" t="e">
        <f>IF(MATCHED!BE20=1,MATCHED!$B20,IF(MATCHED!BE20=2,MATCHED!$C20,IF(MATCHED!BE20=3,MATCHED!$D20,IF(MATCHED!BE20=4,MATCHED!$E20,IF(MATCHED!BE20=3,MATCHED!$F20,IF(MATCHED!BE20=6,MATCHED!$G20,IF(MATCHED!BE20=7,MATCHED!$H20,"")))))))&amp;IF(MATCHED!BE20=8,MATCHED!$I20,IF(MATCHED!BE20=9,MATCHED!$J20,IF(MATCHED!BE20=10,MATCHED!$K20,IF(MATCHED!BE20=11,MATCHED!$L20,IF(MATCHED!BE20=12,MATCHED!$M20,IF(MATCHED!BE20=13,MATCHED!$N20,IF(MATCHED!BE20=14,MATCHED!$O20,"")))))))&amp;IF(MATCHED!BE20=15,MATCHED!$P20,IF(MATCHED!BE20=16,MATCHED!$Q20,IF(MATCHED!BE20=17,MATCHED!$R20,IF(MATCHED!BE20=18,MATCHED!$S20,IF(MATCHED!BE20=19,MATCHED!$T20,IF(MATCHED!BE20=20,MATCHED!$U20,IF(MATCHED!BE20=21,MATCHED!$V20,)))))))&amp;IF(MATCHED!BE20=22,MATCHED!$W20,IF(MATCHED!BE20=23,MATCHED!$X20,IF(MATCHED!BE20=24,MATCHED!$Y20,IF(MATCHED!BE20=25,MATCHED!$Z20,IF(MATCHED!BE20=26,MATCHED!$AA20,IF(MATCHED!BE20=27,MATCHED!$AB20,"."))))))</f>
        <v>#N/A</v>
      </c>
      <c r="AD20" s="356" t="e">
        <f>IF(MATCHED!BF20=1,MATCHED!$B20,IF(MATCHED!BF20=2,MATCHED!$C20,IF(MATCHED!BF20=3,MATCHED!$D20,IF(MATCHED!BF20=4,MATCHED!$E20,IF(MATCHED!BF20=3,MATCHED!$F20,IF(MATCHED!BF20=6,MATCHED!$G20,IF(MATCHED!BF20=7,MATCHED!$H20,"")))))))&amp;IF(MATCHED!BF20=8,MATCHED!$I20,IF(MATCHED!BF20=9,MATCHED!$J20,IF(MATCHED!BF20=10,MATCHED!$K20,IF(MATCHED!BF20=11,MATCHED!$L20,IF(MATCHED!BF20=12,MATCHED!$M20,IF(MATCHED!BF20=13,MATCHED!$N20,IF(MATCHED!BF20=14,MATCHED!$O20,"")))))))&amp;IF(MATCHED!BF20=15,MATCHED!$P20,IF(MATCHED!BF20=16,MATCHED!$Q20,IF(MATCHED!BF20=17,MATCHED!$R20,IF(MATCHED!BF20=18,MATCHED!$S20,IF(MATCHED!BF20=19,MATCHED!$T20,IF(MATCHED!BF20=20,MATCHED!$U20,IF(MATCHED!BF20=21,MATCHED!$V20,)))))))&amp;IF(MATCHED!BF20=22,MATCHED!$W20,IF(MATCHED!BF20=23,MATCHED!$X20,IF(MATCHED!BF20=24,MATCHED!$Y20,IF(MATCHED!BF20=25,MATCHED!$Z20,IF(MATCHED!BF20=26,MATCHED!$AA20,IF(MATCHED!BF20=27,MATCHED!$AB20,"."))))))</f>
        <v>#N/A</v>
      </c>
      <c r="AE20" s="356" t="e">
        <f>IF(MATCHED!BG20=1,MATCHED!$B20,IF(MATCHED!BG20=2,MATCHED!$C20,IF(MATCHED!BG20=3,MATCHED!$D20,IF(MATCHED!BG20=4,MATCHED!$E20,IF(MATCHED!BG20=3,MATCHED!$F20,IF(MATCHED!BG20=6,MATCHED!$G20,IF(MATCHED!BG20=7,MATCHED!$H20,"")))))))&amp;IF(MATCHED!BG20=8,MATCHED!$I20,IF(MATCHED!BG20=9,MATCHED!$J20,IF(MATCHED!BG20=10,MATCHED!$K20,IF(MATCHED!BG20=11,MATCHED!$L20,IF(MATCHED!BG20=12,MATCHED!$M20,IF(MATCHED!BG20=13,MATCHED!$N20,IF(MATCHED!BG20=14,MATCHED!$O20,"")))))))&amp;IF(MATCHED!BG20=15,MATCHED!$P20,IF(MATCHED!BG20=16,MATCHED!$Q20,IF(MATCHED!BG20=17,MATCHED!$R20,IF(MATCHED!BG20=18,MATCHED!$S20,IF(MATCHED!BG20=19,MATCHED!$T20,IF(MATCHED!BG20=20,MATCHED!$U20,IF(MATCHED!BG20=21,MATCHED!$V20,)))))))&amp;IF(MATCHED!BG20=22,MATCHED!$W20,IF(MATCHED!BG20=23,MATCHED!$X20,IF(MATCHED!BG20=24,MATCHED!$Y20,IF(MATCHED!BG20=25,MATCHED!$Z20,IF(MATCHED!BG20=26,MATCHED!$AA20,IF(MATCHED!BG20=27,MATCHED!$AB20,"."))))))</f>
        <v>#N/A</v>
      </c>
      <c r="AF20" s="356" t="e">
        <f>IF(MATCHED!BH20=1,MATCHED!$B20,IF(MATCHED!BH20=2,MATCHED!$C20,IF(MATCHED!BH20=3,MATCHED!$D20,IF(MATCHED!BH20=4,MATCHED!$E20,IF(MATCHED!BH20=3,MATCHED!$F20,IF(MATCHED!BH20=6,MATCHED!$G20,IF(MATCHED!BH20=7,MATCHED!$H20,"")))))))&amp;IF(MATCHED!BH20=8,MATCHED!$I20,IF(MATCHED!BH20=9,MATCHED!$J20,IF(MATCHED!BH20=10,MATCHED!$K20,IF(MATCHED!BH20=11,MATCHED!$L20,IF(MATCHED!BH20=12,MATCHED!$M20,IF(MATCHED!BH20=13,MATCHED!$N20,IF(MATCHED!BH20=14,MATCHED!$O20,"")))))))&amp;IF(MATCHED!BH20=15,MATCHED!$P20,IF(MATCHED!BH20=16,MATCHED!$Q20,IF(MATCHED!BH20=17,MATCHED!$R20,IF(MATCHED!BH20=18,MATCHED!$S20,IF(MATCHED!BH20=19,MATCHED!$T20,IF(MATCHED!BH20=20,MATCHED!$U20,IF(MATCHED!BH20=21,MATCHED!$V20,)))))))&amp;IF(MATCHED!BH20=22,MATCHED!$W20,IF(MATCHED!BH20=23,MATCHED!$X20,IF(MATCHED!BH20=24,MATCHED!$Y20,IF(MATCHED!BH20=25,MATCHED!$Z20,IF(MATCHED!BH20=26,MATCHED!$AA20,IF(MATCHED!BH20=27,MATCHED!$AB20,"."))))))</f>
        <v>#N/A</v>
      </c>
      <c r="AG20" s="356" t="e">
        <f>IF(MATCHED!BI20=1,MATCHED!$B20,IF(MATCHED!BI20=2,MATCHED!$C20,IF(MATCHED!BI20=3,MATCHED!$D20,IF(MATCHED!BI20=4,MATCHED!$E20,IF(MATCHED!BI20=3,MATCHED!$F20,IF(MATCHED!BI20=6,MATCHED!$G20,IF(MATCHED!BI20=7,MATCHED!$H20,"")))))))&amp;IF(MATCHED!BI20=8,MATCHED!$I20,IF(MATCHED!BI20=9,MATCHED!$J20,IF(MATCHED!BI20=10,MATCHED!$K20,IF(MATCHED!BI20=11,MATCHED!$L20,IF(MATCHED!BI20=12,MATCHED!$M20,IF(MATCHED!BI20=13,MATCHED!$N20,IF(MATCHED!BI20=14,MATCHED!$O20,"")))))))&amp;IF(MATCHED!BI20=15,MATCHED!$P20,IF(MATCHED!BI20=16,MATCHED!$Q20,IF(MATCHED!BI20=17,MATCHED!$R20,IF(MATCHED!BI20=18,MATCHED!$S20,IF(MATCHED!BI20=19,MATCHED!$T20,IF(MATCHED!BI20=20,MATCHED!$U20,IF(MATCHED!BI20=21,MATCHED!$V20,)))))))&amp;IF(MATCHED!BI20=22,MATCHED!$W20,IF(MATCHED!BI20=23,MATCHED!$X20,IF(MATCHED!BI20=24,MATCHED!$Y20,IF(MATCHED!BI20=25,MATCHED!$Z20,IF(MATCHED!BI20=26,MATCHED!$AA20,IF(MATCHED!BI20=27,MATCHED!$AB20,"."))))))</f>
        <v>#N/A</v>
      </c>
      <c r="AH20" s="356" t="e">
        <f>IF(MATCHED!BJ20=1,MATCHED!$B20,IF(MATCHED!BJ20=2,MATCHED!$C20,IF(MATCHED!BJ20=3,MATCHED!$D20,IF(MATCHED!BJ20=4,MATCHED!$E20,IF(MATCHED!BJ20=3,MATCHED!$F20,IF(MATCHED!BJ20=6,MATCHED!$G20,IF(MATCHED!BJ20=7,MATCHED!$H20,"")))))))&amp;IF(MATCHED!BJ20=8,MATCHED!$I20,IF(MATCHED!BJ20=9,MATCHED!$J20,IF(MATCHED!BJ20=10,MATCHED!$K20,IF(MATCHED!BJ20=11,MATCHED!$L20,IF(MATCHED!BJ20=12,MATCHED!$M20,IF(MATCHED!BJ20=13,MATCHED!$N20,IF(MATCHED!BJ20=14,MATCHED!$O20,"")))))))&amp;IF(MATCHED!BJ20=15,MATCHED!$P20,IF(MATCHED!BJ20=16,MATCHED!$Q20,IF(MATCHED!BJ20=17,MATCHED!$R20,IF(MATCHED!BJ20=18,MATCHED!$S20,IF(MATCHED!BJ20=19,MATCHED!$T20,IF(MATCHED!BJ20=20,MATCHED!$U20,IF(MATCHED!BJ20=21,MATCHED!$V20,)))))))&amp;IF(MATCHED!BJ20=22,MATCHED!$W20,IF(MATCHED!BJ20=23,MATCHED!$X20,IF(MATCHED!BJ20=24,MATCHED!$Y20,IF(MATCHED!BJ20=25,MATCHED!$Z20,IF(MATCHED!BJ20=26,MATCHED!$AA20,IF(MATCHED!BJ20=27,MATCHED!$AB20,"."))))))</f>
        <v>#N/A</v>
      </c>
      <c r="AI20" s="356" t="e">
        <f>IF(MATCHED!BK20=1,MATCHED!$B20,IF(MATCHED!BK20=2,MATCHED!$C20,IF(MATCHED!BK20=3,MATCHED!$D20,IF(MATCHED!BK20=4,MATCHED!$E20,IF(MATCHED!BK20=3,MATCHED!$F20,IF(MATCHED!BK20=6,MATCHED!$G20,IF(MATCHED!BK20=7,MATCHED!$H20,"")))))))&amp;IF(MATCHED!BK20=8,MATCHED!$I20,IF(MATCHED!BK20=9,MATCHED!$J20,IF(MATCHED!BK20=10,MATCHED!$K20,IF(MATCHED!BK20=11,MATCHED!$L20,IF(MATCHED!BK20=12,MATCHED!$M20,IF(MATCHED!BK20=13,MATCHED!$N20,IF(MATCHED!BK20=14,MATCHED!$O20,"")))))))&amp;IF(MATCHED!BK20=15,MATCHED!$P20,IF(MATCHED!BK20=16,MATCHED!$Q20,IF(MATCHED!BK20=17,MATCHED!$R20,IF(MATCHED!BK20=18,MATCHED!$S20,IF(MATCHED!BK20=19,MATCHED!$T20,IF(MATCHED!BK20=20,MATCHED!$U20,IF(MATCHED!BK20=21,MATCHED!$V20,)))))))&amp;IF(MATCHED!BK20=22,MATCHED!$W20,IF(MATCHED!BK20=23,MATCHED!$X20,IF(MATCHED!BK20=24,MATCHED!$Y20,IF(MATCHED!BK20=25,MATCHED!$Z20,IF(MATCHED!BK20=26,MATCHED!$AA20,IF(MATCHED!BK20=27,MATCHED!$AB20,"."))))))</f>
        <v>#N/A</v>
      </c>
      <c r="AJ20" s="535"/>
    </row>
    <row r="21" spans="1:36" s="338" customFormat="1" x14ac:dyDescent="0.25">
      <c r="A21" s="535"/>
      <c r="B21" s="355" t="e">
        <f>IF(MATCHED!AD21=1,MATCHED!$B21,IF(MATCHED!AD21=2,MATCHED!$C21,IF(MATCHED!AD21=3,MATCHED!$D21,IF(MATCHED!AD21=4,MATCHED!$E21,IF(MATCHED!AD21=3,MATCHED!$F21,IF(MATCHED!AD21=6,MATCHED!$G21,IF(MATCHED!AD21=7,MATCHED!$H21,"")))))))&amp;IF(MATCHED!AD21=8,MATCHED!$I21,IF(MATCHED!AD21=9,MATCHED!$J21,IF(MATCHED!AD21=10,MATCHED!$K21,IF(MATCHED!AD21=11,MATCHED!$L21,IF(MATCHED!AD21=12,MATCHED!$M21,IF(MATCHED!AD21=13,MATCHED!$N21,IF(MATCHED!AD21=14,MATCHED!$O21,"")))))))&amp;IF(MATCHED!AD21=15,MATCHED!$P21,IF(MATCHED!AD21=16,MATCHED!$Q21,IF(MATCHED!AD21=17,MATCHED!$R21,IF(MATCHED!AD21=18,MATCHED!$S21,IF(MATCHED!AD21=19,MATCHED!$T21,IF(MATCHED!AD21=20,MATCHED!$U21,IF(MATCHED!AD21=21,MATCHED!$V21,)))))))&amp;IF(MATCHED!AD21=22,MATCHED!$W21,IF(MATCHED!AD21=23,MATCHED!$X21,IF(MATCHED!AD21=24,MATCHED!$Y21,IF(MATCHED!AD21=25,MATCHED!$Z21,IF(MATCHED!AD21=26,MATCHED!$AA21,IF(MATCHED!AD21=27,MATCHED!$AB21,"."))))))</f>
        <v>#N/A</v>
      </c>
      <c r="C21" s="356" t="e">
        <f>IF(MATCHED!AE21=1,MATCHED!$B21,IF(MATCHED!AE21=2,MATCHED!$C21,IF(MATCHED!AE21=3,MATCHED!$D21,IF(MATCHED!AE21=4,MATCHED!$E21,IF(MATCHED!AE21=3,MATCHED!$F21,IF(MATCHED!AE21=6,MATCHED!$G21,IF(MATCHED!AE21=7,MATCHED!$H21,"")))))))&amp;IF(MATCHED!AE21=8,MATCHED!$I21,IF(MATCHED!AE21=9,MATCHED!$J21,IF(MATCHED!AE21=10,MATCHED!$K21,IF(MATCHED!AE21=11,MATCHED!$L21,IF(MATCHED!AE21=12,MATCHED!$M21,IF(MATCHED!AE21=13,MATCHED!$N21,IF(MATCHED!AE21=14,MATCHED!$O21,"")))))))&amp;IF(MATCHED!AE21=15,MATCHED!$P21,IF(MATCHED!AE21=16,MATCHED!$Q21,IF(MATCHED!AE21=17,MATCHED!$R21,IF(MATCHED!AE21=18,MATCHED!$S21,IF(MATCHED!AE21=19,MATCHED!$T21,IF(MATCHED!AE21=20,MATCHED!$U21,IF(MATCHED!AE21=21,MATCHED!$V21,)))))))&amp;IF(MATCHED!AE21=22,MATCHED!$W21,IF(MATCHED!AE21=23,MATCHED!$X21,IF(MATCHED!AE21=24,MATCHED!$Y21,IF(MATCHED!AE21=25,MATCHED!$Z21,IF(MATCHED!AE21=26,MATCHED!$AA21,IF(MATCHED!AE21=27,MATCHED!$AB21,"."))))))</f>
        <v>#N/A</v>
      </c>
      <c r="D21" s="356" t="e">
        <f>IF(MATCHED!AF21=1,MATCHED!$B21,IF(MATCHED!AF21=2,MATCHED!$C21,IF(MATCHED!AF21=3,MATCHED!$D21,IF(MATCHED!AF21=4,MATCHED!$E21,IF(MATCHED!AF21=3,MATCHED!$F21,IF(MATCHED!AF21=6,MATCHED!$G21,IF(MATCHED!AF21=7,MATCHED!$H21,"")))))))&amp;IF(MATCHED!AF21=8,MATCHED!$I21,IF(MATCHED!AF21=9,MATCHED!$J21,IF(MATCHED!AF21=10,MATCHED!$K21,IF(MATCHED!AF21=11,MATCHED!$L21,IF(MATCHED!AF21=12,MATCHED!$M21,IF(MATCHED!AF21=13,MATCHED!$N21,IF(MATCHED!AF21=14,MATCHED!$O21,"")))))))&amp;IF(MATCHED!AF21=15,MATCHED!$P21,IF(MATCHED!AF21=16,MATCHED!$Q21,IF(MATCHED!AF21=17,MATCHED!$R21,IF(MATCHED!AF21=18,MATCHED!$S21,IF(MATCHED!AF21=19,MATCHED!$T21,IF(MATCHED!AF21=20,MATCHED!$U21,IF(MATCHED!AF21=21,MATCHED!$V21,)))))))&amp;IF(MATCHED!AF21=22,MATCHED!$W21,IF(MATCHED!AF21=23,MATCHED!$X21,IF(MATCHED!AF21=24,MATCHED!$Y21,IF(MATCHED!AF21=25,MATCHED!$Z21,IF(MATCHED!AF21=26,MATCHED!$AA21,IF(MATCHED!AF21=27,MATCHED!$AB21,"."))))))</f>
        <v>#N/A</v>
      </c>
      <c r="E21" s="356" t="e">
        <f>IF(MATCHED!AG21=1,MATCHED!$B21,IF(MATCHED!AG21=2,MATCHED!$C21,IF(MATCHED!AG21=3,MATCHED!$D21,IF(MATCHED!AG21=4,MATCHED!$E21,IF(MATCHED!AG21=3,MATCHED!$F21,IF(MATCHED!AG21=6,MATCHED!$G21,IF(MATCHED!AG21=7,MATCHED!$H21,"")))))))&amp;IF(MATCHED!AG21=8,MATCHED!$I21,IF(MATCHED!AG21=9,MATCHED!$J21,IF(MATCHED!AG21=10,MATCHED!$K21,IF(MATCHED!AG21=11,MATCHED!$L21,IF(MATCHED!AG21=12,MATCHED!$M21,IF(MATCHED!AG21=13,MATCHED!$N21,IF(MATCHED!AG21=14,MATCHED!$O21,"")))))))&amp;IF(MATCHED!AG21=15,MATCHED!$P21,IF(MATCHED!AG21=16,MATCHED!$Q21,IF(MATCHED!AG21=17,MATCHED!$R21,IF(MATCHED!AG21=18,MATCHED!$S21,IF(MATCHED!AG21=19,MATCHED!$T21,IF(MATCHED!AG21=20,MATCHED!$U21,IF(MATCHED!AG21=21,MATCHED!$V21,)))))))&amp;IF(MATCHED!AG21=22,MATCHED!$W21,IF(MATCHED!AG21=23,MATCHED!$X21,IF(MATCHED!AG21=24,MATCHED!$Y21,IF(MATCHED!AG21=25,MATCHED!$Z21,IF(MATCHED!AG21=26,MATCHED!$AA21,IF(MATCHED!AG21=27,MATCHED!$AB21,"."))))))</f>
        <v>#N/A</v>
      </c>
      <c r="F21" s="356" t="e">
        <f>IF(MATCHED!AH21=1,MATCHED!$B21,IF(MATCHED!AH21=2,MATCHED!$C21,IF(MATCHED!AH21=3,MATCHED!$D21,IF(MATCHED!AH21=4,MATCHED!$E21,IF(MATCHED!AH21=3,MATCHED!$F21,IF(MATCHED!AH21=6,MATCHED!$G21,IF(MATCHED!AH21=7,MATCHED!$H21,"")))))))&amp;IF(MATCHED!AH21=8,MATCHED!$I21,IF(MATCHED!AH21=9,MATCHED!$J21,IF(MATCHED!AH21=10,MATCHED!$K21,IF(MATCHED!AH21=11,MATCHED!$L21,IF(MATCHED!AH21=12,MATCHED!$M21,IF(MATCHED!AH21=13,MATCHED!$N21,IF(MATCHED!AH21=14,MATCHED!$O21,"")))))))&amp;IF(MATCHED!AH21=15,MATCHED!$P21,IF(MATCHED!AH21=16,MATCHED!$Q21,IF(MATCHED!AH21=17,MATCHED!$R21,IF(MATCHED!AH21=18,MATCHED!$S21,IF(MATCHED!AH21=19,MATCHED!$T21,IF(MATCHED!AH21=20,MATCHED!$U21,IF(MATCHED!AH21=21,MATCHED!$V21,)))))))&amp;IF(MATCHED!AH21=22,MATCHED!$W21,IF(MATCHED!AH21=23,MATCHED!$X21,IF(MATCHED!AH21=24,MATCHED!$Y21,IF(MATCHED!AH21=25,MATCHED!$Z21,IF(MATCHED!AH21=26,MATCHED!$AA21,IF(MATCHED!AH21=27,MATCHED!$AB21,"."))))))</f>
        <v>#N/A</v>
      </c>
      <c r="G21" s="356" t="e">
        <f>IF(MATCHED!AI21=1,MATCHED!$B21,IF(MATCHED!AI21=2,MATCHED!$C21,IF(MATCHED!AI21=3,MATCHED!$D21,IF(MATCHED!AI21=4,MATCHED!$E21,IF(MATCHED!AI21=3,MATCHED!$F21,IF(MATCHED!AI21=6,MATCHED!$G21,IF(MATCHED!AI21=7,MATCHED!$H21,"")))))))&amp;IF(MATCHED!AI21=8,MATCHED!$I21,IF(MATCHED!AI21=9,MATCHED!$J21,IF(MATCHED!AI21=10,MATCHED!$K21,IF(MATCHED!AI21=11,MATCHED!$L21,IF(MATCHED!AI21=12,MATCHED!$M21,IF(MATCHED!AI21=13,MATCHED!$N21,IF(MATCHED!AI21=14,MATCHED!$O21,"")))))))&amp;IF(MATCHED!AI21=15,MATCHED!$P21,IF(MATCHED!AI21=16,MATCHED!$Q21,IF(MATCHED!AI21=17,MATCHED!$R21,IF(MATCHED!AI21=18,MATCHED!$S21,IF(MATCHED!AI21=19,MATCHED!$T21,IF(MATCHED!AI21=20,MATCHED!$U21,IF(MATCHED!AI21=21,MATCHED!$V21,)))))))&amp;IF(MATCHED!AI21=22,MATCHED!$W21,IF(MATCHED!AI21=23,MATCHED!$X21,IF(MATCHED!AI21=24,MATCHED!$Y21,IF(MATCHED!AI21=25,MATCHED!$Z21,IF(MATCHED!AI21=26,MATCHED!$AA21,IF(MATCHED!AI21=27,MATCHED!$AB21,"."))))))</f>
        <v>#N/A</v>
      </c>
      <c r="H21" s="356" t="e">
        <f>IF(MATCHED!AJ21=1,MATCHED!$B21,IF(MATCHED!AJ21=2,MATCHED!$C21,IF(MATCHED!AJ21=3,MATCHED!$D21,IF(MATCHED!AJ21=4,MATCHED!$E21,IF(MATCHED!AJ21=3,MATCHED!$F21,IF(MATCHED!AJ21=6,MATCHED!$G21,IF(MATCHED!AJ21=7,MATCHED!$H21,"")))))))&amp;IF(MATCHED!AJ21=8,MATCHED!$I21,IF(MATCHED!AJ21=9,MATCHED!$J21,IF(MATCHED!AJ21=10,MATCHED!$K21,IF(MATCHED!AJ21=11,MATCHED!$L21,IF(MATCHED!AJ21=12,MATCHED!$M21,IF(MATCHED!AJ21=13,MATCHED!$N21,IF(MATCHED!AJ21=14,MATCHED!$O21,"")))))))&amp;IF(MATCHED!AJ21=15,MATCHED!$P21,IF(MATCHED!AJ21=16,MATCHED!$Q21,IF(MATCHED!AJ21=17,MATCHED!$R21,IF(MATCHED!AJ21=18,MATCHED!$S21,IF(MATCHED!AJ21=19,MATCHED!$T21,IF(MATCHED!AJ21=20,MATCHED!$U21,IF(MATCHED!AJ21=21,MATCHED!$V21,)))))))&amp;IF(MATCHED!AJ21=22,MATCHED!$W21,IF(MATCHED!AJ21=23,MATCHED!$X21,IF(MATCHED!AJ21=24,MATCHED!$Y21,IF(MATCHED!AJ21=25,MATCHED!$Z21,IF(MATCHED!AJ21=26,MATCHED!$AA21,IF(MATCHED!AJ21=27,MATCHED!$AB21,"."))))))</f>
        <v>#N/A</v>
      </c>
      <c r="I21" s="356" t="e">
        <f>IF(MATCHED!AK21=1,MATCHED!$B21,IF(MATCHED!AK21=2,MATCHED!$C21,IF(MATCHED!AK21=3,MATCHED!$D21,IF(MATCHED!AK21=4,MATCHED!$E21,IF(MATCHED!AK21=3,MATCHED!$F21,IF(MATCHED!AK21=6,MATCHED!$G21,IF(MATCHED!AK21=7,MATCHED!$H21,"")))))))&amp;IF(MATCHED!AK21=8,MATCHED!$I21,IF(MATCHED!AK21=9,MATCHED!$J21,IF(MATCHED!AK21=10,MATCHED!$K21,IF(MATCHED!AK21=11,MATCHED!$L21,IF(MATCHED!AK21=12,MATCHED!$M21,IF(MATCHED!AK21=13,MATCHED!$N21,IF(MATCHED!AK21=14,MATCHED!$O21,"")))))))&amp;IF(MATCHED!AK21=15,MATCHED!$P21,IF(MATCHED!AK21=16,MATCHED!$Q21,IF(MATCHED!AK21=17,MATCHED!$R21,IF(MATCHED!AK21=18,MATCHED!$S21,IF(MATCHED!AK21=19,MATCHED!$T21,IF(MATCHED!AK21=20,MATCHED!$U21,IF(MATCHED!AK21=21,MATCHED!$V21,)))))))&amp;IF(MATCHED!AK21=22,MATCHED!$W21,IF(MATCHED!AK21=23,MATCHED!$X21,IF(MATCHED!AK21=24,MATCHED!$Y21,IF(MATCHED!AK21=25,MATCHED!$Z21,IF(MATCHED!AK21=26,MATCHED!$AA21,IF(MATCHED!AK21=27,MATCHED!$AB21,"."))))))</f>
        <v>#N/A</v>
      </c>
      <c r="J21" s="356" t="e">
        <f>IF(MATCHED!AL21=1,MATCHED!$B21,IF(MATCHED!AL21=2,MATCHED!$C21,IF(MATCHED!AL21=3,MATCHED!$D21,IF(MATCHED!AL21=4,MATCHED!$E21,IF(MATCHED!AL21=3,MATCHED!$F21,IF(MATCHED!AL21=6,MATCHED!$G21,IF(MATCHED!AL21=7,MATCHED!$H21,"")))))))&amp;IF(MATCHED!AL21=8,MATCHED!$I21,IF(MATCHED!AL21=9,MATCHED!$J21,IF(MATCHED!AL21=10,MATCHED!$K21,IF(MATCHED!AL21=11,MATCHED!$L21,IF(MATCHED!AL21=12,MATCHED!$M21,IF(MATCHED!AL21=13,MATCHED!$N21,IF(MATCHED!AL21=14,MATCHED!$O21,"")))))))&amp;IF(MATCHED!AL21=15,MATCHED!$P21,IF(MATCHED!AL21=16,MATCHED!$Q21,IF(MATCHED!AL21=17,MATCHED!$R21,IF(MATCHED!AL21=18,MATCHED!$S21,IF(MATCHED!AL21=19,MATCHED!$T21,IF(MATCHED!AL21=20,MATCHED!$U21,IF(MATCHED!AL21=21,MATCHED!$V21,)))))))&amp;IF(MATCHED!AL21=22,MATCHED!$W21,IF(MATCHED!AL21=23,MATCHED!$X21,IF(MATCHED!AL21=24,MATCHED!$Y21,IF(MATCHED!AL21=25,MATCHED!$Z21,IF(MATCHED!AL21=26,MATCHED!$AA21,IF(MATCHED!AL21=27,MATCHED!$AB21,"."))))))</f>
        <v>#N/A</v>
      </c>
      <c r="K21" s="356" t="e">
        <f>IF(MATCHED!AM21=1,MATCHED!$B21,IF(MATCHED!AM21=2,MATCHED!$C21,IF(MATCHED!AM21=3,MATCHED!$D21,IF(MATCHED!AM21=4,MATCHED!$E21,IF(MATCHED!AM21=3,MATCHED!$F21,IF(MATCHED!AM21=6,MATCHED!$G21,IF(MATCHED!AM21=7,MATCHED!$H21,"")))))))&amp;IF(MATCHED!AM21=8,MATCHED!$I21,IF(MATCHED!AM21=9,MATCHED!$J21,IF(MATCHED!AM21=10,MATCHED!$K21,IF(MATCHED!AM21=11,MATCHED!$L21,IF(MATCHED!AM21=12,MATCHED!$M21,IF(MATCHED!AM21=13,MATCHED!$N21,IF(MATCHED!AM21=14,MATCHED!$O21,"")))))))&amp;IF(MATCHED!AM21=15,MATCHED!$P21,IF(MATCHED!AM21=16,MATCHED!$Q21,IF(MATCHED!AM21=17,MATCHED!$R21,IF(MATCHED!AM21=18,MATCHED!$S21,IF(MATCHED!AM21=19,MATCHED!$T21,IF(MATCHED!AM21=20,MATCHED!$U21,IF(MATCHED!AM21=21,MATCHED!$V21,)))))))&amp;IF(MATCHED!AM21=22,MATCHED!$W21,IF(MATCHED!AM21=23,MATCHED!$X21,IF(MATCHED!AM21=24,MATCHED!$Y21,IF(MATCHED!AM21=25,MATCHED!$Z21,IF(MATCHED!AM21=26,MATCHED!$AA21,IF(MATCHED!AM21=27,MATCHED!$AB21,"."))))))</f>
        <v>#N/A</v>
      </c>
      <c r="L21" s="356" t="e">
        <f>IF(MATCHED!AN21=1,MATCHED!$B21,IF(MATCHED!AN21=2,MATCHED!$C21,IF(MATCHED!AN21=3,MATCHED!$D21,IF(MATCHED!AN21=4,MATCHED!$E21,IF(MATCHED!AN21=3,MATCHED!$F21,IF(MATCHED!AN21=6,MATCHED!$G21,IF(MATCHED!AN21=7,MATCHED!$H21,"")))))))&amp;IF(MATCHED!AN21=8,MATCHED!$I21,IF(MATCHED!AN21=9,MATCHED!$J21,IF(MATCHED!AN21=10,MATCHED!$K21,IF(MATCHED!AN21=11,MATCHED!$L21,IF(MATCHED!AN21=12,MATCHED!$M21,IF(MATCHED!AN21=13,MATCHED!$N21,IF(MATCHED!AN21=14,MATCHED!$O21,"")))))))&amp;IF(MATCHED!AN21=15,MATCHED!$P21,IF(MATCHED!AN21=16,MATCHED!$Q21,IF(MATCHED!AN21=17,MATCHED!$R21,IF(MATCHED!AN21=18,MATCHED!$S21,IF(MATCHED!AN21=19,MATCHED!$T21,IF(MATCHED!AN21=20,MATCHED!$U21,IF(MATCHED!AN21=21,MATCHED!$V21,)))))))&amp;IF(MATCHED!AN21=22,MATCHED!$W21,IF(MATCHED!AN21=23,MATCHED!$X21,IF(MATCHED!AN21=24,MATCHED!$Y21,IF(MATCHED!AN21=25,MATCHED!$Z21,IF(MATCHED!AN21=26,MATCHED!$AA21,IF(MATCHED!AN21=27,MATCHED!$AB21,"."))))))</f>
        <v>#N/A</v>
      </c>
      <c r="M21" s="356" t="e">
        <f>IF(MATCHED!AO21=1,MATCHED!$B21,IF(MATCHED!AO21=2,MATCHED!$C21,IF(MATCHED!AO21=3,MATCHED!$D21,IF(MATCHED!AO21=4,MATCHED!$E21,IF(MATCHED!AO21=3,MATCHED!$F21,IF(MATCHED!AO21=6,MATCHED!$G21,IF(MATCHED!AO21=7,MATCHED!$H21,"")))))))&amp;IF(MATCHED!AO21=8,MATCHED!$I21,IF(MATCHED!AO21=9,MATCHED!$J21,IF(MATCHED!AO21=10,MATCHED!$K21,IF(MATCHED!AO21=11,MATCHED!$L21,IF(MATCHED!AO21=12,MATCHED!$M21,IF(MATCHED!AO21=13,MATCHED!$N21,IF(MATCHED!AO21=14,MATCHED!$O21,"")))))))&amp;IF(MATCHED!AO21=15,MATCHED!$P21,IF(MATCHED!AO21=16,MATCHED!$Q21,IF(MATCHED!AO21=17,MATCHED!$R21,IF(MATCHED!AO21=18,MATCHED!$S21,IF(MATCHED!AO21=19,MATCHED!$T21,IF(MATCHED!AO21=20,MATCHED!$U21,IF(MATCHED!AO21=21,MATCHED!$V21,)))))))&amp;IF(MATCHED!AO21=22,MATCHED!$W21,IF(MATCHED!AO21=23,MATCHED!$X21,IF(MATCHED!AO21=24,MATCHED!$Y21,IF(MATCHED!AO21=25,MATCHED!$Z21,IF(MATCHED!AO21=26,MATCHED!$AA21,IF(MATCHED!AO21=27,MATCHED!$AB21,"."))))))</f>
        <v>#N/A</v>
      </c>
      <c r="N21" s="356" t="e">
        <f>IF(MATCHED!AP21=1,MATCHED!$B21,IF(MATCHED!AP21=2,MATCHED!$C21,IF(MATCHED!AP21=3,MATCHED!$D21,IF(MATCHED!AP21=4,MATCHED!$E21,IF(MATCHED!AP21=3,MATCHED!$F21,IF(MATCHED!AP21=6,MATCHED!$G21,IF(MATCHED!AP21=7,MATCHED!$H21,"")))))))&amp;IF(MATCHED!AP21=8,MATCHED!$I21,IF(MATCHED!AP21=9,MATCHED!$J21,IF(MATCHED!AP21=10,MATCHED!$K21,IF(MATCHED!AP21=11,MATCHED!$L21,IF(MATCHED!AP21=12,MATCHED!$M21,IF(MATCHED!AP21=13,MATCHED!$N21,IF(MATCHED!AP21=14,MATCHED!$O21,"")))))))&amp;IF(MATCHED!AP21=15,MATCHED!$P21,IF(MATCHED!AP21=16,MATCHED!$Q21,IF(MATCHED!AP21=17,MATCHED!$R21,IF(MATCHED!AP21=18,MATCHED!$S21,IF(MATCHED!AP21=19,MATCHED!$T21,IF(MATCHED!AP21=20,MATCHED!$U21,IF(MATCHED!AP21=21,MATCHED!$V21,)))))))&amp;IF(MATCHED!AP21=22,MATCHED!$W21,IF(MATCHED!AP21=23,MATCHED!$X21,IF(MATCHED!AP21=24,MATCHED!$Y21,IF(MATCHED!AP21=25,MATCHED!$Z21,IF(MATCHED!AP21=26,MATCHED!$AA21,IF(MATCHED!AP21=27,MATCHED!$AB21,"."))))))</f>
        <v>#N/A</v>
      </c>
      <c r="O21" s="356" t="e">
        <f>IF(MATCHED!AQ21=1,MATCHED!$B21,IF(MATCHED!AQ21=2,MATCHED!$C21,IF(MATCHED!AQ21=3,MATCHED!$D21,IF(MATCHED!AQ21=4,MATCHED!$E21,IF(MATCHED!AQ21=3,MATCHED!$F21,IF(MATCHED!AQ21=6,MATCHED!$G21,IF(MATCHED!AQ21=7,MATCHED!$H21,"")))))))&amp;IF(MATCHED!AQ21=8,MATCHED!$I21,IF(MATCHED!AQ21=9,MATCHED!$J21,IF(MATCHED!AQ21=10,MATCHED!$K21,IF(MATCHED!AQ21=11,MATCHED!$L21,IF(MATCHED!AQ21=12,MATCHED!$M21,IF(MATCHED!AQ21=13,MATCHED!$N21,IF(MATCHED!AQ21=14,MATCHED!$O21,"")))))))&amp;IF(MATCHED!AQ21=15,MATCHED!$P21,IF(MATCHED!AQ21=16,MATCHED!$Q21,IF(MATCHED!AQ21=17,MATCHED!$R21,IF(MATCHED!AQ21=18,MATCHED!$S21,IF(MATCHED!AQ21=19,MATCHED!$T21,IF(MATCHED!AQ21=20,MATCHED!$U21,IF(MATCHED!AQ21=21,MATCHED!$V21,)))))))&amp;IF(MATCHED!AQ21=22,MATCHED!$W21,IF(MATCHED!AQ21=23,MATCHED!$X21,IF(MATCHED!AQ21=24,MATCHED!$Y21,IF(MATCHED!AQ21=25,MATCHED!$Z21,IF(MATCHED!AQ21=26,MATCHED!$AA21,IF(MATCHED!AQ21=27,MATCHED!$AB21,"."))))))</f>
        <v>#N/A</v>
      </c>
      <c r="P21" s="356" t="e">
        <f>IF(MATCHED!AR21=1,MATCHED!$B21,IF(MATCHED!AR21=2,MATCHED!$C21,IF(MATCHED!AR21=3,MATCHED!$D21,IF(MATCHED!AR21=4,MATCHED!$E21,IF(MATCHED!AR21=3,MATCHED!$F21,IF(MATCHED!AR21=6,MATCHED!$G21,IF(MATCHED!AR21=7,MATCHED!$H21,"")))))))&amp;IF(MATCHED!AR21=8,MATCHED!$I21,IF(MATCHED!AR21=9,MATCHED!$J21,IF(MATCHED!AR21=10,MATCHED!$K21,IF(MATCHED!AR21=11,MATCHED!$L21,IF(MATCHED!AR21=12,MATCHED!$M21,IF(MATCHED!AR21=13,MATCHED!$N21,IF(MATCHED!AR21=14,MATCHED!$O21,"")))))))&amp;IF(MATCHED!AR21=15,MATCHED!$P21,IF(MATCHED!AR21=16,MATCHED!$Q21,IF(MATCHED!AR21=17,MATCHED!$R21,IF(MATCHED!AR21=18,MATCHED!$S21,IF(MATCHED!AR21=19,MATCHED!$T21,IF(MATCHED!AR21=20,MATCHED!$U21,IF(MATCHED!AR21=21,MATCHED!$V21,)))))))&amp;IF(MATCHED!AR21=22,MATCHED!$W21,IF(MATCHED!AR21=23,MATCHED!$X21,IF(MATCHED!AR21=24,MATCHED!$Y21,IF(MATCHED!AR21=25,MATCHED!$Z21,IF(MATCHED!AR21=26,MATCHED!$AA21,IF(MATCHED!AR21=27,MATCHED!$AB21,"."))))))</f>
        <v>#N/A</v>
      </c>
      <c r="Q21" s="357" t="e">
        <f>IF(MATCHED!AS21=1,MATCHED!$B21,IF(MATCHED!AS21=2,MATCHED!$C21,IF(MATCHED!AS21=3,MATCHED!$D21,IF(MATCHED!AS21=4,MATCHED!$E21,IF(MATCHED!AS21=3,MATCHED!$F21,IF(MATCHED!AS21=6,MATCHED!$G21,IF(MATCHED!AS21=7,MATCHED!$H21,"")))))))&amp;IF(MATCHED!AS21=8,MATCHED!$I21,IF(MATCHED!AS21=9,MATCHED!$J21,IF(MATCHED!AS21=10,MATCHED!$K21,IF(MATCHED!AS21=11,MATCHED!$L21,IF(MATCHED!AS21=12,MATCHED!$M21,IF(MATCHED!AS21=13,MATCHED!$N21,IF(MATCHED!AS21=14,MATCHED!$O21,"")))))))&amp;IF(MATCHED!AS21=15,MATCHED!$P21,IF(MATCHED!AS21=16,MATCHED!$Q21,IF(MATCHED!AS21=17,MATCHED!$R21,IF(MATCHED!AS21=18,MATCHED!$S21,IF(MATCHED!AS21=19,MATCHED!$T21,IF(MATCHED!AS21=20,MATCHED!$U21,IF(MATCHED!AS21=21,MATCHED!$V21,)))))))&amp;IF(MATCHED!AS21=22,MATCHED!$W21,IF(MATCHED!AS21=23,MATCHED!$X21,IF(MATCHED!AS21=24,MATCHED!$Y21,IF(MATCHED!AS21=25,MATCHED!$Z21,IF(MATCHED!AS21=26,MATCHED!$AA21,IF(MATCHED!AS21=27,MATCHED!$AB21,"."))))))</f>
        <v>#N/A</v>
      </c>
      <c r="R21" s="356" t="e">
        <f>IF(MATCHED!AT21=1,MATCHED!$B21,IF(MATCHED!AT21=2,MATCHED!$C21,IF(MATCHED!AT21=3,MATCHED!$D21,IF(MATCHED!AT21=4,MATCHED!$E21,IF(MATCHED!AT21=3,MATCHED!$F21,IF(MATCHED!AT21=6,MATCHED!$G21,IF(MATCHED!AT21=7,MATCHED!$H21,"")))))))&amp;IF(MATCHED!AT21=8,MATCHED!$I21,IF(MATCHED!AT21=9,MATCHED!$J21,IF(MATCHED!AT21=10,MATCHED!$K21,IF(MATCHED!AT21=11,MATCHED!$L21,IF(MATCHED!AT21=12,MATCHED!$M21,IF(MATCHED!AT21=13,MATCHED!$N21,IF(MATCHED!AT21=14,MATCHED!$O21,"")))))))&amp;IF(MATCHED!AT21=15,MATCHED!$P21,IF(MATCHED!AT21=16,MATCHED!$Q21,IF(MATCHED!AT21=17,MATCHED!$R21,IF(MATCHED!AT21=18,MATCHED!$S21,IF(MATCHED!AT21=19,MATCHED!$T21,IF(MATCHED!AT21=20,MATCHED!$U21,IF(MATCHED!AT21=21,MATCHED!$V21,)))))))&amp;IF(MATCHED!AT21=22,MATCHED!$W21,IF(MATCHED!AT21=23,MATCHED!$X21,IF(MATCHED!AT21=24,MATCHED!$Y21,IF(MATCHED!AT21=25,MATCHED!$Z21,IF(MATCHED!AT21=26,MATCHED!$AA21,IF(MATCHED!AT21=27,MATCHED!$AB21,"."))))))</f>
        <v>#N/A</v>
      </c>
      <c r="S21" s="356" t="e">
        <f>IF(MATCHED!AU21=1,MATCHED!$B21,IF(MATCHED!AU21=2,MATCHED!$C21,IF(MATCHED!AU21=3,MATCHED!$D21,IF(MATCHED!AU21=4,MATCHED!$E21,IF(MATCHED!AU21=3,MATCHED!$F21,IF(MATCHED!AU21=6,MATCHED!$G21,IF(MATCHED!AU21=7,MATCHED!$H21,"")))))))&amp;IF(MATCHED!AU21=8,MATCHED!$I21,IF(MATCHED!AU21=9,MATCHED!$J21,IF(MATCHED!AU21=10,MATCHED!$K21,IF(MATCHED!AU21=11,MATCHED!$L21,IF(MATCHED!AU21=12,MATCHED!$M21,IF(MATCHED!AU21=13,MATCHED!$N21,IF(MATCHED!AU21=14,MATCHED!$O21,"")))))))&amp;IF(MATCHED!AU21=15,MATCHED!$P21,IF(MATCHED!AU21=16,MATCHED!$Q21,IF(MATCHED!AU21=17,MATCHED!$R21,IF(MATCHED!AU21=18,MATCHED!$S21,IF(MATCHED!AU21=19,MATCHED!$T21,IF(MATCHED!AU21=20,MATCHED!$U21,IF(MATCHED!AU21=21,MATCHED!$V21,)))))))&amp;IF(MATCHED!AU21=22,MATCHED!$W21,IF(MATCHED!AU21=23,MATCHED!$X21,IF(MATCHED!AU21=24,MATCHED!$Y21,IF(MATCHED!AU21=25,MATCHED!$Z21,IF(MATCHED!AU21=26,MATCHED!$AA21,IF(MATCHED!AU21=27,MATCHED!$AB21,"."))))))</f>
        <v>#N/A</v>
      </c>
      <c r="T21" s="356" t="e">
        <f>IF(MATCHED!AV21=1,MATCHED!$B21,IF(MATCHED!AV21=2,MATCHED!$C21,IF(MATCHED!AV21=3,MATCHED!$D21,IF(MATCHED!AV21=4,MATCHED!$E21,IF(MATCHED!AV21=3,MATCHED!$F21,IF(MATCHED!AV21=6,MATCHED!$G21,IF(MATCHED!AV21=7,MATCHED!$H21,"")))))))&amp;IF(MATCHED!AV21=8,MATCHED!$I21,IF(MATCHED!AV21=9,MATCHED!$J21,IF(MATCHED!AV21=10,MATCHED!$K21,IF(MATCHED!AV21=11,MATCHED!$L21,IF(MATCHED!AV21=12,MATCHED!$M21,IF(MATCHED!AV21=13,MATCHED!$N21,IF(MATCHED!AV21=14,MATCHED!$O21,"")))))))&amp;IF(MATCHED!AV21=15,MATCHED!$P21,IF(MATCHED!AV21=16,MATCHED!$Q21,IF(MATCHED!AV21=17,MATCHED!$R21,IF(MATCHED!AV21=18,MATCHED!$S21,IF(MATCHED!AV21=19,MATCHED!$T21,IF(MATCHED!AV21=20,MATCHED!$U21,IF(MATCHED!AV21=21,MATCHED!$V21,)))))))&amp;IF(MATCHED!AV21=22,MATCHED!$W21,IF(MATCHED!AV21=23,MATCHED!$X21,IF(MATCHED!AV21=24,MATCHED!$Y21,IF(MATCHED!AV21=25,MATCHED!$Z21,IF(MATCHED!AV21=26,MATCHED!$AA21,IF(MATCHED!AV21=27,MATCHED!$AB21,"."))))))</f>
        <v>#N/A</v>
      </c>
      <c r="U21" s="356" t="e">
        <f>IF(MATCHED!AW21=1,MATCHED!$B21,IF(MATCHED!AW21=2,MATCHED!$C21,IF(MATCHED!AW21=3,MATCHED!$D21,IF(MATCHED!AW21=4,MATCHED!$E21,IF(MATCHED!AW21=3,MATCHED!$F21,IF(MATCHED!AW21=6,MATCHED!$G21,IF(MATCHED!AW21=7,MATCHED!$H21,"")))))))&amp;IF(MATCHED!AW21=8,MATCHED!$I21,IF(MATCHED!AW21=9,MATCHED!$J21,IF(MATCHED!AW21=10,MATCHED!$K21,IF(MATCHED!AW21=11,MATCHED!$L21,IF(MATCHED!AW21=12,MATCHED!$M21,IF(MATCHED!AW21=13,MATCHED!$N21,IF(MATCHED!AW21=14,MATCHED!$O21,"")))))))&amp;IF(MATCHED!AW21=15,MATCHED!$P21,IF(MATCHED!AW21=16,MATCHED!$Q21,IF(MATCHED!AW21=17,MATCHED!$R21,IF(MATCHED!AW21=18,MATCHED!$S21,IF(MATCHED!AW21=19,MATCHED!$T21,IF(MATCHED!AW21=20,MATCHED!$U21,IF(MATCHED!AW21=21,MATCHED!$V21,)))))))&amp;IF(MATCHED!AW21=22,MATCHED!$W21,IF(MATCHED!AW21=23,MATCHED!$X21,IF(MATCHED!AW21=24,MATCHED!$Y21,IF(MATCHED!AW21=25,MATCHED!$Z21,IF(MATCHED!AW21=26,MATCHED!$AA21,IF(MATCHED!AW21=27,MATCHED!$AB21,"."))))))</f>
        <v>#N/A</v>
      </c>
      <c r="V21" s="356" t="e">
        <f>IF(MATCHED!AX21=1,MATCHED!$B21,IF(MATCHED!AX21=2,MATCHED!$C21,IF(MATCHED!AX21=3,MATCHED!$D21,IF(MATCHED!AX21=4,MATCHED!$E21,IF(MATCHED!AX21=3,MATCHED!$F21,IF(MATCHED!AX21=6,MATCHED!$G21,IF(MATCHED!AX21=7,MATCHED!$H21,"")))))))&amp;IF(MATCHED!AX21=8,MATCHED!$I21,IF(MATCHED!AX21=9,MATCHED!$J21,IF(MATCHED!AX21=10,MATCHED!$K21,IF(MATCHED!AX21=11,MATCHED!$L21,IF(MATCHED!AX21=12,MATCHED!$M21,IF(MATCHED!AX21=13,MATCHED!$N21,IF(MATCHED!AX21=14,MATCHED!$O21,"")))))))&amp;IF(MATCHED!AX21=15,MATCHED!$P21,IF(MATCHED!AX21=16,MATCHED!$Q21,IF(MATCHED!AX21=17,MATCHED!$R21,IF(MATCHED!AX21=18,MATCHED!$S21,IF(MATCHED!AX21=19,MATCHED!$T21,IF(MATCHED!AX21=20,MATCHED!$U21,IF(MATCHED!AX21=21,MATCHED!$V21,)))))))&amp;IF(MATCHED!AX21=22,MATCHED!$W21,IF(MATCHED!AX21=23,MATCHED!$X21,IF(MATCHED!AX21=24,MATCHED!$Y21,IF(MATCHED!AX21=25,MATCHED!$Z21,IF(MATCHED!AX21=26,MATCHED!$AA21,IF(MATCHED!AX21=27,MATCHED!$AB21,"."))))))</f>
        <v>#N/A</v>
      </c>
      <c r="W21" s="356" t="e">
        <f>IF(MATCHED!AY21=1,MATCHED!$B21,IF(MATCHED!AY21=2,MATCHED!$C21,IF(MATCHED!AY21=3,MATCHED!$D21,IF(MATCHED!AY21=4,MATCHED!$E21,IF(MATCHED!AY21=3,MATCHED!$F21,IF(MATCHED!AY21=6,MATCHED!$G21,IF(MATCHED!AY21=7,MATCHED!$H21,"")))))))&amp;IF(MATCHED!AY21=8,MATCHED!$I21,IF(MATCHED!AY21=9,MATCHED!$J21,IF(MATCHED!AY21=10,MATCHED!$K21,IF(MATCHED!AY21=11,MATCHED!$L21,IF(MATCHED!AY21=12,MATCHED!$M21,IF(MATCHED!AY21=13,MATCHED!$N21,IF(MATCHED!AY21=14,MATCHED!$O21,"")))))))&amp;IF(MATCHED!AY21=15,MATCHED!$P21,IF(MATCHED!AY21=16,MATCHED!$Q21,IF(MATCHED!AY21=17,MATCHED!$R21,IF(MATCHED!AY21=18,MATCHED!$S21,IF(MATCHED!AY21=19,MATCHED!$T21,IF(MATCHED!AY21=20,MATCHED!$U21,IF(MATCHED!AY21=21,MATCHED!$V21,)))))))&amp;IF(MATCHED!AY21=22,MATCHED!$W21,IF(MATCHED!AY21=23,MATCHED!$X21,IF(MATCHED!AY21=24,MATCHED!$Y21,IF(MATCHED!AY21=25,MATCHED!$Z21,IF(MATCHED!AY21=26,MATCHED!$AA21,IF(MATCHED!AY21=27,MATCHED!$AB21,"."))))))</f>
        <v>#N/A</v>
      </c>
      <c r="X21" s="356" t="e">
        <f>IF(MATCHED!AZ21=1,MATCHED!$B21,IF(MATCHED!AZ21=2,MATCHED!$C21,IF(MATCHED!AZ21=3,MATCHED!$D21,IF(MATCHED!AZ21=4,MATCHED!$E21,IF(MATCHED!AZ21=3,MATCHED!$F21,IF(MATCHED!AZ21=6,MATCHED!$G21,IF(MATCHED!AZ21=7,MATCHED!$H21,"")))))))&amp;IF(MATCHED!AZ21=8,MATCHED!$I21,IF(MATCHED!AZ21=9,MATCHED!$J21,IF(MATCHED!AZ21=10,MATCHED!$K21,IF(MATCHED!AZ21=11,MATCHED!$L21,IF(MATCHED!AZ21=12,MATCHED!$M21,IF(MATCHED!AZ21=13,MATCHED!$N21,IF(MATCHED!AZ21=14,MATCHED!$O21,"")))))))&amp;IF(MATCHED!AZ21=15,MATCHED!$P21,IF(MATCHED!AZ21=16,MATCHED!$Q21,IF(MATCHED!AZ21=17,MATCHED!$R21,IF(MATCHED!AZ21=18,MATCHED!$S21,IF(MATCHED!AZ21=19,MATCHED!$T21,IF(MATCHED!AZ21=20,MATCHED!$U21,IF(MATCHED!AZ21=21,MATCHED!$V21,)))))))&amp;IF(MATCHED!AZ21=22,MATCHED!$W21,IF(MATCHED!AZ21=23,MATCHED!$X21,IF(MATCHED!AZ21=24,MATCHED!$Y21,IF(MATCHED!AZ21=25,MATCHED!$Z21,IF(MATCHED!AZ21=26,MATCHED!$AA21,IF(MATCHED!AZ21=27,MATCHED!$AB21,"."))))))</f>
        <v>#N/A</v>
      </c>
      <c r="Y21" s="356" t="e">
        <f>IF(MATCHED!BA21=1,MATCHED!$B21,IF(MATCHED!BA21=2,MATCHED!$C21,IF(MATCHED!BA21=3,MATCHED!$D21,IF(MATCHED!BA21=4,MATCHED!$E21,IF(MATCHED!BA21=3,MATCHED!$F21,IF(MATCHED!BA21=6,MATCHED!$G21,IF(MATCHED!BA21=7,MATCHED!$H21,"")))))))&amp;IF(MATCHED!BA21=8,MATCHED!$I21,IF(MATCHED!BA21=9,MATCHED!$J21,IF(MATCHED!BA21=10,MATCHED!$K21,IF(MATCHED!BA21=11,MATCHED!$L21,IF(MATCHED!BA21=12,MATCHED!$M21,IF(MATCHED!BA21=13,MATCHED!$N21,IF(MATCHED!BA21=14,MATCHED!$O21,"")))))))&amp;IF(MATCHED!BA21=15,MATCHED!$P21,IF(MATCHED!BA21=16,MATCHED!$Q21,IF(MATCHED!BA21=17,MATCHED!$R21,IF(MATCHED!BA21=18,MATCHED!$S21,IF(MATCHED!BA21=19,MATCHED!$T21,IF(MATCHED!BA21=20,MATCHED!$U21,IF(MATCHED!BA21=21,MATCHED!$V21,)))))))&amp;IF(MATCHED!BA21=22,MATCHED!$W21,IF(MATCHED!BA21=23,MATCHED!$X21,IF(MATCHED!BA21=24,MATCHED!$Y21,IF(MATCHED!BA21=25,MATCHED!$Z21,IF(MATCHED!BA21=26,MATCHED!$AA21,IF(MATCHED!BA21=27,MATCHED!$AB21,"."))))))</f>
        <v>#N/A</v>
      </c>
      <c r="Z21" s="356" t="e">
        <f>IF(MATCHED!BB21=1,MATCHED!$B21,IF(MATCHED!BB21=2,MATCHED!$C21,IF(MATCHED!BB21=3,MATCHED!$D21,IF(MATCHED!BB21=4,MATCHED!$E21,IF(MATCHED!BB21=3,MATCHED!$F21,IF(MATCHED!BB21=6,MATCHED!$G21,IF(MATCHED!BB21=7,MATCHED!$H21,"")))))))&amp;IF(MATCHED!BB21=8,MATCHED!$I21,IF(MATCHED!BB21=9,MATCHED!$J21,IF(MATCHED!BB21=10,MATCHED!$K21,IF(MATCHED!BB21=11,MATCHED!$L21,IF(MATCHED!BB21=12,MATCHED!$M21,IF(MATCHED!BB21=13,MATCHED!$N21,IF(MATCHED!BB21=14,MATCHED!$O21,"")))))))&amp;IF(MATCHED!BB21=15,MATCHED!$P21,IF(MATCHED!BB21=16,MATCHED!$Q21,IF(MATCHED!BB21=17,MATCHED!$R21,IF(MATCHED!BB21=18,MATCHED!$S21,IF(MATCHED!BB21=19,MATCHED!$T21,IF(MATCHED!BB21=20,MATCHED!$U21,IF(MATCHED!BB21=21,MATCHED!$V21,)))))))&amp;IF(MATCHED!BB21=22,MATCHED!$W21,IF(MATCHED!BB21=23,MATCHED!$X21,IF(MATCHED!BB21=24,MATCHED!$Y21,IF(MATCHED!BB21=25,MATCHED!$Z21,IF(MATCHED!BB21=26,MATCHED!$AA21,IF(MATCHED!BB21=27,MATCHED!$AB21,"."))))))</f>
        <v>#N/A</v>
      </c>
      <c r="AA21" s="356" t="e">
        <f>IF(MATCHED!BC21=1,MATCHED!$B21,IF(MATCHED!BC21=2,MATCHED!$C21,IF(MATCHED!BC21=3,MATCHED!$D21,IF(MATCHED!BC21=4,MATCHED!$E21,IF(MATCHED!BC21=3,MATCHED!$F21,IF(MATCHED!BC21=6,MATCHED!$G21,IF(MATCHED!BC21=7,MATCHED!$H21,"")))))))&amp;IF(MATCHED!BC21=8,MATCHED!$I21,IF(MATCHED!BC21=9,MATCHED!$J21,IF(MATCHED!BC21=10,MATCHED!$K21,IF(MATCHED!BC21=11,MATCHED!$L21,IF(MATCHED!BC21=12,MATCHED!$M21,IF(MATCHED!BC21=13,MATCHED!$N21,IF(MATCHED!BC21=14,MATCHED!$O21,"")))))))&amp;IF(MATCHED!BC21=15,MATCHED!$P21,IF(MATCHED!BC21=16,MATCHED!$Q21,IF(MATCHED!BC21=17,MATCHED!$R21,IF(MATCHED!BC21=18,MATCHED!$S21,IF(MATCHED!BC21=19,MATCHED!$T21,IF(MATCHED!BC21=20,MATCHED!$U21,IF(MATCHED!BC21=21,MATCHED!$V21,)))))))&amp;IF(MATCHED!BC21=22,MATCHED!$W21,IF(MATCHED!BC21=23,MATCHED!$X21,IF(MATCHED!BC21=24,MATCHED!$Y21,IF(MATCHED!BC21=25,MATCHED!$Z21,IF(MATCHED!BC21=26,MATCHED!$AA21,IF(MATCHED!BC21=27,MATCHED!$AB21,"."))))))</f>
        <v>#N/A</v>
      </c>
      <c r="AB21" s="356" t="e">
        <f>IF(MATCHED!BD21=1,MATCHED!$B21,IF(MATCHED!BD21=2,MATCHED!$C21,IF(MATCHED!BD21=3,MATCHED!$D21,IF(MATCHED!BD21=4,MATCHED!$E21,IF(MATCHED!BD21=3,MATCHED!$F21,IF(MATCHED!BD21=6,MATCHED!$G21,IF(MATCHED!BD21=7,MATCHED!$H21,"")))))))&amp;IF(MATCHED!BD21=8,MATCHED!$I21,IF(MATCHED!BD21=9,MATCHED!$J21,IF(MATCHED!BD21=10,MATCHED!$K21,IF(MATCHED!BD21=11,MATCHED!$L21,IF(MATCHED!BD21=12,MATCHED!$M21,IF(MATCHED!BD21=13,MATCHED!$N21,IF(MATCHED!BD21=14,MATCHED!$O21,"")))))))&amp;IF(MATCHED!BD21=15,MATCHED!$P21,IF(MATCHED!BD21=16,MATCHED!$Q21,IF(MATCHED!BD21=17,MATCHED!$R21,IF(MATCHED!BD21=18,MATCHED!$S21,IF(MATCHED!BD21=19,MATCHED!$T21,IF(MATCHED!BD21=20,MATCHED!$U21,IF(MATCHED!BD21=21,MATCHED!$V21,)))))))&amp;IF(MATCHED!BD21=22,MATCHED!$W21,IF(MATCHED!BD21=23,MATCHED!$X21,IF(MATCHED!BD21=24,MATCHED!$Y21,IF(MATCHED!BD21=25,MATCHED!$Z21,IF(MATCHED!BD21=26,MATCHED!$AA21,IF(MATCHED!BD21=27,MATCHED!$AB21,"."))))))</f>
        <v>#N/A</v>
      </c>
      <c r="AC21" s="356" t="e">
        <f>IF(MATCHED!BE21=1,MATCHED!$B21,IF(MATCHED!BE21=2,MATCHED!$C21,IF(MATCHED!BE21=3,MATCHED!$D21,IF(MATCHED!BE21=4,MATCHED!$E21,IF(MATCHED!BE21=3,MATCHED!$F21,IF(MATCHED!BE21=6,MATCHED!$G21,IF(MATCHED!BE21=7,MATCHED!$H21,"")))))))&amp;IF(MATCHED!BE21=8,MATCHED!$I21,IF(MATCHED!BE21=9,MATCHED!$J21,IF(MATCHED!BE21=10,MATCHED!$K21,IF(MATCHED!BE21=11,MATCHED!$L21,IF(MATCHED!BE21=12,MATCHED!$M21,IF(MATCHED!BE21=13,MATCHED!$N21,IF(MATCHED!BE21=14,MATCHED!$O21,"")))))))&amp;IF(MATCHED!BE21=15,MATCHED!$P21,IF(MATCHED!BE21=16,MATCHED!$Q21,IF(MATCHED!BE21=17,MATCHED!$R21,IF(MATCHED!BE21=18,MATCHED!$S21,IF(MATCHED!BE21=19,MATCHED!$T21,IF(MATCHED!BE21=20,MATCHED!$U21,IF(MATCHED!BE21=21,MATCHED!$V21,)))))))&amp;IF(MATCHED!BE21=22,MATCHED!$W21,IF(MATCHED!BE21=23,MATCHED!$X21,IF(MATCHED!BE21=24,MATCHED!$Y21,IF(MATCHED!BE21=25,MATCHED!$Z21,IF(MATCHED!BE21=26,MATCHED!$AA21,IF(MATCHED!BE21=27,MATCHED!$AB21,"."))))))</f>
        <v>#N/A</v>
      </c>
      <c r="AD21" s="356" t="e">
        <f>IF(MATCHED!BF21=1,MATCHED!$B21,IF(MATCHED!BF21=2,MATCHED!$C21,IF(MATCHED!BF21=3,MATCHED!$D21,IF(MATCHED!BF21=4,MATCHED!$E21,IF(MATCHED!BF21=3,MATCHED!$F21,IF(MATCHED!BF21=6,MATCHED!$G21,IF(MATCHED!BF21=7,MATCHED!$H21,"")))))))&amp;IF(MATCHED!BF21=8,MATCHED!$I21,IF(MATCHED!BF21=9,MATCHED!$J21,IF(MATCHED!BF21=10,MATCHED!$K21,IF(MATCHED!BF21=11,MATCHED!$L21,IF(MATCHED!BF21=12,MATCHED!$M21,IF(MATCHED!BF21=13,MATCHED!$N21,IF(MATCHED!BF21=14,MATCHED!$O21,"")))))))&amp;IF(MATCHED!BF21=15,MATCHED!$P21,IF(MATCHED!BF21=16,MATCHED!$Q21,IF(MATCHED!BF21=17,MATCHED!$R21,IF(MATCHED!BF21=18,MATCHED!$S21,IF(MATCHED!BF21=19,MATCHED!$T21,IF(MATCHED!BF21=20,MATCHED!$U21,IF(MATCHED!BF21=21,MATCHED!$V21,)))))))&amp;IF(MATCHED!BF21=22,MATCHED!$W21,IF(MATCHED!BF21=23,MATCHED!$X21,IF(MATCHED!BF21=24,MATCHED!$Y21,IF(MATCHED!BF21=25,MATCHED!$Z21,IF(MATCHED!BF21=26,MATCHED!$AA21,IF(MATCHED!BF21=27,MATCHED!$AB21,"."))))))</f>
        <v>#N/A</v>
      </c>
      <c r="AE21" s="356" t="e">
        <f>IF(MATCHED!BG21=1,MATCHED!$B21,IF(MATCHED!BG21=2,MATCHED!$C21,IF(MATCHED!BG21=3,MATCHED!$D21,IF(MATCHED!BG21=4,MATCHED!$E21,IF(MATCHED!BG21=3,MATCHED!$F21,IF(MATCHED!BG21=6,MATCHED!$G21,IF(MATCHED!BG21=7,MATCHED!$H21,"")))))))&amp;IF(MATCHED!BG21=8,MATCHED!$I21,IF(MATCHED!BG21=9,MATCHED!$J21,IF(MATCHED!BG21=10,MATCHED!$K21,IF(MATCHED!BG21=11,MATCHED!$L21,IF(MATCHED!BG21=12,MATCHED!$M21,IF(MATCHED!BG21=13,MATCHED!$N21,IF(MATCHED!BG21=14,MATCHED!$O21,"")))))))&amp;IF(MATCHED!BG21=15,MATCHED!$P21,IF(MATCHED!BG21=16,MATCHED!$Q21,IF(MATCHED!BG21=17,MATCHED!$R21,IF(MATCHED!BG21=18,MATCHED!$S21,IF(MATCHED!BG21=19,MATCHED!$T21,IF(MATCHED!BG21=20,MATCHED!$U21,IF(MATCHED!BG21=21,MATCHED!$V21,)))))))&amp;IF(MATCHED!BG21=22,MATCHED!$W21,IF(MATCHED!BG21=23,MATCHED!$X21,IF(MATCHED!BG21=24,MATCHED!$Y21,IF(MATCHED!BG21=25,MATCHED!$Z21,IF(MATCHED!BG21=26,MATCHED!$AA21,IF(MATCHED!BG21=27,MATCHED!$AB21,"."))))))</f>
        <v>#N/A</v>
      </c>
      <c r="AF21" s="356" t="e">
        <f>IF(MATCHED!BH21=1,MATCHED!$B21,IF(MATCHED!BH21=2,MATCHED!$C21,IF(MATCHED!BH21=3,MATCHED!$D21,IF(MATCHED!BH21=4,MATCHED!$E21,IF(MATCHED!BH21=3,MATCHED!$F21,IF(MATCHED!BH21=6,MATCHED!$G21,IF(MATCHED!BH21=7,MATCHED!$H21,"")))))))&amp;IF(MATCHED!BH21=8,MATCHED!$I21,IF(MATCHED!BH21=9,MATCHED!$J21,IF(MATCHED!BH21=10,MATCHED!$K21,IF(MATCHED!BH21=11,MATCHED!$L21,IF(MATCHED!BH21=12,MATCHED!$M21,IF(MATCHED!BH21=13,MATCHED!$N21,IF(MATCHED!BH21=14,MATCHED!$O21,"")))))))&amp;IF(MATCHED!BH21=15,MATCHED!$P21,IF(MATCHED!BH21=16,MATCHED!$Q21,IF(MATCHED!BH21=17,MATCHED!$R21,IF(MATCHED!BH21=18,MATCHED!$S21,IF(MATCHED!BH21=19,MATCHED!$T21,IF(MATCHED!BH21=20,MATCHED!$U21,IF(MATCHED!BH21=21,MATCHED!$V21,)))))))&amp;IF(MATCHED!BH21=22,MATCHED!$W21,IF(MATCHED!BH21=23,MATCHED!$X21,IF(MATCHED!BH21=24,MATCHED!$Y21,IF(MATCHED!BH21=25,MATCHED!$Z21,IF(MATCHED!BH21=26,MATCHED!$AA21,IF(MATCHED!BH21=27,MATCHED!$AB21,"."))))))</f>
        <v>#N/A</v>
      </c>
      <c r="AG21" s="356" t="e">
        <f>IF(MATCHED!BI21=1,MATCHED!$B21,IF(MATCHED!BI21=2,MATCHED!$C21,IF(MATCHED!BI21=3,MATCHED!$D21,IF(MATCHED!BI21=4,MATCHED!$E21,IF(MATCHED!BI21=3,MATCHED!$F21,IF(MATCHED!BI21=6,MATCHED!$G21,IF(MATCHED!BI21=7,MATCHED!$H21,"")))))))&amp;IF(MATCHED!BI21=8,MATCHED!$I21,IF(MATCHED!BI21=9,MATCHED!$J21,IF(MATCHED!BI21=10,MATCHED!$K21,IF(MATCHED!BI21=11,MATCHED!$L21,IF(MATCHED!BI21=12,MATCHED!$M21,IF(MATCHED!BI21=13,MATCHED!$N21,IF(MATCHED!BI21=14,MATCHED!$O21,"")))))))&amp;IF(MATCHED!BI21=15,MATCHED!$P21,IF(MATCHED!BI21=16,MATCHED!$Q21,IF(MATCHED!BI21=17,MATCHED!$R21,IF(MATCHED!BI21=18,MATCHED!$S21,IF(MATCHED!BI21=19,MATCHED!$T21,IF(MATCHED!BI21=20,MATCHED!$U21,IF(MATCHED!BI21=21,MATCHED!$V21,)))))))&amp;IF(MATCHED!BI21=22,MATCHED!$W21,IF(MATCHED!BI21=23,MATCHED!$X21,IF(MATCHED!BI21=24,MATCHED!$Y21,IF(MATCHED!BI21=25,MATCHED!$Z21,IF(MATCHED!BI21=26,MATCHED!$AA21,IF(MATCHED!BI21=27,MATCHED!$AB21,"."))))))</f>
        <v>#N/A</v>
      </c>
      <c r="AH21" s="356" t="e">
        <f>IF(MATCHED!BJ21=1,MATCHED!$B21,IF(MATCHED!BJ21=2,MATCHED!$C21,IF(MATCHED!BJ21=3,MATCHED!$D21,IF(MATCHED!BJ21=4,MATCHED!$E21,IF(MATCHED!BJ21=3,MATCHED!$F21,IF(MATCHED!BJ21=6,MATCHED!$G21,IF(MATCHED!BJ21=7,MATCHED!$H21,"")))))))&amp;IF(MATCHED!BJ21=8,MATCHED!$I21,IF(MATCHED!BJ21=9,MATCHED!$J21,IF(MATCHED!BJ21=10,MATCHED!$K21,IF(MATCHED!BJ21=11,MATCHED!$L21,IF(MATCHED!BJ21=12,MATCHED!$M21,IF(MATCHED!BJ21=13,MATCHED!$N21,IF(MATCHED!BJ21=14,MATCHED!$O21,"")))))))&amp;IF(MATCHED!BJ21=15,MATCHED!$P21,IF(MATCHED!BJ21=16,MATCHED!$Q21,IF(MATCHED!BJ21=17,MATCHED!$R21,IF(MATCHED!BJ21=18,MATCHED!$S21,IF(MATCHED!BJ21=19,MATCHED!$T21,IF(MATCHED!BJ21=20,MATCHED!$U21,IF(MATCHED!BJ21=21,MATCHED!$V21,)))))))&amp;IF(MATCHED!BJ21=22,MATCHED!$W21,IF(MATCHED!BJ21=23,MATCHED!$X21,IF(MATCHED!BJ21=24,MATCHED!$Y21,IF(MATCHED!BJ21=25,MATCHED!$Z21,IF(MATCHED!BJ21=26,MATCHED!$AA21,IF(MATCHED!BJ21=27,MATCHED!$AB21,"."))))))</f>
        <v>#N/A</v>
      </c>
      <c r="AI21" s="356" t="e">
        <f>IF(MATCHED!BK21=1,MATCHED!$B21,IF(MATCHED!BK21=2,MATCHED!$C21,IF(MATCHED!BK21=3,MATCHED!$D21,IF(MATCHED!BK21=4,MATCHED!$E21,IF(MATCHED!BK21=3,MATCHED!$F21,IF(MATCHED!BK21=6,MATCHED!$G21,IF(MATCHED!BK21=7,MATCHED!$H21,"")))))))&amp;IF(MATCHED!BK21=8,MATCHED!$I21,IF(MATCHED!BK21=9,MATCHED!$J21,IF(MATCHED!BK21=10,MATCHED!$K21,IF(MATCHED!BK21=11,MATCHED!$L21,IF(MATCHED!BK21=12,MATCHED!$M21,IF(MATCHED!BK21=13,MATCHED!$N21,IF(MATCHED!BK21=14,MATCHED!$O21,"")))))))&amp;IF(MATCHED!BK21=15,MATCHED!$P21,IF(MATCHED!BK21=16,MATCHED!$Q21,IF(MATCHED!BK21=17,MATCHED!$R21,IF(MATCHED!BK21=18,MATCHED!$S21,IF(MATCHED!BK21=19,MATCHED!$T21,IF(MATCHED!BK21=20,MATCHED!$U21,IF(MATCHED!BK21=21,MATCHED!$V21,)))))))&amp;IF(MATCHED!BK21=22,MATCHED!$W21,IF(MATCHED!BK21=23,MATCHED!$X21,IF(MATCHED!BK21=24,MATCHED!$Y21,IF(MATCHED!BK21=25,MATCHED!$Z21,IF(MATCHED!BK21=26,MATCHED!$AA21,IF(MATCHED!BK21=27,MATCHED!$AB21,"."))))))</f>
        <v>#N/A</v>
      </c>
      <c r="AJ21" s="535"/>
    </row>
    <row r="22" spans="1:36" s="338" customFormat="1" x14ac:dyDescent="0.25">
      <c r="A22" s="535"/>
      <c r="B22" s="355" t="e">
        <f>IF(MATCHED!AD22=1,MATCHED!$B22,IF(MATCHED!AD22=2,MATCHED!$C22,IF(MATCHED!AD22=3,MATCHED!$D22,IF(MATCHED!AD22=4,MATCHED!$E22,IF(MATCHED!AD22=3,MATCHED!$F22,IF(MATCHED!AD22=6,MATCHED!$G22,IF(MATCHED!AD22=7,MATCHED!$H22,"")))))))&amp;IF(MATCHED!AD22=8,MATCHED!$I22,IF(MATCHED!AD22=9,MATCHED!$J22,IF(MATCHED!AD22=10,MATCHED!$K22,IF(MATCHED!AD22=11,MATCHED!$L22,IF(MATCHED!AD22=12,MATCHED!$M22,IF(MATCHED!AD22=13,MATCHED!$N22,IF(MATCHED!AD22=14,MATCHED!$O22,"")))))))&amp;IF(MATCHED!AD22=15,MATCHED!$P22,IF(MATCHED!AD22=16,MATCHED!$Q22,IF(MATCHED!AD22=17,MATCHED!$R22,IF(MATCHED!AD22=18,MATCHED!$S22,IF(MATCHED!AD22=19,MATCHED!$T22,IF(MATCHED!AD22=20,MATCHED!$U22,IF(MATCHED!AD22=21,MATCHED!$V22,)))))))&amp;IF(MATCHED!AD22=22,MATCHED!$W22,IF(MATCHED!AD22=23,MATCHED!$X22,IF(MATCHED!AD22=24,MATCHED!$Y22,IF(MATCHED!AD22=25,MATCHED!$Z22,IF(MATCHED!AD22=26,MATCHED!$AA22,IF(MATCHED!AD22=27,MATCHED!$AB22,"."))))))</f>
        <v>#N/A</v>
      </c>
      <c r="C22" s="356" t="e">
        <f>IF(MATCHED!AE22=1,MATCHED!$B22,IF(MATCHED!AE22=2,MATCHED!$C22,IF(MATCHED!AE22=3,MATCHED!$D22,IF(MATCHED!AE22=4,MATCHED!$E22,IF(MATCHED!AE22=3,MATCHED!$F22,IF(MATCHED!AE22=6,MATCHED!$G22,IF(MATCHED!AE22=7,MATCHED!$H22,"")))))))&amp;IF(MATCHED!AE22=8,MATCHED!$I22,IF(MATCHED!AE22=9,MATCHED!$J22,IF(MATCHED!AE22=10,MATCHED!$K22,IF(MATCHED!AE22=11,MATCHED!$L22,IF(MATCHED!AE22=12,MATCHED!$M22,IF(MATCHED!AE22=13,MATCHED!$N22,IF(MATCHED!AE22=14,MATCHED!$O22,"")))))))&amp;IF(MATCHED!AE22=15,MATCHED!$P22,IF(MATCHED!AE22=16,MATCHED!$Q22,IF(MATCHED!AE22=17,MATCHED!$R22,IF(MATCHED!AE22=18,MATCHED!$S22,IF(MATCHED!AE22=19,MATCHED!$T22,IF(MATCHED!AE22=20,MATCHED!$U22,IF(MATCHED!AE22=21,MATCHED!$V22,)))))))&amp;IF(MATCHED!AE22=22,MATCHED!$W22,IF(MATCHED!AE22=23,MATCHED!$X22,IF(MATCHED!AE22=24,MATCHED!$Y22,IF(MATCHED!AE22=25,MATCHED!$Z22,IF(MATCHED!AE22=26,MATCHED!$AA22,IF(MATCHED!AE22=27,MATCHED!$AB22,"."))))))</f>
        <v>#N/A</v>
      </c>
      <c r="D22" s="356" t="e">
        <f>IF(MATCHED!AF22=1,MATCHED!$B22,IF(MATCHED!AF22=2,MATCHED!$C22,IF(MATCHED!AF22=3,MATCHED!$D22,IF(MATCHED!AF22=4,MATCHED!$E22,IF(MATCHED!AF22=3,MATCHED!$F22,IF(MATCHED!AF22=6,MATCHED!$G22,IF(MATCHED!AF22=7,MATCHED!$H22,"")))))))&amp;IF(MATCHED!AF22=8,MATCHED!$I22,IF(MATCHED!AF22=9,MATCHED!$J22,IF(MATCHED!AF22=10,MATCHED!$K22,IF(MATCHED!AF22=11,MATCHED!$L22,IF(MATCHED!AF22=12,MATCHED!$M22,IF(MATCHED!AF22=13,MATCHED!$N22,IF(MATCHED!AF22=14,MATCHED!$O22,"")))))))&amp;IF(MATCHED!AF22=15,MATCHED!$P22,IF(MATCHED!AF22=16,MATCHED!$Q22,IF(MATCHED!AF22=17,MATCHED!$R22,IF(MATCHED!AF22=18,MATCHED!$S22,IF(MATCHED!AF22=19,MATCHED!$T22,IF(MATCHED!AF22=20,MATCHED!$U22,IF(MATCHED!AF22=21,MATCHED!$V22,)))))))&amp;IF(MATCHED!AF22=22,MATCHED!$W22,IF(MATCHED!AF22=23,MATCHED!$X22,IF(MATCHED!AF22=24,MATCHED!$Y22,IF(MATCHED!AF22=25,MATCHED!$Z22,IF(MATCHED!AF22=26,MATCHED!$AA22,IF(MATCHED!AF22=27,MATCHED!$AB22,"."))))))</f>
        <v>#N/A</v>
      </c>
      <c r="E22" s="356" t="e">
        <f>IF(MATCHED!AG22=1,MATCHED!$B22,IF(MATCHED!AG22=2,MATCHED!$C22,IF(MATCHED!AG22=3,MATCHED!$D22,IF(MATCHED!AG22=4,MATCHED!$E22,IF(MATCHED!AG22=3,MATCHED!$F22,IF(MATCHED!AG22=6,MATCHED!$G22,IF(MATCHED!AG22=7,MATCHED!$H22,"")))))))&amp;IF(MATCHED!AG22=8,MATCHED!$I22,IF(MATCHED!AG22=9,MATCHED!$J22,IF(MATCHED!AG22=10,MATCHED!$K22,IF(MATCHED!AG22=11,MATCHED!$L22,IF(MATCHED!AG22=12,MATCHED!$M22,IF(MATCHED!AG22=13,MATCHED!$N22,IF(MATCHED!AG22=14,MATCHED!$O22,"")))))))&amp;IF(MATCHED!AG22=15,MATCHED!$P22,IF(MATCHED!AG22=16,MATCHED!$Q22,IF(MATCHED!AG22=17,MATCHED!$R22,IF(MATCHED!AG22=18,MATCHED!$S22,IF(MATCHED!AG22=19,MATCHED!$T22,IF(MATCHED!AG22=20,MATCHED!$U22,IF(MATCHED!AG22=21,MATCHED!$V22,)))))))&amp;IF(MATCHED!AG22=22,MATCHED!$W22,IF(MATCHED!AG22=23,MATCHED!$X22,IF(MATCHED!AG22=24,MATCHED!$Y22,IF(MATCHED!AG22=25,MATCHED!$Z22,IF(MATCHED!AG22=26,MATCHED!$AA22,IF(MATCHED!AG22=27,MATCHED!$AB22,"."))))))</f>
        <v>#N/A</v>
      </c>
      <c r="F22" s="356" t="e">
        <f>IF(MATCHED!AH22=1,MATCHED!$B22,IF(MATCHED!AH22=2,MATCHED!$C22,IF(MATCHED!AH22=3,MATCHED!$D22,IF(MATCHED!AH22=4,MATCHED!$E22,IF(MATCHED!AH22=3,MATCHED!$F22,IF(MATCHED!AH22=6,MATCHED!$G22,IF(MATCHED!AH22=7,MATCHED!$H22,"")))))))&amp;IF(MATCHED!AH22=8,MATCHED!$I22,IF(MATCHED!AH22=9,MATCHED!$J22,IF(MATCHED!AH22=10,MATCHED!$K22,IF(MATCHED!AH22=11,MATCHED!$L22,IF(MATCHED!AH22=12,MATCHED!$M22,IF(MATCHED!AH22=13,MATCHED!$N22,IF(MATCHED!AH22=14,MATCHED!$O22,"")))))))&amp;IF(MATCHED!AH22=15,MATCHED!$P22,IF(MATCHED!AH22=16,MATCHED!$Q22,IF(MATCHED!AH22=17,MATCHED!$R22,IF(MATCHED!AH22=18,MATCHED!$S22,IF(MATCHED!AH22=19,MATCHED!$T22,IF(MATCHED!AH22=20,MATCHED!$U22,IF(MATCHED!AH22=21,MATCHED!$V22,)))))))&amp;IF(MATCHED!AH22=22,MATCHED!$W22,IF(MATCHED!AH22=23,MATCHED!$X22,IF(MATCHED!AH22=24,MATCHED!$Y22,IF(MATCHED!AH22=25,MATCHED!$Z22,IF(MATCHED!AH22=26,MATCHED!$AA22,IF(MATCHED!AH22=27,MATCHED!$AB22,"."))))))</f>
        <v>#N/A</v>
      </c>
      <c r="G22" s="356" t="e">
        <f>IF(MATCHED!AI22=1,MATCHED!$B22,IF(MATCHED!AI22=2,MATCHED!$C22,IF(MATCHED!AI22=3,MATCHED!$D22,IF(MATCHED!AI22=4,MATCHED!$E22,IF(MATCHED!AI22=3,MATCHED!$F22,IF(MATCHED!AI22=6,MATCHED!$G22,IF(MATCHED!AI22=7,MATCHED!$H22,"")))))))&amp;IF(MATCHED!AI22=8,MATCHED!$I22,IF(MATCHED!AI22=9,MATCHED!$J22,IF(MATCHED!AI22=10,MATCHED!$K22,IF(MATCHED!AI22=11,MATCHED!$L22,IF(MATCHED!AI22=12,MATCHED!$M22,IF(MATCHED!AI22=13,MATCHED!$N22,IF(MATCHED!AI22=14,MATCHED!$O22,"")))))))&amp;IF(MATCHED!AI22=15,MATCHED!$P22,IF(MATCHED!AI22=16,MATCHED!$Q22,IF(MATCHED!AI22=17,MATCHED!$R22,IF(MATCHED!AI22=18,MATCHED!$S22,IF(MATCHED!AI22=19,MATCHED!$T22,IF(MATCHED!AI22=20,MATCHED!$U22,IF(MATCHED!AI22=21,MATCHED!$V22,)))))))&amp;IF(MATCHED!AI22=22,MATCHED!$W22,IF(MATCHED!AI22=23,MATCHED!$X22,IF(MATCHED!AI22=24,MATCHED!$Y22,IF(MATCHED!AI22=25,MATCHED!$Z22,IF(MATCHED!AI22=26,MATCHED!$AA22,IF(MATCHED!AI22=27,MATCHED!$AB22,"."))))))</f>
        <v>#N/A</v>
      </c>
      <c r="H22" s="356" t="e">
        <f>IF(MATCHED!AJ22=1,MATCHED!$B22,IF(MATCHED!AJ22=2,MATCHED!$C22,IF(MATCHED!AJ22=3,MATCHED!$D22,IF(MATCHED!AJ22=4,MATCHED!$E22,IF(MATCHED!AJ22=3,MATCHED!$F22,IF(MATCHED!AJ22=6,MATCHED!$G22,IF(MATCHED!AJ22=7,MATCHED!$H22,"")))))))&amp;IF(MATCHED!AJ22=8,MATCHED!$I22,IF(MATCHED!AJ22=9,MATCHED!$J22,IF(MATCHED!AJ22=10,MATCHED!$K22,IF(MATCHED!AJ22=11,MATCHED!$L22,IF(MATCHED!AJ22=12,MATCHED!$M22,IF(MATCHED!AJ22=13,MATCHED!$N22,IF(MATCHED!AJ22=14,MATCHED!$O22,"")))))))&amp;IF(MATCHED!AJ22=15,MATCHED!$P22,IF(MATCHED!AJ22=16,MATCHED!$Q22,IF(MATCHED!AJ22=17,MATCHED!$R22,IF(MATCHED!AJ22=18,MATCHED!$S22,IF(MATCHED!AJ22=19,MATCHED!$T22,IF(MATCHED!AJ22=20,MATCHED!$U22,IF(MATCHED!AJ22=21,MATCHED!$V22,)))))))&amp;IF(MATCHED!AJ22=22,MATCHED!$W22,IF(MATCHED!AJ22=23,MATCHED!$X22,IF(MATCHED!AJ22=24,MATCHED!$Y22,IF(MATCHED!AJ22=25,MATCHED!$Z22,IF(MATCHED!AJ22=26,MATCHED!$AA22,IF(MATCHED!AJ22=27,MATCHED!$AB22,"."))))))</f>
        <v>#N/A</v>
      </c>
      <c r="I22" s="356" t="e">
        <f>IF(MATCHED!AK22=1,MATCHED!$B22,IF(MATCHED!AK22=2,MATCHED!$C22,IF(MATCHED!AK22=3,MATCHED!$D22,IF(MATCHED!AK22=4,MATCHED!$E22,IF(MATCHED!AK22=3,MATCHED!$F22,IF(MATCHED!AK22=6,MATCHED!$G22,IF(MATCHED!AK22=7,MATCHED!$H22,"")))))))&amp;IF(MATCHED!AK22=8,MATCHED!$I22,IF(MATCHED!AK22=9,MATCHED!$J22,IF(MATCHED!AK22=10,MATCHED!$K22,IF(MATCHED!AK22=11,MATCHED!$L22,IF(MATCHED!AK22=12,MATCHED!$M22,IF(MATCHED!AK22=13,MATCHED!$N22,IF(MATCHED!AK22=14,MATCHED!$O22,"")))))))&amp;IF(MATCHED!AK22=15,MATCHED!$P22,IF(MATCHED!AK22=16,MATCHED!$Q22,IF(MATCHED!AK22=17,MATCHED!$R22,IF(MATCHED!AK22=18,MATCHED!$S22,IF(MATCHED!AK22=19,MATCHED!$T22,IF(MATCHED!AK22=20,MATCHED!$U22,IF(MATCHED!AK22=21,MATCHED!$V22,)))))))&amp;IF(MATCHED!AK22=22,MATCHED!$W22,IF(MATCHED!AK22=23,MATCHED!$X22,IF(MATCHED!AK22=24,MATCHED!$Y22,IF(MATCHED!AK22=25,MATCHED!$Z22,IF(MATCHED!AK22=26,MATCHED!$AA22,IF(MATCHED!AK22=27,MATCHED!$AB22,"."))))))</f>
        <v>#N/A</v>
      </c>
      <c r="J22" s="356" t="e">
        <f>IF(MATCHED!AL22=1,MATCHED!$B22,IF(MATCHED!AL22=2,MATCHED!$C22,IF(MATCHED!AL22=3,MATCHED!$D22,IF(MATCHED!AL22=4,MATCHED!$E22,IF(MATCHED!AL22=3,MATCHED!$F22,IF(MATCHED!AL22=6,MATCHED!$G22,IF(MATCHED!AL22=7,MATCHED!$H22,"")))))))&amp;IF(MATCHED!AL22=8,MATCHED!$I22,IF(MATCHED!AL22=9,MATCHED!$J22,IF(MATCHED!AL22=10,MATCHED!$K22,IF(MATCHED!AL22=11,MATCHED!$L22,IF(MATCHED!AL22=12,MATCHED!$M22,IF(MATCHED!AL22=13,MATCHED!$N22,IF(MATCHED!AL22=14,MATCHED!$O22,"")))))))&amp;IF(MATCHED!AL22=15,MATCHED!$P22,IF(MATCHED!AL22=16,MATCHED!$Q22,IF(MATCHED!AL22=17,MATCHED!$R22,IF(MATCHED!AL22=18,MATCHED!$S22,IF(MATCHED!AL22=19,MATCHED!$T22,IF(MATCHED!AL22=20,MATCHED!$U22,IF(MATCHED!AL22=21,MATCHED!$V22,)))))))&amp;IF(MATCHED!AL22=22,MATCHED!$W22,IF(MATCHED!AL22=23,MATCHED!$X22,IF(MATCHED!AL22=24,MATCHED!$Y22,IF(MATCHED!AL22=25,MATCHED!$Z22,IF(MATCHED!AL22=26,MATCHED!$AA22,IF(MATCHED!AL22=27,MATCHED!$AB22,"."))))))</f>
        <v>#N/A</v>
      </c>
      <c r="K22" s="356" t="e">
        <f>IF(MATCHED!AM22=1,MATCHED!$B22,IF(MATCHED!AM22=2,MATCHED!$C22,IF(MATCHED!AM22=3,MATCHED!$D22,IF(MATCHED!AM22=4,MATCHED!$E22,IF(MATCHED!AM22=3,MATCHED!$F22,IF(MATCHED!AM22=6,MATCHED!$G22,IF(MATCHED!AM22=7,MATCHED!$H22,"")))))))&amp;IF(MATCHED!AM22=8,MATCHED!$I22,IF(MATCHED!AM22=9,MATCHED!$J22,IF(MATCHED!AM22=10,MATCHED!$K22,IF(MATCHED!AM22=11,MATCHED!$L22,IF(MATCHED!AM22=12,MATCHED!$M22,IF(MATCHED!AM22=13,MATCHED!$N22,IF(MATCHED!AM22=14,MATCHED!$O22,"")))))))&amp;IF(MATCHED!AM22=15,MATCHED!$P22,IF(MATCHED!AM22=16,MATCHED!$Q22,IF(MATCHED!AM22=17,MATCHED!$R22,IF(MATCHED!AM22=18,MATCHED!$S22,IF(MATCHED!AM22=19,MATCHED!$T22,IF(MATCHED!AM22=20,MATCHED!$U22,IF(MATCHED!AM22=21,MATCHED!$V22,)))))))&amp;IF(MATCHED!AM22=22,MATCHED!$W22,IF(MATCHED!AM22=23,MATCHED!$X22,IF(MATCHED!AM22=24,MATCHED!$Y22,IF(MATCHED!AM22=25,MATCHED!$Z22,IF(MATCHED!AM22=26,MATCHED!$AA22,IF(MATCHED!AM22=27,MATCHED!$AB22,"."))))))</f>
        <v>#N/A</v>
      </c>
      <c r="L22" s="356" t="e">
        <f>IF(MATCHED!AN22=1,MATCHED!$B22,IF(MATCHED!AN22=2,MATCHED!$C22,IF(MATCHED!AN22=3,MATCHED!$D22,IF(MATCHED!AN22=4,MATCHED!$E22,IF(MATCHED!AN22=3,MATCHED!$F22,IF(MATCHED!AN22=6,MATCHED!$G22,IF(MATCHED!AN22=7,MATCHED!$H22,"")))))))&amp;IF(MATCHED!AN22=8,MATCHED!$I22,IF(MATCHED!AN22=9,MATCHED!$J22,IF(MATCHED!AN22=10,MATCHED!$K22,IF(MATCHED!AN22=11,MATCHED!$L22,IF(MATCHED!AN22=12,MATCHED!$M22,IF(MATCHED!AN22=13,MATCHED!$N22,IF(MATCHED!AN22=14,MATCHED!$O22,"")))))))&amp;IF(MATCHED!AN22=15,MATCHED!$P22,IF(MATCHED!AN22=16,MATCHED!$Q22,IF(MATCHED!AN22=17,MATCHED!$R22,IF(MATCHED!AN22=18,MATCHED!$S22,IF(MATCHED!AN22=19,MATCHED!$T22,IF(MATCHED!AN22=20,MATCHED!$U22,IF(MATCHED!AN22=21,MATCHED!$V22,)))))))&amp;IF(MATCHED!AN22=22,MATCHED!$W22,IF(MATCHED!AN22=23,MATCHED!$X22,IF(MATCHED!AN22=24,MATCHED!$Y22,IF(MATCHED!AN22=25,MATCHED!$Z22,IF(MATCHED!AN22=26,MATCHED!$AA22,IF(MATCHED!AN22=27,MATCHED!$AB22,"."))))))</f>
        <v>#N/A</v>
      </c>
      <c r="M22" s="356" t="e">
        <f>IF(MATCHED!AO22=1,MATCHED!$B22,IF(MATCHED!AO22=2,MATCHED!$C22,IF(MATCHED!AO22=3,MATCHED!$D22,IF(MATCHED!AO22=4,MATCHED!$E22,IF(MATCHED!AO22=3,MATCHED!$F22,IF(MATCHED!AO22=6,MATCHED!$G22,IF(MATCHED!AO22=7,MATCHED!$H22,"")))))))&amp;IF(MATCHED!AO22=8,MATCHED!$I22,IF(MATCHED!AO22=9,MATCHED!$J22,IF(MATCHED!AO22=10,MATCHED!$K22,IF(MATCHED!AO22=11,MATCHED!$L22,IF(MATCHED!AO22=12,MATCHED!$M22,IF(MATCHED!AO22=13,MATCHED!$N22,IF(MATCHED!AO22=14,MATCHED!$O22,"")))))))&amp;IF(MATCHED!AO22=15,MATCHED!$P22,IF(MATCHED!AO22=16,MATCHED!$Q22,IF(MATCHED!AO22=17,MATCHED!$R22,IF(MATCHED!AO22=18,MATCHED!$S22,IF(MATCHED!AO22=19,MATCHED!$T22,IF(MATCHED!AO22=20,MATCHED!$U22,IF(MATCHED!AO22=21,MATCHED!$V22,)))))))&amp;IF(MATCHED!AO22=22,MATCHED!$W22,IF(MATCHED!AO22=23,MATCHED!$X22,IF(MATCHED!AO22=24,MATCHED!$Y22,IF(MATCHED!AO22=25,MATCHED!$Z22,IF(MATCHED!AO22=26,MATCHED!$AA22,IF(MATCHED!AO22=27,MATCHED!$AB22,"."))))))</f>
        <v>#N/A</v>
      </c>
      <c r="N22" s="356" t="e">
        <f>IF(MATCHED!AP22=1,MATCHED!$B22,IF(MATCHED!AP22=2,MATCHED!$C22,IF(MATCHED!AP22=3,MATCHED!$D22,IF(MATCHED!AP22=4,MATCHED!$E22,IF(MATCHED!AP22=3,MATCHED!$F22,IF(MATCHED!AP22=6,MATCHED!$G22,IF(MATCHED!AP22=7,MATCHED!$H22,"")))))))&amp;IF(MATCHED!AP22=8,MATCHED!$I22,IF(MATCHED!AP22=9,MATCHED!$J22,IF(MATCHED!AP22=10,MATCHED!$K22,IF(MATCHED!AP22=11,MATCHED!$L22,IF(MATCHED!AP22=12,MATCHED!$M22,IF(MATCHED!AP22=13,MATCHED!$N22,IF(MATCHED!AP22=14,MATCHED!$O22,"")))))))&amp;IF(MATCHED!AP22=15,MATCHED!$P22,IF(MATCHED!AP22=16,MATCHED!$Q22,IF(MATCHED!AP22=17,MATCHED!$R22,IF(MATCHED!AP22=18,MATCHED!$S22,IF(MATCHED!AP22=19,MATCHED!$T22,IF(MATCHED!AP22=20,MATCHED!$U22,IF(MATCHED!AP22=21,MATCHED!$V22,)))))))&amp;IF(MATCHED!AP22=22,MATCHED!$W22,IF(MATCHED!AP22=23,MATCHED!$X22,IF(MATCHED!AP22=24,MATCHED!$Y22,IF(MATCHED!AP22=25,MATCHED!$Z22,IF(MATCHED!AP22=26,MATCHED!$AA22,IF(MATCHED!AP22=27,MATCHED!$AB22,"."))))))</f>
        <v>#N/A</v>
      </c>
      <c r="O22" s="356" t="e">
        <f>IF(MATCHED!AQ22=1,MATCHED!$B22,IF(MATCHED!AQ22=2,MATCHED!$C22,IF(MATCHED!AQ22=3,MATCHED!$D22,IF(MATCHED!AQ22=4,MATCHED!$E22,IF(MATCHED!AQ22=3,MATCHED!$F22,IF(MATCHED!AQ22=6,MATCHED!$G22,IF(MATCHED!AQ22=7,MATCHED!$H22,"")))))))&amp;IF(MATCHED!AQ22=8,MATCHED!$I22,IF(MATCHED!AQ22=9,MATCHED!$J22,IF(MATCHED!AQ22=10,MATCHED!$K22,IF(MATCHED!AQ22=11,MATCHED!$L22,IF(MATCHED!AQ22=12,MATCHED!$M22,IF(MATCHED!AQ22=13,MATCHED!$N22,IF(MATCHED!AQ22=14,MATCHED!$O22,"")))))))&amp;IF(MATCHED!AQ22=15,MATCHED!$P22,IF(MATCHED!AQ22=16,MATCHED!$Q22,IF(MATCHED!AQ22=17,MATCHED!$R22,IF(MATCHED!AQ22=18,MATCHED!$S22,IF(MATCHED!AQ22=19,MATCHED!$T22,IF(MATCHED!AQ22=20,MATCHED!$U22,IF(MATCHED!AQ22=21,MATCHED!$V22,)))))))&amp;IF(MATCHED!AQ22=22,MATCHED!$W22,IF(MATCHED!AQ22=23,MATCHED!$X22,IF(MATCHED!AQ22=24,MATCHED!$Y22,IF(MATCHED!AQ22=25,MATCHED!$Z22,IF(MATCHED!AQ22=26,MATCHED!$AA22,IF(MATCHED!AQ22=27,MATCHED!$AB22,"."))))))</f>
        <v>#N/A</v>
      </c>
      <c r="P22" s="356" t="e">
        <f>IF(MATCHED!AR22=1,MATCHED!$B22,IF(MATCHED!AR22=2,MATCHED!$C22,IF(MATCHED!AR22=3,MATCHED!$D22,IF(MATCHED!AR22=4,MATCHED!$E22,IF(MATCHED!AR22=3,MATCHED!$F22,IF(MATCHED!AR22=6,MATCHED!$G22,IF(MATCHED!AR22=7,MATCHED!$H22,"")))))))&amp;IF(MATCHED!AR22=8,MATCHED!$I22,IF(MATCHED!AR22=9,MATCHED!$J22,IF(MATCHED!AR22=10,MATCHED!$K22,IF(MATCHED!AR22=11,MATCHED!$L22,IF(MATCHED!AR22=12,MATCHED!$M22,IF(MATCHED!AR22=13,MATCHED!$N22,IF(MATCHED!AR22=14,MATCHED!$O22,"")))))))&amp;IF(MATCHED!AR22=15,MATCHED!$P22,IF(MATCHED!AR22=16,MATCHED!$Q22,IF(MATCHED!AR22=17,MATCHED!$R22,IF(MATCHED!AR22=18,MATCHED!$S22,IF(MATCHED!AR22=19,MATCHED!$T22,IF(MATCHED!AR22=20,MATCHED!$U22,IF(MATCHED!AR22=21,MATCHED!$V22,)))))))&amp;IF(MATCHED!AR22=22,MATCHED!$W22,IF(MATCHED!AR22=23,MATCHED!$X22,IF(MATCHED!AR22=24,MATCHED!$Y22,IF(MATCHED!AR22=25,MATCHED!$Z22,IF(MATCHED!AR22=26,MATCHED!$AA22,IF(MATCHED!AR22=27,MATCHED!$AB22,"."))))))</f>
        <v>#N/A</v>
      </c>
      <c r="Q22" s="357" t="e">
        <f>IF(MATCHED!AS22=1,MATCHED!$B22,IF(MATCHED!AS22=2,MATCHED!$C22,IF(MATCHED!AS22=3,MATCHED!$D22,IF(MATCHED!AS22=4,MATCHED!$E22,IF(MATCHED!AS22=3,MATCHED!$F22,IF(MATCHED!AS22=6,MATCHED!$G22,IF(MATCHED!AS22=7,MATCHED!$H22,"")))))))&amp;IF(MATCHED!AS22=8,MATCHED!$I22,IF(MATCHED!AS22=9,MATCHED!$J22,IF(MATCHED!AS22=10,MATCHED!$K22,IF(MATCHED!AS22=11,MATCHED!$L22,IF(MATCHED!AS22=12,MATCHED!$M22,IF(MATCHED!AS22=13,MATCHED!$N22,IF(MATCHED!AS22=14,MATCHED!$O22,"")))))))&amp;IF(MATCHED!AS22=15,MATCHED!$P22,IF(MATCHED!AS22=16,MATCHED!$Q22,IF(MATCHED!AS22=17,MATCHED!$R22,IF(MATCHED!AS22=18,MATCHED!$S22,IF(MATCHED!AS22=19,MATCHED!$T22,IF(MATCHED!AS22=20,MATCHED!$U22,IF(MATCHED!AS22=21,MATCHED!$V22,)))))))&amp;IF(MATCHED!AS22=22,MATCHED!$W22,IF(MATCHED!AS22=23,MATCHED!$X22,IF(MATCHED!AS22=24,MATCHED!$Y22,IF(MATCHED!AS22=25,MATCHED!$Z22,IF(MATCHED!AS22=26,MATCHED!$AA22,IF(MATCHED!AS22=27,MATCHED!$AB22,"."))))))</f>
        <v>#N/A</v>
      </c>
      <c r="R22" s="356" t="e">
        <f>IF(MATCHED!AT22=1,MATCHED!$B22,IF(MATCHED!AT22=2,MATCHED!$C22,IF(MATCHED!AT22=3,MATCHED!$D22,IF(MATCHED!AT22=4,MATCHED!$E22,IF(MATCHED!AT22=3,MATCHED!$F22,IF(MATCHED!AT22=6,MATCHED!$G22,IF(MATCHED!AT22=7,MATCHED!$H22,"")))))))&amp;IF(MATCHED!AT22=8,MATCHED!$I22,IF(MATCHED!AT22=9,MATCHED!$J22,IF(MATCHED!AT22=10,MATCHED!$K22,IF(MATCHED!AT22=11,MATCHED!$L22,IF(MATCHED!AT22=12,MATCHED!$M22,IF(MATCHED!AT22=13,MATCHED!$N22,IF(MATCHED!AT22=14,MATCHED!$O22,"")))))))&amp;IF(MATCHED!AT22=15,MATCHED!$P22,IF(MATCHED!AT22=16,MATCHED!$Q22,IF(MATCHED!AT22=17,MATCHED!$R22,IF(MATCHED!AT22=18,MATCHED!$S22,IF(MATCHED!AT22=19,MATCHED!$T22,IF(MATCHED!AT22=20,MATCHED!$U22,IF(MATCHED!AT22=21,MATCHED!$V22,)))))))&amp;IF(MATCHED!AT22=22,MATCHED!$W22,IF(MATCHED!AT22=23,MATCHED!$X22,IF(MATCHED!AT22=24,MATCHED!$Y22,IF(MATCHED!AT22=25,MATCHED!$Z22,IF(MATCHED!AT22=26,MATCHED!$AA22,IF(MATCHED!AT22=27,MATCHED!$AB22,"."))))))</f>
        <v>#N/A</v>
      </c>
      <c r="S22" s="356" t="e">
        <f>IF(MATCHED!AU22=1,MATCHED!$B22,IF(MATCHED!AU22=2,MATCHED!$C22,IF(MATCHED!AU22=3,MATCHED!$D22,IF(MATCHED!AU22=4,MATCHED!$E22,IF(MATCHED!AU22=3,MATCHED!$F22,IF(MATCHED!AU22=6,MATCHED!$G22,IF(MATCHED!AU22=7,MATCHED!$H22,"")))))))&amp;IF(MATCHED!AU22=8,MATCHED!$I22,IF(MATCHED!AU22=9,MATCHED!$J22,IF(MATCHED!AU22=10,MATCHED!$K22,IF(MATCHED!AU22=11,MATCHED!$L22,IF(MATCHED!AU22=12,MATCHED!$M22,IF(MATCHED!AU22=13,MATCHED!$N22,IF(MATCHED!AU22=14,MATCHED!$O22,"")))))))&amp;IF(MATCHED!AU22=15,MATCHED!$P22,IF(MATCHED!AU22=16,MATCHED!$Q22,IF(MATCHED!AU22=17,MATCHED!$R22,IF(MATCHED!AU22=18,MATCHED!$S22,IF(MATCHED!AU22=19,MATCHED!$T22,IF(MATCHED!AU22=20,MATCHED!$U22,IF(MATCHED!AU22=21,MATCHED!$V22,)))))))&amp;IF(MATCHED!AU22=22,MATCHED!$W22,IF(MATCHED!AU22=23,MATCHED!$X22,IF(MATCHED!AU22=24,MATCHED!$Y22,IF(MATCHED!AU22=25,MATCHED!$Z22,IF(MATCHED!AU22=26,MATCHED!$AA22,IF(MATCHED!AU22=27,MATCHED!$AB22,"."))))))</f>
        <v>#N/A</v>
      </c>
      <c r="T22" s="356" t="e">
        <f>IF(MATCHED!AV22=1,MATCHED!$B22,IF(MATCHED!AV22=2,MATCHED!$C22,IF(MATCHED!AV22=3,MATCHED!$D22,IF(MATCHED!AV22=4,MATCHED!$E22,IF(MATCHED!AV22=3,MATCHED!$F22,IF(MATCHED!AV22=6,MATCHED!$G22,IF(MATCHED!AV22=7,MATCHED!$H22,"")))))))&amp;IF(MATCHED!AV22=8,MATCHED!$I22,IF(MATCHED!AV22=9,MATCHED!$J22,IF(MATCHED!AV22=10,MATCHED!$K22,IF(MATCHED!AV22=11,MATCHED!$L22,IF(MATCHED!AV22=12,MATCHED!$M22,IF(MATCHED!AV22=13,MATCHED!$N22,IF(MATCHED!AV22=14,MATCHED!$O22,"")))))))&amp;IF(MATCHED!AV22=15,MATCHED!$P22,IF(MATCHED!AV22=16,MATCHED!$Q22,IF(MATCHED!AV22=17,MATCHED!$R22,IF(MATCHED!AV22=18,MATCHED!$S22,IF(MATCHED!AV22=19,MATCHED!$T22,IF(MATCHED!AV22=20,MATCHED!$U22,IF(MATCHED!AV22=21,MATCHED!$V22,)))))))&amp;IF(MATCHED!AV22=22,MATCHED!$W22,IF(MATCHED!AV22=23,MATCHED!$X22,IF(MATCHED!AV22=24,MATCHED!$Y22,IF(MATCHED!AV22=25,MATCHED!$Z22,IF(MATCHED!AV22=26,MATCHED!$AA22,IF(MATCHED!AV22=27,MATCHED!$AB22,"."))))))</f>
        <v>#N/A</v>
      </c>
      <c r="U22" s="356" t="e">
        <f>IF(MATCHED!AW22=1,MATCHED!$B22,IF(MATCHED!AW22=2,MATCHED!$C22,IF(MATCHED!AW22=3,MATCHED!$D22,IF(MATCHED!AW22=4,MATCHED!$E22,IF(MATCHED!AW22=3,MATCHED!$F22,IF(MATCHED!AW22=6,MATCHED!$G22,IF(MATCHED!AW22=7,MATCHED!$H22,"")))))))&amp;IF(MATCHED!AW22=8,MATCHED!$I22,IF(MATCHED!AW22=9,MATCHED!$J22,IF(MATCHED!AW22=10,MATCHED!$K22,IF(MATCHED!AW22=11,MATCHED!$L22,IF(MATCHED!AW22=12,MATCHED!$M22,IF(MATCHED!AW22=13,MATCHED!$N22,IF(MATCHED!AW22=14,MATCHED!$O22,"")))))))&amp;IF(MATCHED!AW22=15,MATCHED!$P22,IF(MATCHED!AW22=16,MATCHED!$Q22,IF(MATCHED!AW22=17,MATCHED!$R22,IF(MATCHED!AW22=18,MATCHED!$S22,IF(MATCHED!AW22=19,MATCHED!$T22,IF(MATCHED!AW22=20,MATCHED!$U22,IF(MATCHED!AW22=21,MATCHED!$V22,)))))))&amp;IF(MATCHED!AW22=22,MATCHED!$W22,IF(MATCHED!AW22=23,MATCHED!$X22,IF(MATCHED!AW22=24,MATCHED!$Y22,IF(MATCHED!AW22=25,MATCHED!$Z22,IF(MATCHED!AW22=26,MATCHED!$AA22,IF(MATCHED!AW22=27,MATCHED!$AB22,"."))))))</f>
        <v>#N/A</v>
      </c>
      <c r="V22" s="356" t="e">
        <f>IF(MATCHED!AX22=1,MATCHED!$B22,IF(MATCHED!AX22=2,MATCHED!$C22,IF(MATCHED!AX22=3,MATCHED!$D22,IF(MATCHED!AX22=4,MATCHED!$E22,IF(MATCHED!AX22=3,MATCHED!$F22,IF(MATCHED!AX22=6,MATCHED!$G22,IF(MATCHED!AX22=7,MATCHED!$H22,"")))))))&amp;IF(MATCHED!AX22=8,MATCHED!$I22,IF(MATCHED!AX22=9,MATCHED!$J22,IF(MATCHED!AX22=10,MATCHED!$K22,IF(MATCHED!AX22=11,MATCHED!$L22,IF(MATCHED!AX22=12,MATCHED!$M22,IF(MATCHED!AX22=13,MATCHED!$N22,IF(MATCHED!AX22=14,MATCHED!$O22,"")))))))&amp;IF(MATCHED!AX22=15,MATCHED!$P22,IF(MATCHED!AX22=16,MATCHED!$Q22,IF(MATCHED!AX22=17,MATCHED!$R22,IF(MATCHED!AX22=18,MATCHED!$S22,IF(MATCHED!AX22=19,MATCHED!$T22,IF(MATCHED!AX22=20,MATCHED!$U22,IF(MATCHED!AX22=21,MATCHED!$V22,)))))))&amp;IF(MATCHED!AX22=22,MATCHED!$W22,IF(MATCHED!AX22=23,MATCHED!$X22,IF(MATCHED!AX22=24,MATCHED!$Y22,IF(MATCHED!AX22=25,MATCHED!$Z22,IF(MATCHED!AX22=26,MATCHED!$AA22,IF(MATCHED!AX22=27,MATCHED!$AB22,"."))))))</f>
        <v>#N/A</v>
      </c>
      <c r="W22" s="356" t="e">
        <f>IF(MATCHED!AY22=1,MATCHED!$B22,IF(MATCHED!AY22=2,MATCHED!$C22,IF(MATCHED!AY22=3,MATCHED!$D22,IF(MATCHED!AY22=4,MATCHED!$E22,IF(MATCHED!AY22=3,MATCHED!$F22,IF(MATCHED!AY22=6,MATCHED!$G22,IF(MATCHED!AY22=7,MATCHED!$H22,"")))))))&amp;IF(MATCHED!AY22=8,MATCHED!$I22,IF(MATCHED!AY22=9,MATCHED!$J22,IF(MATCHED!AY22=10,MATCHED!$K22,IF(MATCHED!AY22=11,MATCHED!$L22,IF(MATCHED!AY22=12,MATCHED!$M22,IF(MATCHED!AY22=13,MATCHED!$N22,IF(MATCHED!AY22=14,MATCHED!$O22,"")))))))&amp;IF(MATCHED!AY22=15,MATCHED!$P22,IF(MATCHED!AY22=16,MATCHED!$Q22,IF(MATCHED!AY22=17,MATCHED!$R22,IF(MATCHED!AY22=18,MATCHED!$S22,IF(MATCHED!AY22=19,MATCHED!$T22,IF(MATCHED!AY22=20,MATCHED!$U22,IF(MATCHED!AY22=21,MATCHED!$V22,)))))))&amp;IF(MATCHED!AY22=22,MATCHED!$W22,IF(MATCHED!AY22=23,MATCHED!$X22,IF(MATCHED!AY22=24,MATCHED!$Y22,IF(MATCHED!AY22=25,MATCHED!$Z22,IF(MATCHED!AY22=26,MATCHED!$AA22,IF(MATCHED!AY22=27,MATCHED!$AB22,"."))))))</f>
        <v>#N/A</v>
      </c>
      <c r="X22" s="356" t="e">
        <f>IF(MATCHED!AZ22=1,MATCHED!$B22,IF(MATCHED!AZ22=2,MATCHED!$C22,IF(MATCHED!AZ22=3,MATCHED!$D22,IF(MATCHED!AZ22=4,MATCHED!$E22,IF(MATCHED!AZ22=3,MATCHED!$F22,IF(MATCHED!AZ22=6,MATCHED!$G22,IF(MATCHED!AZ22=7,MATCHED!$H22,"")))))))&amp;IF(MATCHED!AZ22=8,MATCHED!$I22,IF(MATCHED!AZ22=9,MATCHED!$J22,IF(MATCHED!AZ22=10,MATCHED!$K22,IF(MATCHED!AZ22=11,MATCHED!$L22,IF(MATCHED!AZ22=12,MATCHED!$M22,IF(MATCHED!AZ22=13,MATCHED!$N22,IF(MATCHED!AZ22=14,MATCHED!$O22,"")))))))&amp;IF(MATCHED!AZ22=15,MATCHED!$P22,IF(MATCHED!AZ22=16,MATCHED!$Q22,IF(MATCHED!AZ22=17,MATCHED!$R22,IF(MATCHED!AZ22=18,MATCHED!$S22,IF(MATCHED!AZ22=19,MATCHED!$T22,IF(MATCHED!AZ22=20,MATCHED!$U22,IF(MATCHED!AZ22=21,MATCHED!$V22,)))))))&amp;IF(MATCHED!AZ22=22,MATCHED!$W22,IF(MATCHED!AZ22=23,MATCHED!$X22,IF(MATCHED!AZ22=24,MATCHED!$Y22,IF(MATCHED!AZ22=25,MATCHED!$Z22,IF(MATCHED!AZ22=26,MATCHED!$AA22,IF(MATCHED!AZ22=27,MATCHED!$AB22,"."))))))</f>
        <v>#N/A</v>
      </c>
      <c r="Y22" s="356" t="e">
        <f>IF(MATCHED!BA22=1,MATCHED!$B22,IF(MATCHED!BA22=2,MATCHED!$C22,IF(MATCHED!BA22=3,MATCHED!$D22,IF(MATCHED!BA22=4,MATCHED!$E22,IF(MATCHED!BA22=3,MATCHED!$F22,IF(MATCHED!BA22=6,MATCHED!$G22,IF(MATCHED!BA22=7,MATCHED!$H22,"")))))))&amp;IF(MATCHED!BA22=8,MATCHED!$I22,IF(MATCHED!BA22=9,MATCHED!$J22,IF(MATCHED!BA22=10,MATCHED!$K22,IF(MATCHED!BA22=11,MATCHED!$L22,IF(MATCHED!BA22=12,MATCHED!$M22,IF(MATCHED!BA22=13,MATCHED!$N22,IF(MATCHED!BA22=14,MATCHED!$O22,"")))))))&amp;IF(MATCHED!BA22=15,MATCHED!$P22,IF(MATCHED!BA22=16,MATCHED!$Q22,IF(MATCHED!BA22=17,MATCHED!$R22,IF(MATCHED!BA22=18,MATCHED!$S22,IF(MATCHED!BA22=19,MATCHED!$T22,IF(MATCHED!BA22=20,MATCHED!$U22,IF(MATCHED!BA22=21,MATCHED!$V22,)))))))&amp;IF(MATCHED!BA22=22,MATCHED!$W22,IF(MATCHED!BA22=23,MATCHED!$X22,IF(MATCHED!BA22=24,MATCHED!$Y22,IF(MATCHED!BA22=25,MATCHED!$Z22,IF(MATCHED!BA22=26,MATCHED!$AA22,IF(MATCHED!BA22=27,MATCHED!$AB22,"."))))))</f>
        <v>#N/A</v>
      </c>
      <c r="Z22" s="356" t="e">
        <f>IF(MATCHED!BB22=1,MATCHED!$B22,IF(MATCHED!BB22=2,MATCHED!$C22,IF(MATCHED!BB22=3,MATCHED!$D22,IF(MATCHED!BB22=4,MATCHED!$E22,IF(MATCHED!BB22=3,MATCHED!$F22,IF(MATCHED!BB22=6,MATCHED!$G22,IF(MATCHED!BB22=7,MATCHED!$H22,"")))))))&amp;IF(MATCHED!BB22=8,MATCHED!$I22,IF(MATCHED!BB22=9,MATCHED!$J22,IF(MATCHED!BB22=10,MATCHED!$K22,IF(MATCHED!BB22=11,MATCHED!$L22,IF(MATCHED!BB22=12,MATCHED!$M22,IF(MATCHED!BB22=13,MATCHED!$N22,IF(MATCHED!BB22=14,MATCHED!$O22,"")))))))&amp;IF(MATCHED!BB22=15,MATCHED!$P22,IF(MATCHED!BB22=16,MATCHED!$Q22,IF(MATCHED!BB22=17,MATCHED!$R22,IF(MATCHED!BB22=18,MATCHED!$S22,IF(MATCHED!BB22=19,MATCHED!$T22,IF(MATCHED!BB22=20,MATCHED!$U22,IF(MATCHED!BB22=21,MATCHED!$V22,)))))))&amp;IF(MATCHED!BB22=22,MATCHED!$W22,IF(MATCHED!BB22=23,MATCHED!$X22,IF(MATCHED!BB22=24,MATCHED!$Y22,IF(MATCHED!BB22=25,MATCHED!$Z22,IF(MATCHED!BB22=26,MATCHED!$AA22,IF(MATCHED!BB22=27,MATCHED!$AB22,"."))))))</f>
        <v>#N/A</v>
      </c>
      <c r="AA22" s="356" t="e">
        <f>IF(MATCHED!BC22=1,MATCHED!$B22,IF(MATCHED!BC22=2,MATCHED!$C22,IF(MATCHED!BC22=3,MATCHED!$D22,IF(MATCHED!BC22=4,MATCHED!$E22,IF(MATCHED!BC22=3,MATCHED!$F22,IF(MATCHED!BC22=6,MATCHED!$G22,IF(MATCHED!BC22=7,MATCHED!$H22,"")))))))&amp;IF(MATCHED!BC22=8,MATCHED!$I22,IF(MATCHED!BC22=9,MATCHED!$J22,IF(MATCHED!BC22=10,MATCHED!$K22,IF(MATCHED!BC22=11,MATCHED!$L22,IF(MATCHED!BC22=12,MATCHED!$M22,IF(MATCHED!BC22=13,MATCHED!$N22,IF(MATCHED!BC22=14,MATCHED!$O22,"")))))))&amp;IF(MATCHED!BC22=15,MATCHED!$P22,IF(MATCHED!BC22=16,MATCHED!$Q22,IF(MATCHED!BC22=17,MATCHED!$R22,IF(MATCHED!BC22=18,MATCHED!$S22,IF(MATCHED!BC22=19,MATCHED!$T22,IF(MATCHED!BC22=20,MATCHED!$U22,IF(MATCHED!BC22=21,MATCHED!$V22,)))))))&amp;IF(MATCHED!BC22=22,MATCHED!$W22,IF(MATCHED!BC22=23,MATCHED!$X22,IF(MATCHED!BC22=24,MATCHED!$Y22,IF(MATCHED!BC22=25,MATCHED!$Z22,IF(MATCHED!BC22=26,MATCHED!$AA22,IF(MATCHED!BC22=27,MATCHED!$AB22,"."))))))</f>
        <v>#N/A</v>
      </c>
      <c r="AB22" s="356" t="e">
        <f>IF(MATCHED!BD22=1,MATCHED!$B22,IF(MATCHED!BD22=2,MATCHED!$C22,IF(MATCHED!BD22=3,MATCHED!$D22,IF(MATCHED!BD22=4,MATCHED!$E22,IF(MATCHED!BD22=3,MATCHED!$F22,IF(MATCHED!BD22=6,MATCHED!$G22,IF(MATCHED!BD22=7,MATCHED!$H22,"")))))))&amp;IF(MATCHED!BD22=8,MATCHED!$I22,IF(MATCHED!BD22=9,MATCHED!$J22,IF(MATCHED!BD22=10,MATCHED!$K22,IF(MATCHED!BD22=11,MATCHED!$L22,IF(MATCHED!BD22=12,MATCHED!$M22,IF(MATCHED!BD22=13,MATCHED!$N22,IF(MATCHED!BD22=14,MATCHED!$O22,"")))))))&amp;IF(MATCHED!BD22=15,MATCHED!$P22,IF(MATCHED!BD22=16,MATCHED!$Q22,IF(MATCHED!BD22=17,MATCHED!$R22,IF(MATCHED!BD22=18,MATCHED!$S22,IF(MATCHED!BD22=19,MATCHED!$T22,IF(MATCHED!BD22=20,MATCHED!$U22,IF(MATCHED!BD22=21,MATCHED!$V22,)))))))&amp;IF(MATCHED!BD22=22,MATCHED!$W22,IF(MATCHED!BD22=23,MATCHED!$X22,IF(MATCHED!BD22=24,MATCHED!$Y22,IF(MATCHED!BD22=25,MATCHED!$Z22,IF(MATCHED!BD22=26,MATCHED!$AA22,IF(MATCHED!BD22=27,MATCHED!$AB22,"."))))))</f>
        <v>#N/A</v>
      </c>
      <c r="AC22" s="356" t="e">
        <f>IF(MATCHED!BE22=1,MATCHED!$B22,IF(MATCHED!BE22=2,MATCHED!$C22,IF(MATCHED!BE22=3,MATCHED!$D22,IF(MATCHED!BE22=4,MATCHED!$E22,IF(MATCHED!BE22=3,MATCHED!$F22,IF(MATCHED!BE22=6,MATCHED!$G22,IF(MATCHED!BE22=7,MATCHED!$H22,"")))))))&amp;IF(MATCHED!BE22=8,MATCHED!$I22,IF(MATCHED!BE22=9,MATCHED!$J22,IF(MATCHED!BE22=10,MATCHED!$K22,IF(MATCHED!BE22=11,MATCHED!$L22,IF(MATCHED!BE22=12,MATCHED!$M22,IF(MATCHED!BE22=13,MATCHED!$N22,IF(MATCHED!BE22=14,MATCHED!$O22,"")))))))&amp;IF(MATCHED!BE22=15,MATCHED!$P22,IF(MATCHED!BE22=16,MATCHED!$Q22,IF(MATCHED!BE22=17,MATCHED!$R22,IF(MATCHED!BE22=18,MATCHED!$S22,IF(MATCHED!BE22=19,MATCHED!$T22,IF(MATCHED!BE22=20,MATCHED!$U22,IF(MATCHED!BE22=21,MATCHED!$V22,)))))))&amp;IF(MATCHED!BE22=22,MATCHED!$W22,IF(MATCHED!BE22=23,MATCHED!$X22,IF(MATCHED!BE22=24,MATCHED!$Y22,IF(MATCHED!BE22=25,MATCHED!$Z22,IF(MATCHED!BE22=26,MATCHED!$AA22,IF(MATCHED!BE22=27,MATCHED!$AB22,"."))))))</f>
        <v>#N/A</v>
      </c>
      <c r="AD22" s="356" t="e">
        <f>IF(MATCHED!BF22=1,MATCHED!$B22,IF(MATCHED!BF22=2,MATCHED!$C22,IF(MATCHED!BF22=3,MATCHED!$D22,IF(MATCHED!BF22=4,MATCHED!$E22,IF(MATCHED!BF22=3,MATCHED!$F22,IF(MATCHED!BF22=6,MATCHED!$G22,IF(MATCHED!BF22=7,MATCHED!$H22,"")))))))&amp;IF(MATCHED!BF22=8,MATCHED!$I22,IF(MATCHED!BF22=9,MATCHED!$J22,IF(MATCHED!BF22=10,MATCHED!$K22,IF(MATCHED!BF22=11,MATCHED!$L22,IF(MATCHED!BF22=12,MATCHED!$M22,IF(MATCHED!BF22=13,MATCHED!$N22,IF(MATCHED!BF22=14,MATCHED!$O22,"")))))))&amp;IF(MATCHED!BF22=15,MATCHED!$P22,IF(MATCHED!BF22=16,MATCHED!$Q22,IF(MATCHED!BF22=17,MATCHED!$R22,IF(MATCHED!BF22=18,MATCHED!$S22,IF(MATCHED!BF22=19,MATCHED!$T22,IF(MATCHED!BF22=20,MATCHED!$U22,IF(MATCHED!BF22=21,MATCHED!$V22,)))))))&amp;IF(MATCHED!BF22=22,MATCHED!$W22,IF(MATCHED!BF22=23,MATCHED!$X22,IF(MATCHED!BF22=24,MATCHED!$Y22,IF(MATCHED!BF22=25,MATCHED!$Z22,IF(MATCHED!BF22=26,MATCHED!$AA22,IF(MATCHED!BF22=27,MATCHED!$AB22,"."))))))</f>
        <v>#N/A</v>
      </c>
      <c r="AE22" s="356" t="e">
        <f>IF(MATCHED!BG22=1,MATCHED!$B22,IF(MATCHED!BG22=2,MATCHED!$C22,IF(MATCHED!BG22=3,MATCHED!$D22,IF(MATCHED!BG22=4,MATCHED!$E22,IF(MATCHED!BG22=3,MATCHED!$F22,IF(MATCHED!BG22=6,MATCHED!$G22,IF(MATCHED!BG22=7,MATCHED!$H22,"")))))))&amp;IF(MATCHED!BG22=8,MATCHED!$I22,IF(MATCHED!BG22=9,MATCHED!$J22,IF(MATCHED!BG22=10,MATCHED!$K22,IF(MATCHED!BG22=11,MATCHED!$L22,IF(MATCHED!BG22=12,MATCHED!$M22,IF(MATCHED!BG22=13,MATCHED!$N22,IF(MATCHED!BG22=14,MATCHED!$O22,"")))))))&amp;IF(MATCHED!BG22=15,MATCHED!$P22,IF(MATCHED!BG22=16,MATCHED!$Q22,IF(MATCHED!BG22=17,MATCHED!$R22,IF(MATCHED!BG22=18,MATCHED!$S22,IF(MATCHED!BG22=19,MATCHED!$T22,IF(MATCHED!BG22=20,MATCHED!$U22,IF(MATCHED!BG22=21,MATCHED!$V22,)))))))&amp;IF(MATCHED!BG22=22,MATCHED!$W22,IF(MATCHED!BG22=23,MATCHED!$X22,IF(MATCHED!BG22=24,MATCHED!$Y22,IF(MATCHED!BG22=25,MATCHED!$Z22,IF(MATCHED!BG22=26,MATCHED!$AA22,IF(MATCHED!BG22=27,MATCHED!$AB22,"."))))))</f>
        <v>#N/A</v>
      </c>
      <c r="AF22" s="356" t="e">
        <f>IF(MATCHED!BH22=1,MATCHED!$B22,IF(MATCHED!BH22=2,MATCHED!$C22,IF(MATCHED!BH22=3,MATCHED!$D22,IF(MATCHED!BH22=4,MATCHED!$E22,IF(MATCHED!BH22=3,MATCHED!$F22,IF(MATCHED!BH22=6,MATCHED!$G22,IF(MATCHED!BH22=7,MATCHED!$H22,"")))))))&amp;IF(MATCHED!BH22=8,MATCHED!$I22,IF(MATCHED!BH22=9,MATCHED!$J22,IF(MATCHED!BH22=10,MATCHED!$K22,IF(MATCHED!BH22=11,MATCHED!$L22,IF(MATCHED!BH22=12,MATCHED!$M22,IF(MATCHED!BH22=13,MATCHED!$N22,IF(MATCHED!BH22=14,MATCHED!$O22,"")))))))&amp;IF(MATCHED!BH22=15,MATCHED!$P22,IF(MATCHED!BH22=16,MATCHED!$Q22,IF(MATCHED!BH22=17,MATCHED!$R22,IF(MATCHED!BH22=18,MATCHED!$S22,IF(MATCHED!BH22=19,MATCHED!$T22,IF(MATCHED!BH22=20,MATCHED!$U22,IF(MATCHED!BH22=21,MATCHED!$V22,)))))))&amp;IF(MATCHED!BH22=22,MATCHED!$W22,IF(MATCHED!BH22=23,MATCHED!$X22,IF(MATCHED!BH22=24,MATCHED!$Y22,IF(MATCHED!BH22=25,MATCHED!$Z22,IF(MATCHED!BH22=26,MATCHED!$AA22,IF(MATCHED!BH22=27,MATCHED!$AB22,"."))))))</f>
        <v>#N/A</v>
      </c>
      <c r="AG22" s="356" t="e">
        <f>IF(MATCHED!BI22=1,MATCHED!$B22,IF(MATCHED!BI22=2,MATCHED!$C22,IF(MATCHED!BI22=3,MATCHED!$D22,IF(MATCHED!BI22=4,MATCHED!$E22,IF(MATCHED!BI22=3,MATCHED!$F22,IF(MATCHED!BI22=6,MATCHED!$G22,IF(MATCHED!BI22=7,MATCHED!$H22,"")))))))&amp;IF(MATCHED!BI22=8,MATCHED!$I22,IF(MATCHED!BI22=9,MATCHED!$J22,IF(MATCHED!BI22=10,MATCHED!$K22,IF(MATCHED!BI22=11,MATCHED!$L22,IF(MATCHED!BI22=12,MATCHED!$M22,IF(MATCHED!BI22=13,MATCHED!$N22,IF(MATCHED!BI22=14,MATCHED!$O22,"")))))))&amp;IF(MATCHED!BI22=15,MATCHED!$P22,IF(MATCHED!BI22=16,MATCHED!$Q22,IF(MATCHED!BI22=17,MATCHED!$R22,IF(MATCHED!BI22=18,MATCHED!$S22,IF(MATCHED!BI22=19,MATCHED!$T22,IF(MATCHED!BI22=20,MATCHED!$U22,IF(MATCHED!BI22=21,MATCHED!$V22,)))))))&amp;IF(MATCHED!BI22=22,MATCHED!$W22,IF(MATCHED!BI22=23,MATCHED!$X22,IF(MATCHED!BI22=24,MATCHED!$Y22,IF(MATCHED!BI22=25,MATCHED!$Z22,IF(MATCHED!BI22=26,MATCHED!$AA22,IF(MATCHED!BI22=27,MATCHED!$AB22,"."))))))</f>
        <v>#N/A</v>
      </c>
      <c r="AH22" s="356" t="e">
        <f>IF(MATCHED!BJ22=1,MATCHED!$B22,IF(MATCHED!BJ22=2,MATCHED!$C22,IF(MATCHED!BJ22=3,MATCHED!$D22,IF(MATCHED!BJ22=4,MATCHED!$E22,IF(MATCHED!BJ22=3,MATCHED!$F22,IF(MATCHED!BJ22=6,MATCHED!$G22,IF(MATCHED!BJ22=7,MATCHED!$H22,"")))))))&amp;IF(MATCHED!BJ22=8,MATCHED!$I22,IF(MATCHED!BJ22=9,MATCHED!$J22,IF(MATCHED!BJ22=10,MATCHED!$K22,IF(MATCHED!BJ22=11,MATCHED!$L22,IF(MATCHED!BJ22=12,MATCHED!$M22,IF(MATCHED!BJ22=13,MATCHED!$N22,IF(MATCHED!BJ22=14,MATCHED!$O22,"")))))))&amp;IF(MATCHED!BJ22=15,MATCHED!$P22,IF(MATCHED!BJ22=16,MATCHED!$Q22,IF(MATCHED!BJ22=17,MATCHED!$R22,IF(MATCHED!BJ22=18,MATCHED!$S22,IF(MATCHED!BJ22=19,MATCHED!$T22,IF(MATCHED!BJ22=20,MATCHED!$U22,IF(MATCHED!BJ22=21,MATCHED!$V22,)))))))&amp;IF(MATCHED!BJ22=22,MATCHED!$W22,IF(MATCHED!BJ22=23,MATCHED!$X22,IF(MATCHED!BJ22=24,MATCHED!$Y22,IF(MATCHED!BJ22=25,MATCHED!$Z22,IF(MATCHED!BJ22=26,MATCHED!$AA22,IF(MATCHED!BJ22=27,MATCHED!$AB22,"."))))))</f>
        <v>#N/A</v>
      </c>
      <c r="AI22" s="356" t="e">
        <f>IF(MATCHED!BK22=1,MATCHED!$B22,IF(MATCHED!BK22=2,MATCHED!$C22,IF(MATCHED!BK22=3,MATCHED!$D22,IF(MATCHED!BK22=4,MATCHED!$E22,IF(MATCHED!BK22=3,MATCHED!$F22,IF(MATCHED!BK22=6,MATCHED!$G22,IF(MATCHED!BK22=7,MATCHED!$H22,"")))))))&amp;IF(MATCHED!BK22=8,MATCHED!$I22,IF(MATCHED!BK22=9,MATCHED!$J22,IF(MATCHED!BK22=10,MATCHED!$K22,IF(MATCHED!BK22=11,MATCHED!$L22,IF(MATCHED!BK22=12,MATCHED!$M22,IF(MATCHED!BK22=13,MATCHED!$N22,IF(MATCHED!BK22=14,MATCHED!$O22,"")))))))&amp;IF(MATCHED!BK22=15,MATCHED!$P22,IF(MATCHED!BK22=16,MATCHED!$Q22,IF(MATCHED!BK22=17,MATCHED!$R22,IF(MATCHED!BK22=18,MATCHED!$S22,IF(MATCHED!BK22=19,MATCHED!$T22,IF(MATCHED!BK22=20,MATCHED!$U22,IF(MATCHED!BK22=21,MATCHED!$V22,)))))))&amp;IF(MATCHED!BK22=22,MATCHED!$W22,IF(MATCHED!BK22=23,MATCHED!$X22,IF(MATCHED!BK22=24,MATCHED!$Y22,IF(MATCHED!BK22=25,MATCHED!$Z22,IF(MATCHED!BK22=26,MATCHED!$AA22,IF(MATCHED!BK22=27,MATCHED!$AB22,"."))))))</f>
        <v>#N/A</v>
      </c>
      <c r="AJ22" s="535"/>
    </row>
    <row r="23" spans="1:36" s="338" customFormat="1" ht="15.6" thickBot="1" x14ac:dyDescent="0.3">
      <c r="A23" s="535"/>
      <c r="B23" s="358" t="e">
        <f>IF(MATCHED!AD23=1,MATCHED!$B23,IF(MATCHED!AD23=2,MATCHED!$C23,IF(MATCHED!AD23=3,MATCHED!$D23,IF(MATCHED!AD23=4,MATCHED!$E23,IF(MATCHED!AD23=3,MATCHED!$F23,IF(MATCHED!AD23=6,MATCHED!$G23,IF(MATCHED!AD23=7,MATCHED!$H23,"")))))))&amp;IF(MATCHED!AD23=8,MATCHED!$I23,IF(MATCHED!AD23=9,MATCHED!$J23,IF(MATCHED!AD23=10,MATCHED!$K23,IF(MATCHED!AD23=11,MATCHED!$L23,IF(MATCHED!AD23=12,MATCHED!$M23,IF(MATCHED!AD23=13,MATCHED!$N23,IF(MATCHED!AD23=14,MATCHED!$O23,"")))))))&amp;IF(MATCHED!AD23=15,MATCHED!$P23,IF(MATCHED!AD23=16,MATCHED!$Q23,IF(MATCHED!AD23=17,MATCHED!$R23,IF(MATCHED!AD23=18,MATCHED!$S23,IF(MATCHED!AD23=19,MATCHED!$T23,IF(MATCHED!AD23=20,MATCHED!$U23,IF(MATCHED!AD23=21,MATCHED!$V23,)))))))&amp;IF(MATCHED!AD23=22,MATCHED!$W23,IF(MATCHED!AD23=23,MATCHED!$X23,IF(MATCHED!AD23=24,MATCHED!$Y23,IF(MATCHED!AD23=25,MATCHED!$Z23,IF(MATCHED!AD23=26,MATCHED!$AA23,IF(MATCHED!AD23=27,MATCHED!$AB23,"."))))))</f>
        <v>#N/A</v>
      </c>
      <c r="C23" s="358" t="e">
        <f>IF(MATCHED!AE23=1,MATCHED!$B23,IF(MATCHED!AE23=2,MATCHED!$C23,IF(MATCHED!AE23=3,MATCHED!$D23,IF(MATCHED!AE23=4,MATCHED!$E23,IF(MATCHED!AE23=3,MATCHED!$F23,IF(MATCHED!AE23=6,MATCHED!$G23,IF(MATCHED!AE23=7,MATCHED!$H23,"")))))))&amp;IF(MATCHED!AE23=8,MATCHED!$I23,IF(MATCHED!AE23=9,MATCHED!$J23,IF(MATCHED!AE23=10,MATCHED!$K23,IF(MATCHED!AE23=11,MATCHED!$L23,IF(MATCHED!AE23=12,MATCHED!$M23,IF(MATCHED!AE23=13,MATCHED!$N23,IF(MATCHED!AE23=14,MATCHED!$O23,"")))))))&amp;IF(MATCHED!AE23=15,MATCHED!$P23,IF(MATCHED!AE23=16,MATCHED!$Q23,IF(MATCHED!AE23=17,MATCHED!$R23,IF(MATCHED!AE23=18,MATCHED!$S23,IF(MATCHED!AE23=19,MATCHED!$T23,IF(MATCHED!AE23=20,MATCHED!$U23,IF(MATCHED!AE23=21,MATCHED!$V23,)))))))&amp;IF(MATCHED!AE23=22,MATCHED!$W23,IF(MATCHED!AE23=23,MATCHED!$X23,IF(MATCHED!AE23=24,MATCHED!$Y23,IF(MATCHED!AE23=25,MATCHED!$Z23,IF(MATCHED!AE23=26,MATCHED!$AA23,IF(MATCHED!AE23=27,MATCHED!$AB23,"."))))))</f>
        <v>#N/A</v>
      </c>
      <c r="D23" s="358" t="e">
        <f>IF(MATCHED!AF23=1,MATCHED!$B23,IF(MATCHED!AF23=2,MATCHED!$C23,IF(MATCHED!AF23=3,MATCHED!$D23,IF(MATCHED!AF23=4,MATCHED!$E23,IF(MATCHED!AF23=3,MATCHED!$F23,IF(MATCHED!AF23=6,MATCHED!$G23,IF(MATCHED!AF23=7,MATCHED!$H23,"")))))))&amp;IF(MATCHED!AF23=8,MATCHED!$I23,IF(MATCHED!AF23=9,MATCHED!$J23,IF(MATCHED!AF23=10,MATCHED!$K23,IF(MATCHED!AF23=11,MATCHED!$L23,IF(MATCHED!AF23=12,MATCHED!$M23,IF(MATCHED!AF23=13,MATCHED!$N23,IF(MATCHED!AF23=14,MATCHED!$O23,"")))))))&amp;IF(MATCHED!AF23=15,MATCHED!$P23,IF(MATCHED!AF23=16,MATCHED!$Q23,IF(MATCHED!AF23=17,MATCHED!$R23,IF(MATCHED!AF23=18,MATCHED!$S23,IF(MATCHED!AF23=19,MATCHED!$T23,IF(MATCHED!AF23=20,MATCHED!$U23,IF(MATCHED!AF23=21,MATCHED!$V23,)))))))&amp;IF(MATCHED!AF23=22,MATCHED!$W23,IF(MATCHED!AF23=23,MATCHED!$X23,IF(MATCHED!AF23=24,MATCHED!$Y23,IF(MATCHED!AF23=25,MATCHED!$Z23,IF(MATCHED!AF23=26,MATCHED!$AA23,IF(MATCHED!AF23=27,MATCHED!$AB23,"."))))))</f>
        <v>#N/A</v>
      </c>
      <c r="E23" s="358" t="e">
        <f>IF(MATCHED!AG23=1,MATCHED!$B23,IF(MATCHED!AG23=2,MATCHED!$C23,IF(MATCHED!AG23=3,MATCHED!$D23,IF(MATCHED!AG23=4,MATCHED!$E23,IF(MATCHED!AG23=3,MATCHED!$F23,IF(MATCHED!AG23=6,MATCHED!$G23,IF(MATCHED!AG23=7,MATCHED!$H23,"")))))))&amp;IF(MATCHED!AG23=8,MATCHED!$I23,IF(MATCHED!AG23=9,MATCHED!$J23,IF(MATCHED!AG23=10,MATCHED!$K23,IF(MATCHED!AG23=11,MATCHED!$L23,IF(MATCHED!AG23=12,MATCHED!$M23,IF(MATCHED!AG23=13,MATCHED!$N23,IF(MATCHED!AG23=14,MATCHED!$O23,"")))))))&amp;IF(MATCHED!AG23=15,MATCHED!$P23,IF(MATCHED!AG23=16,MATCHED!$Q23,IF(MATCHED!AG23=17,MATCHED!$R23,IF(MATCHED!AG23=18,MATCHED!$S23,IF(MATCHED!AG23=19,MATCHED!$T23,IF(MATCHED!AG23=20,MATCHED!$U23,IF(MATCHED!AG23=21,MATCHED!$V23,)))))))&amp;IF(MATCHED!AG23=22,MATCHED!$W23,IF(MATCHED!AG23=23,MATCHED!$X23,IF(MATCHED!AG23=24,MATCHED!$Y23,IF(MATCHED!AG23=25,MATCHED!$Z23,IF(MATCHED!AG23=26,MATCHED!$AA23,IF(MATCHED!AG23=27,MATCHED!$AB23,"."))))))</f>
        <v>#N/A</v>
      </c>
      <c r="F23" s="358" t="e">
        <f>IF(MATCHED!AH23=1,MATCHED!$B23,IF(MATCHED!AH23=2,MATCHED!$C23,IF(MATCHED!AH23=3,MATCHED!$D23,IF(MATCHED!AH23=4,MATCHED!$E23,IF(MATCHED!AH23=3,MATCHED!$F23,IF(MATCHED!AH23=6,MATCHED!$G23,IF(MATCHED!AH23=7,MATCHED!$H23,"")))))))&amp;IF(MATCHED!AH23=8,MATCHED!$I23,IF(MATCHED!AH23=9,MATCHED!$J23,IF(MATCHED!AH23=10,MATCHED!$K23,IF(MATCHED!AH23=11,MATCHED!$L23,IF(MATCHED!AH23=12,MATCHED!$M23,IF(MATCHED!AH23=13,MATCHED!$N23,IF(MATCHED!AH23=14,MATCHED!$O23,"")))))))&amp;IF(MATCHED!AH23=15,MATCHED!$P23,IF(MATCHED!AH23=16,MATCHED!$Q23,IF(MATCHED!AH23=17,MATCHED!$R23,IF(MATCHED!AH23=18,MATCHED!$S23,IF(MATCHED!AH23=19,MATCHED!$T23,IF(MATCHED!AH23=20,MATCHED!$U23,IF(MATCHED!AH23=21,MATCHED!$V23,)))))))&amp;IF(MATCHED!AH23=22,MATCHED!$W23,IF(MATCHED!AH23=23,MATCHED!$X23,IF(MATCHED!AH23=24,MATCHED!$Y23,IF(MATCHED!AH23=25,MATCHED!$Z23,IF(MATCHED!AH23=26,MATCHED!$AA23,IF(MATCHED!AH23=27,MATCHED!$AB23,"."))))))</f>
        <v>#N/A</v>
      </c>
      <c r="G23" s="358" t="e">
        <f>IF(MATCHED!AI23=1,MATCHED!$B23,IF(MATCHED!AI23=2,MATCHED!$C23,IF(MATCHED!AI23=3,MATCHED!$D23,IF(MATCHED!AI23=4,MATCHED!$E23,IF(MATCHED!AI23=3,MATCHED!$F23,IF(MATCHED!AI23=6,MATCHED!$G23,IF(MATCHED!AI23=7,MATCHED!$H23,"")))))))&amp;IF(MATCHED!AI23=8,MATCHED!$I23,IF(MATCHED!AI23=9,MATCHED!$J23,IF(MATCHED!AI23=10,MATCHED!$K23,IF(MATCHED!AI23=11,MATCHED!$L23,IF(MATCHED!AI23=12,MATCHED!$M23,IF(MATCHED!AI23=13,MATCHED!$N23,IF(MATCHED!AI23=14,MATCHED!$O23,"")))))))&amp;IF(MATCHED!AI23=15,MATCHED!$P23,IF(MATCHED!AI23=16,MATCHED!$Q23,IF(MATCHED!AI23=17,MATCHED!$R23,IF(MATCHED!AI23=18,MATCHED!$S23,IF(MATCHED!AI23=19,MATCHED!$T23,IF(MATCHED!AI23=20,MATCHED!$U23,IF(MATCHED!AI23=21,MATCHED!$V23,)))))))&amp;IF(MATCHED!AI23=22,MATCHED!$W23,IF(MATCHED!AI23=23,MATCHED!$X23,IF(MATCHED!AI23=24,MATCHED!$Y23,IF(MATCHED!AI23=25,MATCHED!$Z23,IF(MATCHED!AI23=26,MATCHED!$AA23,IF(MATCHED!AI23=27,MATCHED!$AB23,"."))))))</f>
        <v>#N/A</v>
      </c>
      <c r="H23" s="358" t="e">
        <f>IF(MATCHED!AJ23=1,MATCHED!$B23,IF(MATCHED!AJ23=2,MATCHED!$C23,IF(MATCHED!AJ23=3,MATCHED!$D23,IF(MATCHED!AJ23=4,MATCHED!$E23,IF(MATCHED!AJ23=3,MATCHED!$F23,IF(MATCHED!AJ23=6,MATCHED!$G23,IF(MATCHED!AJ23=7,MATCHED!$H23,"")))))))&amp;IF(MATCHED!AJ23=8,MATCHED!$I23,IF(MATCHED!AJ23=9,MATCHED!$J23,IF(MATCHED!AJ23=10,MATCHED!$K23,IF(MATCHED!AJ23=11,MATCHED!$L23,IF(MATCHED!AJ23=12,MATCHED!$M23,IF(MATCHED!AJ23=13,MATCHED!$N23,IF(MATCHED!AJ23=14,MATCHED!$O23,"")))))))&amp;IF(MATCHED!AJ23=15,MATCHED!$P23,IF(MATCHED!AJ23=16,MATCHED!$Q23,IF(MATCHED!AJ23=17,MATCHED!$R23,IF(MATCHED!AJ23=18,MATCHED!$S23,IF(MATCHED!AJ23=19,MATCHED!$T23,IF(MATCHED!AJ23=20,MATCHED!$U23,IF(MATCHED!AJ23=21,MATCHED!$V23,)))))))&amp;IF(MATCHED!AJ23=22,MATCHED!$W23,IF(MATCHED!AJ23=23,MATCHED!$X23,IF(MATCHED!AJ23=24,MATCHED!$Y23,IF(MATCHED!AJ23=25,MATCHED!$Z23,IF(MATCHED!AJ23=26,MATCHED!$AA23,IF(MATCHED!AJ23=27,MATCHED!$AB23,"."))))))</f>
        <v>#N/A</v>
      </c>
      <c r="I23" s="358" t="e">
        <f>IF(MATCHED!AK23=1,MATCHED!$B23,IF(MATCHED!AK23=2,MATCHED!$C23,IF(MATCHED!AK23=3,MATCHED!$D23,IF(MATCHED!AK23=4,MATCHED!$E23,IF(MATCHED!AK23=3,MATCHED!$F23,IF(MATCHED!AK23=6,MATCHED!$G23,IF(MATCHED!AK23=7,MATCHED!$H23,"")))))))&amp;IF(MATCHED!AK23=8,MATCHED!$I23,IF(MATCHED!AK23=9,MATCHED!$J23,IF(MATCHED!AK23=10,MATCHED!$K23,IF(MATCHED!AK23=11,MATCHED!$L23,IF(MATCHED!AK23=12,MATCHED!$M23,IF(MATCHED!AK23=13,MATCHED!$N23,IF(MATCHED!AK23=14,MATCHED!$O23,"")))))))&amp;IF(MATCHED!AK23=15,MATCHED!$P23,IF(MATCHED!AK23=16,MATCHED!$Q23,IF(MATCHED!AK23=17,MATCHED!$R23,IF(MATCHED!AK23=18,MATCHED!$S23,IF(MATCHED!AK23=19,MATCHED!$T23,IF(MATCHED!AK23=20,MATCHED!$U23,IF(MATCHED!AK23=21,MATCHED!$V23,)))))))&amp;IF(MATCHED!AK23=22,MATCHED!$W23,IF(MATCHED!AK23=23,MATCHED!$X23,IF(MATCHED!AK23=24,MATCHED!$Y23,IF(MATCHED!AK23=25,MATCHED!$Z23,IF(MATCHED!AK23=26,MATCHED!$AA23,IF(MATCHED!AK23=27,MATCHED!$AB23,"."))))))</f>
        <v>#N/A</v>
      </c>
      <c r="J23" s="358" t="e">
        <f>IF(MATCHED!AL23=1,MATCHED!$B23,IF(MATCHED!AL23=2,MATCHED!$C23,IF(MATCHED!AL23=3,MATCHED!$D23,IF(MATCHED!AL23=4,MATCHED!$E23,IF(MATCHED!AL23=3,MATCHED!$F23,IF(MATCHED!AL23=6,MATCHED!$G23,IF(MATCHED!AL23=7,MATCHED!$H23,"")))))))&amp;IF(MATCHED!AL23=8,MATCHED!$I23,IF(MATCHED!AL23=9,MATCHED!$J23,IF(MATCHED!AL23=10,MATCHED!$K23,IF(MATCHED!AL23=11,MATCHED!$L23,IF(MATCHED!AL23=12,MATCHED!$M23,IF(MATCHED!AL23=13,MATCHED!$N23,IF(MATCHED!AL23=14,MATCHED!$O23,"")))))))&amp;IF(MATCHED!AL23=15,MATCHED!$P23,IF(MATCHED!AL23=16,MATCHED!$Q23,IF(MATCHED!AL23=17,MATCHED!$R23,IF(MATCHED!AL23=18,MATCHED!$S23,IF(MATCHED!AL23=19,MATCHED!$T23,IF(MATCHED!AL23=20,MATCHED!$U23,IF(MATCHED!AL23=21,MATCHED!$V23,)))))))&amp;IF(MATCHED!AL23=22,MATCHED!$W23,IF(MATCHED!AL23=23,MATCHED!$X23,IF(MATCHED!AL23=24,MATCHED!$Y23,IF(MATCHED!AL23=25,MATCHED!$Z23,IF(MATCHED!AL23=26,MATCHED!$AA23,IF(MATCHED!AL23=27,MATCHED!$AB23,"."))))))</f>
        <v>#N/A</v>
      </c>
      <c r="K23" s="358" t="e">
        <f>IF(MATCHED!AM23=1,MATCHED!$B23,IF(MATCHED!AM23=2,MATCHED!$C23,IF(MATCHED!AM23=3,MATCHED!$D23,IF(MATCHED!AM23=4,MATCHED!$E23,IF(MATCHED!AM23=3,MATCHED!$F23,IF(MATCHED!AM23=6,MATCHED!$G23,IF(MATCHED!AM23=7,MATCHED!$H23,"")))))))&amp;IF(MATCHED!AM23=8,MATCHED!$I23,IF(MATCHED!AM23=9,MATCHED!$J23,IF(MATCHED!AM23=10,MATCHED!$K23,IF(MATCHED!AM23=11,MATCHED!$L23,IF(MATCHED!AM23=12,MATCHED!$M23,IF(MATCHED!AM23=13,MATCHED!$N23,IF(MATCHED!AM23=14,MATCHED!$O23,"")))))))&amp;IF(MATCHED!AM23=15,MATCHED!$P23,IF(MATCHED!AM23=16,MATCHED!$Q23,IF(MATCHED!AM23=17,MATCHED!$R23,IF(MATCHED!AM23=18,MATCHED!$S23,IF(MATCHED!AM23=19,MATCHED!$T23,IF(MATCHED!AM23=20,MATCHED!$U23,IF(MATCHED!AM23=21,MATCHED!$V23,)))))))&amp;IF(MATCHED!AM23=22,MATCHED!$W23,IF(MATCHED!AM23=23,MATCHED!$X23,IF(MATCHED!AM23=24,MATCHED!$Y23,IF(MATCHED!AM23=25,MATCHED!$Z23,IF(MATCHED!AM23=26,MATCHED!$AA23,IF(MATCHED!AM23=27,MATCHED!$AB23,"."))))))</f>
        <v>#N/A</v>
      </c>
      <c r="L23" s="358" t="e">
        <f>IF(MATCHED!AN23=1,MATCHED!$B23,IF(MATCHED!AN23=2,MATCHED!$C23,IF(MATCHED!AN23=3,MATCHED!$D23,IF(MATCHED!AN23=4,MATCHED!$E23,IF(MATCHED!AN23=3,MATCHED!$F23,IF(MATCHED!AN23=6,MATCHED!$G23,IF(MATCHED!AN23=7,MATCHED!$H23,"")))))))&amp;IF(MATCHED!AN23=8,MATCHED!$I23,IF(MATCHED!AN23=9,MATCHED!$J23,IF(MATCHED!AN23=10,MATCHED!$K23,IF(MATCHED!AN23=11,MATCHED!$L23,IF(MATCHED!AN23=12,MATCHED!$M23,IF(MATCHED!AN23=13,MATCHED!$N23,IF(MATCHED!AN23=14,MATCHED!$O23,"")))))))&amp;IF(MATCHED!AN23=15,MATCHED!$P23,IF(MATCHED!AN23=16,MATCHED!$Q23,IF(MATCHED!AN23=17,MATCHED!$R23,IF(MATCHED!AN23=18,MATCHED!$S23,IF(MATCHED!AN23=19,MATCHED!$T23,IF(MATCHED!AN23=20,MATCHED!$U23,IF(MATCHED!AN23=21,MATCHED!$V23,)))))))&amp;IF(MATCHED!AN23=22,MATCHED!$W23,IF(MATCHED!AN23=23,MATCHED!$X23,IF(MATCHED!AN23=24,MATCHED!$Y23,IF(MATCHED!AN23=25,MATCHED!$Z23,IF(MATCHED!AN23=26,MATCHED!$AA23,IF(MATCHED!AN23=27,MATCHED!$AB23,"."))))))</f>
        <v>#N/A</v>
      </c>
      <c r="M23" s="358" t="e">
        <f>IF(MATCHED!AO23=1,MATCHED!$B23,IF(MATCHED!AO23=2,MATCHED!$C23,IF(MATCHED!AO23=3,MATCHED!$D23,IF(MATCHED!AO23=4,MATCHED!$E23,IF(MATCHED!AO23=3,MATCHED!$F23,IF(MATCHED!AO23=6,MATCHED!$G23,IF(MATCHED!AO23=7,MATCHED!$H23,"")))))))&amp;IF(MATCHED!AO23=8,MATCHED!$I23,IF(MATCHED!AO23=9,MATCHED!$J23,IF(MATCHED!AO23=10,MATCHED!$K23,IF(MATCHED!AO23=11,MATCHED!$L23,IF(MATCHED!AO23=12,MATCHED!$M23,IF(MATCHED!AO23=13,MATCHED!$N23,IF(MATCHED!AO23=14,MATCHED!$O23,"")))))))&amp;IF(MATCHED!AO23=15,MATCHED!$P23,IF(MATCHED!AO23=16,MATCHED!$Q23,IF(MATCHED!AO23=17,MATCHED!$R23,IF(MATCHED!AO23=18,MATCHED!$S23,IF(MATCHED!AO23=19,MATCHED!$T23,IF(MATCHED!AO23=20,MATCHED!$U23,IF(MATCHED!AO23=21,MATCHED!$V23,)))))))&amp;IF(MATCHED!AO23=22,MATCHED!$W23,IF(MATCHED!AO23=23,MATCHED!$X23,IF(MATCHED!AO23=24,MATCHED!$Y23,IF(MATCHED!AO23=25,MATCHED!$Z23,IF(MATCHED!AO23=26,MATCHED!$AA23,IF(MATCHED!AO23=27,MATCHED!$AB23,"."))))))</f>
        <v>#N/A</v>
      </c>
      <c r="N23" s="358" t="e">
        <f>IF(MATCHED!AP23=1,MATCHED!$B23,IF(MATCHED!AP23=2,MATCHED!$C23,IF(MATCHED!AP23=3,MATCHED!$D23,IF(MATCHED!AP23=4,MATCHED!$E23,IF(MATCHED!AP23=3,MATCHED!$F23,IF(MATCHED!AP23=6,MATCHED!$G23,IF(MATCHED!AP23=7,MATCHED!$H23,"")))))))&amp;IF(MATCHED!AP23=8,MATCHED!$I23,IF(MATCHED!AP23=9,MATCHED!$J23,IF(MATCHED!AP23=10,MATCHED!$K23,IF(MATCHED!AP23=11,MATCHED!$L23,IF(MATCHED!AP23=12,MATCHED!$M23,IF(MATCHED!AP23=13,MATCHED!$N23,IF(MATCHED!AP23=14,MATCHED!$O23,"")))))))&amp;IF(MATCHED!AP23=15,MATCHED!$P23,IF(MATCHED!AP23=16,MATCHED!$Q23,IF(MATCHED!AP23=17,MATCHED!$R23,IF(MATCHED!AP23=18,MATCHED!$S23,IF(MATCHED!AP23=19,MATCHED!$T23,IF(MATCHED!AP23=20,MATCHED!$U23,IF(MATCHED!AP23=21,MATCHED!$V23,)))))))&amp;IF(MATCHED!AP23=22,MATCHED!$W23,IF(MATCHED!AP23=23,MATCHED!$X23,IF(MATCHED!AP23=24,MATCHED!$Y23,IF(MATCHED!AP23=25,MATCHED!$Z23,IF(MATCHED!AP23=26,MATCHED!$AA23,IF(MATCHED!AP23=27,MATCHED!$AB23,"."))))))</f>
        <v>#N/A</v>
      </c>
      <c r="O23" s="358" t="e">
        <f>IF(MATCHED!AQ23=1,MATCHED!$B23,IF(MATCHED!AQ23=2,MATCHED!$C23,IF(MATCHED!AQ23=3,MATCHED!$D23,IF(MATCHED!AQ23=4,MATCHED!$E23,IF(MATCHED!AQ23=3,MATCHED!$F23,IF(MATCHED!AQ23=6,MATCHED!$G23,IF(MATCHED!AQ23=7,MATCHED!$H23,"")))))))&amp;IF(MATCHED!AQ23=8,MATCHED!$I23,IF(MATCHED!AQ23=9,MATCHED!$J23,IF(MATCHED!AQ23=10,MATCHED!$K23,IF(MATCHED!AQ23=11,MATCHED!$L23,IF(MATCHED!AQ23=12,MATCHED!$M23,IF(MATCHED!AQ23=13,MATCHED!$N23,IF(MATCHED!AQ23=14,MATCHED!$O23,"")))))))&amp;IF(MATCHED!AQ23=15,MATCHED!$P23,IF(MATCHED!AQ23=16,MATCHED!$Q23,IF(MATCHED!AQ23=17,MATCHED!$R23,IF(MATCHED!AQ23=18,MATCHED!$S23,IF(MATCHED!AQ23=19,MATCHED!$T23,IF(MATCHED!AQ23=20,MATCHED!$U23,IF(MATCHED!AQ23=21,MATCHED!$V23,)))))))&amp;IF(MATCHED!AQ23=22,MATCHED!$W23,IF(MATCHED!AQ23=23,MATCHED!$X23,IF(MATCHED!AQ23=24,MATCHED!$Y23,IF(MATCHED!AQ23=25,MATCHED!$Z23,IF(MATCHED!AQ23=26,MATCHED!$AA23,IF(MATCHED!AQ23=27,MATCHED!$AB23,"."))))))</f>
        <v>#N/A</v>
      </c>
      <c r="P23" s="358" t="e">
        <f>IF(MATCHED!AR23=1,MATCHED!$B23,IF(MATCHED!AR23=2,MATCHED!$C23,IF(MATCHED!AR23=3,MATCHED!$D23,IF(MATCHED!AR23=4,MATCHED!$E23,IF(MATCHED!AR23=3,MATCHED!$F23,IF(MATCHED!AR23=6,MATCHED!$G23,IF(MATCHED!AR23=7,MATCHED!$H23,"")))))))&amp;IF(MATCHED!AR23=8,MATCHED!$I23,IF(MATCHED!AR23=9,MATCHED!$J23,IF(MATCHED!AR23=10,MATCHED!$K23,IF(MATCHED!AR23=11,MATCHED!$L23,IF(MATCHED!AR23=12,MATCHED!$M23,IF(MATCHED!AR23=13,MATCHED!$N23,IF(MATCHED!AR23=14,MATCHED!$O23,"")))))))&amp;IF(MATCHED!AR23=15,MATCHED!$P23,IF(MATCHED!AR23=16,MATCHED!$Q23,IF(MATCHED!AR23=17,MATCHED!$R23,IF(MATCHED!AR23=18,MATCHED!$S23,IF(MATCHED!AR23=19,MATCHED!$T23,IF(MATCHED!AR23=20,MATCHED!$U23,IF(MATCHED!AR23=21,MATCHED!$V23,)))))))&amp;IF(MATCHED!AR23=22,MATCHED!$W23,IF(MATCHED!AR23=23,MATCHED!$X23,IF(MATCHED!AR23=24,MATCHED!$Y23,IF(MATCHED!AR23=25,MATCHED!$Z23,IF(MATCHED!AR23=26,MATCHED!$AA23,IF(MATCHED!AR23=27,MATCHED!$AB23,"."))))))</f>
        <v>#N/A</v>
      </c>
      <c r="Q23" s="359" t="e">
        <f>IF(MATCHED!AS23=1,MATCHED!$B23,IF(MATCHED!AS23=2,MATCHED!$C23,IF(MATCHED!AS23=3,MATCHED!$D23,IF(MATCHED!AS23=4,MATCHED!$E23,IF(MATCHED!AS23=3,MATCHED!$F23,IF(MATCHED!AS23=6,MATCHED!$G23,IF(MATCHED!AS23=7,MATCHED!$H23,"")))))))&amp;IF(MATCHED!AS23=8,MATCHED!$I23,IF(MATCHED!AS23=9,MATCHED!$J23,IF(MATCHED!AS23=10,MATCHED!$K23,IF(MATCHED!AS23=11,MATCHED!$L23,IF(MATCHED!AS23=12,MATCHED!$M23,IF(MATCHED!AS23=13,MATCHED!$N23,IF(MATCHED!AS23=14,MATCHED!$O23,"")))))))&amp;IF(MATCHED!AS23=15,MATCHED!$P23,IF(MATCHED!AS23=16,MATCHED!$Q23,IF(MATCHED!AS23=17,MATCHED!$R23,IF(MATCHED!AS23=18,MATCHED!$S23,IF(MATCHED!AS23=19,MATCHED!$T23,IF(MATCHED!AS23=20,MATCHED!$U23,IF(MATCHED!AS23=21,MATCHED!$V23,)))))))&amp;IF(MATCHED!AS23=22,MATCHED!$W23,IF(MATCHED!AS23=23,MATCHED!$X23,IF(MATCHED!AS23=24,MATCHED!$Y23,IF(MATCHED!AS23=25,MATCHED!$Z23,IF(MATCHED!AS23=26,MATCHED!$AA23,IF(MATCHED!AS23=27,MATCHED!$AB23,"."))))))</f>
        <v>#N/A</v>
      </c>
      <c r="R23" s="358" t="e">
        <f>IF(MATCHED!AT23=1,MATCHED!$B23,IF(MATCHED!AT23=2,MATCHED!$C23,IF(MATCHED!AT23=3,MATCHED!$D23,IF(MATCHED!AT23=4,MATCHED!$E23,IF(MATCHED!AT23=3,MATCHED!$F23,IF(MATCHED!AT23=6,MATCHED!$G23,IF(MATCHED!AT23=7,MATCHED!$H23,"")))))))&amp;IF(MATCHED!AT23=8,MATCHED!$I23,IF(MATCHED!AT23=9,MATCHED!$J23,IF(MATCHED!AT23=10,MATCHED!$K23,IF(MATCHED!AT23=11,MATCHED!$L23,IF(MATCHED!AT23=12,MATCHED!$M23,IF(MATCHED!AT23=13,MATCHED!$N23,IF(MATCHED!AT23=14,MATCHED!$O23,"")))))))&amp;IF(MATCHED!AT23=15,MATCHED!$P23,IF(MATCHED!AT23=16,MATCHED!$Q23,IF(MATCHED!AT23=17,MATCHED!$R23,IF(MATCHED!AT23=18,MATCHED!$S23,IF(MATCHED!AT23=19,MATCHED!$T23,IF(MATCHED!AT23=20,MATCHED!$U23,IF(MATCHED!AT23=21,MATCHED!$V23,)))))))&amp;IF(MATCHED!AT23=22,MATCHED!$W23,IF(MATCHED!AT23=23,MATCHED!$X23,IF(MATCHED!AT23=24,MATCHED!$Y23,IF(MATCHED!AT23=25,MATCHED!$Z23,IF(MATCHED!AT23=26,MATCHED!$AA23,IF(MATCHED!AT23=27,MATCHED!$AB23,"."))))))</f>
        <v>#N/A</v>
      </c>
      <c r="S23" s="358" t="e">
        <f>IF(MATCHED!AU23=1,MATCHED!$B23,IF(MATCHED!AU23=2,MATCHED!$C23,IF(MATCHED!AU23=3,MATCHED!$D23,IF(MATCHED!AU23=4,MATCHED!$E23,IF(MATCHED!AU23=3,MATCHED!$F23,IF(MATCHED!AU23=6,MATCHED!$G23,IF(MATCHED!AU23=7,MATCHED!$H23,"")))))))&amp;IF(MATCHED!AU23=8,MATCHED!$I23,IF(MATCHED!AU23=9,MATCHED!$J23,IF(MATCHED!AU23=10,MATCHED!$K23,IF(MATCHED!AU23=11,MATCHED!$L23,IF(MATCHED!AU23=12,MATCHED!$M23,IF(MATCHED!AU23=13,MATCHED!$N23,IF(MATCHED!AU23=14,MATCHED!$O23,"")))))))&amp;IF(MATCHED!AU23=15,MATCHED!$P23,IF(MATCHED!AU23=16,MATCHED!$Q23,IF(MATCHED!AU23=17,MATCHED!$R23,IF(MATCHED!AU23=18,MATCHED!$S23,IF(MATCHED!AU23=19,MATCHED!$T23,IF(MATCHED!AU23=20,MATCHED!$U23,IF(MATCHED!AU23=21,MATCHED!$V23,)))))))&amp;IF(MATCHED!AU23=22,MATCHED!$W23,IF(MATCHED!AU23=23,MATCHED!$X23,IF(MATCHED!AU23=24,MATCHED!$Y23,IF(MATCHED!AU23=25,MATCHED!$Z23,IF(MATCHED!AU23=26,MATCHED!$AA23,IF(MATCHED!AU23=27,MATCHED!$AB23,"."))))))</f>
        <v>#N/A</v>
      </c>
      <c r="T23" s="358" t="e">
        <f>IF(MATCHED!AV23=1,MATCHED!$B23,IF(MATCHED!AV23=2,MATCHED!$C23,IF(MATCHED!AV23=3,MATCHED!$D23,IF(MATCHED!AV23=4,MATCHED!$E23,IF(MATCHED!AV23=3,MATCHED!$F23,IF(MATCHED!AV23=6,MATCHED!$G23,IF(MATCHED!AV23=7,MATCHED!$H23,"")))))))&amp;IF(MATCHED!AV23=8,MATCHED!$I23,IF(MATCHED!AV23=9,MATCHED!$J23,IF(MATCHED!AV23=10,MATCHED!$K23,IF(MATCHED!AV23=11,MATCHED!$L23,IF(MATCHED!AV23=12,MATCHED!$M23,IF(MATCHED!AV23=13,MATCHED!$N23,IF(MATCHED!AV23=14,MATCHED!$O23,"")))))))&amp;IF(MATCHED!AV23=15,MATCHED!$P23,IF(MATCHED!AV23=16,MATCHED!$Q23,IF(MATCHED!AV23=17,MATCHED!$R23,IF(MATCHED!AV23=18,MATCHED!$S23,IF(MATCHED!AV23=19,MATCHED!$T23,IF(MATCHED!AV23=20,MATCHED!$U23,IF(MATCHED!AV23=21,MATCHED!$V23,)))))))&amp;IF(MATCHED!AV23=22,MATCHED!$W23,IF(MATCHED!AV23=23,MATCHED!$X23,IF(MATCHED!AV23=24,MATCHED!$Y23,IF(MATCHED!AV23=25,MATCHED!$Z23,IF(MATCHED!AV23=26,MATCHED!$AA23,IF(MATCHED!AV23=27,MATCHED!$AB23,"."))))))</f>
        <v>#N/A</v>
      </c>
      <c r="U23" s="358" t="e">
        <f>IF(MATCHED!AW23=1,MATCHED!$B23,IF(MATCHED!AW23=2,MATCHED!$C23,IF(MATCHED!AW23=3,MATCHED!$D23,IF(MATCHED!AW23=4,MATCHED!$E23,IF(MATCHED!AW23=3,MATCHED!$F23,IF(MATCHED!AW23=6,MATCHED!$G23,IF(MATCHED!AW23=7,MATCHED!$H23,"")))))))&amp;IF(MATCHED!AW23=8,MATCHED!$I23,IF(MATCHED!AW23=9,MATCHED!$J23,IF(MATCHED!AW23=10,MATCHED!$K23,IF(MATCHED!AW23=11,MATCHED!$L23,IF(MATCHED!AW23=12,MATCHED!$M23,IF(MATCHED!AW23=13,MATCHED!$N23,IF(MATCHED!AW23=14,MATCHED!$O23,"")))))))&amp;IF(MATCHED!AW23=15,MATCHED!$P23,IF(MATCHED!AW23=16,MATCHED!$Q23,IF(MATCHED!AW23=17,MATCHED!$R23,IF(MATCHED!AW23=18,MATCHED!$S23,IF(MATCHED!AW23=19,MATCHED!$T23,IF(MATCHED!AW23=20,MATCHED!$U23,IF(MATCHED!AW23=21,MATCHED!$V23,)))))))&amp;IF(MATCHED!AW23=22,MATCHED!$W23,IF(MATCHED!AW23=23,MATCHED!$X23,IF(MATCHED!AW23=24,MATCHED!$Y23,IF(MATCHED!AW23=25,MATCHED!$Z23,IF(MATCHED!AW23=26,MATCHED!$AA23,IF(MATCHED!AW23=27,MATCHED!$AB23,"."))))))</f>
        <v>#N/A</v>
      </c>
      <c r="V23" s="358" t="e">
        <f>IF(MATCHED!AX23=1,MATCHED!$B23,IF(MATCHED!AX23=2,MATCHED!$C23,IF(MATCHED!AX23=3,MATCHED!$D23,IF(MATCHED!AX23=4,MATCHED!$E23,IF(MATCHED!AX23=3,MATCHED!$F23,IF(MATCHED!AX23=6,MATCHED!$G23,IF(MATCHED!AX23=7,MATCHED!$H23,"")))))))&amp;IF(MATCHED!AX23=8,MATCHED!$I23,IF(MATCHED!AX23=9,MATCHED!$J23,IF(MATCHED!AX23=10,MATCHED!$K23,IF(MATCHED!AX23=11,MATCHED!$L23,IF(MATCHED!AX23=12,MATCHED!$M23,IF(MATCHED!AX23=13,MATCHED!$N23,IF(MATCHED!AX23=14,MATCHED!$O23,"")))))))&amp;IF(MATCHED!AX23=15,MATCHED!$P23,IF(MATCHED!AX23=16,MATCHED!$Q23,IF(MATCHED!AX23=17,MATCHED!$R23,IF(MATCHED!AX23=18,MATCHED!$S23,IF(MATCHED!AX23=19,MATCHED!$T23,IF(MATCHED!AX23=20,MATCHED!$U23,IF(MATCHED!AX23=21,MATCHED!$V23,)))))))&amp;IF(MATCHED!AX23=22,MATCHED!$W23,IF(MATCHED!AX23=23,MATCHED!$X23,IF(MATCHED!AX23=24,MATCHED!$Y23,IF(MATCHED!AX23=25,MATCHED!$Z23,IF(MATCHED!AX23=26,MATCHED!$AA23,IF(MATCHED!AX23=27,MATCHED!$AB23,"."))))))</f>
        <v>#N/A</v>
      </c>
      <c r="W23" s="358" t="e">
        <f>IF(MATCHED!AY23=1,MATCHED!$B23,IF(MATCHED!AY23=2,MATCHED!$C23,IF(MATCHED!AY23=3,MATCHED!$D23,IF(MATCHED!AY23=4,MATCHED!$E23,IF(MATCHED!AY23=3,MATCHED!$F23,IF(MATCHED!AY23=6,MATCHED!$G23,IF(MATCHED!AY23=7,MATCHED!$H23,"")))))))&amp;IF(MATCHED!AY23=8,MATCHED!$I23,IF(MATCHED!AY23=9,MATCHED!$J23,IF(MATCHED!AY23=10,MATCHED!$K23,IF(MATCHED!AY23=11,MATCHED!$L23,IF(MATCHED!AY23=12,MATCHED!$M23,IF(MATCHED!AY23=13,MATCHED!$N23,IF(MATCHED!AY23=14,MATCHED!$O23,"")))))))&amp;IF(MATCHED!AY23=15,MATCHED!$P23,IF(MATCHED!AY23=16,MATCHED!$Q23,IF(MATCHED!AY23=17,MATCHED!$R23,IF(MATCHED!AY23=18,MATCHED!$S23,IF(MATCHED!AY23=19,MATCHED!$T23,IF(MATCHED!AY23=20,MATCHED!$U23,IF(MATCHED!AY23=21,MATCHED!$V23,)))))))&amp;IF(MATCHED!AY23=22,MATCHED!$W23,IF(MATCHED!AY23=23,MATCHED!$X23,IF(MATCHED!AY23=24,MATCHED!$Y23,IF(MATCHED!AY23=25,MATCHED!$Z23,IF(MATCHED!AY23=26,MATCHED!$AA23,IF(MATCHED!AY23=27,MATCHED!$AB23,"."))))))</f>
        <v>#N/A</v>
      </c>
      <c r="X23" s="358" t="e">
        <f>IF(MATCHED!AZ23=1,MATCHED!$B23,IF(MATCHED!AZ23=2,MATCHED!$C23,IF(MATCHED!AZ23=3,MATCHED!$D23,IF(MATCHED!AZ23=4,MATCHED!$E23,IF(MATCHED!AZ23=3,MATCHED!$F23,IF(MATCHED!AZ23=6,MATCHED!$G23,IF(MATCHED!AZ23=7,MATCHED!$H23,"")))))))&amp;IF(MATCHED!AZ23=8,MATCHED!$I23,IF(MATCHED!AZ23=9,MATCHED!$J23,IF(MATCHED!AZ23=10,MATCHED!$K23,IF(MATCHED!AZ23=11,MATCHED!$L23,IF(MATCHED!AZ23=12,MATCHED!$M23,IF(MATCHED!AZ23=13,MATCHED!$N23,IF(MATCHED!AZ23=14,MATCHED!$O23,"")))))))&amp;IF(MATCHED!AZ23=15,MATCHED!$P23,IF(MATCHED!AZ23=16,MATCHED!$Q23,IF(MATCHED!AZ23=17,MATCHED!$R23,IF(MATCHED!AZ23=18,MATCHED!$S23,IF(MATCHED!AZ23=19,MATCHED!$T23,IF(MATCHED!AZ23=20,MATCHED!$U23,IF(MATCHED!AZ23=21,MATCHED!$V23,)))))))&amp;IF(MATCHED!AZ23=22,MATCHED!$W23,IF(MATCHED!AZ23=23,MATCHED!$X23,IF(MATCHED!AZ23=24,MATCHED!$Y23,IF(MATCHED!AZ23=25,MATCHED!$Z23,IF(MATCHED!AZ23=26,MATCHED!$AA23,IF(MATCHED!AZ23=27,MATCHED!$AB23,"."))))))</f>
        <v>#N/A</v>
      </c>
      <c r="Y23" s="358" t="e">
        <f>IF(MATCHED!BA23=1,MATCHED!$B23,IF(MATCHED!BA23=2,MATCHED!$C23,IF(MATCHED!BA23=3,MATCHED!$D23,IF(MATCHED!BA23=4,MATCHED!$E23,IF(MATCHED!BA23=3,MATCHED!$F23,IF(MATCHED!BA23=6,MATCHED!$G23,IF(MATCHED!BA23=7,MATCHED!$H23,"")))))))&amp;IF(MATCHED!BA23=8,MATCHED!$I23,IF(MATCHED!BA23=9,MATCHED!$J23,IF(MATCHED!BA23=10,MATCHED!$K23,IF(MATCHED!BA23=11,MATCHED!$L23,IF(MATCHED!BA23=12,MATCHED!$M23,IF(MATCHED!BA23=13,MATCHED!$N23,IF(MATCHED!BA23=14,MATCHED!$O23,"")))))))&amp;IF(MATCHED!BA23=15,MATCHED!$P23,IF(MATCHED!BA23=16,MATCHED!$Q23,IF(MATCHED!BA23=17,MATCHED!$R23,IF(MATCHED!BA23=18,MATCHED!$S23,IF(MATCHED!BA23=19,MATCHED!$T23,IF(MATCHED!BA23=20,MATCHED!$U23,IF(MATCHED!BA23=21,MATCHED!$V23,)))))))&amp;IF(MATCHED!BA23=22,MATCHED!$W23,IF(MATCHED!BA23=23,MATCHED!$X23,IF(MATCHED!BA23=24,MATCHED!$Y23,IF(MATCHED!BA23=25,MATCHED!$Z23,IF(MATCHED!BA23=26,MATCHED!$AA23,IF(MATCHED!BA23=27,MATCHED!$AB23,"."))))))</f>
        <v>#N/A</v>
      </c>
      <c r="Z23" s="358" t="e">
        <f>IF(MATCHED!BB23=1,MATCHED!$B23,IF(MATCHED!BB23=2,MATCHED!$C23,IF(MATCHED!BB23=3,MATCHED!$D23,IF(MATCHED!BB23=4,MATCHED!$E23,IF(MATCHED!BB23=3,MATCHED!$F23,IF(MATCHED!BB23=6,MATCHED!$G23,IF(MATCHED!BB23=7,MATCHED!$H23,"")))))))&amp;IF(MATCHED!BB23=8,MATCHED!$I23,IF(MATCHED!BB23=9,MATCHED!$J23,IF(MATCHED!BB23=10,MATCHED!$K23,IF(MATCHED!BB23=11,MATCHED!$L23,IF(MATCHED!BB23=12,MATCHED!$M23,IF(MATCHED!BB23=13,MATCHED!$N23,IF(MATCHED!BB23=14,MATCHED!$O23,"")))))))&amp;IF(MATCHED!BB23=15,MATCHED!$P23,IF(MATCHED!BB23=16,MATCHED!$Q23,IF(MATCHED!BB23=17,MATCHED!$R23,IF(MATCHED!BB23=18,MATCHED!$S23,IF(MATCHED!BB23=19,MATCHED!$T23,IF(MATCHED!BB23=20,MATCHED!$U23,IF(MATCHED!BB23=21,MATCHED!$V23,)))))))&amp;IF(MATCHED!BB23=22,MATCHED!$W23,IF(MATCHED!BB23=23,MATCHED!$X23,IF(MATCHED!BB23=24,MATCHED!$Y23,IF(MATCHED!BB23=25,MATCHED!$Z23,IF(MATCHED!BB23=26,MATCHED!$AA23,IF(MATCHED!BB23=27,MATCHED!$AB23,"."))))))</f>
        <v>#N/A</v>
      </c>
      <c r="AA23" s="358" t="e">
        <f>IF(MATCHED!BC23=1,MATCHED!$B23,IF(MATCHED!BC23=2,MATCHED!$C23,IF(MATCHED!BC23=3,MATCHED!$D23,IF(MATCHED!BC23=4,MATCHED!$E23,IF(MATCHED!BC23=3,MATCHED!$F23,IF(MATCHED!BC23=6,MATCHED!$G23,IF(MATCHED!BC23=7,MATCHED!$H23,"")))))))&amp;IF(MATCHED!BC23=8,MATCHED!$I23,IF(MATCHED!BC23=9,MATCHED!$J23,IF(MATCHED!BC23=10,MATCHED!$K23,IF(MATCHED!BC23=11,MATCHED!$L23,IF(MATCHED!BC23=12,MATCHED!$M23,IF(MATCHED!BC23=13,MATCHED!$N23,IF(MATCHED!BC23=14,MATCHED!$O23,"")))))))&amp;IF(MATCHED!BC23=15,MATCHED!$P23,IF(MATCHED!BC23=16,MATCHED!$Q23,IF(MATCHED!BC23=17,MATCHED!$R23,IF(MATCHED!BC23=18,MATCHED!$S23,IF(MATCHED!BC23=19,MATCHED!$T23,IF(MATCHED!BC23=20,MATCHED!$U23,IF(MATCHED!BC23=21,MATCHED!$V23,)))))))&amp;IF(MATCHED!BC23=22,MATCHED!$W23,IF(MATCHED!BC23=23,MATCHED!$X23,IF(MATCHED!BC23=24,MATCHED!$Y23,IF(MATCHED!BC23=25,MATCHED!$Z23,IF(MATCHED!BC23=26,MATCHED!$AA23,IF(MATCHED!BC23=27,MATCHED!$AB23,"."))))))</f>
        <v>#N/A</v>
      </c>
      <c r="AB23" s="358" t="e">
        <f>IF(MATCHED!BD23=1,MATCHED!$B23,IF(MATCHED!BD23=2,MATCHED!$C23,IF(MATCHED!BD23=3,MATCHED!$D23,IF(MATCHED!BD23=4,MATCHED!$E23,IF(MATCHED!BD23=3,MATCHED!$F23,IF(MATCHED!BD23=6,MATCHED!$G23,IF(MATCHED!BD23=7,MATCHED!$H23,"")))))))&amp;IF(MATCHED!BD23=8,MATCHED!$I23,IF(MATCHED!BD23=9,MATCHED!$J23,IF(MATCHED!BD23=10,MATCHED!$K23,IF(MATCHED!BD23=11,MATCHED!$L23,IF(MATCHED!BD23=12,MATCHED!$M23,IF(MATCHED!BD23=13,MATCHED!$N23,IF(MATCHED!BD23=14,MATCHED!$O23,"")))))))&amp;IF(MATCHED!BD23=15,MATCHED!$P23,IF(MATCHED!BD23=16,MATCHED!$Q23,IF(MATCHED!BD23=17,MATCHED!$R23,IF(MATCHED!BD23=18,MATCHED!$S23,IF(MATCHED!BD23=19,MATCHED!$T23,IF(MATCHED!BD23=20,MATCHED!$U23,IF(MATCHED!BD23=21,MATCHED!$V23,)))))))&amp;IF(MATCHED!BD23=22,MATCHED!$W23,IF(MATCHED!BD23=23,MATCHED!$X23,IF(MATCHED!BD23=24,MATCHED!$Y23,IF(MATCHED!BD23=25,MATCHED!$Z23,IF(MATCHED!BD23=26,MATCHED!$AA23,IF(MATCHED!BD23=27,MATCHED!$AB23,"."))))))</f>
        <v>#N/A</v>
      </c>
      <c r="AC23" s="358" t="e">
        <f>IF(MATCHED!BE23=1,MATCHED!$B23,IF(MATCHED!BE23=2,MATCHED!$C23,IF(MATCHED!BE23=3,MATCHED!$D23,IF(MATCHED!BE23=4,MATCHED!$E23,IF(MATCHED!BE23=3,MATCHED!$F23,IF(MATCHED!BE23=6,MATCHED!$G23,IF(MATCHED!BE23=7,MATCHED!$H23,"")))))))&amp;IF(MATCHED!BE23=8,MATCHED!$I23,IF(MATCHED!BE23=9,MATCHED!$J23,IF(MATCHED!BE23=10,MATCHED!$K23,IF(MATCHED!BE23=11,MATCHED!$L23,IF(MATCHED!BE23=12,MATCHED!$M23,IF(MATCHED!BE23=13,MATCHED!$N23,IF(MATCHED!BE23=14,MATCHED!$O23,"")))))))&amp;IF(MATCHED!BE23=15,MATCHED!$P23,IF(MATCHED!BE23=16,MATCHED!$Q23,IF(MATCHED!BE23=17,MATCHED!$R23,IF(MATCHED!BE23=18,MATCHED!$S23,IF(MATCHED!BE23=19,MATCHED!$T23,IF(MATCHED!BE23=20,MATCHED!$U23,IF(MATCHED!BE23=21,MATCHED!$V23,)))))))&amp;IF(MATCHED!BE23=22,MATCHED!$W23,IF(MATCHED!BE23=23,MATCHED!$X23,IF(MATCHED!BE23=24,MATCHED!$Y23,IF(MATCHED!BE23=25,MATCHED!$Z23,IF(MATCHED!BE23=26,MATCHED!$AA23,IF(MATCHED!BE23=27,MATCHED!$AB23,"."))))))</f>
        <v>#N/A</v>
      </c>
      <c r="AD23" s="358" t="e">
        <f>IF(MATCHED!BF23=1,MATCHED!$B23,IF(MATCHED!BF23=2,MATCHED!$C23,IF(MATCHED!BF23=3,MATCHED!$D23,IF(MATCHED!BF23=4,MATCHED!$E23,IF(MATCHED!BF23=3,MATCHED!$F23,IF(MATCHED!BF23=6,MATCHED!$G23,IF(MATCHED!BF23=7,MATCHED!$H23,"")))))))&amp;IF(MATCHED!BF23=8,MATCHED!$I23,IF(MATCHED!BF23=9,MATCHED!$J23,IF(MATCHED!BF23=10,MATCHED!$K23,IF(MATCHED!BF23=11,MATCHED!$L23,IF(MATCHED!BF23=12,MATCHED!$M23,IF(MATCHED!BF23=13,MATCHED!$N23,IF(MATCHED!BF23=14,MATCHED!$O23,"")))))))&amp;IF(MATCHED!BF23=15,MATCHED!$P23,IF(MATCHED!BF23=16,MATCHED!$Q23,IF(MATCHED!BF23=17,MATCHED!$R23,IF(MATCHED!BF23=18,MATCHED!$S23,IF(MATCHED!BF23=19,MATCHED!$T23,IF(MATCHED!BF23=20,MATCHED!$U23,IF(MATCHED!BF23=21,MATCHED!$V23,)))))))&amp;IF(MATCHED!BF23=22,MATCHED!$W23,IF(MATCHED!BF23=23,MATCHED!$X23,IF(MATCHED!BF23=24,MATCHED!$Y23,IF(MATCHED!BF23=25,MATCHED!$Z23,IF(MATCHED!BF23=26,MATCHED!$AA23,IF(MATCHED!BF23=27,MATCHED!$AB23,"."))))))</f>
        <v>#N/A</v>
      </c>
      <c r="AE23" s="358" t="e">
        <f>IF(MATCHED!BG23=1,MATCHED!$B23,IF(MATCHED!BG23=2,MATCHED!$C23,IF(MATCHED!BG23=3,MATCHED!$D23,IF(MATCHED!BG23=4,MATCHED!$E23,IF(MATCHED!BG23=3,MATCHED!$F23,IF(MATCHED!BG23=6,MATCHED!$G23,IF(MATCHED!BG23=7,MATCHED!$H23,"")))))))&amp;IF(MATCHED!BG23=8,MATCHED!$I23,IF(MATCHED!BG23=9,MATCHED!$J23,IF(MATCHED!BG23=10,MATCHED!$K23,IF(MATCHED!BG23=11,MATCHED!$L23,IF(MATCHED!BG23=12,MATCHED!$M23,IF(MATCHED!BG23=13,MATCHED!$N23,IF(MATCHED!BG23=14,MATCHED!$O23,"")))))))&amp;IF(MATCHED!BG23=15,MATCHED!$P23,IF(MATCHED!BG23=16,MATCHED!$Q23,IF(MATCHED!BG23=17,MATCHED!$R23,IF(MATCHED!BG23=18,MATCHED!$S23,IF(MATCHED!BG23=19,MATCHED!$T23,IF(MATCHED!BG23=20,MATCHED!$U23,IF(MATCHED!BG23=21,MATCHED!$V23,)))))))&amp;IF(MATCHED!BG23=22,MATCHED!$W23,IF(MATCHED!BG23=23,MATCHED!$X23,IF(MATCHED!BG23=24,MATCHED!$Y23,IF(MATCHED!BG23=25,MATCHED!$Z23,IF(MATCHED!BG23=26,MATCHED!$AA23,IF(MATCHED!BG23=27,MATCHED!$AB23,"."))))))</f>
        <v>#N/A</v>
      </c>
      <c r="AF23" s="358" t="e">
        <f>IF(MATCHED!BH23=1,MATCHED!$B23,IF(MATCHED!BH23=2,MATCHED!$C23,IF(MATCHED!BH23=3,MATCHED!$D23,IF(MATCHED!BH23=4,MATCHED!$E23,IF(MATCHED!BH23=3,MATCHED!$F23,IF(MATCHED!BH23=6,MATCHED!$G23,IF(MATCHED!BH23=7,MATCHED!$H23,"")))))))&amp;IF(MATCHED!BH23=8,MATCHED!$I23,IF(MATCHED!BH23=9,MATCHED!$J23,IF(MATCHED!BH23=10,MATCHED!$K23,IF(MATCHED!BH23=11,MATCHED!$L23,IF(MATCHED!BH23=12,MATCHED!$M23,IF(MATCHED!BH23=13,MATCHED!$N23,IF(MATCHED!BH23=14,MATCHED!$O23,"")))))))&amp;IF(MATCHED!BH23=15,MATCHED!$P23,IF(MATCHED!BH23=16,MATCHED!$Q23,IF(MATCHED!BH23=17,MATCHED!$R23,IF(MATCHED!BH23=18,MATCHED!$S23,IF(MATCHED!BH23=19,MATCHED!$T23,IF(MATCHED!BH23=20,MATCHED!$U23,IF(MATCHED!BH23=21,MATCHED!$V23,)))))))&amp;IF(MATCHED!BH23=22,MATCHED!$W23,IF(MATCHED!BH23=23,MATCHED!$X23,IF(MATCHED!BH23=24,MATCHED!$Y23,IF(MATCHED!BH23=25,MATCHED!$Z23,IF(MATCHED!BH23=26,MATCHED!$AA23,IF(MATCHED!BH23=27,MATCHED!$AB23,"."))))))</f>
        <v>#N/A</v>
      </c>
      <c r="AG23" s="358" t="e">
        <f>IF(MATCHED!BI23=1,MATCHED!$B23,IF(MATCHED!BI23=2,MATCHED!$C23,IF(MATCHED!BI23=3,MATCHED!$D23,IF(MATCHED!BI23=4,MATCHED!$E23,IF(MATCHED!BI23=3,MATCHED!$F23,IF(MATCHED!BI23=6,MATCHED!$G23,IF(MATCHED!BI23=7,MATCHED!$H23,"")))))))&amp;IF(MATCHED!BI23=8,MATCHED!$I23,IF(MATCHED!BI23=9,MATCHED!$J23,IF(MATCHED!BI23=10,MATCHED!$K23,IF(MATCHED!BI23=11,MATCHED!$L23,IF(MATCHED!BI23=12,MATCHED!$M23,IF(MATCHED!BI23=13,MATCHED!$N23,IF(MATCHED!BI23=14,MATCHED!$O23,"")))))))&amp;IF(MATCHED!BI23=15,MATCHED!$P23,IF(MATCHED!BI23=16,MATCHED!$Q23,IF(MATCHED!BI23=17,MATCHED!$R23,IF(MATCHED!BI23=18,MATCHED!$S23,IF(MATCHED!BI23=19,MATCHED!$T23,IF(MATCHED!BI23=20,MATCHED!$U23,IF(MATCHED!BI23=21,MATCHED!$V23,)))))))&amp;IF(MATCHED!BI23=22,MATCHED!$W23,IF(MATCHED!BI23=23,MATCHED!$X23,IF(MATCHED!BI23=24,MATCHED!$Y23,IF(MATCHED!BI23=25,MATCHED!$Z23,IF(MATCHED!BI23=26,MATCHED!$AA23,IF(MATCHED!BI23=27,MATCHED!$AB23,"."))))))</f>
        <v>#N/A</v>
      </c>
      <c r="AH23" s="358" t="e">
        <f>IF(MATCHED!BJ23=1,MATCHED!$B23,IF(MATCHED!BJ23=2,MATCHED!$C23,IF(MATCHED!BJ23=3,MATCHED!$D23,IF(MATCHED!BJ23=4,MATCHED!$E23,IF(MATCHED!BJ23=3,MATCHED!$F23,IF(MATCHED!BJ23=6,MATCHED!$G23,IF(MATCHED!BJ23=7,MATCHED!$H23,"")))))))&amp;IF(MATCHED!BJ23=8,MATCHED!$I23,IF(MATCHED!BJ23=9,MATCHED!$J23,IF(MATCHED!BJ23=10,MATCHED!$K23,IF(MATCHED!BJ23=11,MATCHED!$L23,IF(MATCHED!BJ23=12,MATCHED!$M23,IF(MATCHED!BJ23=13,MATCHED!$N23,IF(MATCHED!BJ23=14,MATCHED!$O23,"")))))))&amp;IF(MATCHED!BJ23=15,MATCHED!$P23,IF(MATCHED!BJ23=16,MATCHED!$Q23,IF(MATCHED!BJ23=17,MATCHED!$R23,IF(MATCHED!BJ23=18,MATCHED!$S23,IF(MATCHED!BJ23=19,MATCHED!$T23,IF(MATCHED!BJ23=20,MATCHED!$U23,IF(MATCHED!BJ23=21,MATCHED!$V23,)))))))&amp;IF(MATCHED!BJ23=22,MATCHED!$W23,IF(MATCHED!BJ23=23,MATCHED!$X23,IF(MATCHED!BJ23=24,MATCHED!$Y23,IF(MATCHED!BJ23=25,MATCHED!$Z23,IF(MATCHED!BJ23=26,MATCHED!$AA23,IF(MATCHED!BJ23=27,MATCHED!$AB23,"."))))))</f>
        <v>#N/A</v>
      </c>
      <c r="AI23" s="358" t="e">
        <f>IF(MATCHED!BK23=1,MATCHED!$B23,IF(MATCHED!BK23=2,MATCHED!$C23,IF(MATCHED!BK23=3,MATCHED!$D23,IF(MATCHED!BK23=4,MATCHED!$E23,IF(MATCHED!BK23=3,MATCHED!$F23,IF(MATCHED!BK23=6,MATCHED!$G23,IF(MATCHED!BK23=7,MATCHED!$H23,"")))))))&amp;IF(MATCHED!BK23=8,MATCHED!$I23,IF(MATCHED!BK23=9,MATCHED!$J23,IF(MATCHED!BK23=10,MATCHED!$K23,IF(MATCHED!BK23=11,MATCHED!$L23,IF(MATCHED!BK23=12,MATCHED!$M23,IF(MATCHED!BK23=13,MATCHED!$N23,IF(MATCHED!BK23=14,MATCHED!$O23,"")))))))&amp;IF(MATCHED!BK23=15,MATCHED!$P23,IF(MATCHED!BK23=16,MATCHED!$Q23,IF(MATCHED!BK23=17,MATCHED!$R23,IF(MATCHED!BK23=18,MATCHED!$S23,IF(MATCHED!BK23=19,MATCHED!$T23,IF(MATCHED!BK23=20,MATCHED!$U23,IF(MATCHED!BK23=21,MATCHED!$V23,)))))))&amp;IF(MATCHED!BK23=22,MATCHED!$W23,IF(MATCHED!BK23=23,MATCHED!$X23,IF(MATCHED!BK23=24,MATCHED!$Y23,IF(MATCHED!BK23=25,MATCHED!$Z23,IF(MATCHED!BK23=26,MATCHED!$AA23,IF(MATCHED!BK23=27,MATCHED!$AB23,"."))))))</f>
        <v>#N/A</v>
      </c>
      <c r="AJ23" s="535"/>
    </row>
    <row r="24" spans="1:36" s="338" customFormat="1" ht="27" thickBot="1" x14ac:dyDescent="0.3">
      <c r="A24" s="534"/>
      <c r="B24" s="360" t="e">
        <f>IF(MATCHED!AD24=1,MATCHED!$B24,IF(MATCHED!AD24=2,MATCHED!$C24,IF(MATCHED!AD24=3,MATCHED!$D24,IF(MATCHED!AD24=4,MATCHED!$E24,IF(MATCHED!AD24=3,MATCHED!$F24,IF(MATCHED!AD24=6,MATCHED!$G24,IF(MATCHED!AD24=7,MATCHED!$H24,"")))))))&amp;IF(MATCHED!AD24=8,MATCHED!$I24,IF(MATCHED!AD24=9,MATCHED!$J24,IF(MATCHED!AD24=10,MATCHED!$K24,IF(MATCHED!AD24=11,MATCHED!$L24,IF(MATCHED!AD24=12,MATCHED!$M24,IF(MATCHED!AD24=13,MATCHED!$N24,IF(MATCHED!AD24=14,MATCHED!$O24,"")))))))&amp;IF(MATCHED!AD24=15,MATCHED!$P24,IF(MATCHED!AD24=16,MATCHED!$Q24,IF(MATCHED!AD24=17,MATCHED!$R24,IF(MATCHED!AD24=18,MATCHED!$S24,IF(MATCHED!AD24=19,MATCHED!$T24,IF(MATCHED!AD24=20,MATCHED!$U24,IF(MATCHED!AD24=21,MATCHED!$V24,)))))))&amp;IF(MATCHED!AD24=22,MATCHED!$W24,IF(MATCHED!AD24=23,MATCHED!$X24,IF(MATCHED!AD24=24,MATCHED!$Y24,IF(MATCHED!AD24=25,MATCHED!$Z24,IF(MATCHED!AD24=26,MATCHED!$AA24,IF(MATCHED!AD24=27,MATCHED!$AB24,"."))))))</f>
        <v>#N/A</v>
      </c>
      <c r="C24" s="360" t="e">
        <f>IF(MATCHED!AE24=1,MATCHED!$B24,IF(MATCHED!AE24=2,MATCHED!$C24,IF(MATCHED!AE24=3,MATCHED!$D24,IF(MATCHED!AE24=4,MATCHED!$E24,IF(MATCHED!AE24=3,MATCHED!$F24,IF(MATCHED!AE24=6,MATCHED!$G24,IF(MATCHED!AE24=7,MATCHED!$H24,"")))))))&amp;IF(MATCHED!AE24=8,MATCHED!$I24,IF(MATCHED!AE24=9,MATCHED!$J24,IF(MATCHED!AE24=10,MATCHED!$K24,IF(MATCHED!AE24=11,MATCHED!$L24,IF(MATCHED!AE24=12,MATCHED!$M24,IF(MATCHED!AE24=13,MATCHED!$N24,IF(MATCHED!AE24=14,MATCHED!$O24,"")))))))&amp;IF(MATCHED!AE24=15,MATCHED!$P24,IF(MATCHED!AE24=16,MATCHED!$Q24,IF(MATCHED!AE24=17,MATCHED!$R24,IF(MATCHED!AE24=18,MATCHED!$S24,IF(MATCHED!AE24=19,MATCHED!$T24,IF(MATCHED!AE24=20,MATCHED!$U24,IF(MATCHED!AE24=21,MATCHED!$V24,)))))))&amp;IF(MATCHED!AE24=22,MATCHED!$W24,IF(MATCHED!AE24=23,MATCHED!$X24,IF(MATCHED!AE24=24,MATCHED!$Y24,IF(MATCHED!AE24=25,MATCHED!$Z24,IF(MATCHED!AE24=26,MATCHED!$AA24,IF(MATCHED!AE24=27,MATCHED!$AB24,"."))))))</f>
        <v>#N/A</v>
      </c>
      <c r="D24" s="360" t="e">
        <f>IF(MATCHED!AF24=1,MATCHED!$B24,IF(MATCHED!AF24=2,MATCHED!$C24,IF(MATCHED!AF24=3,MATCHED!$D24,IF(MATCHED!AF24=4,MATCHED!$E24,IF(MATCHED!AF24=3,MATCHED!$F24,IF(MATCHED!AF24=6,MATCHED!$G24,IF(MATCHED!AF24=7,MATCHED!$H24,"")))))))&amp;IF(MATCHED!AF24=8,MATCHED!$I24,IF(MATCHED!AF24=9,MATCHED!$J24,IF(MATCHED!AF24=10,MATCHED!$K24,IF(MATCHED!AF24=11,MATCHED!$L24,IF(MATCHED!AF24=12,MATCHED!$M24,IF(MATCHED!AF24=13,MATCHED!$N24,IF(MATCHED!AF24=14,MATCHED!$O24,"")))))))&amp;IF(MATCHED!AF24=15,MATCHED!$P24,IF(MATCHED!AF24=16,MATCHED!$Q24,IF(MATCHED!AF24=17,MATCHED!$R24,IF(MATCHED!AF24=18,MATCHED!$S24,IF(MATCHED!AF24=19,MATCHED!$T24,IF(MATCHED!AF24=20,MATCHED!$U24,IF(MATCHED!AF24=21,MATCHED!$V24,)))))))&amp;IF(MATCHED!AF24=22,MATCHED!$W24,IF(MATCHED!AF24=23,MATCHED!$X24,IF(MATCHED!AF24=24,MATCHED!$Y24,IF(MATCHED!AF24=25,MATCHED!$Z24,IF(MATCHED!AF24=26,MATCHED!$AA24,IF(MATCHED!AF24=27,MATCHED!$AB24,"."))))))</f>
        <v>#N/A</v>
      </c>
      <c r="E24" s="360" t="e">
        <f>IF(MATCHED!AG24=1,MATCHED!$B24,IF(MATCHED!AG24=2,MATCHED!$C24,IF(MATCHED!AG24=3,MATCHED!$D24,IF(MATCHED!AG24=4,MATCHED!$E24,IF(MATCHED!AG24=3,MATCHED!$F24,IF(MATCHED!AG24=6,MATCHED!$G24,IF(MATCHED!AG24=7,MATCHED!$H24,"")))))))&amp;IF(MATCHED!AG24=8,MATCHED!$I24,IF(MATCHED!AG24=9,MATCHED!$J24,IF(MATCHED!AG24=10,MATCHED!$K24,IF(MATCHED!AG24=11,MATCHED!$L24,IF(MATCHED!AG24=12,MATCHED!$M24,IF(MATCHED!AG24=13,MATCHED!$N24,IF(MATCHED!AG24=14,MATCHED!$O24,"")))))))&amp;IF(MATCHED!AG24=15,MATCHED!$P24,IF(MATCHED!AG24=16,MATCHED!$Q24,IF(MATCHED!AG24=17,MATCHED!$R24,IF(MATCHED!AG24=18,MATCHED!$S24,IF(MATCHED!AG24=19,MATCHED!$T24,IF(MATCHED!AG24=20,MATCHED!$U24,IF(MATCHED!AG24=21,MATCHED!$V24,)))))))&amp;IF(MATCHED!AG24=22,MATCHED!$W24,IF(MATCHED!AG24=23,MATCHED!$X24,IF(MATCHED!AG24=24,MATCHED!$Y24,IF(MATCHED!AG24=25,MATCHED!$Z24,IF(MATCHED!AG24=26,MATCHED!$AA24,IF(MATCHED!AG24=27,MATCHED!$AB24,"."))))))</f>
        <v>#N/A</v>
      </c>
      <c r="F24" s="360" t="e">
        <f>IF(MATCHED!AH24=1,MATCHED!$B24,IF(MATCHED!AH24=2,MATCHED!$C24,IF(MATCHED!AH24=3,MATCHED!$D24,IF(MATCHED!AH24=4,MATCHED!$E24,IF(MATCHED!AH24=3,MATCHED!$F24,IF(MATCHED!AH24=6,MATCHED!$G24,IF(MATCHED!AH24=7,MATCHED!$H24,"")))))))&amp;IF(MATCHED!AH24=8,MATCHED!$I24,IF(MATCHED!AH24=9,MATCHED!$J24,IF(MATCHED!AH24=10,MATCHED!$K24,IF(MATCHED!AH24=11,MATCHED!$L24,IF(MATCHED!AH24=12,MATCHED!$M24,IF(MATCHED!AH24=13,MATCHED!$N24,IF(MATCHED!AH24=14,MATCHED!$O24,"")))))))&amp;IF(MATCHED!AH24=15,MATCHED!$P24,IF(MATCHED!AH24=16,MATCHED!$Q24,IF(MATCHED!AH24=17,MATCHED!$R24,IF(MATCHED!AH24=18,MATCHED!$S24,IF(MATCHED!AH24=19,MATCHED!$T24,IF(MATCHED!AH24=20,MATCHED!$U24,IF(MATCHED!AH24=21,MATCHED!$V24,)))))))&amp;IF(MATCHED!AH24=22,MATCHED!$W24,IF(MATCHED!AH24=23,MATCHED!$X24,IF(MATCHED!AH24=24,MATCHED!$Y24,IF(MATCHED!AH24=25,MATCHED!$Z24,IF(MATCHED!AH24=26,MATCHED!$AA24,IF(MATCHED!AH24=27,MATCHED!$AB24,"."))))))</f>
        <v>#N/A</v>
      </c>
      <c r="G24" s="360" t="e">
        <f>IF(MATCHED!AI24=1,MATCHED!$B24,IF(MATCHED!AI24=2,MATCHED!$C24,IF(MATCHED!AI24=3,MATCHED!$D24,IF(MATCHED!AI24=4,MATCHED!$E24,IF(MATCHED!AI24=3,MATCHED!$F24,IF(MATCHED!AI24=6,MATCHED!$G24,IF(MATCHED!AI24=7,MATCHED!$H24,"")))))))&amp;IF(MATCHED!AI24=8,MATCHED!$I24,IF(MATCHED!AI24=9,MATCHED!$J24,IF(MATCHED!AI24=10,MATCHED!$K24,IF(MATCHED!AI24=11,MATCHED!$L24,IF(MATCHED!AI24=12,MATCHED!$M24,IF(MATCHED!AI24=13,MATCHED!$N24,IF(MATCHED!AI24=14,MATCHED!$O24,"")))))))&amp;IF(MATCHED!AI24=15,MATCHED!$P24,IF(MATCHED!AI24=16,MATCHED!$Q24,IF(MATCHED!AI24=17,MATCHED!$R24,IF(MATCHED!AI24=18,MATCHED!$S24,IF(MATCHED!AI24=19,MATCHED!$T24,IF(MATCHED!AI24=20,MATCHED!$U24,IF(MATCHED!AI24=21,MATCHED!$V24,)))))))&amp;IF(MATCHED!AI24=22,MATCHED!$W24,IF(MATCHED!AI24=23,MATCHED!$X24,IF(MATCHED!AI24=24,MATCHED!$Y24,IF(MATCHED!AI24=25,MATCHED!$Z24,IF(MATCHED!AI24=26,MATCHED!$AA24,IF(MATCHED!AI24=27,MATCHED!$AB24,"."))))))</f>
        <v>#N/A</v>
      </c>
      <c r="H24" s="360" t="e">
        <f>IF(MATCHED!AJ24=1,MATCHED!$B24,IF(MATCHED!AJ24=2,MATCHED!$C24,IF(MATCHED!AJ24=3,MATCHED!$D24,IF(MATCHED!AJ24=4,MATCHED!$E24,IF(MATCHED!AJ24=3,MATCHED!$F24,IF(MATCHED!AJ24=6,MATCHED!$G24,IF(MATCHED!AJ24=7,MATCHED!$H24,"")))))))&amp;IF(MATCHED!AJ24=8,MATCHED!$I24,IF(MATCHED!AJ24=9,MATCHED!$J24,IF(MATCHED!AJ24=10,MATCHED!$K24,IF(MATCHED!AJ24=11,MATCHED!$L24,IF(MATCHED!AJ24=12,MATCHED!$M24,IF(MATCHED!AJ24=13,MATCHED!$N24,IF(MATCHED!AJ24=14,MATCHED!$O24,"")))))))&amp;IF(MATCHED!AJ24=15,MATCHED!$P24,IF(MATCHED!AJ24=16,MATCHED!$Q24,IF(MATCHED!AJ24=17,MATCHED!$R24,IF(MATCHED!AJ24=18,MATCHED!$S24,IF(MATCHED!AJ24=19,MATCHED!$T24,IF(MATCHED!AJ24=20,MATCHED!$U24,IF(MATCHED!AJ24=21,MATCHED!$V24,)))))))&amp;IF(MATCHED!AJ24=22,MATCHED!$W24,IF(MATCHED!AJ24=23,MATCHED!$X24,IF(MATCHED!AJ24=24,MATCHED!$Y24,IF(MATCHED!AJ24=25,MATCHED!$Z24,IF(MATCHED!AJ24=26,MATCHED!$AA24,IF(MATCHED!AJ24=27,MATCHED!$AB24,"."))))))</f>
        <v>#N/A</v>
      </c>
      <c r="I24" s="360" t="e">
        <f>IF(MATCHED!AK24=1,MATCHED!$B24,IF(MATCHED!AK24=2,MATCHED!$C24,IF(MATCHED!AK24=3,MATCHED!$D24,IF(MATCHED!AK24=4,MATCHED!$E24,IF(MATCHED!AK24=3,MATCHED!$F24,IF(MATCHED!AK24=6,MATCHED!$G24,IF(MATCHED!AK24=7,MATCHED!$H24,"")))))))&amp;IF(MATCHED!AK24=8,MATCHED!$I24,IF(MATCHED!AK24=9,MATCHED!$J24,IF(MATCHED!AK24=10,MATCHED!$K24,IF(MATCHED!AK24=11,MATCHED!$L24,IF(MATCHED!AK24=12,MATCHED!$M24,IF(MATCHED!AK24=13,MATCHED!$N24,IF(MATCHED!AK24=14,MATCHED!$O24,"")))))))&amp;IF(MATCHED!AK24=15,MATCHED!$P24,IF(MATCHED!AK24=16,MATCHED!$Q24,IF(MATCHED!AK24=17,MATCHED!$R24,IF(MATCHED!AK24=18,MATCHED!$S24,IF(MATCHED!AK24=19,MATCHED!$T24,IF(MATCHED!AK24=20,MATCHED!$U24,IF(MATCHED!AK24=21,MATCHED!$V24,)))))))&amp;IF(MATCHED!AK24=22,MATCHED!$W24,IF(MATCHED!AK24=23,MATCHED!$X24,IF(MATCHED!AK24=24,MATCHED!$Y24,IF(MATCHED!AK24=25,MATCHED!$Z24,IF(MATCHED!AK24=26,MATCHED!$AA24,IF(MATCHED!AK24=27,MATCHED!$AB24,"."))))))</f>
        <v>#N/A</v>
      </c>
      <c r="J24" s="360" t="e">
        <f>IF(MATCHED!AL24=1,MATCHED!$B24,IF(MATCHED!AL24=2,MATCHED!$C24,IF(MATCHED!AL24=3,MATCHED!$D24,IF(MATCHED!AL24=4,MATCHED!$E24,IF(MATCHED!AL24=3,MATCHED!$F24,IF(MATCHED!AL24=6,MATCHED!$G24,IF(MATCHED!AL24=7,MATCHED!$H24,"")))))))&amp;IF(MATCHED!AL24=8,MATCHED!$I24,IF(MATCHED!AL24=9,MATCHED!$J24,IF(MATCHED!AL24=10,MATCHED!$K24,IF(MATCHED!AL24=11,MATCHED!$L24,IF(MATCHED!AL24=12,MATCHED!$M24,IF(MATCHED!AL24=13,MATCHED!$N24,IF(MATCHED!AL24=14,MATCHED!$O24,"")))))))&amp;IF(MATCHED!AL24=15,MATCHED!$P24,IF(MATCHED!AL24=16,MATCHED!$Q24,IF(MATCHED!AL24=17,MATCHED!$R24,IF(MATCHED!AL24=18,MATCHED!$S24,IF(MATCHED!AL24=19,MATCHED!$T24,IF(MATCHED!AL24=20,MATCHED!$U24,IF(MATCHED!AL24=21,MATCHED!$V24,)))))))&amp;IF(MATCHED!AL24=22,MATCHED!$W24,IF(MATCHED!AL24=23,MATCHED!$X24,IF(MATCHED!AL24=24,MATCHED!$Y24,IF(MATCHED!AL24=25,MATCHED!$Z24,IF(MATCHED!AL24=26,MATCHED!$AA24,IF(MATCHED!AL24=27,MATCHED!$AB24,"."))))))</f>
        <v>#N/A</v>
      </c>
      <c r="K24" s="360" t="e">
        <f>IF(MATCHED!AM24=1,MATCHED!$B24,IF(MATCHED!AM24=2,MATCHED!$C24,IF(MATCHED!AM24=3,MATCHED!$D24,IF(MATCHED!AM24=4,MATCHED!$E24,IF(MATCHED!AM24=3,MATCHED!$F24,IF(MATCHED!AM24=6,MATCHED!$G24,IF(MATCHED!AM24=7,MATCHED!$H24,"")))))))&amp;IF(MATCHED!AM24=8,MATCHED!$I24,IF(MATCHED!AM24=9,MATCHED!$J24,IF(MATCHED!AM24=10,MATCHED!$K24,IF(MATCHED!AM24=11,MATCHED!$L24,IF(MATCHED!AM24=12,MATCHED!$M24,IF(MATCHED!AM24=13,MATCHED!$N24,IF(MATCHED!AM24=14,MATCHED!$O24,"")))))))&amp;IF(MATCHED!AM24=15,MATCHED!$P24,IF(MATCHED!AM24=16,MATCHED!$Q24,IF(MATCHED!AM24=17,MATCHED!$R24,IF(MATCHED!AM24=18,MATCHED!$S24,IF(MATCHED!AM24=19,MATCHED!$T24,IF(MATCHED!AM24=20,MATCHED!$U24,IF(MATCHED!AM24=21,MATCHED!$V24,)))))))&amp;IF(MATCHED!AM24=22,MATCHED!$W24,IF(MATCHED!AM24=23,MATCHED!$X24,IF(MATCHED!AM24=24,MATCHED!$Y24,IF(MATCHED!AM24=25,MATCHED!$Z24,IF(MATCHED!AM24=26,MATCHED!$AA24,IF(MATCHED!AM24=27,MATCHED!$AB24,"."))))))</f>
        <v>#N/A</v>
      </c>
      <c r="L24" s="360" t="e">
        <f>IF(MATCHED!AN24=1,MATCHED!$B24,IF(MATCHED!AN24=2,MATCHED!$C24,IF(MATCHED!AN24=3,MATCHED!$D24,IF(MATCHED!AN24=4,MATCHED!$E24,IF(MATCHED!AN24=3,MATCHED!$F24,IF(MATCHED!AN24=6,MATCHED!$G24,IF(MATCHED!AN24=7,MATCHED!$H24,"")))))))&amp;IF(MATCHED!AN24=8,MATCHED!$I24,IF(MATCHED!AN24=9,MATCHED!$J24,IF(MATCHED!AN24=10,MATCHED!$K24,IF(MATCHED!AN24=11,MATCHED!$L24,IF(MATCHED!AN24=12,MATCHED!$M24,IF(MATCHED!AN24=13,MATCHED!$N24,IF(MATCHED!AN24=14,MATCHED!$O24,"")))))))&amp;IF(MATCHED!AN24=15,MATCHED!$P24,IF(MATCHED!AN24=16,MATCHED!$Q24,IF(MATCHED!AN24=17,MATCHED!$R24,IF(MATCHED!AN24=18,MATCHED!$S24,IF(MATCHED!AN24=19,MATCHED!$T24,IF(MATCHED!AN24=20,MATCHED!$U24,IF(MATCHED!AN24=21,MATCHED!$V24,)))))))&amp;IF(MATCHED!AN24=22,MATCHED!$W24,IF(MATCHED!AN24=23,MATCHED!$X24,IF(MATCHED!AN24=24,MATCHED!$Y24,IF(MATCHED!AN24=25,MATCHED!$Z24,IF(MATCHED!AN24=26,MATCHED!$AA24,IF(MATCHED!AN24=27,MATCHED!$AB24,"."))))))</f>
        <v>#N/A</v>
      </c>
      <c r="M24" s="360" t="e">
        <f>IF(MATCHED!AO24=1,MATCHED!$B24,IF(MATCHED!AO24=2,MATCHED!$C24,IF(MATCHED!AO24=3,MATCHED!$D24,IF(MATCHED!AO24=4,MATCHED!$E24,IF(MATCHED!AO24=3,MATCHED!$F24,IF(MATCHED!AO24=6,MATCHED!$G24,IF(MATCHED!AO24=7,MATCHED!$H24,"")))))))&amp;IF(MATCHED!AO24=8,MATCHED!$I24,IF(MATCHED!AO24=9,MATCHED!$J24,IF(MATCHED!AO24=10,MATCHED!$K24,IF(MATCHED!AO24=11,MATCHED!$L24,IF(MATCHED!AO24=12,MATCHED!$M24,IF(MATCHED!AO24=13,MATCHED!$N24,IF(MATCHED!AO24=14,MATCHED!$O24,"")))))))&amp;IF(MATCHED!AO24=15,MATCHED!$P24,IF(MATCHED!AO24=16,MATCHED!$Q24,IF(MATCHED!AO24=17,MATCHED!$R24,IF(MATCHED!AO24=18,MATCHED!$S24,IF(MATCHED!AO24=19,MATCHED!$T24,IF(MATCHED!AO24=20,MATCHED!$U24,IF(MATCHED!AO24=21,MATCHED!$V24,)))))))&amp;IF(MATCHED!AO24=22,MATCHED!$W24,IF(MATCHED!AO24=23,MATCHED!$X24,IF(MATCHED!AO24=24,MATCHED!$Y24,IF(MATCHED!AO24=25,MATCHED!$Z24,IF(MATCHED!AO24=26,MATCHED!$AA24,IF(MATCHED!AO24=27,MATCHED!$AB24,"."))))))</f>
        <v>#N/A</v>
      </c>
      <c r="N24" s="360" t="e">
        <f>IF(MATCHED!AP24=1,MATCHED!$B24,IF(MATCHED!AP24=2,MATCHED!$C24,IF(MATCHED!AP24=3,MATCHED!$D24,IF(MATCHED!AP24=4,MATCHED!$E24,IF(MATCHED!AP24=3,MATCHED!$F24,IF(MATCHED!AP24=6,MATCHED!$G24,IF(MATCHED!AP24=7,MATCHED!$H24,"")))))))&amp;IF(MATCHED!AP24=8,MATCHED!$I24,IF(MATCHED!AP24=9,MATCHED!$J24,IF(MATCHED!AP24=10,MATCHED!$K24,IF(MATCHED!AP24=11,MATCHED!$L24,IF(MATCHED!AP24=12,MATCHED!$M24,IF(MATCHED!AP24=13,MATCHED!$N24,IF(MATCHED!AP24=14,MATCHED!$O24,"")))))))&amp;IF(MATCHED!AP24=15,MATCHED!$P24,IF(MATCHED!AP24=16,MATCHED!$Q24,IF(MATCHED!AP24=17,MATCHED!$R24,IF(MATCHED!AP24=18,MATCHED!$S24,IF(MATCHED!AP24=19,MATCHED!$T24,IF(MATCHED!AP24=20,MATCHED!$U24,IF(MATCHED!AP24=21,MATCHED!$V24,)))))))&amp;IF(MATCHED!AP24=22,MATCHED!$W24,IF(MATCHED!AP24=23,MATCHED!$X24,IF(MATCHED!AP24=24,MATCHED!$Y24,IF(MATCHED!AP24=25,MATCHED!$Z24,IF(MATCHED!AP24=26,MATCHED!$AA24,IF(MATCHED!AP24=27,MATCHED!$AB24,"."))))))</f>
        <v>#N/A</v>
      </c>
      <c r="O24" s="360" t="e">
        <f>IF(MATCHED!AQ24=1,MATCHED!$B24,IF(MATCHED!AQ24=2,MATCHED!$C24,IF(MATCHED!AQ24=3,MATCHED!$D24,IF(MATCHED!AQ24=4,MATCHED!$E24,IF(MATCHED!AQ24=3,MATCHED!$F24,IF(MATCHED!AQ24=6,MATCHED!$G24,IF(MATCHED!AQ24=7,MATCHED!$H24,"")))))))&amp;IF(MATCHED!AQ24=8,MATCHED!$I24,IF(MATCHED!AQ24=9,MATCHED!$J24,IF(MATCHED!AQ24=10,MATCHED!$K24,IF(MATCHED!AQ24=11,MATCHED!$L24,IF(MATCHED!AQ24=12,MATCHED!$M24,IF(MATCHED!AQ24=13,MATCHED!$N24,IF(MATCHED!AQ24=14,MATCHED!$O24,"")))))))&amp;IF(MATCHED!AQ24=15,MATCHED!$P24,IF(MATCHED!AQ24=16,MATCHED!$Q24,IF(MATCHED!AQ24=17,MATCHED!$R24,IF(MATCHED!AQ24=18,MATCHED!$S24,IF(MATCHED!AQ24=19,MATCHED!$T24,IF(MATCHED!AQ24=20,MATCHED!$U24,IF(MATCHED!AQ24=21,MATCHED!$V24,)))))))&amp;IF(MATCHED!AQ24=22,MATCHED!$W24,IF(MATCHED!AQ24=23,MATCHED!$X24,IF(MATCHED!AQ24=24,MATCHED!$Y24,IF(MATCHED!AQ24=25,MATCHED!$Z24,IF(MATCHED!AQ24=26,MATCHED!$AA24,IF(MATCHED!AQ24=27,MATCHED!$AB24,"."))))))</f>
        <v>#N/A</v>
      </c>
      <c r="P24" s="360" t="e">
        <f>IF(MATCHED!AR24=1,MATCHED!$B24,IF(MATCHED!AR24=2,MATCHED!$C24,IF(MATCHED!AR24=3,MATCHED!$D24,IF(MATCHED!AR24=4,MATCHED!$E24,IF(MATCHED!AR24=3,MATCHED!$F24,IF(MATCHED!AR24=6,MATCHED!$G24,IF(MATCHED!AR24=7,MATCHED!$H24,"")))))))&amp;IF(MATCHED!AR24=8,MATCHED!$I24,IF(MATCHED!AR24=9,MATCHED!$J24,IF(MATCHED!AR24=10,MATCHED!$K24,IF(MATCHED!AR24=11,MATCHED!$L24,IF(MATCHED!AR24=12,MATCHED!$M24,IF(MATCHED!AR24=13,MATCHED!$N24,IF(MATCHED!AR24=14,MATCHED!$O24,"")))))))&amp;IF(MATCHED!AR24=15,MATCHED!$P24,IF(MATCHED!AR24=16,MATCHED!$Q24,IF(MATCHED!AR24=17,MATCHED!$R24,IF(MATCHED!AR24=18,MATCHED!$S24,IF(MATCHED!AR24=19,MATCHED!$T24,IF(MATCHED!AR24=20,MATCHED!$U24,IF(MATCHED!AR24=21,MATCHED!$V24,)))))))&amp;IF(MATCHED!AR24=22,MATCHED!$W24,IF(MATCHED!AR24=23,MATCHED!$X24,IF(MATCHED!AR24=24,MATCHED!$Y24,IF(MATCHED!AR24=25,MATCHED!$Z24,IF(MATCHED!AR24=26,MATCHED!$AA24,IF(MATCHED!AR24=27,MATCHED!$AB24,"."))))))</f>
        <v>#N/A</v>
      </c>
      <c r="Q24" s="360" t="e">
        <f>IF(MATCHED!AS24=1,MATCHED!$B24,IF(MATCHED!AS24=2,MATCHED!$C24,IF(MATCHED!AS24=3,MATCHED!$D24,IF(MATCHED!AS24=4,MATCHED!$E24,IF(MATCHED!AS24=3,MATCHED!$F24,IF(MATCHED!AS24=6,MATCHED!$G24,IF(MATCHED!AS24=7,MATCHED!$H24,"")))))))&amp;IF(MATCHED!AS24=8,MATCHED!$I24,IF(MATCHED!AS24=9,MATCHED!$J24,IF(MATCHED!AS24=10,MATCHED!$K24,IF(MATCHED!AS24=11,MATCHED!$L24,IF(MATCHED!AS24=12,MATCHED!$M24,IF(MATCHED!AS24=13,MATCHED!$N24,IF(MATCHED!AS24=14,MATCHED!$O24,"")))))))&amp;IF(MATCHED!AS24=15,MATCHED!$P24,IF(MATCHED!AS24=16,MATCHED!$Q24,IF(MATCHED!AS24=17,MATCHED!$R24,IF(MATCHED!AS24=18,MATCHED!$S24,IF(MATCHED!AS24=19,MATCHED!$T24,IF(MATCHED!AS24=20,MATCHED!$U24,IF(MATCHED!AS24=21,MATCHED!$V24,)))))))&amp;IF(MATCHED!AS24=22,MATCHED!$W24,IF(MATCHED!AS24=23,MATCHED!$X24,IF(MATCHED!AS24=24,MATCHED!$Y24,IF(MATCHED!AS24=25,MATCHED!$Z24,IF(MATCHED!AS24=26,MATCHED!$AA24,IF(MATCHED!AS24=27,MATCHED!$AB24,"."))))))</f>
        <v>#N/A</v>
      </c>
      <c r="R24" s="360" t="e">
        <f>IF(MATCHED!AT24=1,MATCHED!$B24,IF(MATCHED!AT24=2,MATCHED!$C24,IF(MATCHED!AT24=3,MATCHED!$D24,IF(MATCHED!AT24=4,MATCHED!$E24,IF(MATCHED!AT24=3,MATCHED!$F24,IF(MATCHED!AT24=6,MATCHED!$G24,IF(MATCHED!AT24=7,MATCHED!$H24,"")))))))&amp;IF(MATCHED!AT24=8,MATCHED!$I24,IF(MATCHED!AT24=9,MATCHED!$J24,IF(MATCHED!AT24=10,MATCHED!$K24,IF(MATCHED!AT24=11,MATCHED!$L24,IF(MATCHED!AT24=12,MATCHED!$M24,IF(MATCHED!AT24=13,MATCHED!$N24,IF(MATCHED!AT24=14,MATCHED!$O24,"")))))))&amp;IF(MATCHED!AT24=15,MATCHED!$P24,IF(MATCHED!AT24=16,MATCHED!$Q24,IF(MATCHED!AT24=17,MATCHED!$R24,IF(MATCHED!AT24=18,MATCHED!$S24,IF(MATCHED!AT24=19,MATCHED!$T24,IF(MATCHED!AT24=20,MATCHED!$U24,IF(MATCHED!AT24=21,MATCHED!$V24,)))))))&amp;IF(MATCHED!AT24=22,MATCHED!$W24,IF(MATCHED!AT24=23,MATCHED!$X24,IF(MATCHED!AT24=24,MATCHED!$Y24,IF(MATCHED!AT24=25,MATCHED!$Z24,IF(MATCHED!AT24=26,MATCHED!$AA24,IF(MATCHED!AT24=27,MATCHED!$AB24,"."))))))</f>
        <v>#N/A</v>
      </c>
      <c r="S24" s="360" t="e">
        <f>IF(MATCHED!AU24=1,MATCHED!$B24,IF(MATCHED!AU24=2,MATCHED!$C24,IF(MATCHED!AU24=3,MATCHED!$D24,IF(MATCHED!AU24=4,MATCHED!$E24,IF(MATCHED!AU24=3,MATCHED!$F24,IF(MATCHED!AU24=6,MATCHED!$G24,IF(MATCHED!AU24=7,MATCHED!$H24,"")))))))&amp;IF(MATCHED!AU24=8,MATCHED!$I24,IF(MATCHED!AU24=9,MATCHED!$J24,IF(MATCHED!AU24=10,MATCHED!$K24,IF(MATCHED!AU24=11,MATCHED!$L24,IF(MATCHED!AU24=12,MATCHED!$M24,IF(MATCHED!AU24=13,MATCHED!$N24,IF(MATCHED!AU24=14,MATCHED!$O24,"")))))))&amp;IF(MATCHED!AU24=15,MATCHED!$P24,IF(MATCHED!AU24=16,MATCHED!$Q24,IF(MATCHED!AU24=17,MATCHED!$R24,IF(MATCHED!AU24=18,MATCHED!$S24,IF(MATCHED!AU24=19,MATCHED!$T24,IF(MATCHED!AU24=20,MATCHED!$U24,IF(MATCHED!AU24=21,MATCHED!$V24,)))))))&amp;IF(MATCHED!AU24=22,MATCHED!$W24,IF(MATCHED!AU24=23,MATCHED!$X24,IF(MATCHED!AU24=24,MATCHED!$Y24,IF(MATCHED!AU24=25,MATCHED!$Z24,IF(MATCHED!AU24=26,MATCHED!$AA24,IF(MATCHED!AU24=27,MATCHED!$AB24,"."))))))</f>
        <v>#N/A</v>
      </c>
      <c r="T24" s="360" t="e">
        <f>IF(MATCHED!AV24=1,MATCHED!$B24,IF(MATCHED!AV24=2,MATCHED!$C24,IF(MATCHED!AV24=3,MATCHED!$D24,IF(MATCHED!AV24=4,MATCHED!$E24,IF(MATCHED!AV24=3,MATCHED!$F24,IF(MATCHED!AV24=6,MATCHED!$G24,IF(MATCHED!AV24=7,MATCHED!$H24,"")))))))&amp;IF(MATCHED!AV24=8,MATCHED!$I24,IF(MATCHED!AV24=9,MATCHED!$J24,IF(MATCHED!AV24=10,MATCHED!$K24,IF(MATCHED!AV24=11,MATCHED!$L24,IF(MATCHED!AV24=12,MATCHED!$M24,IF(MATCHED!AV24=13,MATCHED!$N24,IF(MATCHED!AV24=14,MATCHED!$O24,"")))))))&amp;IF(MATCHED!AV24=15,MATCHED!$P24,IF(MATCHED!AV24=16,MATCHED!$Q24,IF(MATCHED!AV24=17,MATCHED!$R24,IF(MATCHED!AV24=18,MATCHED!$S24,IF(MATCHED!AV24=19,MATCHED!$T24,IF(MATCHED!AV24=20,MATCHED!$U24,IF(MATCHED!AV24=21,MATCHED!$V24,)))))))&amp;IF(MATCHED!AV24=22,MATCHED!$W24,IF(MATCHED!AV24=23,MATCHED!$X24,IF(MATCHED!AV24=24,MATCHED!$Y24,IF(MATCHED!AV24=25,MATCHED!$Z24,IF(MATCHED!AV24=26,MATCHED!$AA24,IF(MATCHED!AV24=27,MATCHED!$AB24,"."))))))</f>
        <v>#N/A</v>
      </c>
      <c r="U24" s="360" t="e">
        <f>IF(MATCHED!AW24=1,MATCHED!$B24,IF(MATCHED!AW24=2,MATCHED!$C24,IF(MATCHED!AW24=3,MATCHED!$D24,IF(MATCHED!AW24=4,MATCHED!$E24,IF(MATCHED!AW24=3,MATCHED!$F24,IF(MATCHED!AW24=6,MATCHED!$G24,IF(MATCHED!AW24=7,MATCHED!$H24,"")))))))&amp;IF(MATCHED!AW24=8,MATCHED!$I24,IF(MATCHED!AW24=9,MATCHED!$J24,IF(MATCHED!AW24=10,MATCHED!$K24,IF(MATCHED!AW24=11,MATCHED!$L24,IF(MATCHED!AW24=12,MATCHED!$M24,IF(MATCHED!AW24=13,MATCHED!$N24,IF(MATCHED!AW24=14,MATCHED!$O24,"")))))))&amp;IF(MATCHED!AW24=15,MATCHED!$P24,IF(MATCHED!AW24=16,MATCHED!$Q24,IF(MATCHED!AW24=17,MATCHED!$R24,IF(MATCHED!AW24=18,MATCHED!$S24,IF(MATCHED!AW24=19,MATCHED!$T24,IF(MATCHED!AW24=20,MATCHED!$U24,IF(MATCHED!AW24=21,MATCHED!$V24,)))))))&amp;IF(MATCHED!AW24=22,MATCHED!$W24,IF(MATCHED!AW24=23,MATCHED!$X24,IF(MATCHED!AW24=24,MATCHED!$Y24,IF(MATCHED!AW24=25,MATCHED!$Z24,IF(MATCHED!AW24=26,MATCHED!$AA24,IF(MATCHED!AW24=27,MATCHED!$AB24,"."))))))</f>
        <v>#N/A</v>
      </c>
      <c r="V24" s="360" t="e">
        <f>IF(MATCHED!AX24=1,MATCHED!$B24,IF(MATCHED!AX24=2,MATCHED!$C24,IF(MATCHED!AX24=3,MATCHED!$D24,IF(MATCHED!AX24=4,MATCHED!$E24,IF(MATCHED!AX24=3,MATCHED!$F24,IF(MATCHED!AX24=6,MATCHED!$G24,IF(MATCHED!AX24=7,MATCHED!$H24,"")))))))&amp;IF(MATCHED!AX24=8,MATCHED!$I24,IF(MATCHED!AX24=9,MATCHED!$J24,IF(MATCHED!AX24=10,MATCHED!$K24,IF(MATCHED!AX24=11,MATCHED!$L24,IF(MATCHED!AX24=12,MATCHED!$M24,IF(MATCHED!AX24=13,MATCHED!$N24,IF(MATCHED!AX24=14,MATCHED!$O24,"")))))))&amp;IF(MATCHED!AX24=15,MATCHED!$P24,IF(MATCHED!AX24=16,MATCHED!$Q24,IF(MATCHED!AX24=17,MATCHED!$R24,IF(MATCHED!AX24=18,MATCHED!$S24,IF(MATCHED!AX24=19,MATCHED!$T24,IF(MATCHED!AX24=20,MATCHED!$U24,IF(MATCHED!AX24=21,MATCHED!$V24,)))))))&amp;IF(MATCHED!AX24=22,MATCHED!$W24,IF(MATCHED!AX24=23,MATCHED!$X24,IF(MATCHED!AX24=24,MATCHED!$Y24,IF(MATCHED!AX24=25,MATCHED!$Z24,IF(MATCHED!AX24=26,MATCHED!$AA24,IF(MATCHED!AX24=27,MATCHED!$AB24,"."))))))</f>
        <v>#N/A</v>
      </c>
      <c r="W24" s="360" t="e">
        <f>IF(MATCHED!AY24=1,MATCHED!$B24,IF(MATCHED!AY24=2,MATCHED!$C24,IF(MATCHED!AY24=3,MATCHED!$D24,IF(MATCHED!AY24=4,MATCHED!$E24,IF(MATCHED!AY24=3,MATCHED!$F24,IF(MATCHED!AY24=6,MATCHED!$G24,IF(MATCHED!AY24=7,MATCHED!$H24,"")))))))&amp;IF(MATCHED!AY24=8,MATCHED!$I24,IF(MATCHED!AY24=9,MATCHED!$J24,IF(MATCHED!AY24=10,MATCHED!$K24,IF(MATCHED!AY24=11,MATCHED!$L24,IF(MATCHED!AY24=12,MATCHED!$M24,IF(MATCHED!AY24=13,MATCHED!$N24,IF(MATCHED!AY24=14,MATCHED!$O24,"")))))))&amp;IF(MATCHED!AY24=15,MATCHED!$P24,IF(MATCHED!AY24=16,MATCHED!$Q24,IF(MATCHED!AY24=17,MATCHED!$R24,IF(MATCHED!AY24=18,MATCHED!$S24,IF(MATCHED!AY24=19,MATCHED!$T24,IF(MATCHED!AY24=20,MATCHED!$U24,IF(MATCHED!AY24=21,MATCHED!$V24,)))))))&amp;IF(MATCHED!AY24=22,MATCHED!$W24,IF(MATCHED!AY24=23,MATCHED!$X24,IF(MATCHED!AY24=24,MATCHED!$Y24,IF(MATCHED!AY24=25,MATCHED!$Z24,IF(MATCHED!AY24=26,MATCHED!$AA24,IF(MATCHED!AY24=27,MATCHED!$AB24,"."))))))</f>
        <v>#N/A</v>
      </c>
      <c r="X24" s="360" t="e">
        <f>IF(MATCHED!AZ24=1,MATCHED!$B24,IF(MATCHED!AZ24=2,MATCHED!$C24,IF(MATCHED!AZ24=3,MATCHED!$D24,IF(MATCHED!AZ24=4,MATCHED!$E24,IF(MATCHED!AZ24=3,MATCHED!$F24,IF(MATCHED!AZ24=6,MATCHED!$G24,IF(MATCHED!AZ24=7,MATCHED!$H24,"")))))))&amp;IF(MATCHED!AZ24=8,MATCHED!$I24,IF(MATCHED!AZ24=9,MATCHED!$J24,IF(MATCHED!AZ24=10,MATCHED!$K24,IF(MATCHED!AZ24=11,MATCHED!$L24,IF(MATCHED!AZ24=12,MATCHED!$M24,IF(MATCHED!AZ24=13,MATCHED!$N24,IF(MATCHED!AZ24=14,MATCHED!$O24,"")))))))&amp;IF(MATCHED!AZ24=15,MATCHED!$P24,IF(MATCHED!AZ24=16,MATCHED!$Q24,IF(MATCHED!AZ24=17,MATCHED!$R24,IF(MATCHED!AZ24=18,MATCHED!$S24,IF(MATCHED!AZ24=19,MATCHED!$T24,IF(MATCHED!AZ24=20,MATCHED!$U24,IF(MATCHED!AZ24=21,MATCHED!$V24,)))))))&amp;IF(MATCHED!AZ24=22,MATCHED!$W24,IF(MATCHED!AZ24=23,MATCHED!$X24,IF(MATCHED!AZ24=24,MATCHED!$Y24,IF(MATCHED!AZ24=25,MATCHED!$Z24,IF(MATCHED!AZ24=26,MATCHED!$AA24,IF(MATCHED!AZ24=27,MATCHED!$AB24,"."))))))</f>
        <v>#N/A</v>
      </c>
      <c r="Y24" s="360" t="e">
        <f>IF(MATCHED!BA24=1,MATCHED!$B24,IF(MATCHED!BA24=2,MATCHED!$C24,IF(MATCHED!BA24=3,MATCHED!$D24,IF(MATCHED!BA24=4,MATCHED!$E24,IF(MATCHED!BA24=3,MATCHED!$F24,IF(MATCHED!BA24=6,MATCHED!$G24,IF(MATCHED!BA24=7,MATCHED!$H24,"")))))))&amp;IF(MATCHED!BA24=8,MATCHED!$I24,IF(MATCHED!BA24=9,MATCHED!$J24,IF(MATCHED!BA24=10,MATCHED!$K24,IF(MATCHED!BA24=11,MATCHED!$L24,IF(MATCHED!BA24=12,MATCHED!$M24,IF(MATCHED!BA24=13,MATCHED!$N24,IF(MATCHED!BA24=14,MATCHED!$O24,"")))))))&amp;IF(MATCHED!BA24=15,MATCHED!$P24,IF(MATCHED!BA24=16,MATCHED!$Q24,IF(MATCHED!BA24=17,MATCHED!$R24,IF(MATCHED!BA24=18,MATCHED!$S24,IF(MATCHED!BA24=19,MATCHED!$T24,IF(MATCHED!BA24=20,MATCHED!$U24,IF(MATCHED!BA24=21,MATCHED!$V24,)))))))&amp;IF(MATCHED!BA24=22,MATCHED!$W24,IF(MATCHED!BA24=23,MATCHED!$X24,IF(MATCHED!BA24=24,MATCHED!$Y24,IF(MATCHED!BA24=25,MATCHED!$Z24,IF(MATCHED!BA24=26,MATCHED!$AA24,IF(MATCHED!BA24=27,MATCHED!$AB24,"."))))))</f>
        <v>#N/A</v>
      </c>
      <c r="Z24" s="360" t="e">
        <f>IF(MATCHED!BB24=1,MATCHED!$B24,IF(MATCHED!BB24=2,MATCHED!$C24,IF(MATCHED!BB24=3,MATCHED!$D24,IF(MATCHED!BB24=4,MATCHED!$E24,IF(MATCHED!BB24=3,MATCHED!$F24,IF(MATCHED!BB24=6,MATCHED!$G24,IF(MATCHED!BB24=7,MATCHED!$H24,"")))))))&amp;IF(MATCHED!BB24=8,MATCHED!$I24,IF(MATCHED!BB24=9,MATCHED!$J24,IF(MATCHED!BB24=10,MATCHED!$K24,IF(MATCHED!BB24=11,MATCHED!$L24,IF(MATCHED!BB24=12,MATCHED!$M24,IF(MATCHED!BB24=13,MATCHED!$N24,IF(MATCHED!BB24=14,MATCHED!$O24,"")))))))&amp;IF(MATCHED!BB24=15,MATCHED!$P24,IF(MATCHED!BB24=16,MATCHED!$Q24,IF(MATCHED!BB24=17,MATCHED!$R24,IF(MATCHED!BB24=18,MATCHED!$S24,IF(MATCHED!BB24=19,MATCHED!$T24,IF(MATCHED!BB24=20,MATCHED!$U24,IF(MATCHED!BB24=21,MATCHED!$V24,)))))))&amp;IF(MATCHED!BB24=22,MATCHED!$W24,IF(MATCHED!BB24=23,MATCHED!$X24,IF(MATCHED!BB24=24,MATCHED!$Y24,IF(MATCHED!BB24=25,MATCHED!$Z24,IF(MATCHED!BB24=26,MATCHED!$AA24,IF(MATCHED!BB24=27,MATCHED!$AB24,"."))))))</f>
        <v>#N/A</v>
      </c>
      <c r="AA24" s="360" t="e">
        <f>IF(MATCHED!BC24=1,MATCHED!$B24,IF(MATCHED!BC24=2,MATCHED!$C24,IF(MATCHED!BC24=3,MATCHED!$D24,IF(MATCHED!BC24=4,MATCHED!$E24,IF(MATCHED!BC24=3,MATCHED!$F24,IF(MATCHED!BC24=6,MATCHED!$G24,IF(MATCHED!BC24=7,MATCHED!$H24,"")))))))&amp;IF(MATCHED!BC24=8,MATCHED!$I24,IF(MATCHED!BC24=9,MATCHED!$J24,IF(MATCHED!BC24=10,MATCHED!$K24,IF(MATCHED!BC24=11,MATCHED!$L24,IF(MATCHED!BC24=12,MATCHED!$M24,IF(MATCHED!BC24=13,MATCHED!$N24,IF(MATCHED!BC24=14,MATCHED!$O24,"")))))))&amp;IF(MATCHED!BC24=15,MATCHED!$P24,IF(MATCHED!BC24=16,MATCHED!$Q24,IF(MATCHED!BC24=17,MATCHED!$R24,IF(MATCHED!BC24=18,MATCHED!$S24,IF(MATCHED!BC24=19,MATCHED!$T24,IF(MATCHED!BC24=20,MATCHED!$U24,IF(MATCHED!BC24=21,MATCHED!$V24,)))))))&amp;IF(MATCHED!BC24=22,MATCHED!$W24,IF(MATCHED!BC24=23,MATCHED!$X24,IF(MATCHED!BC24=24,MATCHED!$Y24,IF(MATCHED!BC24=25,MATCHED!$Z24,IF(MATCHED!BC24=26,MATCHED!$AA24,IF(MATCHED!BC24=27,MATCHED!$AB24,"."))))))</f>
        <v>#N/A</v>
      </c>
      <c r="AB24" s="360" t="e">
        <f>IF(MATCHED!BD24=1,MATCHED!$B24,IF(MATCHED!BD24=2,MATCHED!$C24,IF(MATCHED!BD24=3,MATCHED!$D24,IF(MATCHED!BD24=4,MATCHED!$E24,IF(MATCHED!BD24=3,MATCHED!$F24,IF(MATCHED!BD24=6,MATCHED!$G24,IF(MATCHED!BD24=7,MATCHED!$H24,"")))))))&amp;IF(MATCHED!BD24=8,MATCHED!$I24,IF(MATCHED!BD24=9,MATCHED!$J24,IF(MATCHED!BD24=10,MATCHED!$K24,IF(MATCHED!BD24=11,MATCHED!$L24,IF(MATCHED!BD24=12,MATCHED!$M24,IF(MATCHED!BD24=13,MATCHED!$N24,IF(MATCHED!BD24=14,MATCHED!$O24,"")))))))&amp;IF(MATCHED!BD24=15,MATCHED!$P24,IF(MATCHED!BD24=16,MATCHED!$Q24,IF(MATCHED!BD24=17,MATCHED!$R24,IF(MATCHED!BD24=18,MATCHED!$S24,IF(MATCHED!BD24=19,MATCHED!$T24,IF(MATCHED!BD24=20,MATCHED!$U24,IF(MATCHED!BD24=21,MATCHED!$V24,)))))))&amp;IF(MATCHED!BD24=22,MATCHED!$W24,IF(MATCHED!BD24=23,MATCHED!$X24,IF(MATCHED!BD24=24,MATCHED!$Y24,IF(MATCHED!BD24=25,MATCHED!$Z24,IF(MATCHED!BD24=26,MATCHED!$AA24,IF(MATCHED!BD24=27,MATCHED!$AB24,"."))))))</f>
        <v>#N/A</v>
      </c>
      <c r="AC24" s="360" t="e">
        <f>IF(MATCHED!BE24=1,MATCHED!$B24,IF(MATCHED!BE24=2,MATCHED!$C24,IF(MATCHED!BE24=3,MATCHED!$D24,IF(MATCHED!BE24=4,MATCHED!$E24,IF(MATCHED!BE24=3,MATCHED!$F24,IF(MATCHED!BE24=6,MATCHED!$G24,IF(MATCHED!BE24=7,MATCHED!$H24,"")))))))&amp;IF(MATCHED!BE24=8,MATCHED!$I24,IF(MATCHED!BE24=9,MATCHED!$J24,IF(MATCHED!BE24=10,MATCHED!$K24,IF(MATCHED!BE24=11,MATCHED!$L24,IF(MATCHED!BE24=12,MATCHED!$M24,IF(MATCHED!BE24=13,MATCHED!$N24,IF(MATCHED!BE24=14,MATCHED!$O24,"")))))))&amp;IF(MATCHED!BE24=15,MATCHED!$P24,IF(MATCHED!BE24=16,MATCHED!$Q24,IF(MATCHED!BE24=17,MATCHED!$R24,IF(MATCHED!BE24=18,MATCHED!$S24,IF(MATCHED!BE24=19,MATCHED!$T24,IF(MATCHED!BE24=20,MATCHED!$U24,IF(MATCHED!BE24=21,MATCHED!$V24,)))))))&amp;IF(MATCHED!BE24=22,MATCHED!$W24,IF(MATCHED!BE24=23,MATCHED!$X24,IF(MATCHED!BE24=24,MATCHED!$Y24,IF(MATCHED!BE24=25,MATCHED!$Z24,IF(MATCHED!BE24=26,MATCHED!$AA24,IF(MATCHED!BE24=27,MATCHED!$AB24,"."))))))</f>
        <v>#N/A</v>
      </c>
      <c r="AD24" s="360" t="e">
        <f>IF(MATCHED!BF24=1,MATCHED!$B24,IF(MATCHED!BF24=2,MATCHED!$C24,IF(MATCHED!BF24=3,MATCHED!$D24,IF(MATCHED!BF24=4,MATCHED!$E24,IF(MATCHED!BF24=3,MATCHED!$F24,IF(MATCHED!BF24=6,MATCHED!$G24,IF(MATCHED!BF24=7,MATCHED!$H24,"")))))))&amp;IF(MATCHED!BF24=8,MATCHED!$I24,IF(MATCHED!BF24=9,MATCHED!$J24,IF(MATCHED!BF24=10,MATCHED!$K24,IF(MATCHED!BF24=11,MATCHED!$L24,IF(MATCHED!BF24=12,MATCHED!$M24,IF(MATCHED!BF24=13,MATCHED!$N24,IF(MATCHED!BF24=14,MATCHED!$O24,"")))))))&amp;IF(MATCHED!BF24=15,MATCHED!$P24,IF(MATCHED!BF24=16,MATCHED!$Q24,IF(MATCHED!BF24=17,MATCHED!$R24,IF(MATCHED!BF24=18,MATCHED!$S24,IF(MATCHED!BF24=19,MATCHED!$T24,IF(MATCHED!BF24=20,MATCHED!$U24,IF(MATCHED!BF24=21,MATCHED!$V24,)))))))&amp;IF(MATCHED!BF24=22,MATCHED!$W24,IF(MATCHED!BF24=23,MATCHED!$X24,IF(MATCHED!BF24=24,MATCHED!$Y24,IF(MATCHED!BF24=25,MATCHED!$Z24,IF(MATCHED!BF24=26,MATCHED!$AA24,IF(MATCHED!BF24=27,MATCHED!$AB24,"."))))))</f>
        <v>#N/A</v>
      </c>
      <c r="AE24" s="360" t="e">
        <f>IF(MATCHED!BG24=1,MATCHED!$B24,IF(MATCHED!BG24=2,MATCHED!$C24,IF(MATCHED!BG24=3,MATCHED!$D24,IF(MATCHED!BG24=4,MATCHED!$E24,IF(MATCHED!BG24=3,MATCHED!$F24,IF(MATCHED!BG24=6,MATCHED!$G24,IF(MATCHED!BG24=7,MATCHED!$H24,"")))))))&amp;IF(MATCHED!BG24=8,MATCHED!$I24,IF(MATCHED!BG24=9,MATCHED!$J24,IF(MATCHED!BG24=10,MATCHED!$K24,IF(MATCHED!BG24=11,MATCHED!$L24,IF(MATCHED!BG24=12,MATCHED!$M24,IF(MATCHED!BG24=13,MATCHED!$N24,IF(MATCHED!BG24=14,MATCHED!$O24,"")))))))&amp;IF(MATCHED!BG24=15,MATCHED!$P24,IF(MATCHED!BG24=16,MATCHED!$Q24,IF(MATCHED!BG24=17,MATCHED!$R24,IF(MATCHED!BG24=18,MATCHED!$S24,IF(MATCHED!BG24=19,MATCHED!$T24,IF(MATCHED!BG24=20,MATCHED!$U24,IF(MATCHED!BG24=21,MATCHED!$V24,)))))))&amp;IF(MATCHED!BG24=22,MATCHED!$W24,IF(MATCHED!BG24=23,MATCHED!$X24,IF(MATCHED!BG24=24,MATCHED!$Y24,IF(MATCHED!BG24=25,MATCHED!$Z24,IF(MATCHED!BG24=26,MATCHED!$AA24,IF(MATCHED!BG24=27,MATCHED!$AB24,"."))))))</f>
        <v>#N/A</v>
      </c>
      <c r="AF24" s="360" t="e">
        <f>IF(MATCHED!BH24=1,MATCHED!$B24,IF(MATCHED!BH24=2,MATCHED!$C24,IF(MATCHED!BH24=3,MATCHED!$D24,IF(MATCHED!BH24=4,MATCHED!$E24,IF(MATCHED!BH24=3,MATCHED!$F24,IF(MATCHED!BH24=6,MATCHED!$G24,IF(MATCHED!BH24=7,MATCHED!$H24,"")))))))&amp;IF(MATCHED!BH24=8,MATCHED!$I24,IF(MATCHED!BH24=9,MATCHED!$J24,IF(MATCHED!BH24=10,MATCHED!$K24,IF(MATCHED!BH24=11,MATCHED!$L24,IF(MATCHED!BH24=12,MATCHED!$M24,IF(MATCHED!BH24=13,MATCHED!$N24,IF(MATCHED!BH24=14,MATCHED!$O24,"")))))))&amp;IF(MATCHED!BH24=15,MATCHED!$P24,IF(MATCHED!BH24=16,MATCHED!$Q24,IF(MATCHED!BH24=17,MATCHED!$R24,IF(MATCHED!BH24=18,MATCHED!$S24,IF(MATCHED!BH24=19,MATCHED!$T24,IF(MATCHED!BH24=20,MATCHED!$U24,IF(MATCHED!BH24=21,MATCHED!$V24,)))))))&amp;IF(MATCHED!BH24=22,MATCHED!$W24,IF(MATCHED!BH24=23,MATCHED!$X24,IF(MATCHED!BH24=24,MATCHED!$Y24,IF(MATCHED!BH24=25,MATCHED!$Z24,IF(MATCHED!BH24=26,MATCHED!$AA24,IF(MATCHED!BH24=27,MATCHED!$AB24,"."))))))</f>
        <v>#N/A</v>
      </c>
      <c r="AG24" s="360" t="e">
        <f>IF(MATCHED!BI24=1,MATCHED!$B24,IF(MATCHED!BI24=2,MATCHED!$C24,IF(MATCHED!BI24=3,MATCHED!$D24,IF(MATCHED!BI24=4,MATCHED!$E24,IF(MATCHED!BI24=3,MATCHED!$F24,IF(MATCHED!BI24=6,MATCHED!$G24,IF(MATCHED!BI24=7,MATCHED!$H24,"")))))))&amp;IF(MATCHED!BI24=8,MATCHED!$I24,IF(MATCHED!BI24=9,MATCHED!$J24,IF(MATCHED!BI24=10,MATCHED!$K24,IF(MATCHED!BI24=11,MATCHED!$L24,IF(MATCHED!BI24=12,MATCHED!$M24,IF(MATCHED!BI24=13,MATCHED!$N24,IF(MATCHED!BI24=14,MATCHED!$O24,"")))))))&amp;IF(MATCHED!BI24=15,MATCHED!$P24,IF(MATCHED!BI24=16,MATCHED!$Q24,IF(MATCHED!BI24=17,MATCHED!$R24,IF(MATCHED!BI24=18,MATCHED!$S24,IF(MATCHED!BI24=19,MATCHED!$T24,IF(MATCHED!BI24=20,MATCHED!$U24,IF(MATCHED!BI24=21,MATCHED!$V24,)))))))&amp;IF(MATCHED!BI24=22,MATCHED!$W24,IF(MATCHED!BI24=23,MATCHED!$X24,IF(MATCHED!BI24=24,MATCHED!$Y24,IF(MATCHED!BI24=25,MATCHED!$Z24,IF(MATCHED!BI24=26,MATCHED!$AA24,IF(MATCHED!BI24=27,MATCHED!$AB24,"."))))))</f>
        <v>#N/A</v>
      </c>
      <c r="AH24" s="360" t="e">
        <f>IF(MATCHED!BJ24=1,MATCHED!$B24,IF(MATCHED!BJ24=2,MATCHED!$C24,IF(MATCHED!BJ24=3,MATCHED!$D24,IF(MATCHED!BJ24=4,MATCHED!$E24,IF(MATCHED!BJ24=3,MATCHED!$F24,IF(MATCHED!BJ24=6,MATCHED!$G24,IF(MATCHED!BJ24=7,MATCHED!$H24,"")))))))&amp;IF(MATCHED!BJ24=8,MATCHED!$I24,IF(MATCHED!BJ24=9,MATCHED!$J24,IF(MATCHED!BJ24=10,MATCHED!$K24,IF(MATCHED!BJ24=11,MATCHED!$L24,IF(MATCHED!BJ24=12,MATCHED!$M24,IF(MATCHED!BJ24=13,MATCHED!$N24,IF(MATCHED!BJ24=14,MATCHED!$O24,"")))))))&amp;IF(MATCHED!BJ24=15,MATCHED!$P24,IF(MATCHED!BJ24=16,MATCHED!$Q24,IF(MATCHED!BJ24=17,MATCHED!$R24,IF(MATCHED!BJ24=18,MATCHED!$S24,IF(MATCHED!BJ24=19,MATCHED!$T24,IF(MATCHED!BJ24=20,MATCHED!$U24,IF(MATCHED!BJ24=21,MATCHED!$V24,)))))))&amp;IF(MATCHED!BJ24=22,MATCHED!$W24,IF(MATCHED!BJ24=23,MATCHED!$X24,IF(MATCHED!BJ24=24,MATCHED!$Y24,IF(MATCHED!BJ24=25,MATCHED!$Z24,IF(MATCHED!BJ24=26,MATCHED!$AA24,IF(MATCHED!BJ24=27,MATCHED!$AB24,"."))))))</f>
        <v>#N/A</v>
      </c>
      <c r="AI24" s="360" t="e">
        <f>IF(MATCHED!BK24=1,MATCHED!$B24,IF(MATCHED!BK24=2,MATCHED!$C24,IF(MATCHED!BK24=3,MATCHED!$D24,IF(MATCHED!BK24=4,MATCHED!$E24,IF(MATCHED!BK24=3,MATCHED!$F24,IF(MATCHED!BK24=6,MATCHED!$G24,IF(MATCHED!BK24=7,MATCHED!$H24,"")))))))&amp;IF(MATCHED!BK24=8,MATCHED!$I24,IF(MATCHED!BK24=9,MATCHED!$J24,IF(MATCHED!BK24=10,MATCHED!$K24,IF(MATCHED!BK24=11,MATCHED!$L24,IF(MATCHED!BK24=12,MATCHED!$M24,IF(MATCHED!BK24=13,MATCHED!$N24,IF(MATCHED!BK24=14,MATCHED!$O24,"")))))))&amp;IF(MATCHED!BK24=15,MATCHED!$P24,IF(MATCHED!BK24=16,MATCHED!$Q24,IF(MATCHED!BK24=17,MATCHED!$R24,IF(MATCHED!BK24=18,MATCHED!$S24,IF(MATCHED!BK24=19,MATCHED!$T24,IF(MATCHED!BK24=20,MATCHED!$U24,IF(MATCHED!BK24=21,MATCHED!$V24,)))))))&amp;IF(MATCHED!BK24=22,MATCHED!$W24,IF(MATCHED!BK24=23,MATCHED!$X24,IF(MATCHED!BK24=24,MATCHED!$Y24,IF(MATCHED!BK24=25,MATCHED!$Z24,IF(MATCHED!BK24=26,MATCHED!$AA24,IF(MATCHED!BK24=27,MATCHED!$AB24,"."))))))</f>
        <v>#N/A</v>
      </c>
      <c r="AJ24" s="534"/>
    </row>
    <row r="25" spans="1:36" s="338" customFormat="1" x14ac:dyDescent="0.25">
      <c r="A25" s="535"/>
      <c r="B25" s="352" t="e">
        <f>IF(MATCHED!AD25=1,MATCHED!$B25,IF(MATCHED!AD25=2,MATCHED!$C25,IF(MATCHED!AD25=3,MATCHED!$D25,IF(MATCHED!AD25=4,MATCHED!$E25,IF(MATCHED!AD25=3,MATCHED!$F25,IF(MATCHED!AD25=6,MATCHED!$G25,IF(MATCHED!AD25=7,MATCHED!$H25,"")))))))&amp;IF(MATCHED!AD25=8,MATCHED!$I25,IF(MATCHED!AD25=9,MATCHED!$J25,IF(MATCHED!AD25=10,MATCHED!$K25,IF(MATCHED!AD25=11,MATCHED!$L25,IF(MATCHED!AD25=12,MATCHED!$M25,IF(MATCHED!AD25=13,MATCHED!$N25,IF(MATCHED!AD25=14,MATCHED!$O25,"")))))))&amp;IF(MATCHED!AD25=15,MATCHED!$P25,IF(MATCHED!AD25=16,MATCHED!$Q25,IF(MATCHED!AD25=17,MATCHED!$R25,IF(MATCHED!AD25=18,MATCHED!$S25,IF(MATCHED!AD25=19,MATCHED!$T25,IF(MATCHED!AD25=20,MATCHED!$U25,IF(MATCHED!AD25=21,MATCHED!$V25,)))))))&amp;IF(MATCHED!AD25=22,MATCHED!$W25,IF(MATCHED!AD25=23,MATCHED!$X25,IF(MATCHED!AD25=24,MATCHED!$Y25,IF(MATCHED!AD25=25,MATCHED!$Z25,IF(MATCHED!AD25=26,MATCHED!$AA25,IF(MATCHED!AD25=27,MATCHED!$AB25,"."))))))</f>
        <v>#N/A</v>
      </c>
      <c r="C25" s="353" t="e">
        <f>IF(MATCHED!AE25=1,MATCHED!$B25,IF(MATCHED!AE25=2,MATCHED!$C25,IF(MATCHED!AE25=3,MATCHED!$D25,IF(MATCHED!AE25=4,MATCHED!$E25,IF(MATCHED!AE25=3,MATCHED!$F25,IF(MATCHED!AE25=6,MATCHED!$G25,IF(MATCHED!AE25=7,MATCHED!$H25,"")))))))&amp;IF(MATCHED!AE25=8,MATCHED!$I25,IF(MATCHED!AE25=9,MATCHED!$J25,IF(MATCHED!AE25=10,MATCHED!$K25,IF(MATCHED!AE25=11,MATCHED!$L25,IF(MATCHED!AE25=12,MATCHED!$M25,IF(MATCHED!AE25=13,MATCHED!$N25,IF(MATCHED!AE25=14,MATCHED!$O25,"")))))))&amp;IF(MATCHED!AE25=15,MATCHED!$P25,IF(MATCHED!AE25=16,MATCHED!$Q25,IF(MATCHED!AE25=17,MATCHED!$R25,IF(MATCHED!AE25=18,MATCHED!$S25,IF(MATCHED!AE25=19,MATCHED!$T25,IF(MATCHED!AE25=20,MATCHED!$U25,IF(MATCHED!AE25=21,MATCHED!$V25,)))))))&amp;IF(MATCHED!AE25=22,MATCHED!$W25,IF(MATCHED!AE25=23,MATCHED!$X25,IF(MATCHED!AE25=24,MATCHED!$Y25,IF(MATCHED!AE25=25,MATCHED!$Z25,IF(MATCHED!AE25=26,MATCHED!$AA25,IF(MATCHED!AE25=27,MATCHED!$AB25,"."))))))</f>
        <v>#N/A</v>
      </c>
      <c r="D25" s="353" t="e">
        <f>IF(MATCHED!AF25=1,MATCHED!$B25,IF(MATCHED!AF25=2,MATCHED!$C25,IF(MATCHED!AF25=3,MATCHED!$D25,IF(MATCHED!AF25=4,MATCHED!$E25,IF(MATCHED!AF25=3,MATCHED!$F25,IF(MATCHED!AF25=6,MATCHED!$G25,IF(MATCHED!AF25=7,MATCHED!$H25,"")))))))&amp;IF(MATCHED!AF25=8,MATCHED!$I25,IF(MATCHED!AF25=9,MATCHED!$J25,IF(MATCHED!AF25=10,MATCHED!$K25,IF(MATCHED!AF25=11,MATCHED!$L25,IF(MATCHED!AF25=12,MATCHED!$M25,IF(MATCHED!AF25=13,MATCHED!$N25,IF(MATCHED!AF25=14,MATCHED!$O25,"")))))))&amp;IF(MATCHED!AF25=15,MATCHED!$P25,IF(MATCHED!AF25=16,MATCHED!$Q25,IF(MATCHED!AF25=17,MATCHED!$R25,IF(MATCHED!AF25=18,MATCHED!$S25,IF(MATCHED!AF25=19,MATCHED!$T25,IF(MATCHED!AF25=20,MATCHED!$U25,IF(MATCHED!AF25=21,MATCHED!$V25,)))))))&amp;IF(MATCHED!AF25=22,MATCHED!$W25,IF(MATCHED!AF25=23,MATCHED!$X25,IF(MATCHED!AF25=24,MATCHED!$Y25,IF(MATCHED!AF25=25,MATCHED!$Z25,IF(MATCHED!AF25=26,MATCHED!$AA25,IF(MATCHED!AF25=27,MATCHED!$AB25,"."))))))</f>
        <v>#N/A</v>
      </c>
      <c r="E25" s="353" t="e">
        <f>IF(MATCHED!AG25=1,MATCHED!$B25,IF(MATCHED!AG25=2,MATCHED!$C25,IF(MATCHED!AG25=3,MATCHED!$D25,IF(MATCHED!AG25=4,MATCHED!$E25,IF(MATCHED!AG25=3,MATCHED!$F25,IF(MATCHED!AG25=6,MATCHED!$G25,IF(MATCHED!AG25=7,MATCHED!$H25,"")))))))&amp;IF(MATCHED!AG25=8,MATCHED!$I25,IF(MATCHED!AG25=9,MATCHED!$J25,IF(MATCHED!AG25=10,MATCHED!$K25,IF(MATCHED!AG25=11,MATCHED!$L25,IF(MATCHED!AG25=12,MATCHED!$M25,IF(MATCHED!AG25=13,MATCHED!$N25,IF(MATCHED!AG25=14,MATCHED!$O25,"")))))))&amp;IF(MATCHED!AG25=15,MATCHED!$P25,IF(MATCHED!AG25=16,MATCHED!$Q25,IF(MATCHED!AG25=17,MATCHED!$R25,IF(MATCHED!AG25=18,MATCHED!$S25,IF(MATCHED!AG25=19,MATCHED!$T25,IF(MATCHED!AG25=20,MATCHED!$U25,IF(MATCHED!AG25=21,MATCHED!$V25,)))))))&amp;IF(MATCHED!AG25=22,MATCHED!$W25,IF(MATCHED!AG25=23,MATCHED!$X25,IF(MATCHED!AG25=24,MATCHED!$Y25,IF(MATCHED!AG25=25,MATCHED!$Z25,IF(MATCHED!AG25=26,MATCHED!$AA25,IF(MATCHED!AG25=27,MATCHED!$AB25,"."))))))</f>
        <v>#N/A</v>
      </c>
      <c r="F25" s="353" t="e">
        <f>IF(MATCHED!AH25=1,MATCHED!$B25,IF(MATCHED!AH25=2,MATCHED!$C25,IF(MATCHED!AH25=3,MATCHED!$D25,IF(MATCHED!AH25=4,MATCHED!$E25,IF(MATCHED!AH25=3,MATCHED!$F25,IF(MATCHED!AH25=6,MATCHED!$G25,IF(MATCHED!AH25=7,MATCHED!$H25,"")))))))&amp;IF(MATCHED!AH25=8,MATCHED!$I25,IF(MATCHED!AH25=9,MATCHED!$J25,IF(MATCHED!AH25=10,MATCHED!$K25,IF(MATCHED!AH25=11,MATCHED!$L25,IF(MATCHED!AH25=12,MATCHED!$M25,IF(MATCHED!AH25=13,MATCHED!$N25,IF(MATCHED!AH25=14,MATCHED!$O25,"")))))))&amp;IF(MATCHED!AH25=15,MATCHED!$P25,IF(MATCHED!AH25=16,MATCHED!$Q25,IF(MATCHED!AH25=17,MATCHED!$R25,IF(MATCHED!AH25=18,MATCHED!$S25,IF(MATCHED!AH25=19,MATCHED!$T25,IF(MATCHED!AH25=20,MATCHED!$U25,IF(MATCHED!AH25=21,MATCHED!$V25,)))))))&amp;IF(MATCHED!AH25=22,MATCHED!$W25,IF(MATCHED!AH25=23,MATCHED!$X25,IF(MATCHED!AH25=24,MATCHED!$Y25,IF(MATCHED!AH25=25,MATCHED!$Z25,IF(MATCHED!AH25=26,MATCHED!$AA25,IF(MATCHED!AH25=27,MATCHED!$AB25,"."))))))</f>
        <v>#N/A</v>
      </c>
      <c r="G25" s="353" t="e">
        <f>IF(MATCHED!AI25=1,MATCHED!$B25,IF(MATCHED!AI25=2,MATCHED!$C25,IF(MATCHED!AI25=3,MATCHED!$D25,IF(MATCHED!AI25=4,MATCHED!$E25,IF(MATCHED!AI25=3,MATCHED!$F25,IF(MATCHED!AI25=6,MATCHED!$G25,IF(MATCHED!AI25=7,MATCHED!$H25,"")))))))&amp;IF(MATCHED!AI25=8,MATCHED!$I25,IF(MATCHED!AI25=9,MATCHED!$J25,IF(MATCHED!AI25=10,MATCHED!$K25,IF(MATCHED!AI25=11,MATCHED!$L25,IF(MATCHED!AI25=12,MATCHED!$M25,IF(MATCHED!AI25=13,MATCHED!$N25,IF(MATCHED!AI25=14,MATCHED!$O25,"")))))))&amp;IF(MATCHED!AI25=15,MATCHED!$P25,IF(MATCHED!AI25=16,MATCHED!$Q25,IF(MATCHED!AI25=17,MATCHED!$R25,IF(MATCHED!AI25=18,MATCHED!$S25,IF(MATCHED!AI25=19,MATCHED!$T25,IF(MATCHED!AI25=20,MATCHED!$U25,IF(MATCHED!AI25=21,MATCHED!$V25,)))))))&amp;IF(MATCHED!AI25=22,MATCHED!$W25,IF(MATCHED!AI25=23,MATCHED!$X25,IF(MATCHED!AI25=24,MATCHED!$Y25,IF(MATCHED!AI25=25,MATCHED!$Z25,IF(MATCHED!AI25=26,MATCHED!$AA25,IF(MATCHED!AI25=27,MATCHED!$AB25,"."))))))</f>
        <v>#N/A</v>
      </c>
      <c r="H25" s="353" t="e">
        <f>IF(MATCHED!AJ25=1,MATCHED!$B25,IF(MATCHED!AJ25=2,MATCHED!$C25,IF(MATCHED!AJ25=3,MATCHED!$D25,IF(MATCHED!AJ25=4,MATCHED!$E25,IF(MATCHED!AJ25=3,MATCHED!$F25,IF(MATCHED!AJ25=6,MATCHED!$G25,IF(MATCHED!AJ25=7,MATCHED!$H25,"")))))))&amp;IF(MATCHED!AJ25=8,MATCHED!$I25,IF(MATCHED!AJ25=9,MATCHED!$J25,IF(MATCHED!AJ25=10,MATCHED!$K25,IF(MATCHED!AJ25=11,MATCHED!$L25,IF(MATCHED!AJ25=12,MATCHED!$M25,IF(MATCHED!AJ25=13,MATCHED!$N25,IF(MATCHED!AJ25=14,MATCHED!$O25,"")))))))&amp;IF(MATCHED!AJ25=15,MATCHED!$P25,IF(MATCHED!AJ25=16,MATCHED!$Q25,IF(MATCHED!AJ25=17,MATCHED!$R25,IF(MATCHED!AJ25=18,MATCHED!$S25,IF(MATCHED!AJ25=19,MATCHED!$T25,IF(MATCHED!AJ25=20,MATCHED!$U25,IF(MATCHED!AJ25=21,MATCHED!$V25,)))))))&amp;IF(MATCHED!AJ25=22,MATCHED!$W25,IF(MATCHED!AJ25=23,MATCHED!$X25,IF(MATCHED!AJ25=24,MATCHED!$Y25,IF(MATCHED!AJ25=25,MATCHED!$Z25,IF(MATCHED!AJ25=26,MATCHED!$AA25,IF(MATCHED!AJ25=27,MATCHED!$AB25,"."))))))</f>
        <v>#N/A</v>
      </c>
      <c r="I25" s="353" t="e">
        <f>IF(MATCHED!AK25=1,MATCHED!$B25,IF(MATCHED!AK25=2,MATCHED!$C25,IF(MATCHED!AK25=3,MATCHED!$D25,IF(MATCHED!AK25=4,MATCHED!$E25,IF(MATCHED!AK25=3,MATCHED!$F25,IF(MATCHED!AK25=6,MATCHED!$G25,IF(MATCHED!AK25=7,MATCHED!$H25,"")))))))&amp;IF(MATCHED!AK25=8,MATCHED!$I25,IF(MATCHED!AK25=9,MATCHED!$J25,IF(MATCHED!AK25=10,MATCHED!$K25,IF(MATCHED!AK25=11,MATCHED!$L25,IF(MATCHED!AK25=12,MATCHED!$M25,IF(MATCHED!AK25=13,MATCHED!$N25,IF(MATCHED!AK25=14,MATCHED!$O25,"")))))))&amp;IF(MATCHED!AK25=15,MATCHED!$P25,IF(MATCHED!AK25=16,MATCHED!$Q25,IF(MATCHED!AK25=17,MATCHED!$R25,IF(MATCHED!AK25=18,MATCHED!$S25,IF(MATCHED!AK25=19,MATCHED!$T25,IF(MATCHED!AK25=20,MATCHED!$U25,IF(MATCHED!AK25=21,MATCHED!$V25,)))))))&amp;IF(MATCHED!AK25=22,MATCHED!$W25,IF(MATCHED!AK25=23,MATCHED!$X25,IF(MATCHED!AK25=24,MATCHED!$Y25,IF(MATCHED!AK25=25,MATCHED!$Z25,IF(MATCHED!AK25=26,MATCHED!$AA25,IF(MATCHED!AK25=27,MATCHED!$AB25,"."))))))</f>
        <v>#N/A</v>
      </c>
      <c r="J25" s="353" t="e">
        <f>IF(MATCHED!AL25=1,MATCHED!$B25,IF(MATCHED!AL25=2,MATCHED!$C25,IF(MATCHED!AL25=3,MATCHED!$D25,IF(MATCHED!AL25=4,MATCHED!$E25,IF(MATCHED!AL25=3,MATCHED!$F25,IF(MATCHED!AL25=6,MATCHED!$G25,IF(MATCHED!AL25=7,MATCHED!$H25,"")))))))&amp;IF(MATCHED!AL25=8,MATCHED!$I25,IF(MATCHED!AL25=9,MATCHED!$J25,IF(MATCHED!AL25=10,MATCHED!$K25,IF(MATCHED!AL25=11,MATCHED!$L25,IF(MATCHED!AL25=12,MATCHED!$M25,IF(MATCHED!AL25=13,MATCHED!$N25,IF(MATCHED!AL25=14,MATCHED!$O25,"")))))))&amp;IF(MATCHED!AL25=15,MATCHED!$P25,IF(MATCHED!AL25=16,MATCHED!$Q25,IF(MATCHED!AL25=17,MATCHED!$R25,IF(MATCHED!AL25=18,MATCHED!$S25,IF(MATCHED!AL25=19,MATCHED!$T25,IF(MATCHED!AL25=20,MATCHED!$U25,IF(MATCHED!AL25=21,MATCHED!$V25,)))))))&amp;IF(MATCHED!AL25=22,MATCHED!$W25,IF(MATCHED!AL25=23,MATCHED!$X25,IF(MATCHED!AL25=24,MATCHED!$Y25,IF(MATCHED!AL25=25,MATCHED!$Z25,IF(MATCHED!AL25=26,MATCHED!$AA25,IF(MATCHED!AL25=27,MATCHED!$AB25,"."))))))</f>
        <v>#N/A</v>
      </c>
      <c r="K25" s="353" t="e">
        <f>IF(MATCHED!AM25=1,MATCHED!$B25,IF(MATCHED!AM25=2,MATCHED!$C25,IF(MATCHED!AM25=3,MATCHED!$D25,IF(MATCHED!AM25=4,MATCHED!$E25,IF(MATCHED!AM25=3,MATCHED!$F25,IF(MATCHED!AM25=6,MATCHED!$G25,IF(MATCHED!AM25=7,MATCHED!$H25,"")))))))&amp;IF(MATCHED!AM25=8,MATCHED!$I25,IF(MATCHED!AM25=9,MATCHED!$J25,IF(MATCHED!AM25=10,MATCHED!$K25,IF(MATCHED!AM25=11,MATCHED!$L25,IF(MATCHED!AM25=12,MATCHED!$M25,IF(MATCHED!AM25=13,MATCHED!$N25,IF(MATCHED!AM25=14,MATCHED!$O25,"")))))))&amp;IF(MATCHED!AM25=15,MATCHED!$P25,IF(MATCHED!AM25=16,MATCHED!$Q25,IF(MATCHED!AM25=17,MATCHED!$R25,IF(MATCHED!AM25=18,MATCHED!$S25,IF(MATCHED!AM25=19,MATCHED!$T25,IF(MATCHED!AM25=20,MATCHED!$U25,IF(MATCHED!AM25=21,MATCHED!$V25,)))))))&amp;IF(MATCHED!AM25=22,MATCHED!$W25,IF(MATCHED!AM25=23,MATCHED!$X25,IF(MATCHED!AM25=24,MATCHED!$Y25,IF(MATCHED!AM25=25,MATCHED!$Z25,IF(MATCHED!AM25=26,MATCHED!$AA25,IF(MATCHED!AM25=27,MATCHED!$AB25,"."))))))</f>
        <v>#N/A</v>
      </c>
      <c r="L25" s="353" t="e">
        <f>IF(MATCHED!AN25=1,MATCHED!$B25,IF(MATCHED!AN25=2,MATCHED!$C25,IF(MATCHED!AN25=3,MATCHED!$D25,IF(MATCHED!AN25=4,MATCHED!$E25,IF(MATCHED!AN25=3,MATCHED!$F25,IF(MATCHED!AN25=6,MATCHED!$G25,IF(MATCHED!AN25=7,MATCHED!$H25,"")))))))&amp;IF(MATCHED!AN25=8,MATCHED!$I25,IF(MATCHED!AN25=9,MATCHED!$J25,IF(MATCHED!AN25=10,MATCHED!$K25,IF(MATCHED!AN25=11,MATCHED!$L25,IF(MATCHED!AN25=12,MATCHED!$M25,IF(MATCHED!AN25=13,MATCHED!$N25,IF(MATCHED!AN25=14,MATCHED!$O25,"")))))))&amp;IF(MATCHED!AN25=15,MATCHED!$P25,IF(MATCHED!AN25=16,MATCHED!$Q25,IF(MATCHED!AN25=17,MATCHED!$R25,IF(MATCHED!AN25=18,MATCHED!$S25,IF(MATCHED!AN25=19,MATCHED!$T25,IF(MATCHED!AN25=20,MATCHED!$U25,IF(MATCHED!AN25=21,MATCHED!$V25,)))))))&amp;IF(MATCHED!AN25=22,MATCHED!$W25,IF(MATCHED!AN25=23,MATCHED!$X25,IF(MATCHED!AN25=24,MATCHED!$Y25,IF(MATCHED!AN25=25,MATCHED!$Z25,IF(MATCHED!AN25=26,MATCHED!$AA25,IF(MATCHED!AN25=27,MATCHED!$AB25,"."))))))</f>
        <v>#N/A</v>
      </c>
      <c r="M25" s="353" t="e">
        <f>IF(MATCHED!AO25=1,MATCHED!$B25,IF(MATCHED!AO25=2,MATCHED!$C25,IF(MATCHED!AO25=3,MATCHED!$D25,IF(MATCHED!AO25=4,MATCHED!$E25,IF(MATCHED!AO25=3,MATCHED!$F25,IF(MATCHED!AO25=6,MATCHED!$G25,IF(MATCHED!AO25=7,MATCHED!$H25,"")))))))&amp;IF(MATCHED!AO25=8,MATCHED!$I25,IF(MATCHED!AO25=9,MATCHED!$J25,IF(MATCHED!AO25=10,MATCHED!$K25,IF(MATCHED!AO25=11,MATCHED!$L25,IF(MATCHED!AO25=12,MATCHED!$M25,IF(MATCHED!AO25=13,MATCHED!$N25,IF(MATCHED!AO25=14,MATCHED!$O25,"")))))))&amp;IF(MATCHED!AO25=15,MATCHED!$P25,IF(MATCHED!AO25=16,MATCHED!$Q25,IF(MATCHED!AO25=17,MATCHED!$R25,IF(MATCHED!AO25=18,MATCHED!$S25,IF(MATCHED!AO25=19,MATCHED!$T25,IF(MATCHED!AO25=20,MATCHED!$U25,IF(MATCHED!AO25=21,MATCHED!$V25,)))))))&amp;IF(MATCHED!AO25=22,MATCHED!$W25,IF(MATCHED!AO25=23,MATCHED!$X25,IF(MATCHED!AO25=24,MATCHED!$Y25,IF(MATCHED!AO25=25,MATCHED!$Z25,IF(MATCHED!AO25=26,MATCHED!$AA25,IF(MATCHED!AO25=27,MATCHED!$AB25,"."))))))</f>
        <v>#N/A</v>
      </c>
      <c r="N25" s="353" t="e">
        <f>IF(MATCHED!AP25=1,MATCHED!$B25,IF(MATCHED!AP25=2,MATCHED!$C25,IF(MATCHED!AP25=3,MATCHED!$D25,IF(MATCHED!AP25=4,MATCHED!$E25,IF(MATCHED!AP25=3,MATCHED!$F25,IF(MATCHED!AP25=6,MATCHED!$G25,IF(MATCHED!AP25=7,MATCHED!$H25,"")))))))&amp;IF(MATCHED!AP25=8,MATCHED!$I25,IF(MATCHED!AP25=9,MATCHED!$J25,IF(MATCHED!AP25=10,MATCHED!$K25,IF(MATCHED!AP25=11,MATCHED!$L25,IF(MATCHED!AP25=12,MATCHED!$M25,IF(MATCHED!AP25=13,MATCHED!$N25,IF(MATCHED!AP25=14,MATCHED!$O25,"")))))))&amp;IF(MATCHED!AP25=15,MATCHED!$P25,IF(MATCHED!AP25=16,MATCHED!$Q25,IF(MATCHED!AP25=17,MATCHED!$R25,IF(MATCHED!AP25=18,MATCHED!$S25,IF(MATCHED!AP25=19,MATCHED!$T25,IF(MATCHED!AP25=20,MATCHED!$U25,IF(MATCHED!AP25=21,MATCHED!$V25,)))))))&amp;IF(MATCHED!AP25=22,MATCHED!$W25,IF(MATCHED!AP25=23,MATCHED!$X25,IF(MATCHED!AP25=24,MATCHED!$Y25,IF(MATCHED!AP25=25,MATCHED!$Z25,IF(MATCHED!AP25=26,MATCHED!$AA25,IF(MATCHED!AP25=27,MATCHED!$AB25,"."))))))</f>
        <v>#N/A</v>
      </c>
      <c r="O25" s="353" t="e">
        <f>IF(MATCHED!AQ25=1,MATCHED!$B25,IF(MATCHED!AQ25=2,MATCHED!$C25,IF(MATCHED!AQ25=3,MATCHED!$D25,IF(MATCHED!AQ25=4,MATCHED!$E25,IF(MATCHED!AQ25=3,MATCHED!$F25,IF(MATCHED!AQ25=6,MATCHED!$G25,IF(MATCHED!AQ25=7,MATCHED!$H25,"")))))))&amp;IF(MATCHED!AQ25=8,MATCHED!$I25,IF(MATCHED!AQ25=9,MATCHED!$J25,IF(MATCHED!AQ25=10,MATCHED!$K25,IF(MATCHED!AQ25=11,MATCHED!$L25,IF(MATCHED!AQ25=12,MATCHED!$M25,IF(MATCHED!AQ25=13,MATCHED!$N25,IF(MATCHED!AQ25=14,MATCHED!$O25,"")))))))&amp;IF(MATCHED!AQ25=15,MATCHED!$P25,IF(MATCHED!AQ25=16,MATCHED!$Q25,IF(MATCHED!AQ25=17,MATCHED!$R25,IF(MATCHED!AQ25=18,MATCHED!$S25,IF(MATCHED!AQ25=19,MATCHED!$T25,IF(MATCHED!AQ25=20,MATCHED!$U25,IF(MATCHED!AQ25=21,MATCHED!$V25,)))))))&amp;IF(MATCHED!AQ25=22,MATCHED!$W25,IF(MATCHED!AQ25=23,MATCHED!$X25,IF(MATCHED!AQ25=24,MATCHED!$Y25,IF(MATCHED!AQ25=25,MATCHED!$Z25,IF(MATCHED!AQ25=26,MATCHED!$AA25,IF(MATCHED!AQ25=27,MATCHED!$AB25,"."))))))</f>
        <v>#N/A</v>
      </c>
      <c r="P25" s="353" t="e">
        <f>IF(MATCHED!AR25=1,MATCHED!$B25,IF(MATCHED!AR25=2,MATCHED!$C25,IF(MATCHED!AR25=3,MATCHED!$D25,IF(MATCHED!AR25=4,MATCHED!$E25,IF(MATCHED!AR25=3,MATCHED!$F25,IF(MATCHED!AR25=6,MATCHED!$G25,IF(MATCHED!AR25=7,MATCHED!$H25,"")))))))&amp;IF(MATCHED!AR25=8,MATCHED!$I25,IF(MATCHED!AR25=9,MATCHED!$J25,IF(MATCHED!AR25=10,MATCHED!$K25,IF(MATCHED!AR25=11,MATCHED!$L25,IF(MATCHED!AR25=12,MATCHED!$M25,IF(MATCHED!AR25=13,MATCHED!$N25,IF(MATCHED!AR25=14,MATCHED!$O25,"")))))))&amp;IF(MATCHED!AR25=15,MATCHED!$P25,IF(MATCHED!AR25=16,MATCHED!$Q25,IF(MATCHED!AR25=17,MATCHED!$R25,IF(MATCHED!AR25=18,MATCHED!$S25,IF(MATCHED!AR25=19,MATCHED!$T25,IF(MATCHED!AR25=20,MATCHED!$U25,IF(MATCHED!AR25=21,MATCHED!$V25,)))))))&amp;IF(MATCHED!AR25=22,MATCHED!$W25,IF(MATCHED!AR25=23,MATCHED!$X25,IF(MATCHED!AR25=24,MATCHED!$Y25,IF(MATCHED!AR25=25,MATCHED!$Z25,IF(MATCHED!AR25=26,MATCHED!$AA25,IF(MATCHED!AR25=27,MATCHED!$AB25,"."))))))</f>
        <v>#N/A</v>
      </c>
      <c r="Q25" s="354" t="e">
        <f>IF(MATCHED!AS25=1,MATCHED!$B25,IF(MATCHED!AS25=2,MATCHED!$C25,IF(MATCHED!AS25=3,MATCHED!$D25,IF(MATCHED!AS25=4,MATCHED!$E25,IF(MATCHED!AS25=3,MATCHED!$F25,IF(MATCHED!AS25=6,MATCHED!$G25,IF(MATCHED!AS25=7,MATCHED!$H25,"")))))))&amp;IF(MATCHED!AS25=8,MATCHED!$I25,IF(MATCHED!AS25=9,MATCHED!$J25,IF(MATCHED!AS25=10,MATCHED!$K25,IF(MATCHED!AS25=11,MATCHED!$L25,IF(MATCHED!AS25=12,MATCHED!$M25,IF(MATCHED!AS25=13,MATCHED!$N25,IF(MATCHED!AS25=14,MATCHED!$O25,"")))))))&amp;IF(MATCHED!AS25=15,MATCHED!$P25,IF(MATCHED!AS25=16,MATCHED!$Q25,IF(MATCHED!AS25=17,MATCHED!$R25,IF(MATCHED!AS25=18,MATCHED!$S25,IF(MATCHED!AS25=19,MATCHED!$T25,IF(MATCHED!AS25=20,MATCHED!$U25,IF(MATCHED!AS25=21,MATCHED!$V25,)))))))&amp;IF(MATCHED!AS25=22,MATCHED!$W25,IF(MATCHED!AS25=23,MATCHED!$X25,IF(MATCHED!AS25=24,MATCHED!$Y25,IF(MATCHED!AS25=25,MATCHED!$Z25,IF(MATCHED!AS25=26,MATCHED!$AA25,IF(MATCHED!AS25=27,MATCHED!$AB25,"."))))))</f>
        <v>#N/A</v>
      </c>
      <c r="R25" s="353" t="e">
        <f>IF(MATCHED!AT25=1,MATCHED!$B25,IF(MATCHED!AT25=2,MATCHED!$C25,IF(MATCHED!AT25=3,MATCHED!$D25,IF(MATCHED!AT25=4,MATCHED!$E25,IF(MATCHED!AT25=3,MATCHED!$F25,IF(MATCHED!AT25=6,MATCHED!$G25,IF(MATCHED!AT25=7,MATCHED!$H25,"")))))))&amp;IF(MATCHED!AT25=8,MATCHED!$I25,IF(MATCHED!AT25=9,MATCHED!$J25,IF(MATCHED!AT25=10,MATCHED!$K25,IF(MATCHED!AT25=11,MATCHED!$L25,IF(MATCHED!AT25=12,MATCHED!$M25,IF(MATCHED!AT25=13,MATCHED!$N25,IF(MATCHED!AT25=14,MATCHED!$O25,"")))))))&amp;IF(MATCHED!AT25=15,MATCHED!$P25,IF(MATCHED!AT25=16,MATCHED!$Q25,IF(MATCHED!AT25=17,MATCHED!$R25,IF(MATCHED!AT25=18,MATCHED!$S25,IF(MATCHED!AT25=19,MATCHED!$T25,IF(MATCHED!AT25=20,MATCHED!$U25,IF(MATCHED!AT25=21,MATCHED!$V25,)))))))&amp;IF(MATCHED!AT25=22,MATCHED!$W25,IF(MATCHED!AT25=23,MATCHED!$X25,IF(MATCHED!AT25=24,MATCHED!$Y25,IF(MATCHED!AT25=25,MATCHED!$Z25,IF(MATCHED!AT25=26,MATCHED!$AA25,IF(MATCHED!AT25=27,MATCHED!$AB25,"."))))))</f>
        <v>#N/A</v>
      </c>
      <c r="S25" s="353" t="e">
        <f>IF(MATCHED!AU25=1,MATCHED!$B25,IF(MATCHED!AU25=2,MATCHED!$C25,IF(MATCHED!AU25=3,MATCHED!$D25,IF(MATCHED!AU25=4,MATCHED!$E25,IF(MATCHED!AU25=3,MATCHED!$F25,IF(MATCHED!AU25=6,MATCHED!$G25,IF(MATCHED!AU25=7,MATCHED!$H25,"")))))))&amp;IF(MATCHED!AU25=8,MATCHED!$I25,IF(MATCHED!AU25=9,MATCHED!$J25,IF(MATCHED!AU25=10,MATCHED!$K25,IF(MATCHED!AU25=11,MATCHED!$L25,IF(MATCHED!AU25=12,MATCHED!$M25,IF(MATCHED!AU25=13,MATCHED!$N25,IF(MATCHED!AU25=14,MATCHED!$O25,"")))))))&amp;IF(MATCHED!AU25=15,MATCHED!$P25,IF(MATCHED!AU25=16,MATCHED!$Q25,IF(MATCHED!AU25=17,MATCHED!$R25,IF(MATCHED!AU25=18,MATCHED!$S25,IF(MATCHED!AU25=19,MATCHED!$T25,IF(MATCHED!AU25=20,MATCHED!$U25,IF(MATCHED!AU25=21,MATCHED!$V25,)))))))&amp;IF(MATCHED!AU25=22,MATCHED!$W25,IF(MATCHED!AU25=23,MATCHED!$X25,IF(MATCHED!AU25=24,MATCHED!$Y25,IF(MATCHED!AU25=25,MATCHED!$Z25,IF(MATCHED!AU25=26,MATCHED!$AA25,IF(MATCHED!AU25=27,MATCHED!$AB25,"."))))))</f>
        <v>#N/A</v>
      </c>
      <c r="T25" s="353" t="e">
        <f>IF(MATCHED!AV25=1,MATCHED!$B25,IF(MATCHED!AV25=2,MATCHED!$C25,IF(MATCHED!AV25=3,MATCHED!$D25,IF(MATCHED!AV25=4,MATCHED!$E25,IF(MATCHED!AV25=3,MATCHED!$F25,IF(MATCHED!AV25=6,MATCHED!$G25,IF(MATCHED!AV25=7,MATCHED!$H25,"")))))))&amp;IF(MATCHED!AV25=8,MATCHED!$I25,IF(MATCHED!AV25=9,MATCHED!$J25,IF(MATCHED!AV25=10,MATCHED!$K25,IF(MATCHED!AV25=11,MATCHED!$L25,IF(MATCHED!AV25=12,MATCHED!$M25,IF(MATCHED!AV25=13,MATCHED!$N25,IF(MATCHED!AV25=14,MATCHED!$O25,"")))))))&amp;IF(MATCHED!AV25=15,MATCHED!$P25,IF(MATCHED!AV25=16,MATCHED!$Q25,IF(MATCHED!AV25=17,MATCHED!$R25,IF(MATCHED!AV25=18,MATCHED!$S25,IF(MATCHED!AV25=19,MATCHED!$T25,IF(MATCHED!AV25=20,MATCHED!$U25,IF(MATCHED!AV25=21,MATCHED!$V25,)))))))&amp;IF(MATCHED!AV25=22,MATCHED!$W25,IF(MATCHED!AV25=23,MATCHED!$X25,IF(MATCHED!AV25=24,MATCHED!$Y25,IF(MATCHED!AV25=25,MATCHED!$Z25,IF(MATCHED!AV25=26,MATCHED!$AA25,IF(MATCHED!AV25=27,MATCHED!$AB25,"."))))))</f>
        <v>#N/A</v>
      </c>
      <c r="U25" s="353" t="e">
        <f>IF(MATCHED!AW25=1,MATCHED!$B25,IF(MATCHED!AW25=2,MATCHED!$C25,IF(MATCHED!AW25=3,MATCHED!$D25,IF(MATCHED!AW25=4,MATCHED!$E25,IF(MATCHED!AW25=3,MATCHED!$F25,IF(MATCHED!AW25=6,MATCHED!$G25,IF(MATCHED!AW25=7,MATCHED!$H25,"")))))))&amp;IF(MATCHED!AW25=8,MATCHED!$I25,IF(MATCHED!AW25=9,MATCHED!$J25,IF(MATCHED!AW25=10,MATCHED!$K25,IF(MATCHED!AW25=11,MATCHED!$L25,IF(MATCHED!AW25=12,MATCHED!$M25,IF(MATCHED!AW25=13,MATCHED!$N25,IF(MATCHED!AW25=14,MATCHED!$O25,"")))))))&amp;IF(MATCHED!AW25=15,MATCHED!$P25,IF(MATCHED!AW25=16,MATCHED!$Q25,IF(MATCHED!AW25=17,MATCHED!$R25,IF(MATCHED!AW25=18,MATCHED!$S25,IF(MATCHED!AW25=19,MATCHED!$T25,IF(MATCHED!AW25=20,MATCHED!$U25,IF(MATCHED!AW25=21,MATCHED!$V25,)))))))&amp;IF(MATCHED!AW25=22,MATCHED!$W25,IF(MATCHED!AW25=23,MATCHED!$X25,IF(MATCHED!AW25=24,MATCHED!$Y25,IF(MATCHED!AW25=25,MATCHED!$Z25,IF(MATCHED!AW25=26,MATCHED!$AA25,IF(MATCHED!AW25=27,MATCHED!$AB25,"."))))))</f>
        <v>#N/A</v>
      </c>
      <c r="V25" s="353" t="e">
        <f>IF(MATCHED!AX25=1,MATCHED!$B25,IF(MATCHED!AX25=2,MATCHED!$C25,IF(MATCHED!AX25=3,MATCHED!$D25,IF(MATCHED!AX25=4,MATCHED!$E25,IF(MATCHED!AX25=3,MATCHED!$F25,IF(MATCHED!AX25=6,MATCHED!$G25,IF(MATCHED!AX25=7,MATCHED!$H25,"")))))))&amp;IF(MATCHED!AX25=8,MATCHED!$I25,IF(MATCHED!AX25=9,MATCHED!$J25,IF(MATCHED!AX25=10,MATCHED!$K25,IF(MATCHED!AX25=11,MATCHED!$L25,IF(MATCHED!AX25=12,MATCHED!$M25,IF(MATCHED!AX25=13,MATCHED!$N25,IF(MATCHED!AX25=14,MATCHED!$O25,"")))))))&amp;IF(MATCHED!AX25=15,MATCHED!$P25,IF(MATCHED!AX25=16,MATCHED!$Q25,IF(MATCHED!AX25=17,MATCHED!$R25,IF(MATCHED!AX25=18,MATCHED!$S25,IF(MATCHED!AX25=19,MATCHED!$T25,IF(MATCHED!AX25=20,MATCHED!$U25,IF(MATCHED!AX25=21,MATCHED!$V25,)))))))&amp;IF(MATCHED!AX25=22,MATCHED!$W25,IF(MATCHED!AX25=23,MATCHED!$X25,IF(MATCHED!AX25=24,MATCHED!$Y25,IF(MATCHED!AX25=25,MATCHED!$Z25,IF(MATCHED!AX25=26,MATCHED!$AA25,IF(MATCHED!AX25=27,MATCHED!$AB25,"."))))))</f>
        <v>#N/A</v>
      </c>
      <c r="W25" s="353" t="e">
        <f>IF(MATCHED!AY25=1,MATCHED!$B25,IF(MATCHED!AY25=2,MATCHED!$C25,IF(MATCHED!AY25=3,MATCHED!$D25,IF(MATCHED!AY25=4,MATCHED!$E25,IF(MATCHED!AY25=3,MATCHED!$F25,IF(MATCHED!AY25=6,MATCHED!$G25,IF(MATCHED!AY25=7,MATCHED!$H25,"")))))))&amp;IF(MATCHED!AY25=8,MATCHED!$I25,IF(MATCHED!AY25=9,MATCHED!$J25,IF(MATCHED!AY25=10,MATCHED!$K25,IF(MATCHED!AY25=11,MATCHED!$L25,IF(MATCHED!AY25=12,MATCHED!$M25,IF(MATCHED!AY25=13,MATCHED!$N25,IF(MATCHED!AY25=14,MATCHED!$O25,"")))))))&amp;IF(MATCHED!AY25=15,MATCHED!$P25,IF(MATCHED!AY25=16,MATCHED!$Q25,IF(MATCHED!AY25=17,MATCHED!$R25,IF(MATCHED!AY25=18,MATCHED!$S25,IF(MATCHED!AY25=19,MATCHED!$T25,IF(MATCHED!AY25=20,MATCHED!$U25,IF(MATCHED!AY25=21,MATCHED!$V25,)))))))&amp;IF(MATCHED!AY25=22,MATCHED!$W25,IF(MATCHED!AY25=23,MATCHED!$X25,IF(MATCHED!AY25=24,MATCHED!$Y25,IF(MATCHED!AY25=25,MATCHED!$Z25,IF(MATCHED!AY25=26,MATCHED!$AA25,IF(MATCHED!AY25=27,MATCHED!$AB25,"."))))))</f>
        <v>#N/A</v>
      </c>
      <c r="X25" s="353" t="e">
        <f>IF(MATCHED!AZ25=1,MATCHED!$B25,IF(MATCHED!AZ25=2,MATCHED!$C25,IF(MATCHED!AZ25=3,MATCHED!$D25,IF(MATCHED!AZ25=4,MATCHED!$E25,IF(MATCHED!AZ25=3,MATCHED!$F25,IF(MATCHED!AZ25=6,MATCHED!$G25,IF(MATCHED!AZ25=7,MATCHED!$H25,"")))))))&amp;IF(MATCHED!AZ25=8,MATCHED!$I25,IF(MATCHED!AZ25=9,MATCHED!$J25,IF(MATCHED!AZ25=10,MATCHED!$K25,IF(MATCHED!AZ25=11,MATCHED!$L25,IF(MATCHED!AZ25=12,MATCHED!$M25,IF(MATCHED!AZ25=13,MATCHED!$N25,IF(MATCHED!AZ25=14,MATCHED!$O25,"")))))))&amp;IF(MATCHED!AZ25=15,MATCHED!$P25,IF(MATCHED!AZ25=16,MATCHED!$Q25,IF(MATCHED!AZ25=17,MATCHED!$R25,IF(MATCHED!AZ25=18,MATCHED!$S25,IF(MATCHED!AZ25=19,MATCHED!$T25,IF(MATCHED!AZ25=20,MATCHED!$U25,IF(MATCHED!AZ25=21,MATCHED!$V25,)))))))&amp;IF(MATCHED!AZ25=22,MATCHED!$W25,IF(MATCHED!AZ25=23,MATCHED!$X25,IF(MATCHED!AZ25=24,MATCHED!$Y25,IF(MATCHED!AZ25=25,MATCHED!$Z25,IF(MATCHED!AZ25=26,MATCHED!$AA25,IF(MATCHED!AZ25=27,MATCHED!$AB25,"."))))))</f>
        <v>#N/A</v>
      </c>
      <c r="Y25" s="353" t="e">
        <f>IF(MATCHED!BA25=1,MATCHED!$B25,IF(MATCHED!BA25=2,MATCHED!$C25,IF(MATCHED!BA25=3,MATCHED!$D25,IF(MATCHED!BA25=4,MATCHED!$E25,IF(MATCHED!BA25=3,MATCHED!$F25,IF(MATCHED!BA25=6,MATCHED!$G25,IF(MATCHED!BA25=7,MATCHED!$H25,"")))))))&amp;IF(MATCHED!BA25=8,MATCHED!$I25,IF(MATCHED!BA25=9,MATCHED!$J25,IF(MATCHED!BA25=10,MATCHED!$K25,IF(MATCHED!BA25=11,MATCHED!$L25,IF(MATCHED!BA25=12,MATCHED!$M25,IF(MATCHED!BA25=13,MATCHED!$N25,IF(MATCHED!BA25=14,MATCHED!$O25,"")))))))&amp;IF(MATCHED!BA25=15,MATCHED!$P25,IF(MATCHED!BA25=16,MATCHED!$Q25,IF(MATCHED!BA25=17,MATCHED!$R25,IF(MATCHED!BA25=18,MATCHED!$S25,IF(MATCHED!BA25=19,MATCHED!$T25,IF(MATCHED!BA25=20,MATCHED!$U25,IF(MATCHED!BA25=21,MATCHED!$V25,)))))))&amp;IF(MATCHED!BA25=22,MATCHED!$W25,IF(MATCHED!BA25=23,MATCHED!$X25,IF(MATCHED!BA25=24,MATCHED!$Y25,IF(MATCHED!BA25=25,MATCHED!$Z25,IF(MATCHED!BA25=26,MATCHED!$AA25,IF(MATCHED!BA25=27,MATCHED!$AB25,"."))))))</f>
        <v>#N/A</v>
      </c>
      <c r="Z25" s="353" t="e">
        <f>IF(MATCHED!BB25=1,MATCHED!$B25,IF(MATCHED!BB25=2,MATCHED!$C25,IF(MATCHED!BB25=3,MATCHED!$D25,IF(MATCHED!BB25=4,MATCHED!$E25,IF(MATCHED!BB25=3,MATCHED!$F25,IF(MATCHED!BB25=6,MATCHED!$G25,IF(MATCHED!BB25=7,MATCHED!$H25,"")))))))&amp;IF(MATCHED!BB25=8,MATCHED!$I25,IF(MATCHED!BB25=9,MATCHED!$J25,IF(MATCHED!BB25=10,MATCHED!$K25,IF(MATCHED!BB25=11,MATCHED!$L25,IF(MATCHED!BB25=12,MATCHED!$M25,IF(MATCHED!BB25=13,MATCHED!$N25,IF(MATCHED!BB25=14,MATCHED!$O25,"")))))))&amp;IF(MATCHED!BB25=15,MATCHED!$P25,IF(MATCHED!BB25=16,MATCHED!$Q25,IF(MATCHED!BB25=17,MATCHED!$R25,IF(MATCHED!BB25=18,MATCHED!$S25,IF(MATCHED!BB25=19,MATCHED!$T25,IF(MATCHED!BB25=20,MATCHED!$U25,IF(MATCHED!BB25=21,MATCHED!$V25,)))))))&amp;IF(MATCHED!BB25=22,MATCHED!$W25,IF(MATCHED!BB25=23,MATCHED!$X25,IF(MATCHED!BB25=24,MATCHED!$Y25,IF(MATCHED!BB25=25,MATCHED!$Z25,IF(MATCHED!BB25=26,MATCHED!$AA25,IF(MATCHED!BB25=27,MATCHED!$AB25,"."))))))</f>
        <v>#N/A</v>
      </c>
      <c r="AA25" s="353" t="e">
        <f>IF(MATCHED!BC25=1,MATCHED!$B25,IF(MATCHED!BC25=2,MATCHED!$C25,IF(MATCHED!BC25=3,MATCHED!$D25,IF(MATCHED!BC25=4,MATCHED!$E25,IF(MATCHED!BC25=3,MATCHED!$F25,IF(MATCHED!BC25=6,MATCHED!$G25,IF(MATCHED!BC25=7,MATCHED!$H25,"")))))))&amp;IF(MATCHED!BC25=8,MATCHED!$I25,IF(MATCHED!BC25=9,MATCHED!$J25,IF(MATCHED!BC25=10,MATCHED!$K25,IF(MATCHED!BC25=11,MATCHED!$L25,IF(MATCHED!BC25=12,MATCHED!$M25,IF(MATCHED!BC25=13,MATCHED!$N25,IF(MATCHED!BC25=14,MATCHED!$O25,"")))))))&amp;IF(MATCHED!BC25=15,MATCHED!$P25,IF(MATCHED!BC25=16,MATCHED!$Q25,IF(MATCHED!BC25=17,MATCHED!$R25,IF(MATCHED!BC25=18,MATCHED!$S25,IF(MATCHED!BC25=19,MATCHED!$T25,IF(MATCHED!BC25=20,MATCHED!$U25,IF(MATCHED!BC25=21,MATCHED!$V25,)))))))&amp;IF(MATCHED!BC25=22,MATCHED!$W25,IF(MATCHED!BC25=23,MATCHED!$X25,IF(MATCHED!BC25=24,MATCHED!$Y25,IF(MATCHED!BC25=25,MATCHED!$Z25,IF(MATCHED!BC25=26,MATCHED!$AA25,IF(MATCHED!BC25=27,MATCHED!$AB25,"."))))))</f>
        <v>#N/A</v>
      </c>
      <c r="AB25" s="353" t="e">
        <f>IF(MATCHED!BD25=1,MATCHED!$B25,IF(MATCHED!BD25=2,MATCHED!$C25,IF(MATCHED!BD25=3,MATCHED!$D25,IF(MATCHED!BD25=4,MATCHED!$E25,IF(MATCHED!BD25=3,MATCHED!$F25,IF(MATCHED!BD25=6,MATCHED!$G25,IF(MATCHED!BD25=7,MATCHED!$H25,"")))))))&amp;IF(MATCHED!BD25=8,MATCHED!$I25,IF(MATCHED!BD25=9,MATCHED!$J25,IF(MATCHED!BD25=10,MATCHED!$K25,IF(MATCHED!BD25=11,MATCHED!$L25,IF(MATCHED!BD25=12,MATCHED!$M25,IF(MATCHED!BD25=13,MATCHED!$N25,IF(MATCHED!BD25=14,MATCHED!$O25,"")))))))&amp;IF(MATCHED!BD25=15,MATCHED!$P25,IF(MATCHED!BD25=16,MATCHED!$Q25,IF(MATCHED!BD25=17,MATCHED!$R25,IF(MATCHED!BD25=18,MATCHED!$S25,IF(MATCHED!BD25=19,MATCHED!$T25,IF(MATCHED!BD25=20,MATCHED!$U25,IF(MATCHED!BD25=21,MATCHED!$V25,)))))))&amp;IF(MATCHED!BD25=22,MATCHED!$W25,IF(MATCHED!BD25=23,MATCHED!$X25,IF(MATCHED!BD25=24,MATCHED!$Y25,IF(MATCHED!BD25=25,MATCHED!$Z25,IF(MATCHED!BD25=26,MATCHED!$AA25,IF(MATCHED!BD25=27,MATCHED!$AB25,"."))))))</f>
        <v>#N/A</v>
      </c>
      <c r="AC25" s="353" t="e">
        <f>IF(MATCHED!BE25=1,MATCHED!$B25,IF(MATCHED!BE25=2,MATCHED!$C25,IF(MATCHED!BE25=3,MATCHED!$D25,IF(MATCHED!BE25=4,MATCHED!$E25,IF(MATCHED!BE25=3,MATCHED!$F25,IF(MATCHED!BE25=6,MATCHED!$G25,IF(MATCHED!BE25=7,MATCHED!$H25,"")))))))&amp;IF(MATCHED!BE25=8,MATCHED!$I25,IF(MATCHED!BE25=9,MATCHED!$J25,IF(MATCHED!BE25=10,MATCHED!$K25,IF(MATCHED!BE25=11,MATCHED!$L25,IF(MATCHED!BE25=12,MATCHED!$M25,IF(MATCHED!BE25=13,MATCHED!$N25,IF(MATCHED!BE25=14,MATCHED!$O25,"")))))))&amp;IF(MATCHED!BE25=15,MATCHED!$P25,IF(MATCHED!BE25=16,MATCHED!$Q25,IF(MATCHED!BE25=17,MATCHED!$R25,IF(MATCHED!BE25=18,MATCHED!$S25,IF(MATCHED!BE25=19,MATCHED!$T25,IF(MATCHED!BE25=20,MATCHED!$U25,IF(MATCHED!BE25=21,MATCHED!$V25,)))))))&amp;IF(MATCHED!BE25=22,MATCHED!$W25,IF(MATCHED!BE25=23,MATCHED!$X25,IF(MATCHED!BE25=24,MATCHED!$Y25,IF(MATCHED!BE25=25,MATCHED!$Z25,IF(MATCHED!BE25=26,MATCHED!$AA25,IF(MATCHED!BE25=27,MATCHED!$AB25,"."))))))</f>
        <v>#N/A</v>
      </c>
      <c r="AD25" s="353" t="e">
        <f>IF(MATCHED!BF25=1,MATCHED!$B25,IF(MATCHED!BF25=2,MATCHED!$C25,IF(MATCHED!BF25=3,MATCHED!$D25,IF(MATCHED!BF25=4,MATCHED!$E25,IF(MATCHED!BF25=3,MATCHED!$F25,IF(MATCHED!BF25=6,MATCHED!$G25,IF(MATCHED!BF25=7,MATCHED!$H25,"")))))))&amp;IF(MATCHED!BF25=8,MATCHED!$I25,IF(MATCHED!BF25=9,MATCHED!$J25,IF(MATCHED!BF25=10,MATCHED!$K25,IF(MATCHED!BF25=11,MATCHED!$L25,IF(MATCHED!BF25=12,MATCHED!$M25,IF(MATCHED!BF25=13,MATCHED!$N25,IF(MATCHED!BF25=14,MATCHED!$O25,"")))))))&amp;IF(MATCHED!BF25=15,MATCHED!$P25,IF(MATCHED!BF25=16,MATCHED!$Q25,IF(MATCHED!BF25=17,MATCHED!$R25,IF(MATCHED!BF25=18,MATCHED!$S25,IF(MATCHED!BF25=19,MATCHED!$T25,IF(MATCHED!BF25=20,MATCHED!$U25,IF(MATCHED!BF25=21,MATCHED!$V25,)))))))&amp;IF(MATCHED!BF25=22,MATCHED!$W25,IF(MATCHED!BF25=23,MATCHED!$X25,IF(MATCHED!BF25=24,MATCHED!$Y25,IF(MATCHED!BF25=25,MATCHED!$Z25,IF(MATCHED!BF25=26,MATCHED!$AA25,IF(MATCHED!BF25=27,MATCHED!$AB25,"."))))))</f>
        <v>#N/A</v>
      </c>
      <c r="AE25" s="353" t="e">
        <f>IF(MATCHED!BG25=1,MATCHED!$B25,IF(MATCHED!BG25=2,MATCHED!$C25,IF(MATCHED!BG25=3,MATCHED!$D25,IF(MATCHED!BG25=4,MATCHED!$E25,IF(MATCHED!BG25=3,MATCHED!$F25,IF(MATCHED!BG25=6,MATCHED!$G25,IF(MATCHED!BG25=7,MATCHED!$H25,"")))))))&amp;IF(MATCHED!BG25=8,MATCHED!$I25,IF(MATCHED!BG25=9,MATCHED!$J25,IF(MATCHED!BG25=10,MATCHED!$K25,IF(MATCHED!BG25=11,MATCHED!$L25,IF(MATCHED!BG25=12,MATCHED!$M25,IF(MATCHED!BG25=13,MATCHED!$N25,IF(MATCHED!BG25=14,MATCHED!$O25,"")))))))&amp;IF(MATCHED!BG25=15,MATCHED!$P25,IF(MATCHED!BG25=16,MATCHED!$Q25,IF(MATCHED!BG25=17,MATCHED!$R25,IF(MATCHED!BG25=18,MATCHED!$S25,IF(MATCHED!BG25=19,MATCHED!$T25,IF(MATCHED!BG25=20,MATCHED!$U25,IF(MATCHED!BG25=21,MATCHED!$V25,)))))))&amp;IF(MATCHED!BG25=22,MATCHED!$W25,IF(MATCHED!BG25=23,MATCHED!$X25,IF(MATCHED!BG25=24,MATCHED!$Y25,IF(MATCHED!BG25=25,MATCHED!$Z25,IF(MATCHED!BG25=26,MATCHED!$AA25,IF(MATCHED!BG25=27,MATCHED!$AB25,"."))))))</f>
        <v>#N/A</v>
      </c>
      <c r="AF25" s="353" t="e">
        <f>IF(MATCHED!BH25=1,MATCHED!$B25,IF(MATCHED!BH25=2,MATCHED!$C25,IF(MATCHED!BH25=3,MATCHED!$D25,IF(MATCHED!BH25=4,MATCHED!$E25,IF(MATCHED!BH25=3,MATCHED!$F25,IF(MATCHED!BH25=6,MATCHED!$G25,IF(MATCHED!BH25=7,MATCHED!$H25,"")))))))&amp;IF(MATCHED!BH25=8,MATCHED!$I25,IF(MATCHED!BH25=9,MATCHED!$J25,IF(MATCHED!BH25=10,MATCHED!$K25,IF(MATCHED!BH25=11,MATCHED!$L25,IF(MATCHED!BH25=12,MATCHED!$M25,IF(MATCHED!BH25=13,MATCHED!$N25,IF(MATCHED!BH25=14,MATCHED!$O25,"")))))))&amp;IF(MATCHED!BH25=15,MATCHED!$P25,IF(MATCHED!BH25=16,MATCHED!$Q25,IF(MATCHED!BH25=17,MATCHED!$R25,IF(MATCHED!BH25=18,MATCHED!$S25,IF(MATCHED!BH25=19,MATCHED!$T25,IF(MATCHED!BH25=20,MATCHED!$U25,IF(MATCHED!BH25=21,MATCHED!$V25,)))))))&amp;IF(MATCHED!BH25=22,MATCHED!$W25,IF(MATCHED!BH25=23,MATCHED!$X25,IF(MATCHED!BH25=24,MATCHED!$Y25,IF(MATCHED!BH25=25,MATCHED!$Z25,IF(MATCHED!BH25=26,MATCHED!$AA25,IF(MATCHED!BH25=27,MATCHED!$AB25,"."))))))</f>
        <v>#N/A</v>
      </c>
      <c r="AG25" s="353" t="e">
        <f>IF(MATCHED!BI25=1,MATCHED!$B25,IF(MATCHED!BI25=2,MATCHED!$C25,IF(MATCHED!BI25=3,MATCHED!$D25,IF(MATCHED!BI25=4,MATCHED!$E25,IF(MATCHED!BI25=3,MATCHED!$F25,IF(MATCHED!BI25=6,MATCHED!$G25,IF(MATCHED!BI25=7,MATCHED!$H25,"")))))))&amp;IF(MATCHED!BI25=8,MATCHED!$I25,IF(MATCHED!BI25=9,MATCHED!$J25,IF(MATCHED!BI25=10,MATCHED!$K25,IF(MATCHED!BI25=11,MATCHED!$L25,IF(MATCHED!BI25=12,MATCHED!$M25,IF(MATCHED!BI25=13,MATCHED!$N25,IF(MATCHED!BI25=14,MATCHED!$O25,"")))))))&amp;IF(MATCHED!BI25=15,MATCHED!$P25,IF(MATCHED!BI25=16,MATCHED!$Q25,IF(MATCHED!BI25=17,MATCHED!$R25,IF(MATCHED!BI25=18,MATCHED!$S25,IF(MATCHED!BI25=19,MATCHED!$T25,IF(MATCHED!BI25=20,MATCHED!$U25,IF(MATCHED!BI25=21,MATCHED!$V25,)))))))&amp;IF(MATCHED!BI25=22,MATCHED!$W25,IF(MATCHED!BI25=23,MATCHED!$X25,IF(MATCHED!BI25=24,MATCHED!$Y25,IF(MATCHED!BI25=25,MATCHED!$Z25,IF(MATCHED!BI25=26,MATCHED!$AA25,IF(MATCHED!BI25=27,MATCHED!$AB25,"."))))))</f>
        <v>#N/A</v>
      </c>
      <c r="AH25" s="353" t="e">
        <f>IF(MATCHED!BJ25=1,MATCHED!$B25,IF(MATCHED!BJ25=2,MATCHED!$C25,IF(MATCHED!BJ25=3,MATCHED!$D25,IF(MATCHED!BJ25=4,MATCHED!$E25,IF(MATCHED!BJ25=3,MATCHED!$F25,IF(MATCHED!BJ25=6,MATCHED!$G25,IF(MATCHED!BJ25=7,MATCHED!$H25,"")))))))&amp;IF(MATCHED!BJ25=8,MATCHED!$I25,IF(MATCHED!BJ25=9,MATCHED!$J25,IF(MATCHED!BJ25=10,MATCHED!$K25,IF(MATCHED!BJ25=11,MATCHED!$L25,IF(MATCHED!BJ25=12,MATCHED!$M25,IF(MATCHED!BJ25=13,MATCHED!$N25,IF(MATCHED!BJ25=14,MATCHED!$O25,"")))))))&amp;IF(MATCHED!BJ25=15,MATCHED!$P25,IF(MATCHED!BJ25=16,MATCHED!$Q25,IF(MATCHED!BJ25=17,MATCHED!$R25,IF(MATCHED!BJ25=18,MATCHED!$S25,IF(MATCHED!BJ25=19,MATCHED!$T25,IF(MATCHED!BJ25=20,MATCHED!$U25,IF(MATCHED!BJ25=21,MATCHED!$V25,)))))))&amp;IF(MATCHED!BJ25=22,MATCHED!$W25,IF(MATCHED!BJ25=23,MATCHED!$X25,IF(MATCHED!BJ25=24,MATCHED!$Y25,IF(MATCHED!BJ25=25,MATCHED!$Z25,IF(MATCHED!BJ25=26,MATCHED!$AA25,IF(MATCHED!BJ25=27,MATCHED!$AB25,"."))))))</f>
        <v>#N/A</v>
      </c>
      <c r="AI25" s="353" t="e">
        <f>IF(MATCHED!BK25=1,MATCHED!$B25,IF(MATCHED!BK25=2,MATCHED!$C25,IF(MATCHED!BK25=3,MATCHED!$D25,IF(MATCHED!BK25=4,MATCHED!$E25,IF(MATCHED!BK25=3,MATCHED!$F25,IF(MATCHED!BK25=6,MATCHED!$G25,IF(MATCHED!BK25=7,MATCHED!$H25,"")))))))&amp;IF(MATCHED!BK25=8,MATCHED!$I25,IF(MATCHED!BK25=9,MATCHED!$J25,IF(MATCHED!BK25=10,MATCHED!$K25,IF(MATCHED!BK25=11,MATCHED!$L25,IF(MATCHED!BK25=12,MATCHED!$M25,IF(MATCHED!BK25=13,MATCHED!$N25,IF(MATCHED!BK25=14,MATCHED!$O25,"")))))))&amp;IF(MATCHED!BK25=15,MATCHED!$P25,IF(MATCHED!BK25=16,MATCHED!$Q25,IF(MATCHED!BK25=17,MATCHED!$R25,IF(MATCHED!BK25=18,MATCHED!$S25,IF(MATCHED!BK25=19,MATCHED!$T25,IF(MATCHED!BK25=20,MATCHED!$U25,IF(MATCHED!BK25=21,MATCHED!$V25,)))))))&amp;IF(MATCHED!BK25=22,MATCHED!$W25,IF(MATCHED!BK25=23,MATCHED!$X25,IF(MATCHED!BK25=24,MATCHED!$Y25,IF(MATCHED!BK25=25,MATCHED!$Z25,IF(MATCHED!BK25=26,MATCHED!$AA25,IF(MATCHED!BK25=27,MATCHED!$AB25,"."))))))</f>
        <v>#N/A</v>
      </c>
      <c r="AJ25" s="535"/>
    </row>
    <row r="26" spans="1:36" s="338" customFormat="1" x14ac:dyDescent="0.25">
      <c r="A26" s="535"/>
      <c r="B26" s="355" t="e">
        <f>IF(MATCHED!AD26=1,MATCHED!$B26,IF(MATCHED!AD26=2,MATCHED!$C26,IF(MATCHED!AD26=3,MATCHED!$D26,IF(MATCHED!AD26=4,MATCHED!$E26,IF(MATCHED!AD26=3,MATCHED!$F26,IF(MATCHED!AD26=6,MATCHED!$G26,IF(MATCHED!AD26=7,MATCHED!$H26,"")))))))&amp;IF(MATCHED!AD26=8,MATCHED!$I26,IF(MATCHED!AD26=9,MATCHED!$J26,IF(MATCHED!AD26=10,MATCHED!$K26,IF(MATCHED!AD26=11,MATCHED!$L26,IF(MATCHED!AD26=12,MATCHED!$M26,IF(MATCHED!AD26=13,MATCHED!$N26,IF(MATCHED!AD26=14,MATCHED!$O26,"")))))))&amp;IF(MATCHED!AD26=15,MATCHED!$P26,IF(MATCHED!AD26=16,MATCHED!$Q26,IF(MATCHED!AD26=17,MATCHED!$R26,IF(MATCHED!AD26=18,MATCHED!$S26,IF(MATCHED!AD26=19,MATCHED!$T26,IF(MATCHED!AD26=20,MATCHED!$U26,IF(MATCHED!AD26=21,MATCHED!$V26,)))))))&amp;IF(MATCHED!AD26=22,MATCHED!$W26,IF(MATCHED!AD26=23,MATCHED!$X26,IF(MATCHED!AD26=24,MATCHED!$Y26,IF(MATCHED!AD26=25,MATCHED!$Z26,IF(MATCHED!AD26=26,MATCHED!$AA26,IF(MATCHED!AD26=27,MATCHED!$AB26,"."))))))</f>
        <v>#N/A</v>
      </c>
      <c r="C26" s="356" t="e">
        <f>IF(MATCHED!AE26=1,MATCHED!$B26,IF(MATCHED!AE26=2,MATCHED!$C26,IF(MATCHED!AE26=3,MATCHED!$D26,IF(MATCHED!AE26=4,MATCHED!$E26,IF(MATCHED!AE26=3,MATCHED!$F26,IF(MATCHED!AE26=6,MATCHED!$G26,IF(MATCHED!AE26=7,MATCHED!$H26,"")))))))&amp;IF(MATCHED!AE26=8,MATCHED!$I26,IF(MATCHED!AE26=9,MATCHED!$J26,IF(MATCHED!AE26=10,MATCHED!$K26,IF(MATCHED!AE26=11,MATCHED!$L26,IF(MATCHED!AE26=12,MATCHED!$M26,IF(MATCHED!AE26=13,MATCHED!$N26,IF(MATCHED!AE26=14,MATCHED!$O26,"")))))))&amp;IF(MATCHED!AE26=15,MATCHED!$P26,IF(MATCHED!AE26=16,MATCHED!$Q26,IF(MATCHED!AE26=17,MATCHED!$R26,IF(MATCHED!AE26=18,MATCHED!$S26,IF(MATCHED!AE26=19,MATCHED!$T26,IF(MATCHED!AE26=20,MATCHED!$U26,IF(MATCHED!AE26=21,MATCHED!$V26,)))))))&amp;IF(MATCHED!AE26=22,MATCHED!$W26,IF(MATCHED!AE26=23,MATCHED!$X26,IF(MATCHED!AE26=24,MATCHED!$Y26,IF(MATCHED!AE26=25,MATCHED!$Z26,IF(MATCHED!AE26=26,MATCHED!$AA26,IF(MATCHED!AE26=27,MATCHED!$AB26,"."))))))</f>
        <v>#N/A</v>
      </c>
      <c r="D26" s="356" t="e">
        <f>IF(MATCHED!AF26=1,MATCHED!$B26,IF(MATCHED!AF26=2,MATCHED!$C26,IF(MATCHED!AF26=3,MATCHED!$D26,IF(MATCHED!AF26=4,MATCHED!$E26,IF(MATCHED!AF26=3,MATCHED!$F26,IF(MATCHED!AF26=6,MATCHED!$G26,IF(MATCHED!AF26=7,MATCHED!$H26,"")))))))&amp;IF(MATCHED!AF26=8,MATCHED!$I26,IF(MATCHED!AF26=9,MATCHED!$J26,IF(MATCHED!AF26=10,MATCHED!$K26,IF(MATCHED!AF26=11,MATCHED!$L26,IF(MATCHED!AF26=12,MATCHED!$M26,IF(MATCHED!AF26=13,MATCHED!$N26,IF(MATCHED!AF26=14,MATCHED!$O26,"")))))))&amp;IF(MATCHED!AF26=15,MATCHED!$P26,IF(MATCHED!AF26=16,MATCHED!$Q26,IF(MATCHED!AF26=17,MATCHED!$R26,IF(MATCHED!AF26=18,MATCHED!$S26,IF(MATCHED!AF26=19,MATCHED!$T26,IF(MATCHED!AF26=20,MATCHED!$U26,IF(MATCHED!AF26=21,MATCHED!$V26,)))))))&amp;IF(MATCHED!AF26=22,MATCHED!$W26,IF(MATCHED!AF26=23,MATCHED!$X26,IF(MATCHED!AF26=24,MATCHED!$Y26,IF(MATCHED!AF26=25,MATCHED!$Z26,IF(MATCHED!AF26=26,MATCHED!$AA26,IF(MATCHED!AF26=27,MATCHED!$AB26,"."))))))</f>
        <v>#N/A</v>
      </c>
      <c r="E26" s="356" t="e">
        <f>IF(MATCHED!AG26=1,MATCHED!$B26,IF(MATCHED!AG26=2,MATCHED!$C26,IF(MATCHED!AG26=3,MATCHED!$D26,IF(MATCHED!AG26=4,MATCHED!$E26,IF(MATCHED!AG26=3,MATCHED!$F26,IF(MATCHED!AG26=6,MATCHED!$G26,IF(MATCHED!AG26=7,MATCHED!$H26,"")))))))&amp;IF(MATCHED!AG26=8,MATCHED!$I26,IF(MATCHED!AG26=9,MATCHED!$J26,IF(MATCHED!AG26=10,MATCHED!$K26,IF(MATCHED!AG26=11,MATCHED!$L26,IF(MATCHED!AG26=12,MATCHED!$M26,IF(MATCHED!AG26=13,MATCHED!$N26,IF(MATCHED!AG26=14,MATCHED!$O26,"")))))))&amp;IF(MATCHED!AG26=15,MATCHED!$P26,IF(MATCHED!AG26=16,MATCHED!$Q26,IF(MATCHED!AG26=17,MATCHED!$R26,IF(MATCHED!AG26=18,MATCHED!$S26,IF(MATCHED!AG26=19,MATCHED!$T26,IF(MATCHED!AG26=20,MATCHED!$U26,IF(MATCHED!AG26=21,MATCHED!$V26,)))))))&amp;IF(MATCHED!AG26=22,MATCHED!$W26,IF(MATCHED!AG26=23,MATCHED!$X26,IF(MATCHED!AG26=24,MATCHED!$Y26,IF(MATCHED!AG26=25,MATCHED!$Z26,IF(MATCHED!AG26=26,MATCHED!$AA26,IF(MATCHED!AG26=27,MATCHED!$AB26,"."))))))</f>
        <v>#N/A</v>
      </c>
      <c r="F26" s="356" t="e">
        <f>IF(MATCHED!AH26=1,MATCHED!$B26,IF(MATCHED!AH26=2,MATCHED!$C26,IF(MATCHED!AH26=3,MATCHED!$D26,IF(MATCHED!AH26=4,MATCHED!$E26,IF(MATCHED!AH26=3,MATCHED!$F26,IF(MATCHED!AH26=6,MATCHED!$G26,IF(MATCHED!AH26=7,MATCHED!$H26,"")))))))&amp;IF(MATCHED!AH26=8,MATCHED!$I26,IF(MATCHED!AH26=9,MATCHED!$J26,IF(MATCHED!AH26=10,MATCHED!$K26,IF(MATCHED!AH26=11,MATCHED!$L26,IF(MATCHED!AH26=12,MATCHED!$M26,IF(MATCHED!AH26=13,MATCHED!$N26,IF(MATCHED!AH26=14,MATCHED!$O26,"")))))))&amp;IF(MATCHED!AH26=15,MATCHED!$P26,IF(MATCHED!AH26=16,MATCHED!$Q26,IF(MATCHED!AH26=17,MATCHED!$R26,IF(MATCHED!AH26=18,MATCHED!$S26,IF(MATCHED!AH26=19,MATCHED!$T26,IF(MATCHED!AH26=20,MATCHED!$U26,IF(MATCHED!AH26=21,MATCHED!$V26,)))))))&amp;IF(MATCHED!AH26=22,MATCHED!$W26,IF(MATCHED!AH26=23,MATCHED!$X26,IF(MATCHED!AH26=24,MATCHED!$Y26,IF(MATCHED!AH26=25,MATCHED!$Z26,IF(MATCHED!AH26=26,MATCHED!$AA26,IF(MATCHED!AH26=27,MATCHED!$AB26,"."))))))</f>
        <v>#N/A</v>
      </c>
      <c r="G26" s="356" t="e">
        <f>IF(MATCHED!AI26=1,MATCHED!$B26,IF(MATCHED!AI26=2,MATCHED!$C26,IF(MATCHED!AI26=3,MATCHED!$D26,IF(MATCHED!AI26=4,MATCHED!$E26,IF(MATCHED!AI26=3,MATCHED!$F26,IF(MATCHED!AI26=6,MATCHED!$G26,IF(MATCHED!AI26=7,MATCHED!$H26,"")))))))&amp;IF(MATCHED!AI26=8,MATCHED!$I26,IF(MATCHED!AI26=9,MATCHED!$J26,IF(MATCHED!AI26=10,MATCHED!$K26,IF(MATCHED!AI26=11,MATCHED!$L26,IF(MATCHED!AI26=12,MATCHED!$M26,IF(MATCHED!AI26=13,MATCHED!$N26,IF(MATCHED!AI26=14,MATCHED!$O26,"")))))))&amp;IF(MATCHED!AI26=15,MATCHED!$P26,IF(MATCHED!AI26=16,MATCHED!$Q26,IF(MATCHED!AI26=17,MATCHED!$R26,IF(MATCHED!AI26=18,MATCHED!$S26,IF(MATCHED!AI26=19,MATCHED!$T26,IF(MATCHED!AI26=20,MATCHED!$U26,IF(MATCHED!AI26=21,MATCHED!$V26,)))))))&amp;IF(MATCHED!AI26=22,MATCHED!$W26,IF(MATCHED!AI26=23,MATCHED!$X26,IF(MATCHED!AI26=24,MATCHED!$Y26,IF(MATCHED!AI26=25,MATCHED!$Z26,IF(MATCHED!AI26=26,MATCHED!$AA26,IF(MATCHED!AI26=27,MATCHED!$AB26,"."))))))</f>
        <v>#N/A</v>
      </c>
      <c r="H26" s="356" t="e">
        <f>IF(MATCHED!AJ26=1,MATCHED!$B26,IF(MATCHED!AJ26=2,MATCHED!$C26,IF(MATCHED!AJ26=3,MATCHED!$D26,IF(MATCHED!AJ26=4,MATCHED!$E26,IF(MATCHED!AJ26=3,MATCHED!$F26,IF(MATCHED!AJ26=6,MATCHED!$G26,IF(MATCHED!AJ26=7,MATCHED!$H26,"")))))))&amp;IF(MATCHED!AJ26=8,MATCHED!$I26,IF(MATCHED!AJ26=9,MATCHED!$J26,IF(MATCHED!AJ26=10,MATCHED!$K26,IF(MATCHED!AJ26=11,MATCHED!$L26,IF(MATCHED!AJ26=12,MATCHED!$M26,IF(MATCHED!AJ26=13,MATCHED!$N26,IF(MATCHED!AJ26=14,MATCHED!$O26,"")))))))&amp;IF(MATCHED!AJ26=15,MATCHED!$P26,IF(MATCHED!AJ26=16,MATCHED!$Q26,IF(MATCHED!AJ26=17,MATCHED!$R26,IF(MATCHED!AJ26=18,MATCHED!$S26,IF(MATCHED!AJ26=19,MATCHED!$T26,IF(MATCHED!AJ26=20,MATCHED!$U26,IF(MATCHED!AJ26=21,MATCHED!$V26,)))))))&amp;IF(MATCHED!AJ26=22,MATCHED!$W26,IF(MATCHED!AJ26=23,MATCHED!$X26,IF(MATCHED!AJ26=24,MATCHED!$Y26,IF(MATCHED!AJ26=25,MATCHED!$Z26,IF(MATCHED!AJ26=26,MATCHED!$AA26,IF(MATCHED!AJ26=27,MATCHED!$AB26,"."))))))</f>
        <v>#N/A</v>
      </c>
      <c r="I26" s="356" t="e">
        <f>IF(MATCHED!AK26=1,MATCHED!$B26,IF(MATCHED!AK26=2,MATCHED!$C26,IF(MATCHED!AK26=3,MATCHED!$D26,IF(MATCHED!AK26=4,MATCHED!$E26,IF(MATCHED!AK26=3,MATCHED!$F26,IF(MATCHED!AK26=6,MATCHED!$G26,IF(MATCHED!AK26=7,MATCHED!$H26,"")))))))&amp;IF(MATCHED!AK26=8,MATCHED!$I26,IF(MATCHED!AK26=9,MATCHED!$J26,IF(MATCHED!AK26=10,MATCHED!$K26,IF(MATCHED!AK26=11,MATCHED!$L26,IF(MATCHED!AK26=12,MATCHED!$M26,IF(MATCHED!AK26=13,MATCHED!$N26,IF(MATCHED!AK26=14,MATCHED!$O26,"")))))))&amp;IF(MATCHED!AK26=15,MATCHED!$P26,IF(MATCHED!AK26=16,MATCHED!$Q26,IF(MATCHED!AK26=17,MATCHED!$R26,IF(MATCHED!AK26=18,MATCHED!$S26,IF(MATCHED!AK26=19,MATCHED!$T26,IF(MATCHED!AK26=20,MATCHED!$U26,IF(MATCHED!AK26=21,MATCHED!$V26,)))))))&amp;IF(MATCHED!AK26=22,MATCHED!$W26,IF(MATCHED!AK26=23,MATCHED!$X26,IF(MATCHED!AK26=24,MATCHED!$Y26,IF(MATCHED!AK26=25,MATCHED!$Z26,IF(MATCHED!AK26=26,MATCHED!$AA26,IF(MATCHED!AK26=27,MATCHED!$AB26,"."))))))</f>
        <v>#N/A</v>
      </c>
      <c r="J26" s="356" t="e">
        <f>IF(MATCHED!AL26=1,MATCHED!$B26,IF(MATCHED!AL26=2,MATCHED!$C26,IF(MATCHED!AL26=3,MATCHED!$D26,IF(MATCHED!AL26=4,MATCHED!$E26,IF(MATCHED!AL26=3,MATCHED!$F26,IF(MATCHED!AL26=6,MATCHED!$G26,IF(MATCHED!AL26=7,MATCHED!$H26,"")))))))&amp;IF(MATCHED!AL26=8,MATCHED!$I26,IF(MATCHED!AL26=9,MATCHED!$J26,IF(MATCHED!AL26=10,MATCHED!$K26,IF(MATCHED!AL26=11,MATCHED!$L26,IF(MATCHED!AL26=12,MATCHED!$M26,IF(MATCHED!AL26=13,MATCHED!$N26,IF(MATCHED!AL26=14,MATCHED!$O26,"")))))))&amp;IF(MATCHED!AL26=15,MATCHED!$P26,IF(MATCHED!AL26=16,MATCHED!$Q26,IF(MATCHED!AL26=17,MATCHED!$R26,IF(MATCHED!AL26=18,MATCHED!$S26,IF(MATCHED!AL26=19,MATCHED!$T26,IF(MATCHED!AL26=20,MATCHED!$U26,IF(MATCHED!AL26=21,MATCHED!$V26,)))))))&amp;IF(MATCHED!AL26=22,MATCHED!$W26,IF(MATCHED!AL26=23,MATCHED!$X26,IF(MATCHED!AL26=24,MATCHED!$Y26,IF(MATCHED!AL26=25,MATCHED!$Z26,IF(MATCHED!AL26=26,MATCHED!$AA26,IF(MATCHED!AL26=27,MATCHED!$AB26,"."))))))</f>
        <v>#N/A</v>
      </c>
      <c r="K26" s="356" t="e">
        <f>IF(MATCHED!AM26=1,MATCHED!$B26,IF(MATCHED!AM26=2,MATCHED!$C26,IF(MATCHED!AM26=3,MATCHED!$D26,IF(MATCHED!AM26=4,MATCHED!$E26,IF(MATCHED!AM26=3,MATCHED!$F26,IF(MATCHED!AM26=6,MATCHED!$G26,IF(MATCHED!AM26=7,MATCHED!$H26,"")))))))&amp;IF(MATCHED!AM26=8,MATCHED!$I26,IF(MATCHED!AM26=9,MATCHED!$J26,IF(MATCHED!AM26=10,MATCHED!$K26,IF(MATCHED!AM26=11,MATCHED!$L26,IF(MATCHED!AM26=12,MATCHED!$M26,IF(MATCHED!AM26=13,MATCHED!$N26,IF(MATCHED!AM26=14,MATCHED!$O26,"")))))))&amp;IF(MATCHED!AM26=15,MATCHED!$P26,IF(MATCHED!AM26=16,MATCHED!$Q26,IF(MATCHED!AM26=17,MATCHED!$R26,IF(MATCHED!AM26=18,MATCHED!$S26,IF(MATCHED!AM26=19,MATCHED!$T26,IF(MATCHED!AM26=20,MATCHED!$U26,IF(MATCHED!AM26=21,MATCHED!$V26,)))))))&amp;IF(MATCHED!AM26=22,MATCHED!$W26,IF(MATCHED!AM26=23,MATCHED!$X26,IF(MATCHED!AM26=24,MATCHED!$Y26,IF(MATCHED!AM26=25,MATCHED!$Z26,IF(MATCHED!AM26=26,MATCHED!$AA26,IF(MATCHED!AM26=27,MATCHED!$AB26,"."))))))</f>
        <v>#N/A</v>
      </c>
      <c r="L26" s="356" t="e">
        <f>IF(MATCHED!AN26=1,MATCHED!$B26,IF(MATCHED!AN26=2,MATCHED!$C26,IF(MATCHED!AN26=3,MATCHED!$D26,IF(MATCHED!AN26=4,MATCHED!$E26,IF(MATCHED!AN26=3,MATCHED!$F26,IF(MATCHED!AN26=6,MATCHED!$G26,IF(MATCHED!AN26=7,MATCHED!$H26,"")))))))&amp;IF(MATCHED!AN26=8,MATCHED!$I26,IF(MATCHED!AN26=9,MATCHED!$J26,IF(MATCHED!AN26=10,MATCHED!$K26,IF(MATCHED!AN26=11,MATCHED!$L26,IF(MATCHED!AN26=12,MATCHED!$M26,IF(MATCHED!AN26=13,MATCHED!$N26,IF(MATCHED!AN26=14,MATCHED!$O26,"")))))))&amp;IF(MATCHED!AN26=15,MATCHED!$P26,IF(MATCHED!AN26=16,MATCHED!$Q26,IF(MATCHED!AN26=17,MATCHED!$R26,IF(MATCHED!AN26=18,MATCHED!$S26,IF(MATCHED!AN26=19,MATCHED!$T26,IF(MATCHED!AN26=20,MATCHED!$U26,IF(MATCHED!AN26=21,MATCHED!$V26,)))))))&amp;IF(MATCHED!AN26=22,MATCHED!$W26,IF(MATCHED!AN26=23,MATCHED!$X26,IF(MATCHED!AN26=24,MATCHED!$Y26,IF(MATCHED!AN26=25,MATCHED!$Z26,IF(MATCHED!AN26=26,MATCHED!$AA26,IF(MATCHED!AN26=27,MATCHED!$AB26,"."))))))</f>
        <v>#N/A</v>
      </c>
      <c r="M26" s="356" t="e">
        <f>IF(MATCHED!AO26=1,MATCHED!$B26,IF(MATCHED!AO26=2,MATCHED!$C26,IF(MATCHED!AO26=3,MATCHED!$D26,IF(MATCHED!AO26=4,MATCHED!$E26,IF(MATCHED!AO26=3,MATCHED!$F26,IF(MATCHED!AO26=6,MATCHED!$G26,IF(MATCHED!AO26=7,MATCHED!$H26,"")))))))&amp;IF(MATCHED!AO26=8,MATCHED!$I26,IF(MATCHED!AO26=9,MATCHED!$J26,IF(MATCHED!AO26=10,MATCHED!$K26,IF(MATCHED!AO26=11,MATCHED!$L26,IF(MATCHED!AO26=12,MATCHED!$M26,IF(MATCHED!AO26=13,MATCHED!$N26,IF(MATCHED!AO26=14,MATCHED!$O26,"")))))))&amp;IF(MATCHED!AO26=15,MATCHED!$P26,IF(MATCHED!AO26=16,MATCHED!$Q26,IF(MATCHED!AO26=17,MATCHED!$R26,IF(MATCHED!AO26=18,MATCHED!$S26,IF(MATCHED!AO26=19,MATCHED!$T26,IF(MATCHED!AO26=20,MATCHED!$U26,IF(MATCHED!AO26=21,MATCHED!$V26,)))))))&amp;IF(MATCHED!AO26=22,MATCHED!$W26,IF(MATCHED!AO26=23,MATCHED!$X26,IF(MATCHED!AO26=24,MATCHED!$Y26,IF(MATCHED!AO26=25,MATCHED!$Z26,IF(MATCHED!AO26=26,MATCHED!$AA26,IF(MATCHED!AO26=27,MATCHED!$AB26,"."))))))</f>
        <v>#N/A</v>
      </c>
      <c r="N26" s="356" t="e">
        <f>IF(MATCHED!AP26=1,MATCHED!$B26,IF(MATCHED!AP26=2,MATCHED!$C26,IF(MATCHED!AP26=3,MATCHED!$D26,IF(MATCHED!AP26=4,MATCHED!$E26,IF(MATCHED!AP26=3,MATCHED!$F26,IF(MATCHED!AP26=6,MATCHED!$G26,IF(MATCHED!AP26=7,MATCHED!$H26,"")))))))&amp;IF(MATCHED!AP26=8,MATCHED!$I26,IF(MATCHED!AP26=9,MATCHED!$J26,IF(MATCHED!AP26=10,MATCHED!$K26,IF(MATCHED!AP26=11,MATCHED!$L26,IF(MATCHED!AP26=12,MATCHED!$M26,IF(MATCHED!AP26=13,MATCHED!$N26,IF(MATCHED!AP26=14,MATCHED!$O26,"")))))))&amp;IF(MATCHED!AP26=15,MATCHED!$P26,IF(MATCHED!AP26=16,MATCHED!$Q26,IF(MATCHED!AP26=17,MATCHED!$R26,IF(MATCHED!AP26=18,MATCHED!$S26,IF(MATCHED!AP26=19,MATCHED!$T26,IF(MATCHED!AP26=20,MATCHED!$U26,IF(MATCHED!AP26=21,MATCHED!$V26,)))))))&amp;IF(MATCHED!AP26=22,MATCHED!$W26,IF(MATCHED!AP26=23,MATCHED!$X26,IF(MATCHED!AP26=24,MATCHED!$Y26,IF(MATCHED!AP26=25,MATCHED!$Z26,IF(MATCHED!AP26=26,MATCHED!$AA26,IF(MATCHED!AP26=27,MATCHED!$AB26,"."))))))</f>
        <v>#N/A</v>
      </c>
      <c r="O26" s="356" t="e">
        <f>IF(MATCHED!AQ26=1,MATCHED!$B26,IF(MATCHED!AQ26=2,MATCHED!$C26,IF(MATCHED!AQ26=3,MATCHED!$D26,IF(MATCHED!AQ26=4,MATCHED!$E26,IF(MATCHED!AQ26=3,MATCHED!$F26,IF(MATCHED!AQ26=6,MATCHED!$G26,IF(MATCHED!AQ26=7,MATCHED!$H26,"")))))))&amp;IF(MATCHED!AQ26=8,MATCHED!$I26,IF(MATCHED!AQ26=9,MATCHED!$J26,IF(MATCHED!AQ26=10,MATCHED!$K26,IF(MATCHED!AQ26=11,MATCHED!$L26,IF(MATCHED!AQ26=12,MATCHED!$M26,IF(MATCHED!AQ26=13,MATCHED!$N26,IF(MATCHED!AQ26=14,MATCHED!$O26,"")))))))&amp;IF(MATCHED!AQ26=15,MATCHED!$P26,IF(MATCHED!AQ26=16,MATCHED!$Q26,IF(MATCHED!AQ26=17,MATCHED!$R26,IF(MATCHED!AQ26=18,MATCHED!$S26,IF(MATCHED!AQ26=19,MATCHED!$T26,IF(MATCHED!AQ26=20,MATCHED!$U26,IF(MATCHED!AQ26=21,MATCHED!$V26,)))))))&amp;IF(MATCHED!AQ26=22,MATCHED!$W26,IF(MATCHED!AQ26=23,MATCHED!$X26,IF(MATCHED!AQ26=24,MATCHED!$Y26,IF(MATCHED!AQ26=25,MATCHED!$Z26,IF(MATCHED!AQ26=26,MATCHED!$AA26,IF(MATCHED!AQ26=27,MATCHED!$AB26,"."))))))</f>
        <v>#N/A</v>
      </c>
      <c r="P26" s="356" t="e">
        <f>IF(MATCHED!AR26=1,MATCHED!$B26,IF(MATCHED!AR26=2,MATCHED!$C26,IF(MATCHED!AR26=3,MATCHED!$D26,IF(MATCHED!AR26=4,MATCHED!$E26,IF(MATCHED!AR26=3,MATCHED!$F26,IF(MATCHED!AR26=6,MATCHED!$G26,IF(MATCHED!AR26=7,MATCHED!$H26,"")))))))&amp;IF(MATCHED!AR26=8,MATCHED!$I26,IF(MATCHED!AR26=9,MATCHED!$J26,IF(MATCHED!AR26=10,MATCHED!$K26,IF(MATCHED!AR26=11,MATCHED!$L26,IF(MATCHED!AR26=12,MATCHED!$M26,IF(MATCHED!AR26=13,MATCHED!$N26,IF(MATCHED!AR26=14,MATCHED!$O26,"")))))))&amp;IF(MATCHED!AR26=15,MATCHED!$P26,IF(MATCHED!AR26=16,MATCHED!$Q26,IF(MATCHED!AR26=17,MATCHED!$R26,IF(MATCHED!AR26=18,MATCHED!$S26,IF(MATCHED!AR26=19,MATCHED!$T26,IF(MATCHED!AR26=20,MATCHED!$U26,IF(MATCHED!AR26=21,MATCHED!$V26,)))))))&amp;IF(MATCHED!AR26=22,MATCHED!$W26,IF(MATCHED!AR26=23,MATCHED!$X26,IF(MATCHED!AR26=24,MATCHED!$Y26,IF(MATCHED!AR26=25,MATCHED!$Z26,IF(MATCHED!AR26=26,MATCHED!$AA26,IF(MATCHED!AR26=27,MATCHED!$AB26,"."))))))</f>
        <v>#N/A</v>
      </c>
      <c r="Q26" s="357" t="e">
        <f>IF(MATCHED!AS26=1,MATCHED!$B26,IF(MATCHED!AS26=2,MATCHED!$C26,IF(MATCHED!AS26=3,MATCHED!$D26,IF(MATCHED!AS26=4,MATCHED!$E26,IF(MATCHED!AS26=3,MATCHED!$F26,IF(MATCHED!AS26=6,MATCHED!$G26,IF(MATCHED!AS26=7,MATCHED!$H26,"")))))))&amp;IF(MATCHED!AS26=8,MATCHED!$I26,IF(MATCHED!AS26=9,MATCHED!$J26,IF(MATCHED!AS26=10,MATCHED!$K26,IF(MATCHED!AS26=11,MATCHED!$L26,IF(MATCHED!AS26=12,MATCHED!$M26,IF(MATCHED!AS26=13,MATCHED!$N26,IF(MATCHED!AS26=14,MATCHED!$O26,"")))))))&amp;IF(MATCHED!AS26=15,MATCHED!$P26,IF(MATCHED!AS26=16,MATCHED!$Q26,IF(MATCHED!AS26=17,MATCHED!$R26,IF(MATCHED!AS26=18,MATCHED!$S26,IF(MATCHED!AS26=19,MATCHED!$T26,IF(MATCHED!AS26=20,MATCHED!$U26,IF(MATCHED!AS26=21,MATCHED!$V26,)))))))&amp;IF(MATCHED!AS26=22,MATCHED!$W26,IF(MATCHED!AS26=23,MATCHED!$X26,IF(MATCHED!AS26=24,MATCHED!$Y26,IF(MATCHED!AS26=25,MATCHED!$Z26,IF(MATCHED!AS26=26,MATCHED!$AA26,IF(MATCHED!AS26=27,MATCHED!$AB26,"."))))))</f>
        <v>#N/A</v>
      </c>
      <c r="R26" s="356" t="e">
        <f>IF(MATCHED!AT26=1,MATCHED!$B26,IF(MATCHED!AT26=2,MATCHED!$C26,IF(MATCHED!AT26=3,MATCHED!$D26,IF(MATCHED!AT26=4,MATCHED!$E26,IF(MATCHED!AT26=3,MATCHED!$F26,IF(MATCHED!AT26=6,MATCHED!$G26,IF(MATCHED!AT26=7,MATCHED!$H26,"")))))))&amp;IF(MATCHED!AT26=8,MATCHED!$I26,IF(MATCHED!AT26=9,MATCHED!$J26,IF(MATCHED!AT26=10,MATCHED!$K26,IF(MATCHED!AT26=11,MATCHED!$L26,IF(MATCHED!AT26=12,MATCHED!$M26,IF(MATCHED!AT26=13,MATCHED!$N26,IF(MATCHED!AT26=14,MATCHED!$O26,"")))))))&amp;IF(MATCHED!AT26=15,MATCHED!$P26,IF(MATCHED!AT26=16,MATCHED!$Q26,IF(MATCHED!AT26=17,MATCHED!$R26,IF(MATCHED!AT26=18,MATCHED!$S26,IF(MATCHED!AT26=19,MATCHED!$T26,IF(MATCHED!AT26=20,MATCHED!$U26,IF(MATCHED!AT26=21,MATCHED!$V26,)))))))&amp;IF(MATCHED!AT26=22,MATCHED!$W26,IF(MATCHED!AT26=23,MATCHED!$X26,IF(MATCHED!AT26=24,MATCHED!$Y26,IF(MATCHED!AT26=25,MATCHED!$Z26,IF(MATCHED!AT26=26,MATCHED!$AA26,IF(MATCHED!AT26=27,MATCHED!$AB26,"."))))))</f>
        <v>#N/A</v>
      </c>
      <c r="S26" s="356" t="e">
        <f>IF(MATCHED!AU26=1,MATCHED!$B26,IF(MATCHED!AU26=2,MATCHED!$C26,IF(MATCHED!AU26=3,MATCHED!$D26,IF(MATCHED!AU26=4,MATCHED!$E26,IF(MATCHED!AU26=3,MATCHED!$F26,IF(MATCHED!AU26=6,MATCHED!$G26,IF(MATCHED!AU26=7,MATCHED!$H26,"")))))))&amp;IF(MATCHED!AU26=8,MATCHED!$I26,IF(MATCHED!AU26=9,MATCHED!$J26,IF(MATCHED!AU26=10,MATCHED!$K26,IF(MATCHED!AU26=11,MATCHED!$L26,IF(MATCHED!AU26=12,MATCHED!$M26,IF(MATCHED!AU26=13,MATCHED!$N26,IF(MATCHED!AU26=14,MATCHED!$O26,"")))))))&amp;IF(MATCHED!AU26=15,MATCHED!$P26,IF(MATCHED!AU26=16,MATCHED!$Q26,IF(MATCHED!AU26=17,MATCHED!$R26,IF(MATCHED!AU26=18,MATCHED!$S26,IF(MATCHED!AU26=19,MATCHED!$T26,IF(MATCHED!AU26=20,MATCHED!$U26,IF(MATCHED!AU26=21,MATCHED!$V26,)))))))&amp;IF(MATCHED!AU26=22,MATCHED!$W26,IF(MATCHED!AU26=23,MATCHED!$X26,IF(MATCHED!AU26=24,MATCHED!$Y26,IF(MATCHED!AU26=25,MATCHED!$Z26,IF(MATCHED!AU26=26,MATCHED!$AA26,IF(MATCHED!AU26=27,MATCHED!$AB26,"."))))))</f>
        <v>#N/A</v>
      </c>
      <c r="T26" s="356" t="e">
        <f>IF(MATCHED!AV26=1,MATCHED!$B26,IF(MATCHED!AV26=2,MATCHED!$C26,IF(MATCHED!AV26=3,MATCHED!$D26,IF(MATCHED!AV26=4,MATCHED!$E26,IF(MATCHED!AV26=3,MATCHED!$F26,IF(MATCHED!AV26=6,MATCHED!$G26,IF(MATCHED!AV26=7,MATCHED!$H26,"")))))))&amp;IF(MATCHED!AV26=8,MATCHED!$I26,IF(MATCHED!AV26=9,MATCHED!$J26,IF(MATCHED!AV26=10,MATCHED!$K26,IF(MATCHED!AV26=11,MATCHED!$L26,IF(MATCHED!AV26=12,MATCHED!$M26,IF(MATCHED!AV26=13,MATCHED!$N26,IF(MATCHED!AV26=14,MATCHED!$O26,"")))))))&amp;IF(MATCHED!AV26=15,MATCHED!$P26,IF(MATCHED!AV26=16,MATCHED!$Q26,IF(MATCHED!AV26=17,MATCHED!$R26,IF(MATCHED!AV26=18,MATCHED!$S26,IF(MATCHED!AV26=19,MATCHED!$T26,IF(MATCHED!AV26=20,MATCHED!$U26,IF(MATCHED!AV26=21,MATCHED!$V26,)))))))&amp;IF(MATCHED!AV26=22,MATCHED!$W26,IF(MATCHED!AV26=23,MATCHED!$X26,IF(MATCHED!AV26=24,MATCHED!$Y26,IF(MATCHED!AV26=25,MATCHED!$Z26,IF(MATCHED!AV26=26,MATCHED!$AA26,IF(MATCHED!AV26=27,MATCHED!$AB26,"."))))))</f>
        <v>#N/A</v>
      </c>
      <c r="U26" s="356" t="e">
        <f>IF(MATCHED!AW26=1,MATCHED!$B26,IF(MATCHED!AW26=2,MATCHED!$C26,IF(MATCHED!AW26=3,MATCHED!$D26,IF(MATCHED!AW26=4,MATCHED!$E26,IF(MATCHED!AW26=3,MATCHED!$F26,IF(MATCHED!AW26=6,MATCHED!$G26,IF(MATCHED!AW26=7,MATCHED!$H26,"")))))))&amp;IF(MATCHED!AW26=8,MATCHED!$I26,IF(MATCHED!AW26=9,MATCHED!$J26,IF(MATCHED!AW26=10,MATCHED!$K26,IF(MATCHED!AW26=11,MATCHED!$L26,IF(MATCHED!AW26=12,MATCHED!$M26,IF(MATCHED!AW26=13,MATCHED!$N26,IF(MATCHED!AW26=14,MATCHED!$O26,"")))))))&amp;IF(MATCHED!AW26=15,MATCHED!$P26,IF(MATCHED!AW26=16,MATCHED!$Q26,IF(MATCHED!AW26=17,MATCHED!$R26,IF(MATCHED!AW26=18,MATCHED!$S26,IF(MATCHED!AW26=19,MATCHED!$T26,IF(MATCHED!AW26=20,MATCHED!$U26,IF(MATCHED!AW26=21,MATCHED!$V26,)))))))&amp;IF(MATCHED!AW26=22,MATCHED!$W26,IF(MATCHED!AW26=23,MATCHED!$X26,IF(MATCHED!AW26=24,MATCHED!$Y26,IF(MATCHED!AW26=25,MATCHED!$Z26,IF(MATCHED!AW26=26,MATCHED!$AA26,IF(MATCHED!AW26=27,MATCHED!$AB26,"."))))))</f>
        <v>#N/A</v>
      </c>
      <c r="V26" s="356" t="e">
        <f>IF(MATCHED!AX26=1,MATCHED!$B26,IF(MATCHED!AX26=2,MATCHED!$C26,IF(MATCHED!AX26=3,MATCHED!$D26,IF(MATCHED!AX26=4,MATCHED!$E26,IF(MATCHED!AX26=3,MATCHED!$F26,IF(MATCHED!AX26=6,MATCHED!$G26,IF(MATCHED!AX26=7,MATCHED!$H26,"")))))))&amp;IF(MATCHED!AX26=8,MATCHED!$I26,IF(MATCHED!AX26=9,MATCHED!$J26,IF(MATCHED!AX26=10,MATCHED!$K26,IF(MATCHED!AX26=11,MATCHED!$L26,IF(MATCHED!AX26=12,MATCHED!$M26,IF(MATCHED!AX26=13,MATCHED!$N26,IF(MATCHED!AX26=14,MATCHED!$O26,"")))))))&amp;IF(MATCHED!AX26=15,MATCHED!$P26,IF(MATCHED!AX26=16,MATCHED!$Q26,IF(MATCHED!AX26=17,MATCHED!$R26,IF(MATCHED!AX26=18,MATCHED!$S26,IF(MATCHED!AX26=19,MATCHED!$T26,IF(MATCHED!AX26=20,MATCHED!$U26,IF(MATCHED!AX26=21,MATCHED!$V26,)))))))&amp;IF(MATCHED!AX26=22,MATCHED!$W26,IF(MATCHED!AX26=23,MATCHED!$X26,IF(MATCHED!AX26=24,MATCHED!$Y26,IF(MATCHED!AX26=25,MATCHED!$Z26,IF(MATCHED!AX26=26,MATCHED!$AA26,IF(MATCHED!AX26=27,MATCHED!$AB26,"."))))))</f>
        <v>#N/A</v>
      </c>
      <c r="W26" s="356" t="e">
        <f>IF(MATCHED!AY26=1,MATCHED!$B26,IF(MATCHED!AY26=2,MATCHED!$C26,IF(MATCHED!AY26=3,MATCHED!$D26,IF(MATCHED!AY26=4,MATCHED!$E26,IF(MATCHED!AY26=3,MATCHED!$F26,IF(MATCHED!AY26=6,MATCHED!$G26,IF(MATCHED!AY26=7,MATCHED!$H26,"")))))))&amp;IF(MATCHED!AY26=8,MATCHED!$I26,IF(MATCHED!AY26=9,MATCHED!$J26,IF(MATCHED!AY26=10,MATCHED!$K26,IF(MATCHED!AY26=11,MATCHED!$L26,IF(MATCHED!AY26=12,MATCHED!$M26,IF(MATCHED!AY26=13,MATCHED!$N26,IF(MATCHED!AY26=14,MATCHED!$O26,"")))))))&amp;IF(MATCHED!AY26=15,MATCHED!$P26,IF(MATCHED!AY26=16,MATCHED!$Q26,IF(MATCHED!AY26=17,MATCHED!$R26,IF(MATCHED!AY26=18,MATCHED!$S26,IF(MATCHED!AY26=19,MATCHED!$T26,IF(MATCHED!AY26=20,MATCHED!$U26,IF(MATCHED!AY26=21,MATCHED!$V26,)))))))&amp;IF(MATCHED!AY26=22,MATCHED!$W26,IF(MATCHED!AY26=23,MATCHED!$X26,IF(MATCHED!AY26=24,MATCHED!$Y26,IF(MATCHED!AY26=25,MATCHED!$Z26,IF(MATCHED!AY26=26,MATCHED!$AA26,IF(MATCHED!AY26=27,MATCHED!$AB26,"."))))))</f>
        <v>#N/A</v>
      </c>
      <c r="X26" s="356" t="e">
        <f>IF(MATCHED!AZ26=1,MATCHED!$B26,IF(MATCHED!AZ26=2,MATCHED!$C26,IF(MATCHED!AZ26=3,MATCHED!$D26,IF(MATCHED!AZ26=4,MATCHED!$E26,IF(MATCHED!AZ26=3,MATCHED!$F26,IF(MATCHED!AZ26=6,MATCHED!$G26,IF(MATCHED!AZ26=7,MATCHED!$H26,"")))))))&amp;IF(MATCHED!AZ26=8,MATCHED!$I26,IF(MATCHED!AZ26=9,MATCHED!$J26,IF(MATCHED!AZ26=10,MATCHED!$K26,IF(MATCHED!AZ26=11,MATCHED!$L26,IF(MATCHED!AZ26=12,MATCHED!$M26,IF(MATCHED!AZ26=13,MATCHED!$N26,IF(MATCHED!AZ26=14,MATCHED!$O26,"")))))))&amp;IF(MATCHED!AZ26=15,MATCHED!$P26,IF(MATCHED!AZ26=16,MATCHED!$Q26,IF(MATCHED!AZ26=17,MATCHED!$R26,IF(MATCHED!AZ26=18,MATCHED!$S26,IF(MATCHED!AZ26=19,MATCHED!$T26,IF(MATCHED!AZ26=20,MATCHED!$U26,IF(MATCHED!AZ26=21,MATCHED!$V26,)))))))&amp;IF(MATCHED!AZ26=22,MATCHED!$W26,IF(MATCHED!AZ26=23,MATCHED!$X26,IF(MATCHED!AZ26=24,MATCHED!$Y26,IF(MATCHED!AZ26=25,MATCHED!$Z26,IF(MATCHED!AZ26=26,MATCHED!$AA26,IF(MATCHED!AZ26=27,MATCHED!$AB26,"."))))))</f>
        <v>#N/A</v>
      </c>
      <c r="Y26" s="356" t="e">
        <f>IF(MATCHED!BA26=1,MATCHED!$B26,IF(MATCHED!BA26=2,MATCHED!$C26,IF(MATCHED!BA26=3,MATCHED!$D26,IF(MATCHED!BA26=4,MATCHED!$E26,IF(MATCHED!BA26=3,MATCHED!$F26,IF(MATCHED!BA26=6,MATCHED!$G26,IF(MATCHED!BA26=7,MATCHED!$H26,"")))))))&amp;IF(MATCHED!BA26=8,MATCHED!$I26,IF(MATCHED!BA26=9,MATCHED!$J26,IF(MATCHED!BA26=10,MATCHED!$K26,IF(MATCHED!BA26=11,MATCHED!$L26,IF(MATCHED!BA26=12,MATCHED!$M26,IF(MATCHED!BA26=13,MATCHED!$N26,IF(MATCHED!BA26=14,MATCHED!$O26,"")))))))&amp;IF(MATCHED!BA26=15,MATCHED!$P26,IF(MATCHED!BA26=16,MATCHED!$Q26,IF(MATCHED!BA26=17,MATCHED!$R26,IF(MATCHED!BA26=18,MATCHED!$S26,IF(MATCHED!BA26=19,MATCHED!$T26,IF(MATCHED!BA26=20,MATCHED!$U26,IF(MATCHED!BA26=21,MATCHED!$V26,)))))))&amp;IF(MATCHED!BA26=22,MATCHED!$W26,IF(MATCHED!BA26=23,MATCHED!$X26,IF(MATCHED!BA26=24,MATCHED!$Y26,IF(MATCHED!BA26=25,MATCHED!$Z26,IF(MATCHED!BA26=26,MATCHED!$AA26,IF(MATCHED!BA26=27,MATCHED!$AB26,"."))))))</f>
        <v>#N/A</v>
      </c>
      <c r="Z26" s="356" t="e">
        <f>IF(MATCHED!BB26=1,MATCHED!$B26,IF(MATCHED!BB26=2,MATCHED!$C26,IF(MATCHED!BB26=3,MATCHED!$D26,IF(MATCHED!BB26=4,MATCHED!$E26,IF(MATCHED!BB26=3,MATCHED!$F26,IF(MATCHED!BB26=6,MATCHED!$G26,IF(MATCHED!BB26=7,MATCHED!$H26,"")))))))&amp;IF(MATCHED!BB26=8,MATCHED!$I26,IF(MATCHED!BB26=9,MATCHED!$J26,IF(MATCHED!BB26=10,MATCHED!$K26,IF(MATCHED!BB26=11,MATCHED!$L26,IF(MATCHED!BB26=12,MATCHED!$M26,IF(MATCHED!BB26=13,MATCHED!$N26,IF(MATCHED!BB26=14,MATCHED!$O26,"")))))))&amp;IF(MATCHED!BB26=15,MATCHED!$P26,IF(MATCHED!BB26=16,MATCHED!$Q26,IF(MATCHED!BB26=17,MATCHED!$R26,IF(MATCHED!BB26=18,MATCHED!$S26,IF(MATCHED!BB26=19,MATCHED!$T26,IF(MATCHED!BB26=20,MATCHED!$U26,IF(MATCHED!BB26=21,MATCHED!$V26,)))))))&amp;IF(MATCHED!BB26=22,MATCHED!$W26,IF(MATCHED!BB26=23,MATCHED!$X26,IF(MATCHED!BB26=24,MATCHED!$Y26,IF(MATCHED!BB26=25,MATCHED!$Z26,IF(MATCHED!BB26=26,MATCHED!$AA26,IF(MATCHED!BB26=27,MATCHED!$AB26,"."))))))</f>
        <v>#N/A</v>
      </c>
      <c r="AA26" s="356" t="e">
        <f>IF(MATCHED!BC26=1,MATCHED!$B26,IF(MATCHED!BC26=2,MATCHED!$C26,IF(MATCHED!BC26=3,MATCHED!$D26,IF(MATCHED!BC26=4,MATCHED!$E26,IF(MATCHED!BC26=3,MATCHED!$F26,IF(MATCHED!BC26=6,MATCHED!$G26,IF(MATCHED!BC26=7,MATCHED!$H26,"")))))))&amp;IF(MATCHED!BC26=8,MATCHED!$I26,IF(MATCHED!BC26=9,MATCHED!$J26,IF(MATCHED!BC26=10,MATCHED!$K26,IF(MATCHED!BC26=11,MATCHED!$L26,IF(MATCHED!BC26=12,MATCHED!$M26,IF(MATCHED!BC26=13,MATCHED!$N26,IF(MATCHED!BC26=14,MATCHED!$O26,"")))))))&amp;IF(MATCHED!BC26=15,MATCHED!$P26,IF(MATCHED!BC26=16,MATCHED!$Q26,IF(MATCHED!BC26=17,MATCHED!$R26,IF(MATCHED!BC26=18,MATCHED!$S26,IF(MATCHED!BC26=19,MATCHED!$T26,IF(MATCHED!BC26=20,MATCHED!$U26,IF(MATCHED!BC26=21,MATCHED!$V26,)))))))&amp;IF(MATCHED!BC26=22,MATCHED!$W26,IF(MATCHED!BC26=23,MATCHED!$X26,IF(MATCHED!BC26=24,MATCHED!$Y26,IF(MATCHED!BC26=25,MATCHED!$Z26,IF(MATCHED!BC26=26,MATCHED!$AA26,IF(MATCHED!BC26=27,MATCHED!$AB26,"."))))))</f>
        <v>#N/A</v>
      </c>
      <c r="AB26" s="356" t="e">
        <f>IF(MATCHED!BD26=1,MATCHED!$B26,IF(MATCHED!BD26=2,MATCHED!$C26,IF(MATCHED!BD26=3,MATCHED!$D26,IF(MATCHED!BD26=4,MATCHED!$E26,IF(MATCHED!BD26=3,MATCHED!$F26,IF(MATCHED!BD26=6,MATCHED!$G26,IF(MATCHED!BD26=7,MATCHED!$H26,"")))))))&amp;IF(MATCHED!BD26=8,MATCHED!$I26,IF(MATCHED!BD26=9,MATCHED!$J26,IF(MATCHED!BD26=10,MATCHED!$K26,IF(MATCHED!BD26=11,MATCHED!$L26,IF(MATCHED!BD26=12,MATCHED!$M26,IF(MATCHED!BD26=13,MATCHED!$N26,IF(MATCHED!BD26=14,MATCHED!$O26,"")))))))&amp;IF(MATCHED!BD26=15,MATCHED!$P26,IF(MATCHED!BD26=16,MATCHED!$Q26,IF(MATCHED!BD26=17,MATCHED!$R26,IF(MATCHED!BD26=18,MATCHED!$S26,IF(MATCHED!BD26=19,MATCHED!$T26,IF(MATCHED!BD26=20,MATCHED!$U26,IF(MATCHED!BD26=21,MATCHED!$V26,)))))))&amp;IF(MATCHED!BD26=22,MATCHED!$W26,IF(MATCHED!BD26=23,MATCHED!$X26,IF(MATCHED!BD26=24,MATCHED!$Y26,IF(MATCHED!BD26=25,MATCHED!$Z26,IF(MATCHED!BD26=26,MATCHED!$AA26,IF(MATCHED!BD26=27,MATCHED!$AB26,"."))))))</f>
        <v>#N/A</v>
      </c>
      <c r="AC26" s="356" t="e">
        <f>IF(MATCHED!BE26=1,MATCHED!$B26,IF(MATCHED!BE26=2,MATCHED!$C26,IF(MATCHED!BE26=3,MATCHED!$D26,IF(MATCHED!BE26=4,MATCHED!$E26,IF(MATCHED!BE26=3,MATCHED!$F26,IF(MATCHED!BE26=6,MATCHED!$G26,IF(MATCHED!BE26=7,MATCHED!$H26,"")))))))&amp;IF(MATCHED!BE26=8,MATCHED!$I26,IF(MATCHED!BE26=9,MATCHED!$J26,IF(MATCHED!BE26=10,MATCHED!$K26,IF(MATCHED!BE26=11,MATCHED!$L26,IF(MATCHED!BE26=12,MATCHED!$M26,IF(MATCHED!BE26=13,MATCHED!$N26,IF(MATCHED!BE26=14,MATCHED!$O26,"")))))))&amp;IF(MATCHED!BE26=15,MATCHED!$P26,IF(MATCHED!BE26=16,MATCHED!$Q26,IF(MATCHED!BE26=17,MATCHED!$R26,IF(MATCHED!BE26=18,MATCHED!$S26,IF(MATCHED!BE26=19,MATCHED!$T26,IF(MATCHED!BE26=20,MATCHED!$U26,IF(MATCHED!BE26=21,MATCHED!$V26,)))))))&amp;IF(MATCHED!BE26=22,MATCHED!$W26,IF(MATCHED!BE26=23,MATCHED!$X26,IF(MATCHED!BE26=24,MATCHED!$Y26,IF(MATCHED!BE26=25,MATCHED!$Z26,IF(MATCHED!BE26=26,MATCHED!$AA26,IF(MATCHED!BE26=27,MATCHED!$AB26,"."))))))</f>
        <v>#N/A</v>
      </c>
      <c r="AD26" s="356" t="e">
        <f>IF(MATCHED!BF26=1,MATCHED!$B26,IF(MATCHED!BF26=2,MATCHED!$C26,IF(MATCHED!BF26=3,MATCHED!$D26,IF(MATCHED!BF26=4,MATCHED!$E26,IF(MATCHED!BF26=3,MATCHED!$F26,IF(MATCHED!BF26=6,MATCHED!$G26,IF(MATCHED!BF26=7,MATCHED!$H26,"")))))))&amp;IF(MATCHED!BF26=8,MATCHED!$I26,IF(MATCHED!BF26=9,MATCHED!$J26,IF(MATCHED!BF26=10,MATCHED!$K26,IF(MATCHED!BF26=11,MATCHED!$L26,IF(MATCHED!BF26=12,MATCHED!$M26,IF(MATCHED!BF26=13,MATCHED!$N26,IF(MATCHED!BF26=14,MATCHED!$O26,"")))))))&amp;IF(MATCHED!BF26=15,MATCHED!$P26,IF(MATCHED!BF26=16,MATCHED!$Q26,IF(MATCHED!BF26=17,MATCHED!$R26,IF(MATCHED!BF26=18,MATCHED!$S26,IF(MATCHED!BF26=19,MATCHED!$T26,IF(MATCHED!BF26=20,MATCHED!$U26,IF(MATCHED!BF26=21,MATCHED!$V26,)))))))&amp;IF(MATCHED!BF26=22,MATCHED!$W26,IF(MATCHED!BF26=23,MATCHED!$X26,IF(MATCHED!BF26=24,MATCHED!$Y26,IF(MATCHED!BF26=25,MATCHED!$Z26,IF(MATCHED!BF26=26,MATCHED!$AA26,IF(MATCHED!BF26=27,MATCHED!$AB26,"."))))))</f>
        <v>#N/A</v>
      </c>
      <c r="AE26" s="356" t="e">
        <f>IF(MATCHED!BG26=1,MATCHED!$B26,IF(MATCHED!BG26=2,MATCHED!$C26,IF(MATCHED!BG26=3,MATCHED!$D26,IF(MATCHED!BG26=4,MATCHED!$E26,IF(MATCHED!BG26=3,MATCHED!$F26,IF(MATCHED!BG26=6,MATCHED!$G26,IF(MATCHED!BG26=7,MATCHED!$H26,"")))))))&amp;IF(MATCHED!BG26=8,MATCHED!$I26,IF(MATCHED!BG26=9,MATCHED!$J26,IF(MATCHED!BG26=10,MATCHED!$K26,IF(MATCHED!BG26=11,MATCHED!$L26,IF(MATCHED!BG26=12,MATCHED!$M26,IF(MATCHED!BG26=13,MATCHED!$N26,IF(MATCHED!BG26=14,MATCHED!$O26,"")))))))&amp;IF(MATCHED!BG26=15,MATCHED!$P26,IF(MATCHED!BG26=16,MATCHED!$Q26,IF(MATCHED!BG26=17,MATCHED!$R26,IF(MATCHED!BG26=18,MATCHED!$S26,IF(MATCHED!BG26=19,MATCHED!$T26,IF(MATCHED!BG26=20,MATCHED!$U26,IF(MATCHED!BG26=21,MATCHED!$V26,)))))))&amp;IF(MATCHED!BG26=22,MATCHED!$W26,IF(MATCHED!BG26=23,MATCHED!$X26,IF(MATCHED!BG26=24,MATCHED!$Y26,IF(MATCHED!BG26=25,MATCHED!$Z26,IF(MATCHED!BG26=26,MATCHED!$AA26,IF(MATCHED!BG26=27,MATCHED!$AB26,"."))))))</f>
        <v>#N/A</v>
      </c>
      <c r="AF26" s="356" t="e">
        <f>IF(MATCHED!BH26=1,MATCHED!$B26,IF(MATCHED!BH26=2,MATCHED!$C26,IF(MATCHED!BH26=3,MATCHED!$D26,IF(MATCHED!BH26=4,MATCHED!$E26,IF(MATCHED!BH26=3,MATCHED!$F26,IF(MATCHED!BH26=6,MATCHED!$G26,IF(MATCHED!BH26=7,MATCHED!$H26,"")))))))&amp;IF(MATCHED!BH26=8,MATCHED!$I26,IF(MATCHED!BH26=9,MATCHED!$J26,IF(MATCHED!BH26=10,MATCHED!$K26,IF(MATCHED!BH26=11,MATCHED!$L26,IF(MATCHED!BH26=12,MATCHED!$M26,IF(MATCHED!BH26=13,MATCHED!$N26,IF(MATCHED!BH26=14,MATCHED!$O26,"")))))))&amp;IF(MATCHED!BH26=15,MATCHED!$P26,IF(MATCHED!BH26=16,MATCHED!$Q26,IF(MATCHED!BH26=17,MATCHED!$R26,IF(MATCHED!BH26=18,MATCHED!$S26,IF(MATCHED!BH26=19,MATCHED!$T26,IF(MATCHED!BH26=20,MATCHED!$U26,IF(MATCHED!BH26=21,MATCHED!$V26,)))))))&amp;IF(MATCHED!BH26=22,MATCHED!$W26,IF(MATCHED!BH26=23,MATCHED!$X26,IF(MATCHED!BH26=24,MATCHED!$Y26,IF(MATCHED!BH26=25,MATCHED!$Z26,IF(MATCHED!BH26=26,MATCHED!$AA26,IF(MATCHED!BH26=27,MATCHED!$AB26,"."))))))</f>
        <v>#N/A</v>
      </c>
      <c r="AG26" s="356" t="e">
        <f>IF(MATCHED!BI26=1,MATCHED!$B26,IF(MATCHED!BI26=2,MATCHED!$C26,IF(MATCHED!BI26=3,MATCHED!$D26,IF(MATCHED!BI26=4,MATCHED!$E26,IF(MATCHED!BI26=3,MATCHED!$F26,IF(MATCHED!BI26=6,MATCHED!$G26,IF(MATCHED!BI26=7,MATCHED!$H26,"")))))))&amp;IF(MATCHED!BI26=8,MATCHED!$I26,IF(MATCHED!BI26=9,MATCHED!$J26,IF(MATCHED!BI26=10,MATCHED!$K26,IF(MATCHED!BI26=11,MATCHED!$L26,IF(MATCHED!BI26=12,MATCHED!$M26,IF(MATCHED!BI26=13,MATCHED!$N26,IF(MATCHED!BI26=14,MATCHED!$O26,"")))))))&amp;IF(MATCHED!BI26=15,MATCHED!$P26,IF(MATCHED!BI26=16,MATCHED!$Q26,IF(MATCHED!BI26=17,MATCHED!$R26,IF(MATCHED!BI26=18,MATCHED!$S26,IF(MATCHED!BI26=19,MATCHED!$T26,IF(MATCHED!BI26=20,MATCHED!$U26,IF(MATCHED!BI26=21,MATCHED!$V26,)))))))&amp;IF(MATCHED!BI26=22,MATCHED!$W26,IF(MATCHED!BI26=23,MATCHED!$X26,IF(MATCHED!BI26=24,MATCHED!$Y26,IF(MATCHED!BI26=25,MATCHED!$Z26,IF(MATCHED!BI26=26,MATCHED!$AA26,IF(MATCHED!BI26=27,MATCHED!$AB26,"."))))))</f>
        <v>#N/A</v>
      </c>
      <c r="AH26" s="356" t="e">
        <f>IF(MATCHED!BJ26=1,MATCHED!$B26,IF(MATCHED!BJ26=2,MATCHED!$C26,IF(MATCHED!BJ26=3,MATCHED!$D26,IF(MATCHED!BJ26=4,MATCHED!$E26,IF(MATCHED!BJ26=3,MATCHED!$F26,IF(MATCHED!BJ26=6,MATCHED!$G26,IF(MATCHED!BJ26=7,MATCHED!$H26,"")))))))&amp;IF(MATCHED!BJ26=8,MATCHED!$I26,IF(MATCHED!BJ26=9,MATCHED!$J26,IF(MATCHED!BJ26=10,MATCHED!$K26,IF(MATCHED!BJ26=11,MATCHED!$L26,IF(MATCHED!BJ26=12,MATCHED!$M26,IF(MATCHED!BJ26=13,MATCHED!$N26,IF(MATCHED!BJ26=14,MATCHED!$O26,"")))))))&amp;IF(MATCHED!BJ26=15,MATCHED!$P26,IF(MATCHED!BJ26=16,MATCHED!$Q26,IF(MATCHED!BJ26=17,MATCHED!$R26,IF(MATCHED!BJ26=18,MATCHED!$S26,IF(MATCHED!BJ26=19,MATCHED!$T26,IF(MATCHED!BJ26=20,MATCHED!$U26,IF(MATCHED!BJ26=21,MATCHED!$V26,)))))))&amp;IF(MATCHED!BJ26=22,MATCHED!$W26,IF(MATCHED!BJ26=23,MATCHED!$X26,IF(MATCHED!BJ26=24,MATCHED!$Y26,IF(MATCHED!BJ26=25,MATCHED!$Z26,IF(MATCHED!BJ26=26,MATCHED!$AA26,IF(MATCHED!BJ26=27,MATCHED!$AB26,"."))))))</f>
        <v>#N/A</v>
      </c>
      <c r="AI26" s="356" t="e">
        <f>IF(MATCHED!BK26=1,MATCHED!$B26,IF(MATCHED!BK26=2,MATCHED!$C26,IF(MATCHED!BK26=3,MATCHED!$D26,IF(MATCHED!BK26=4,MATCHED!$E26,IF(MATCHED!BK26=3,MATCHED!$F26,IF(MATCHED!BK26=6,MATCHED!$G26,IF(MATCHED!BK26=7,MATCHED!$H26,"")))))))&amp;IF(MATCHED!BK26=8,MATCHED!$I26,IF(MATCHED!BK26=9,MATCHED!$J26,IF(MATCHED!BK26=10,MATCHED!$K26,IF(MATCHED!BK26=11,MATCHED!$L26,IF(MATCHED!BK26=12,MATCHED!$M26,IF(MATCHED!BK26=13,MATCHED!$N26,IF(MATCHED!BK26=14,MATCHED!$O26,"")))))))&amp;IF(MATCHED!BK26=15,MATCHED!$P26,IF(MATCHED!BK26=16,MATCHED!$Q26,IF(MATCHED!BK26=17,MATCHED!$R26,IF(MATCHED!BK26=18,MATCHED!$S26,IF(MATCHED!BK26=19,MATCHED!$T26,IF(MATCHED!BK26=20,MATCHED!$U26,IF(MATCHED!BK26=21,MATCHED!$V26,)))))))&amp;IF(MATCHED!BK26=22,MATCHED!$W26,IF(MATCHED!BK26=23,MATCHED!$X26,IF(MATCHED!BK26=24,MATCHED!$Y26,IF(MATCHED!BK26=25,MATCHED!$Z26,IF(MATCHED!BK26=26,MATCHED!$AA26,IF(MATCHED!BK26=27,MATCHED!$AB26,"."))))))</f>
        <v>#N/A</v>
      </c>
      <c r="AJ26" s="535"/>
    </row>
    <row r="27" spans="1:36" s="338" customFormat="1" x14ac:dyDescent="0.25">
      <c r="A27" s="535"/>
      <c r="B27" s="355" t="e">
        <f>IF(MATCHED!AD27=1,MATCHED!$B27,IF(MATCHED!AD27=2,MATCHED!$C27,IF(MATCHED!AD27=3,MATCHED!$D27,IF(MATCHED!AD27=4,MATCHED!$E27,IF(MATCHED!AD27=3,MATCHED!$F27,IF(MATCHED!AD27=6,MATCHED!$G27,IF(MATCHED!AD27=7,MATCHED!$H27,"")))))))&amp;IF(MATCHED!AD27=8,MATCHED!$I27,IF(MATCHED!AD27=9,MATCHED!$J27,IF(MATCHED!AD27=10,MATCHED!$K27,IF(MATCHED!AD27=11,MATCHED!$L27,IF(MATCHED!AD27=12,MATCHED!$M27,IF(MATCHED!AD27=13,MATCHED!$N27,IF(MATCHED!AD27=14,MATCHED!$O27,"")))))))&amp;IF(MATCHED!AD27=15,MATCHED!$P27,IF(MATCHED!AD27=16,MATCHED!$Q27,IF(MATCHED!AD27=17,MATCHED!$R27,IF(MATCHED!AD27=18,MATCHED!$S27,IF(MATCHED!AD27=19,MATCHED!$T27,IF(MATCHED!AD27=20,MATCHED!$U27,IF(MATCHED!AD27=21,MATCHED!$V27,)))))))&amp;IF(MATCHED!AD27=22,MATCHED!$W27,IF(MATCHED!AD27=23,MATCHED!$X27,IF(MATCHED!AD27=24,MATCHED!$Y27,IF(MATCHED!AD27=25,MATCHED!$Z27,IF(MATCHED!AD27=26,MATCHED!$AA27,IF(MATCHED!AD27=27,MATCHED!$AB27,"."))))))</f>
        <v>#N/A</v>
      </c>
      <c r="C27" s="356" t="e">
        <f>IF(MATCHED!AE27=1,MATCHED!$B27,IF(MATCHED!AE27=2,MATCHED!$C27,IF(MATCHED!AE27=3,MATCHED!$D27,IF(MATCHED!AE27=4,MATCHED!$E27,IF(MATCHED!AE27=3,MATCHED!$F27,IF(MATCHED!AE27=6,MATCHED!$G27,IF(MATCHED!AE27=7,MATCHED!$H27,"")))))))&amp;IF(MATCHED!AE27=8,MATCHED!$I27,IF(MATCHED!AE27=9,MATCHED!$J27,IF(MATCHED!AE27=10,MATCHED!$K27,IF(MATCHED!AE27=11,MATCHED!$L27,IF(MATCHED!AE27=12,MATCHED!$M27,IF(MATCHED!AE27=13,MATCHED!$N27,IF(MATCHED!AE27=14,MATCHED!$O27,"")))))))&amp;IF(MATCHED!AE27=15,MATCHED!$P27,IF(MATCHED!AE27=16,MATCHED!$Q27,IF(MATCHED!AE27=17,MATCHED!$R27,IF(MATCHED!AE27=18,MATCHED!$S27,IF(MATCHED!AE27=19,MATCHED!$T27,IF(MATCHED!AE27=20,MATCHED!$U27,IF(MATCHED!AE27=21,MATCHED!$V27,)))))))&amp;IF(MATCHED!AE27=22,MATCHED!$W27,IF(MATCHED!AE27=23,MATCHED!$X27,IF(MATCHED!AE27=24,MATCHED!$Y27,IF(MATCHED!AE27=25,MATCHED!$Z27,IF(MATCHED!AE27=26,MATCHED!$AA27,IF(MATCHED!AE27=27,MATCHED!$AB27,"."))))))</f>
        <v>#N/A</v>
      </c>
      <c r="D27" s="356" t="e">
        <f>IF(MATCHED!AF27=1,MATCHED!$B27,IF(MATCHED!AF27=2,MATCHED!$C27,IF(MATCHED!AF27=3,MATCHED!$D27,IF(MATCHED!AF27=4,MATCHED!$E27,IF(MATCHED!AF27=3,MATCHED!$F27,IF(MATCHED!AF27=6,MATCHED!$G27,IF(MATCHED!AF27=7,MATCHED!$H27,"")))))))&amp;IF(MATCHED!AF27=8,MATCHED!$I27,IF(MATCHED!AF27=9,MATCHED!$J27,IF(MATCHED!AF27=10,MATCHED!$K27,IF(MATCHED!AF27=11,MATCHED!$L27,IF(MATCHED!AF27=12,MATCHED!$M27,IF(MATCHED!AF27=13,MATCHED!$N27,IF(MATCHED!AF27=14,MATCHED!$O27,"")))))))&amp;IF(MATCHED!AF27=15,MATCHED!$P27,IF(MATCHED!AF27=16,MATCHED!$Q27,IF(MATCHED!AF27=17,MATCHED!$R27,IF(MATCHED!AF27=18,MATCHED!$S27,IF(MATCHED!AF27=19,MATCHED!$T27,IF(MATCHED!AF27=20,MATCHED!$U27,IF(MATCHED!AF27=21,MATCHED!$V27,)))))))&amp;IF(MATCHED!AF27=22,MATCHED!$W27,IF(MATCHED!AF27=23,MATCHED!$X27,IF(MATCHED!AF27=24,MATCHED!$Y27,IF(MATCHED!AF27=25,MATCHED!$Z27,IF(MATCHED!AF27=26,MATCHED!$AA27,IF(MATCHED!AF27=27,MATCHED!$AB27,"."))))))</f>
        <v>#N/A</v>
      </c>
      <c r="E27" s="356" t="e">
        <f>IF(MATCHED!AG27=1,MATCHED!$B27,IF(MATCHED!AG27=2,MATCHED!$C27,IF(MATCHED!AG27=3,MATCHED!$D27,IF(MATCHED!AG27=4,MATCHED!$E27,IF(MATCHED!AG27=3,MATCHED!$F27,IF(MATCHED!AG27=6,MATCHED!$G27,IF(MATCHED!AG27=7,MATCHED!$H27,"")))))))&amp;IF(MATCHED!AG27=8,MATCHED!$I27,IF(MATCHED!AG27=9,MATCHED!$J27,IF(MATCHED!AG27=10,MATCHED!$K27,IF(MATCHED!AG27=11,MATCHED!$L27,IF(MATCHED!AG27=12,MATCHED!$M27,IF(MATCHED!AG27=13,MATCHED!$N27,IF(MATCHED!AG27=14,MATCHED!$O27,"")))))))&amp;IF(MATCHED!AG27=15,MATCHED!$P27,IF(MATCHED!AG27=16,MATCHED!$Q27,IF(MATCHED!AG27=17,MATCHED!$R27,IF(MATCHED!AG27=18,MATCHED!$S27,IF(MATCHED!AG27=19,MATCHED!$T27,IF(MATCHED!AG27=20,MATCHED!$U27,IF(MATCHED!AG27=21,MATCHED!$V27,)))))))&amp;IF(MATCHED!AG27=22,MATCHED!$W27,IF(MATCHED!AG27=23,MATCHED!$X27,IF(MATCHED!AG27=24,MATCHED!$Y27,IF(MATCHED!AG27=25,MATCHED!$Z27,IF(MATCHED!AG27=26,MATCHED!$AA27,IF(MATCHED!AG27=27,MATCHED!$AB27,"."))))))</f>
        <v>#N/A</v>
      </c>
      <c r="F27" s="356" t="e">
        <f>IF(MATCHED!AH27=1,MATCHED!$B27,IF(MATCHED!AH27=2,MATCHED!$C27,IF(MATCHED!AH27=3,MATCHED!$D27,IF(MATCHED!AH27=4,MATCHED!$E27,IF(MATCHED!AH27=3,MATCHED!$F27,IF(MATCHED!AH27=6,MATCHED!$G27,IF(MATCHED!AH27=7,MATCHED!$H27,"")))))))&amp;IF(MATCHED!AH27=8,MATCHED!$I27,IF(MATCHED!AH27=9,MATCHED!$J27,IF(MATCHED!AH27=10,MATCHED!$K27,IF(MATCHED!AH27=11,MATCHED!$L27,IF(MATCHED!AH27=12,MATCHED!$M27,IF(MATCHED!AH27=13,MATCHED!$N27,IF(MATCHED!AH27=14,MATCHED!$O27,"")))))))&amp;IF(MATCHED!AH27=15,MATCHED!$P27,IF(MATCHED!AH27=16,MATCHED!$Q27,IF(MATCHED!AH27=17,MATCHED!$R27,IF(MATCHED!AH27=18,MATCHED!$S27,IF(MATCHED!AH27=19,MATCHED!$T27,IF(MATCHED!AH27=20,MATCHED!$U27,IF(MATCHED!AH27=21,MATCHED!$V27,)))))))&amp;IF(MATCHED!AH27=22,MATCHED!$W27,IF(MATCHED!AH27=23,MATCHED!$X27,IF(MATCHED!AH27=24,MATCHED!$Y27,IF(MATCHED!AH27=25,MATCHED!$Z27,IF(MATCHED!AH27=26,MATCHED!$AA27,IF(MATCHED!AH27=27,MATCHED!$AB27,"."))))))</f>
        <v>#N/A</v>
      </c>
      <c r="G27" s="356" t="e">
        <f>IF(MATCHED!AI27=1,MATCHED!$B27,IF(MATCHED!AI27=2,MATCHED!$C27,IF(MATCHED!AI27=3,MATCHED!$D27,IF(MATCHED!AI27=4,MATCHED!$E27,IF(MATCHED!AI27=3,MATCHED!$F27,IF(MATCHED!AI27=6,MATCHED!$G27,IF(MATCHED!AI27=7,MATCHED!$H27,"")))))))&amp;IF(MATCHED!AI27=8,MATCHED!$I27,IF(MATCHED!AI27=9,MATCHED!$J27,IF(MATCHED!AI27=10,MATCHED!$K27,IF(MATCHED!AI27=11,MATCHED!$L27,IF(MATCHED!AI27=12,MATCHED!$M27,IF(MATCHED!AI27=13,MATCHED!$N27,IF(MATCHED!AI27=14,MATCHED!$O27,"")))))))&amp;IF(MATCHED!AI27=15,MATCHED!$P27,IF(MATCHED!AI27=16,MATCHED!$Q27,IF(MATCHED!AI27=17,MATCHED!$R27,IF(MATCHED!AI27=18,MATCHED!$S27,IF(MATCHED!AI27=19,MATCHED!$T27,IF(MATCHED!AI27=20,MATCHED!$U27,IF(MATCHED!AI27=21,MATCHED!$V27,)))))))&amp;IF(MATCHED!AI27=22,MATCHED!$W27,IF(MATCHED!AI27=23,MATCHED!$X27,IF(MATCHED!AI27=24,MATCHED!$Y27,IF(MATCHED!AI27=25,MATCHED!$Z27,IF(MATCHED!AI27=26,MATCHED!$AA27,IF(MATCHED!AI27=27,MATCHED!$AB27,"."))))))</f>
        <v>#N/A</v>
      </c>
      <c r="H27" s="356" t="e">
        <f>IF(MATCHED!AJ27=1,MATCHED!$B27,IF(MATCHED!AJ27=2,MATCHED!$C27,IF(MATCHED!AJ27=3,MATCHED!$D27,IF(MATCHED!AJ27=4,MATCHED!$E27,IF(MATCHED!AJ27=3,MATCHED!$F27,IF(MATCHED!AJ27=6,MATCHED!$G27,IF(MATCHED!AJ27=7,MATCHED!$H27,"")))))))&amp;IF(MATCHED!AJ27=8,MATCHED!$I27,IF(MATCHED!AJ27=9,MATCHED!$J27,IF(MATCHED!AJ27=10,MATCHED!$K27,IF(MATCHED!AJ27=11,MATCHED!$L27,IF(MATCHED!AJ27=12,MATCHED!$M27,IF(MATCHED!AJ27=13,MATCHED!$N27,IF(MATCHED!AJ27=14,MATCHED!$O27,"")))))))&amp;IF(MATCHED!AJ27=15,MATCHED!$P27,IF(MATCHED!AJ27=16,MATCHED!$Q27,IF(MATCHED!AJ27=17,MATCHED!$R27,IF(MATCHED!AJ27=18,MATCHED!$S27,IF(MATCHED!AJ27=19,MATCHED!$T27,IF(MATCHED!AJ27=20,MATCHED!$U27,IF(MATCHED!AJ27=21,MATCHED!$V27,)))))))&amp;IF(MATCHED!AJ27=22,MATCHED!$W27,IF(MATCHED!AJ27=23,MATCHED!$X27,IF(MATCHED!AJ27=24,MATCHED!$Y27,IF(MATCHED!AJ27=25,MATCHED!$Z27,IF(MATCHED!AJ27=26,MATCHED!$AA27,IF(MATCHED!AJ27=27,MATCHED!$AB27,"."))))))</f>
        <v>#N/A</v>
      </c>
      <c r="I27" s="356" t="e">
        <f>IF(MATCHED!AK27=1,MATCHED!$B27,IF(MATCHED!AK27=2,MATCHED!$C27,IF(MATCHED!AK27=3,MATCHED!$D27,IF(MATCHED!AK27=4,MATCHED!$E27,IF(MATCHED!AK27=3,MATCHED!$F27,IF(MATCHED!AK27=6,MATCHED!$G27,IF(MATCHED!AK27=7,MATCHED!$H27,"")))))))&amp;IF(MATCHED!AK27=8,MATCHED!$I27,IF(MATCHED!AK27=9,MATCHED!$J27,IF(MATCHED!AK27=10,MATCHED!$K27,IF(MATCHED!AK27=11,MATCHED!$L27,IF(MATCHED!AK27=12,MATCHED!$M27,IF(MATCHED!AK27=13,MATCHED!$N27,IF(MATCHED!AK27=14,MATCHED!$O27,"")))))))&amp;IF(MATCHED!AK27=15,MATCHED!$P27,IF(MATCHED!AK27=16,MATCHED!$Q27,IF(MATCHED!AK27=17,MATCHED!$R27,IF(MATCHED!AK27=18,MATCHED!$S27,IF(MATCHED!AK27=19,MATCHED!$T27,IF(MATCHED!AK27=20,MATCHED!$U27,IF(MATCHED!AK27=21,MATCHED!$V27,)))))))&amp;IF(MATCHED!AK27=22,MATCHED!$W27,IF(MATCHED!AK27=23,MATCHED!$X27,IF(MATCHED!AK27=24,MATCHED!$Y27,IF(MATCHED!AK27=25,MATCHED!$Z27,IF(MATCHED!AK27=26,MATCHED!$AA27,IF(MATCHED!AK27=27,MATCHED!$AB27,"."))))))</f>
        <v>#N/A</v>
      </c>
      <c r="J27" s="356" t="e">
        <f>IF(MATCHED!AL27=1,MATCHED!$B27,IF(MATCHED!AL27=2,MATCHED!$C27,IF(MATCHED!AL27=3,MATCHED!$D27,IF(MATCHED!AL27=4,MATCHED!$E27,IF(MATCHED!AL27=3,MATCHED!$F27,IF(MATCHED!AL27=6,MATCHED!$G27,IF(MATCHED!AL27=7,MATCHED!$H27,"")))))))&amp;IF(MATCHED!AL27=8,MATCHED!$I27,IF(MATCHED!AL27=9,MATCHED!$J27,IF(MATCHED!AL27=10,MATCHED!$K27,IF(MATCHED!AL27=11,MATCHED!$L27,IF(MATCHED!AL27=12,MATCHED!$M27,IF(MATCHED!AL27=13,MATCHED!$N27,IF(MATCHED!AL27=14,MATCHED!$O27,"")))))))&amp;IF(MATCHED!AL27=15,MATCHED!$P27,IF(MATCHED!AL27=16,MATCHED!$Q27,IF(MATCHED!AL27=17,MATCHED!$R27,IF(MATCHED!AL27=18,MATCHED!$S27,IF(MATCHED!AL27=19,MATCHED!$T27,IF(MATCHED!AL27=20,MATCHED!$U27,IF(MATCHED!AL27=21,MATCHED!$V27,)))))))&amp;IF(MATCHED!AL27=22,MATCHED!$W27,IF(MATCHED!AL27=23,MATCHED!$X27,IF(MATCHED!AL27=24,MATCHED!$Y27,IF(MATCHED!AL27=25,MATCHED!$Z27,IF(MATCHED!AL27=26,MATCHED!$AA27,IF(MATCHED!AL27=27,MATCHED!$AB27,"."))))))</f>
        <v>#N/A</v>
      </c>
      <c r="K27" s="356" t="e">
        <f>IF(MATCHED!AM27=1,MATCHED!$B27,IF(MATCHED!AM27=2,MATCHED!$C27,IF(MATCHED!AM27=3,MATCHED!$D27,IF(MATCHED!AM27=4,MATCHED!$E27,IF(MATCHED!AM27=3,MATCHED!$F27,IF(MATCHED!AM27=6,MATCHED!$G27,IF(MATCHED!AM27=7,MATCHED!$H27,"")))))))&amp;IF(MATCHED!AM27=8,MATCHED!$I27,IF(MATCHED!AM27=9,MATCHED!$J27,IF(MATCHED!AM27=10,MATCHED!$K27,IF(MATCHED!AM27=11,MATCHED!$L27,IF(MATCHED!AM27=12,MATCHED!$M27,IF(MATCHED!AM27=13,MATCHED!$N27,IF(MATCHED!AM27=14,MATCHED!$O27,"")))))))&amp;IF(MATCHED!AM27=15,MATCHED!$P27,IF(MATCHED!AM27=16,MATCHED!$Q27,IF(MATCHED!AM27=17,MATCHED!$R27,IF(MATCHED!AM27=18,MATCHED!$S27,IF(MATCHED!AM27=19,MATCHED!$T27,IF(MATCHED!AM27=20,MATCHED!$U27,IF(MATCHED!AM27=21,MATCHED!$V27,)))))))&amp;IF(MATCHED!AM27=22,MATCHED!$W27,IF(MATCHED!AM27=23,MATCHED!$X27,IF(MATCHED!AM27=24,MATCHED!$Y27,IF(MATCHED!AM27=25,MATCHED!$Z27,IF(MATCHED!AM27=26,MATCHED!$AA27,IF(MATCHED!AM27=27,MATCHED!$AB27,"."))))))</f>
        <v>#N/A</v>
      </c>
      <c r="L27" s="356" t="e">
        <f>IF(MATCHED!AN27=1,MATCHED!$B27,IF(MATCHED!AN27=2,MATCHED!$C27,IF(MATCHED!AN27=3,MATCHED!$D27,IF(MATCHED!AN27=4,MATCHED!$E27,IF(MATCHED!AN27=3,MATCHED!$F27,IF(MATCHED!AN27=6,MATCHED!$G27,IF(MATCHED!AN27=7,MATCHED!$H27,"")))))))&amp;IF(MATCHED!AN27=8,MATCHED!$I27,IF(MATCHED!AN27=9,MATCHED!$J27,IF(MATCHED!AN27=10,MATCHED!$K27,IF(MATCHED!AN27=11,MATCHED!$L27,IF(MATCHED!AN27=12,MATCHED!$M27,IF(MATCHED!AN27=13,MATCHED!$N27,IF(MATCHED!AN27=14,MATCHED!$O27,"")))))))&amp;IF(MATCHED!AN27=15,MATCHED!$P27,IF(MATCHED!AN27=16,MATCHED!$Q27,IF(MATCHED!AN27=17,MATCHED!$R27,IF(MATCHED!AN27=18,MATCHED!$S27,IF(MATCHED!AN27=19,MATCHED!$T27,IF(MATCHED!AN27=20,MATCHED!$U27,IF(MATCHED!AN27=21,MATCHED!$V27,)))))))&amp;IF(MATCHED!AN27=22,MATCHED!$W27,IF(MATCHED!AN27=23,MATCHED!$X27,IF(MATCHED!AN27=24,MATCHED!$Y27,IF(MATCHED!AN27=25,MATCHED!$Z27,IF(MATCHED!AN27=26,MATCHED!$AA27,IF(MATCHED!AN27=27,MATCHED!$AB27,"."))))))</f>
        <v>#N/A</v>
      </c>
      <c r="M27" s="356" t="e">
        <f>IF(MATCHED!AO27=1,MATCHED!$B27,IF(MATCHED!AO27=2,MATCHED!$C27,IF(MATCHED!AO27=3,MATCHED!$D27,IF(MATCHED!AO27=4,MATCHED!$E27,IF(MATCHED!AO27=3,MATCHED!$F27,IF(MATCHED!AO27=6,MATCHED!$G27,IF(MATCHED!AO27=7,MATCHED!$H27,"")))))))&amp;IF(MATCHED!AO27=8,MATCHED!$I27,IF(MATCHED!AO27=9,MATCHED!$J27,IF(MATCHED!AO27=10,MATCHED!$K27,IF(MATCHED!AO27=11,MATCHED!$L27,IF(MATCHED!AO27=12,MATCHED!$M27,IF(MATCHED!AO27=13,MATCHED!$N27,IF(MATCHED!AO27=14,MATCHED!$O27,"")))))))&amp;IF(MATCHED!AO27=15,MATCHED!$P27,IF(MATCHED!AO27=16,MATCHED!$Q27,IF(MATCHED!AO27=17,MATCHED!$R27,IF(MATCHED!AO27=18,MATCHED!$S27,IF(MATCHED!AO27=19,MATCHED!$T27,IF(MATCHED!AO27=20,MATCHED!$U27,IF(MATCHED!AO27=21,MATCHED!$V27,)))))))&amp;IF(MATCHED!AO27=22,MATCHED!$W27,IF(MATCHED!AO27=23,MATCHED!$X27,IF(MATCHED!AO27=24,MATCHED!$Y27,IF(MATCHED!AO27=25,MATCHED!$Z27,IF(MATCHED!AO27=26,MATCHED!$AA27,IF(MATCHED!AO27=27,MATCHED!$AB27,"."))))))</f>
        <v>#N/A</v>
      </c>
      <c r="N27" s="356" t="e">
        <f>IF(MATCHED!AP27=1,MATCHED!$B27,IF(MATCHED!AP27=2,MATCHED!$C27,IF(MATCHED!AP27=3,MATCHED!$D27,IF(MATCHED!AP27=4,MATCHED!$E27,IF(MATCHED!AP27=3,MATCHED!$F27,IF(MATCHED!AP27=6,MATCHED!$G27,IF(MATCHED!AP27=7,MATCHED!$H27,"")))))))&amp;IF(MATCHED!AP27=8,MATCHED!$I27,IF(MATCHED!AP27=9,MATCHED!$J27,IF(MATCHED!AP27=10,MATCHED!$K27,IF(MATCHED!AP27=11,MATCHED!$L27,IF(MATCHED!AP27=12,MATCHED!$M27,IF(MATCHED!AP27=13,MATCHED!$N27,IF(MATCHED!AP27=14,MATCHED!$O27,"")))))))&amp;IF(MATCHED!AP27=15,MATCHED!$P27,IF(MATCHED!AP27=16,MATCHED!$Q27,IF(MATCHED!AP27=17,MATCHED!$R27,IF(MATCHED!AP27=18,MATCHED!$S27,IF(MATCHED!AP27=19,MATCHED!$T27,IF(MATCHED!AP27=20,MATCHED!$U27,IF(MATCHED!AP27=21,MATCHED!$V27,)))))))&amp;IF(MATCHED!AP27=22,MATCHED!$W27,IF(MATCHED!AP27=23,MATCHED!$X27,IF(MATCHED!AP27=24,MATCHED!$Y27,IF(MATCHED!AP27=25,MATCHED!$Z27,IF(MATCHED!AP27=26,MATCHED!$AA27,IF(MATCHED!AP27=27,MATCHED!$AB27,"."))))))</f>
        <v>#N/A</v>
      </c>
      <c r="O27" s="356" t="e">
        <f>IF(MATCHED!AQ27=1,MATCHED!$B27,IF(MATCHED!AQ27=2,MATCHED!$C27,IF(MATCHED!AQ27=3,MATCHED!$D27,IF(MATCHED!AQ27=4,MATCHED!$E27,IF(MATCHED!AQ27=3,MATCHED!$F27,IF(MATCHED!AQ27=6,MATCHED!$G27,IF(MATCHED!AQ27=7,MATCHED!$H27,"")))))))&amp;IF(MATCHED!AQ27=8,MATCHED!$I27,IF(MATCHED!AQ27=9,MATCHED!$J27,IF(MATCHED!AQ27=10,MATCHED!$K27,IF(MATCHED!AQ27=11,MATCHED!$L27,IF(MATCHED!AQ27=12,MATCHED!$M27,IF(MATCHED!AQ27=13,MATCHED!$N27,IF(MATCHED!AQ27=14,MATCHED!$O27,"")))))))&amp;IF(MATCHED!AQ27=15,MATCHED!$P27,IF(MATCHED!AQ27=16,MATCHED!$Q27,IF(MATCHED!AQ27=17,MATCHED!$R27,IF(MATCHED!AQ27=18,MATCHED!$S27,IF(MATCHED!AQ27=19,MATCHED!$T27,IF(MATCHED!AQ27=20,MATCHED!$U27,IF(MATCHED!AQ27=21,MATCHED!$V27,)))))))&amp;IF(MATCHED!AQ27=22,MATCHED!$W27,IF(MATCHED!AQ27=23,MATCHED!$X27,IF(MATCHED!AQ27=24,MATCHED!$Y27,IF(MATCHED!AQ27=25,MATCHED!$Z27,IF(MATCHED!AQ27=26,MATCHED!$AA27,IF(MATCHED!AQ27=27,MATCHED!$AB27,"."))))))</f>
        <v>#N/A</v>
      </c>
      <c r="P27" s="356" t="e">
        <f>IF(MATCHED!AR27=1,MATCHED!$B27,IF(MATCHED!AR27=2,MATCHED!$C27,IF(MATCHED!AR27=3,MATCHED!$D27,IF(MATCHED!AR27=4,MATCHED!$E27,IF(MATCHED!AR27=3,MATCHED!$F27,IF(MATCHED!AR27=6,MATCHED!$G27,IF(MATCHED!AR27=7,MATCHED!$H27,"")))))))&amp;IF(MATCHED!AR27=8,MATCHED!$I27,IF(MATCHED!AR27=9,MATCHED!$J27,IF(MATCHED!AR27=10,MATCHED!$K27,IF(MATCHED!AR27=11,MATCHED!$L27,IF(MATCHED!AR27=12,MATCHED!$M27,IF(MATCHED!AR27=13,MATCHED!$N27,IF(MATCHED!AR27=14,MATCHED!$O27,"")))))))&amp;IF(MATCHED!AR27=15,MATCHED!$P27,IF(MATCHED!AR27=16,MATCHED!$Q27,IF(MATCHED!AR27=17,MATCHED!$R27,IF(MATCHED!AR27=18,MATCHED!$S27,IF(MATCHED!AR27=19,MATCHED!$T27,IF(MATCHED!AR27=20,MATCHED!$U27,IF(MATCHED!AR27=21,MATCHED!$V27,)))))))&amp;IF(MATCHED!AR27=22,MATCHED!$W27,IF(MATCHED!AR27=23,MATCHED!$X27,IF(MATCHED!AR27=24,MATCHED!$Y27,IF(MATCHED!AR27=25,MATCHED!$Z27,IF(MATCHED!AR27=26,MATCHED!$AA27,IF(MATCHED!AR27=27,MATCHED!$AB27,"."))))))</f>
        <v>#N/A</v>
      </c>
      <c r="Q27" s="357" t="e">
        <f>IF(MATCHED!AS27=1,MATCHED!$B27,IF(MATCHED!AS27=2,MATCHED!$C27,IF(MATCHED!AS27=3,MATCHED!$D27,IF(MATCHED!AS27=4,MATCHED!$E27,IF(MATCHED!AS27=3,MATCHED!$F27,IF(MATCHED!AS27=6,MATCHED!$G27,IF(MATCHED!AS27=7,MATCHED!$H27,"")))))))&amp;IF(MATCHED!AS27=8,MATCHED!$I27,IF(MATCHED!AS27=9,MATCHED!$J27,IF(MATCHED!AS27=10,MATCHED!$K27,IF(MATCHED!AS27=11,MATCHED!$L27,IF(MATCHED!AS27=12,MATCHED!$M27,IF(MATCHED!AS27=13,MATCHED!$N27,IF(MATCHED!AS27=14,MATCHED!$O27,"")))))))&amp;IF(MATCHED!AS27=15,MATCHED!$P27,IF(MATCHED!AS27=16,MATCHED!$Q27,IF(MATCHED!AS27=17,MATCHED!$R27,IF(MATCHED!AS27=18,MATCHED!$S27,IF(MATCHED!AS27=19,MATCHED!$T27,IF(MATCHED!AS27=20,MATCHED!$U27,IF(MATCHED!AS27=21,MATCHED!$V27,)))))))&amp;IF(MATCHED!AS27=22,MATCHED!$W27,IF(MATCHED!AS27=23,MATCHED!$X27,IF(MATCHED!AS27=24,MATCHED!$Y27,IF(MATCHED!AS27=25,MATCHED!$Z27,IF(MATCHED!AS27=26,MATCHED!$AA27,IF(MATCHED!AS27=27,MATCHED!$AB27,"."))))))</f>
        <v>#N/A</v>
      </c>
      <c r="R27" s="356" t="e">
        <f>IF(MATCHED!AT27=1,MATCHED!$B27,IF(MATCHED!AT27=2,MATCHED!$C27,IF(MATCHED!AT27=3,MATCHED!$D27,IF(MATCHED!AT27=4,MATCHED!$E27,IF(MATCHED!AT27=3,MATCHED!$F27,IF(MATCHED!AT27=6,MATCHED!$G27,IF(MATCHED!AT27=7,MATCHED!$H27,"")))))))&amp;IF(MATCHED!AT27=8,MATCHED!$I27,IF(MATCHED!AT27=9,MATCHED!$J27,IF(MATCHED!AT27=10,MATCHED!$K27,IF(MATCHED!AT27=11,MATCHED!$L27,IF(MATCHED!AT27=12,MATCHED!$M27,IF(MATCHED!AT27=13,MATCHED!$N27,IF(MATCHED!AT27=14,MATCHED!$O27,"")))))))&amp;IF(MATCHED!AT27=15,MATCHED!$P27,IF(MATCHED!AT27=16,MATCHED!$Q27,IF(MATCHED!AT27=17,MATCHED!$R27,IF(MATCHED!AT27=18,MATCHED!$S27,IF(MATCHED!AT27=19,MATCHED!$T27,IF(MATCHED!AT27=20,MATCHED!$U27,IF(MATCHED!AT27=21,MATCHED!$V27,)))))))&amp;IF(MATCHED!AT27=22,MATCHED!$W27,IF(MATCHED!AT27=23,MATCHED!$X27,IF(MATCHED!AT27=24,MATCHED!$Y27,IF(MATCHED!AT27=25,MATCHED!$Z27,IF(MATCHED!AT27=26,MATCHED!$AA27,IF(MATCHED!AT27=27,MATCHED!$AB27,"."))))))</f>
        <v>#N/A</v>
      </c>
      <c r="S27" s="356" t="e">
        <f>IF(MATCHED!AU27=1,MATCHED!$B27,IF(MATCHED!AU27=2,MATCHED!$C27,IF(MATCHED!AU27=3,MATCHED!$D27,IF(MATCHED!AU27=4,MATCHED!$E27,IF(MATCHED!AU27=3,MATCHED!$F27,IF(MATCHED!AU27=6,MATCHED!$G27,IF(MATCHED!AU27=7,MATCHED!$H27,"")))))))&amp;IF(MATCHED!AU27=8,MATCHED!$I27,IF(MATCHED!AU27=9,MATCHED!$J27,IF(MATCHED!AU27=10,MATCHED!$K27,IF(MATCHED!AU27=11,MATCHED!$L27,IF(MATCHED!AU27=12,MATCHED!$M27,IF(MATCHED!AU27=13,MATCHED!$N27,IF(MATCHED!AU27=14,MATCHED!$O27,"")))))))&amp;IF(MATCHED!AU27=15,MATCHED!$P27,IF(MATCHED!AU27=16,MATCHED!$Q27,IF(MATCHED!AU27=17,MATCHED!$R27,IF(MATCHED!AU27=18,MATCHED!$S27,IF(MATCHED!AU27=19,MATCHED!$T27,IF(MATCHED!AU27=20,MATCHED!$U27,IF(MATCHED!AU27=21,MATCHED!$V27,)))))))&amp;IF(MATCHED!AU27=22,MATCHED!$W27,IF(MATCHED!AU27=23,MATCHED!$X27,IF(MATCHED!AU27=24,MATCHED!$Y27,IF(MATCHED!AU27=25,MATCHED!$Z27,IF(MATCHED!AU27=26,MATCHED!$AA27,IF(MATCHED!AU27=27,MATCHED!$AB27,"."))))))</f>
        <v>#N/A</v>
      </c>
      <c r="T27" s="356" t="e">
        <f>IF(MATCHED!AV27=1,MATCHED!$B27,IF(MATCHED!AV27=2,MATCHED!$C27,IF(MATCHED!AV27=3,MATCHED!$D27,IF(MATCHED!AV27=4,MATCHED!$E27,IF(MATCHED!AV27=3,MATCHED!$F27,IF(MATCHED!AV27=6,MATCHED!$G27,IF(MATCHED!AV27=7,MATCHED!$H27,"")))))))&amp;IF(MATCHED!AV27=8,MATCHED!$I27,IF(MATCHED!AV27=9,MATCHED!$J27,IF(MATCHED!AV27=10,MATCHED!$K27,IF(MATCHED!AV27=11,MATCHED!$L27,IF(MATCHED!AV27=12,MATCHED!$M27,IF(MATCHED!AV27=13,MATCHED!$N27,IF(MATCHED!AV27=14,MATCHED!$O27,"")))))))&amp;IF(MATCHED!AV27=15,MATCHED!$P27,IF(MATCHED!AV27=16,MATCHED!$Q27,IF(MATCHED!AV27=17,MATCHED!$R27,IF(MATCHED!AV27=18,MATCHED!$S27,IF(MATCHED!AV27=19,MATCHED!$T27,IF(MATCHED!AV27=20,MATCHED!$U27,IF(MATCHED!AV27=21,MATCHED!$V27,)))))))&amp;IF(MATCHED!AV27=22,MATCHED!$W27,IF(MATCHED!AV27=23,MATCHED!$X27,IF(MATCHED!AV27=24,MATCHED!$Y27,IF(MATCHED!AV27=25,MATCHED!$Z27,IF(MATCHED!AV27=26,MATCHED!$AA27,IF(MATCHED!AV27=27,MATCHED!$AB27,"."))))))</f>
        <v>#N/A</v>
      </c>
      <c r="U27" s="356" t="e">
        <f>IF(MATCHED!AW27=1,MATCHED!$B27,IF(MATCHED!AW27=2,MATCHED!$C27,IF(MATCHED!AW27=3,MATCHED!$D27,IF(MATCHED!AW27=4,MATCHED!$E27,IF(MATCHED!AW27=3,MATCHED!$F27,IF(MATCHED!AW27=6,MATCHED!$G27,IF(MATCHED!AW27=7,MATCHED!$H27,"")))))))&amp;IF(MATCHED!AW27=8,MATCHED!$I27,IF(MATCHED!AW27=9,MATCHED!$J27,IF(MATCHED!AW27=10,MATCHED!$K27,IF(MATCHED!AW27=11,MATCHED!$L27,IF(MATCHED!AW27=12,MATCHED!$M27,IF(MATCHED!AW27=13,MATCHED!$N27,IF(MATCHED!AW27=14,MATCHED!$O27,"")))))))&amp;IF(MATCHED!AW27=15,MATCHED!$P27,IF(MATCHED!AW27=16,MATCHED!$Q27,IF(MATCHED!AW27=17,MATCHED!$R27,IF(MATCHED!AW27=18,MATCHED!$S27,IF(MATCHED!AW27=19,MATCHED!$T27,IF(MATCHED!AW27=20,MATCHED!$U27,IF(MATCHED!AW27=21,MATCHED!$V27,)))))))&amp;IF(MATCHED!AW27=22,MATCHED!$W27,IF(MATCHED!AW27=23,MATCHED!$X27,IF(MATCHED!AW27=24,MATCHED!$Y27,IF(MATCHED!AW27=25,MATCHED!$Z27,IF(MATCHED!AW27=26,MATCHED!$AA27,IF(MATCHED!AW27=27,MATCHED!$AB27,"."))))))</f>
        <v>#N/A</v>
      </c>
      <c r="V27" s="356" t="e">
        <f>IF(MATCHED!AX27=1,MATCHED!$B27,IF(MATCHED!AX27=2,MATCHED!$C27,IF(MATCHED!AX27=3,MATCHED!$D27,IF(MATCHED!AX27=4,MATCHED!$E27,IF(MATCHED!AX27=3,MATCHED!$F27,IF(MATCHED!AX27=6,MATCHED!$G27,IF(MATCHED!AX27=7,MATCHED!$H27,"")))))))&amp;IF(MATCHED!AX27=8,MATCHED!$I27,IF(MATCHED!AX27=9,MATCHED!$J27,IF(MATCHED!AX27=10,MATCHED!$K27,IF(MATCHED!AX27=11,MATCHED!$L27,IF(MATCHED!AX27=12,MATCHED!$M27,IF(MATCHED!AX27=13,MATCHED!$N27,IF(MATCHED!AX27=14,MATCHED!$O27,"")))))))&amp;IF(MATCHED!AX27=15,MATCHED!$P27,IF(MATCHED!AX27=16,MATCHED!$Q27,IF(MATCHED!AX27=17,MATCHED!$R27,IF(MATCHED!AX27=18,MATCHED!$S27,IF(MATCHED!AX27=19,MATCHED!$T27,IF(MATCHED!AX27=20,MATCHED!$U27,IF(MATCHED!AX27=21,MATCHED!$V27,)))))))&amp;IF(MATCHED!AX27=22,MATCHED!$W27,IF(MATCHED!AX27=23,MATCHED!$X27,IF(MATCHED!AX27=24,MATCHED!$Y27,IF(MATCHED!AX27=25,MATCHED!$Z27,IF(MATCHED!AX27=26,MATCHED!$AA27,IF(MATCHED!AX27=27,MATCHED!$AB27,"."))))))</f>
        <v>#N/A</v>
      </c>
      <c r="W27" s="356" t="e">
        <f>IF(MATCHED!AY27=1,MATCHED!$B27,IF(MATCHED!AY27=2,MATCHED!$C27,IF(MATCHED!AY27=3,MATCHED!$D27,IF(MATCHED!AY27=4,MATCHED!$E27,IF(MATCHED!AY27=3,MATCHED!$F27,IF(MATCHED!AY27=6,MATCHED!$G27,IF(MATCHED!AY27=7,MATCHED!$H27,"")))))))&amp;IF(MATCHED!AY27=8,MATCHED!$I27,IF(MATCHED!AY27=9,MATCHED!$J27,IF(MATCHED!AY27=10,MATCHED!$K27,IF(MATCHED!AY27=11,MATCHED!$L27,IF(MATCHED!AY27=12,MATCHED!$M27,IF(MATCHED!AY27=13,MATCHED!$N27,IF(MATCHED!AY27=14,MATCHED!$O27,"")))))))&amp;IF(MATCHED!AY27=15,MATCHED!$P27,IF(MATCHED!AY27=16,MATCHED!$Q27,IF(MATCHED!AY27=17,MATCHED!$R27,IF(MATCHED!AY27=18,MATCHED!$S27,IF(MATCHED!AY27=19,MATCHED!$T27,IF(MATCHED!AY27=20,MATCHED!$U27,IF(MATCHED!AY27=21,MATCHED!$V27,)))))))&amp;IF(MATCHED!AY27=22,MATCHED!$W27,IF(MATCHED!AY27=23,MATCHED!$X27,IF(MATCHED!AY27=24,MATCHED!$Y27,IF(MATCHED!AY27=25,MATCHED!$Z27,IF(MATCHED!AY27=26,MATCHED!$AA27,IF(MATCHED!AY27=27,MATCHED!$AB27,"."))))))</f>
        <v>#N/A</v>
      </c>
      <c r="X27" s="356" t="e">
        <f>IF(MATCHED!AZ27=1,MATCHED!$B27,IF(MATCHED!AZ27=2,MATCHED!$C27,IF(MATCHED!AZ27=3,MATCHED!$D27,IF(MATCHED!AZ27=4,MATCHED!$E27,IF(MATCHED!AZ27=3,MATCHED!$F27,IF(MATCHED!AZ27=6,MATCHED!$G27,IF(MATCHED!AZ27=7,MATCHED!$H27,"")))))))&amp;IF(MATCHED!AZ27=8,MATCHED!$I27,IF(MATCHED!AZ27=9,MATCHED!$J27,IF(MATCHED!AZ27=10,MATCHED!$K27,IF(MATCHED!AZ27=11,MATCHED!$L27,IF(MATCHED!AZ27=12,MATCHED!$M27,IF(MATCHED!AZ27=13,MATCHED!$N27,IF(MATCHED!AZ27=14,MATCHED!$O27,"")))))))&amp;IF(MATCHED!AZ27=15,MATCHED!$P27,IF(MATCHED!AZ27=16,MATCHED!$Q27,IF(MATCHED!AZ27=17,MATCHED!$R27,IF(MATCHED!AZ27=18,MATCHED!$S27,IF(MATCHED!AZ27=19,MATCHED!$T27,IF(MATCHED!AZ27=20,MATCHED!$U27,IF(MATCHED!AZ27=21,MATCHED!$V27,)))))))&amp;IF(MATCHED!AZ27=22,MATCHED!$W27,IF(MATCHED!AZ27=23,MATCHED!$X27,IF(MATCHED!AZ27=24,MATCHED!$Y27,IF(MATCHED!AZ27=25,MATCHED!$Z27,IF(MATCHED!AZ27=26,MATCHED!$AA27,IF(MATCHED!AZ27=27,MATCHED!$AB27,"."))))))</f>
        <v>#N/A</v>
      </c>
      <c r="Y27" s="356" t="e">
        <f>IF(MATCHED!BA27=1,MATCHED!$B27,IF(MATCHED!BA27=2,MATCHED!$C27,IF(MATCHED!BA27=3,MATCHED!$D27,IF(MATCHED!BA27=4,MATCHED!$E27,IF(MATCHED!BA27=3,MATCHED!$F27,IF(MATCHED!BA27=6,MATCHED!$G27,IF(MATCHED!BA27=7,MATCHED!$H27,"")))))))&amp;IF(MATCHED!BA27=8,MATCHED!$I27,IF(MATCHED!BA27=9,MATCHED!$J27,IF(MATCHED!BA27=10,MATCHED!$K27,IF(MATCHED!BA27=11,MATCHED!$L27,IF(MATCHED!BA27=12,MATCHED!$M27,IF(MATCHED!BA27=13,MATCHED!$N27,IF(MATCHED!BA27=14,MATCHED!$O27,"")))))))&amp;IF(MATCHED!BA27=15,MATCHED!$P27,IF(MATCHED!BA27=16,MATCHED!$Q27,IF(MATCHED!BA27=17,MATCHED!$R27,IF(MATCHED!BA27=18,MATCHED!$S27,IF(MATCHED!BA27=19,MATCHED!$T27,IF(MATCHED!BA27=20,MATCHED!$U27,IF(MATCHED!BA27=21,MATCHED!$V27,)))))))&amp;IF(MATCHED!BA27=22,MATCHED!$W27,IF(MATCHED!BA27=23,MATCHED!$X27,IF(MATCHED!BA27=24,MATCHED!$Y27,IF(MATCHED!BA27=25,MATCHED!$Z27,IF(MATCHED!BA27=26,MATCHED!$AA27,IF(MATCHED!BA27=27,MATCHED!$AB27,"."))))))</f>
        <v>#N/A</v>
      </c>
      <c r="Z27" s="356" t="e">
        <f>IF(MATCHED!BB27=1,MATCHED!$B27,IF(MATCHED!BB27=2,MATCHED!$C27,IF(MATCHED!BB27=3,MATCHED!$D27,IF(MATCHED!BB27=4,MATCHED!$E27,IF(MATCHED!BB27=3,MATCHED!$F27,IF(MATCHED!BB27=6,MATCHED!$G27,IF(MATCHED!BB27=7,MATCHED!$H27,"")))))))&amp;IF(MATCHED!BB27=8,MATCHED!$I27,IF(MATCHED!BB27=9,MATCHED!$J27,IF(MATCHED!BB27=10,MATCHED!$K27,IF(MATCHED!BB27=11,MATCHED!$L27,IF(MATCHED!BB27=12,MATCHED!$M27,IF(MATCHED!BB27=13,MATCHED!$N27,IF(MATCHED!BB27=14,MATCHED!$O27,"")))))))&amp;IF(MATCHED!BB27=15,MATCHED!$P27,IF(MATCHED!BB27=16,MATCHED!$Q27,IF(MATCHED!BB27=17,MATCHED!$R27,IF(MATCHED!BB27=18,MATCHED!$S27,IF(MATCHED!BB27=19,MATCHED!$T27,IF(MATCHED!BB27=20,MATCHED!$U27,IF(MATCHED!BB27=21,MATCHED!$V27,)))))))&amp;IF(MATCHED!BB27=22,MATCHED!$W27,IF(MATCHED!BB27=23,MATCHED!$X27,IF(MATCHED!BB27=24,MATCHED!$Y27,IF(MATCHED!BB27=25,MATCHED!$Z27,IF(MATCHED!BB27=26,MATCHED!$AA27,IF(MATCHED!BB27=27,MATCHED!$AB27,"."))))))</f>
        <v>#N/A</v>
      </c>
      <c r="AA27" s="356" t="e">
        <f>IF(MATCHED!BC27=1,MATCHED!$B27,IF(MATCHED!BC27=2,MATCHED!$C27,IF(MATCHED!BC27=3,MATCHED!$D27,IF(MATCHED!BC27=4,MATCHED!$E27,IF(MATCHED!BC27=3,MATCHED!$F27,IF(MATCHED!BC27=6,MATCHED!$G27,IF(MATCHED!BC27=7,MATCHED!$H27,"")))))))&amp;IF(MATCHED!BC27=8,MATCHED!$I27,IF(MATCHED!BC27=9,MATCHED!$J27,IF(MATCHED!BC27=10,MATCHED!$K27,IF(MATCHED!BC27=11,MATCHED!$L27,IF(MATCHED!BC27=12,MATCHED!$M27,IF(MATCHED!BC27=13,MATCHED!$N27,IF(MATCHED!BC27=14,MATCHED!$O27,"")))))))&amp;IF(MATCHED!BC27=15,MATCHED!$P27,IF(MATCHED!BC27=16,MATCHED!$Q27,IF(MATCHED!BC27=17,MATCHED!$R27,IF(MATCHED!BC27=18,MATCHED!$S27,IF(MATCHED!BC27=19,MATCHED!$T27,IF(MATCHED!BC27=20,MATCHED!$U27,IF(MATCHED!BC27=21,MATCHED!$V27,)))))))&amp;IF(MATCHED!BC27=22,MATCHED!$W27,IF(MATCHED!BC27=23,MATCHED!$X27,IF(MATCHED!BC27=24,MATCHED!$Y27,IF(MATCHED!BC27=25,MATCHED!$Z27,IF(MATCHED!BC27=26,MATCHED!$AA27,IF(MATCHED!BC27=27,MATCHED!$AB27,"."))))))</f>
        <v>#N/A</v>
      </c>
      <c r="AB27" s="356" t="e">
        <f>IF(MATCHED!BD27=1,MATCHED!$B27,IF(MATCHED!BD27=2,MATCHED!$C27,IF(MATCHED!BD27=3,MATCHED!$D27,IF(MATCHED!BD27=4,MATCHED!$E27,IF(MATCHED!BD27=3,MATCHED!$F27,IF(MATCHED!BD27=6,MATCHED!$G27,IF(MATCHED!BD27=7,MATCHED!$H27,"")))))))&amp;IF(MATCHED!BD27=8,MATCHED!$I27,IF(MATCHED!BD27=9,MATCHED!$J27,IF(MATCHED!BD27=10,MATCHED!$K27,IF(MATCHED!BD27=11,MATCHED!$L27,IF(MATCHED!BD27=12,MATCHED!$M27,IF(MATCHED!BD27=13,MATCHED!$N27,IF(MATCHED!BD27=14,MATCHED!$O27,"")))))))&amp;IF(MATCHED!BD27=15,MATCHED!$P27,IF(MATCHED!BD27=16,MATCHED!$Q27,IF(MATCHED!BD27=17,MATCHED!$R27,IF(MATCHED!BD27=18,MATCHED!$S27,IF(MATCHED!BD27=19,MATCHED!$T27,IF(MATCHED!BD27=20,MATCHED!$U27,IF(MATCHED!BD27=21,MATCHED!$V27,)))))))&amp;IF(MATCHED!BD27=22,MATCHED!$W27,IF(MATCHED!BD27=23,MATCHED!$X27,IF(MATCHED!BD27=24,MATCHED!$Y27,IF(MATCHED!BD27=25,MATCHED!$Z27,IF(MATCHED!BD27=26,MATCHED!$AA27,IF(MATCHED!BD27=27,MATCHED!$AB27,"."))))))</f>
        <v>#N/A</v>
      </c>
      <c r="AC27" s="356" t="e">
        <f>IF(MATCHED!BE27=1,MATCHED!$B27,IF(MATCHED!BE27=2,MATCHED!$C27,IF(MATCHED!BE27=3,MATCHED!$D27,IF(MATCHED!BE27=4,MATCHED!$E27,IF(MATCHED!BE27=3,MATCHED!$F27,IF(MATCHED!BE27=6,MATCHED!$G27,IF(MATCHED!BE27=7,MATCHED!$H27,"")))))))&amp;IF(MATCHED!BE27=8,MATCHED!$I27,IF(MATCHED!BE27=9,MATCHED!$J27,IF(MATCHED!BE27=10,MATCHED!$K27,IF(MATCHED!BE27=11,MATCHED!$L27,IF(MATCHED!BE27=12,MATCHED!$M27,IF(MATCHED!BE27=13,MATCHED!$N27,IF(MATCHED!BE27=14,MATCHED!$O27,"")))))))&amp;IF(MATCHED!BE27=15,MATCHED!$P27,IF(MATCHED!BE27=16,MATCHED!$Q27,IF(MATCHED!BE27=17,MATCHED!$R27,IF(MATCHED!BE27=18,MATCHED!$S27,IF(MATCHED!BE27=19,MATCHED!$T27,IF(MATCHED!BE27=20,MATCHED!$U27,IF(MATCHED!BE27=21,MATCHED!$V27,)))))))&amp;IF(MATCHED!BE27=22,MATCHED!$W27,IF(MATCHED!BE27=23,MATCHED!$X27,IF(MATCHED!BE27=24,MATCHED!$Y27,IF(MATCHED!BE27=25,MATCHED!$Z27,IF(MATCHED!BE27=26,MATCHED!$AA27,IF(MATCHED!BE27=27,MATCHED!$AB27,"."))))))</f>
        <v>#N/A</v>
      </c>
      <c r="AD27" s="356" t="e">
        <f>IF(MATCHED!BF27=1,MATCHED!$B27,IF(MATCHED!BF27=2,MATCHED!$C27,IF(MATCHED!BF27=3,MATCHED!$D27,IF(MATCHED!BF27=4,MATCHED!$E27,IF(MATCHED!BF27=3,MATCHED!$F27,IF(MATCHED!BF27=6,MATCHED!$G27,IF(MATCHED!BF27=7,MATCHED!$H27,"")))))))&amp;IF(MATCHED!BF27=8,MATCHED!$I27,IF(MATCHED!BF27=9,MATCHED!$J27,IF(MATCHED!BF27=10,MATCHED!$K27,IF(MATCHED!BF27=11,MATCHED!$L27,IF(MATCHED!BF27=12,MATCHED!$M27,IF(MATCHED!BF27=13,MATCHED!$N27,IF(MATCHED!BF27=14,MATCHED!$O27,"")))))))&amp;IF(MATCHED!BF27=15,MATCHED!$P27,IF(MATCHED!BF27=16,MATCHED!$Q27,IF(MATCHED!BF27=17,MATCHED!$R27,IF(MATCHED!BF27=18,MATCHED!$S27,IF(MATCHED!BF27=19,MATCHED!$T27,IF(MATCHED!BF27=20,MATCHED!$U27,IF(MATCHED!BF27=21,MATCHED!$V27,)))))))&amp;IF(MATCHED!BF27=22,MATCHED!$W27,IF(MATCHED!BF27=23,MATCHED!$X27,IF(MATCHED!BF27=24,MATCHED!$Y27,IF(MATCHED!BF27=25,MATCHED!$Z27,IF(MATCHED!BF27=26,MATCHED!$AA27,IF(MATCHED!BF27=27,MATCHED!$AB27,"."))))))</f>
        <v>#N/A</v>
      </c>
      <c r="AE27" s="356" t="e">
        <f>IF(MATCHED!BG27=1,MATCHED!$B27,IF(MATCHED!BG27=2,MATCHED!$C27,IF(MATCHED!BG27=3,MATCHED!$D27,IF(MATCHED!BG27=4,MATCHED!$E27,IF(MATCHED!BG27=3,MATCHED!$F27,IF(MATCHED!BG27=6,MATCHED!$G27,IF(MATCHED!BG27=7,MATCHED!$H27,"")))))))&amp;IF(MATCHED!BG27=8,MATCHED!$I27,IF(MATCHED!BG27=9,MATCHED!$J27,IF(MATCHED!BG27=10,MATCHED!$K27,IF(MATCHED!BG27=11,MATCHED!$L27,IF(MATCHED!BG27=12,MATCHED!$M27,IF(MATCHED!BG27=13,MATCHED!$N27,IF(MATCHED!BG27=14,MATCHED!$O27,"")))))))&amp;IF(MATCHED!BG27=15,MATCHED!$P27,IF(MATCHED!BG27=16,MATCHED!$Q27,IF(MATCHED!BG27=17,MATCHED!$R27,IF(MATCHED!BG27=18,MATCHED!$S27,IF(MATCHED!BG27=19,MATCHED!$T27,IF(MATCHED!BG27=20,MATCHED!$U27,IF(MATCHED!BG27=21,MATCHED!$V27,)))))))&amp;IF(MATCHED!BG27=22,MATCHED!$W27,IF(MATCHED!BG27=23,MATCHED!$X27,IF(MATCHED!BG27=24,MATCHED!$Y27,IF(MATCHED!BG27=25,MATCHED!$Z27,IF(MATCHED!BG27=26,MATCHED!$AA27,IF(MATCHED!BG27=27,MATCHED!$AB27,"."))))))</f>
        <v>#N/A</v>
      </c>
      <c r="AF27" s="356" t="e">
        <f>IF(MATCHED!BH27=1,MATCHED!$B27,IF(MATCHED!BH27=2,MATCHED!$C27,IF(MATCHED!BH27=3,MATCHED!$D27,IF(MATCHED!BH27=4,MATCHED!$E27,IF(MATCHED!BH27=3,MATCHED!$F27,IF(MATCHED!BH27=6,MATCHED!$G27,IF(MATCHED!BH27=7,MATCHED!$H27,"")))))))&amp;IF(MATCHED!BH27=8,MATCHED!$I27,IF(MATCHED!BH27=9,MATCHED!$J27,IF(MATCHED!BH27=10,MATCHED!$K27,IF(MATCHED!BH27=11,MATCHED!$L27,IF(MATCHED!BH27=12,MATCHED!$M27,IF(MATCHED!BH27=13,MATCHED!$N27,IF(MATCHED!BH27=14,MATCHED!$O27,"")))))))&amp;IF(MATCHED!BH27=15,MATCHED!$P27,IF(MATCHED!BH27=16,MATCHED!$Q27,IF(MATCHED!BH27=17,MATCHED!$R27,IF(MATCHED!BH27=18,MATCHED!$S27,IF(MATCHED!BH27=19,MATCHED!$T27,IF(MATCHED!BH27=20,MATCHED!$U27,IF(MATCHED!BH27=21,MATCHED!$V27,)))))))&amp;IF(MATCHED!BH27=22,MATCHED!$W27,IF(MATCHED!BH27=23,MATCHED!$X27,IF(MATCHED!BH27=24,MATCHED!$Y27,IF(MATCHED!BH27=25,MATCHED!$Z27,IF(MATCHED!BH27=26,MATCHED!$AA27,IF(MATCHED!BH27=27,MATCHED!$AB27,"."))))))</f>
        <v>#N/A</v>
      </c>
      <c r="AG27" s="356" t="e">
        <f>IF(MATCHED!BI27=1,MATCHED!$B27,IF(MATCHED!BI27=2,MATCHED!$C27,IF(MATCHED!BI27=3,MATCHED!$D27,IF(MATCHED!BI27=4,MATCHED!$E27,IF(MATCHED!BI27=3,MATCHED!$F27,IF(MATCHED!BI27=6,MATCHED!$G27,IF(MATCHED!BI27=7,MATCHED!$H27,"")))))))&amp;IF(MATCHED!BI27=8,MATCHED!$I27,IF(MATCHED!BI27=9,MATCHED!$J27,IF(MATCHED!BI27=10,MATCHED!$K27,IF(MATCHED!BI27=11,MATCHED!$L27,IF(MATCHED!BI27=12,MATCHED!$M27,IF(MATCHED!BI27=13,MATCHED!$N27,IF(MATCHED!BI27=14,MATCHED!$O27,"")))))))&amp;IF(MATCHED!BI27=15,MATCHED!$P27,IF(MATCHED!BI27=16,MATCHED!$Q27,IF(MATCHED!BI27=17,MATCHED!$R27,IF(MATCHED!BI27=18,MATCHED!$S27,IF(MATCHED!BI27=19,MATCHED!$T27,IF(MATCHED!BI27=20,MATCHED!$U27,IF(MATCHED!BI27=21,MATCHED!$V27,)))))))&amp;IF(MATCHED!BI27=22,MATCHED!$W27,IF(MATCHED!BI27=23,MATCHED!$X27,IF(MATCHED!BI27=24,MATCHED!$Y27,IF(MATCHED!BI27=25,MATCHED!$Z27,IF(MATCHED!BI27=26,MATCHED!$AA27,IF(MATCHED!BI27=27,MATCHED!$AB27,"."))))))</f>
        <v>#N/A</v>
      </c>
      <c r="AH27" s="356" t="e">
        <f>IF(MATCHED!BJ27=1,MATCHED!$B27,IF(MATCHED!BJ27=2,MATCHED!$C27,IF(MATCHED!BJ27=3,MATCHED!$D27,IF(MATCHED!BJ27=4,MATCHED!$E27,IF(MATCHED!BJ27=3,MATCHED!$F27,IF(MATCHED!BJ27=6,MATCHED!$G27,IF(MATCHED!BJ27=7,MATCHED!$H27,"")))))))&amp;IF(MATCHED!BJ27=8,MATCHED!$I27,IF(MATCHED!BJ27=9,MATCHED!$J27,IF(MATCHED!BJ27=10,MATCHED!$K27,IF(MATCHED!BJ27=11,MATCHED!$L27,IF(MATCHED!BJ27=12,MATCHED!$M27,IF(MATCHED!BJ27=13,MATCHED!$N27,IF(MATCHED!BJ27=14,MATCHED!$O27,"")))))))&amp;IF(MATCHED!BJ27=15,MATCHED!$P27,IF(MATCHED!BJ27=16,MATCHED!$Q27,IF(MATCHED!BJ27=17,MATCHED!$R27,IF(MATCHED!BJ27=18,MATCHED!$S27,IF(MATCHED!BJ27=19,MATCHED!$T27,IF(MATCHED!BJ27=20,MATCHED!$U27,IF(MATCHED!BJ27=21,MATCHED!$V27,)))))))&amp;IF(MATCHED!BJ27=22,MATCHED!$W27,IF(MATCHED!BJ27=23,MATCHED!$X27,IF(MATCHED!BJ27=24,MATCHED!$Y27,IF(MATCHED!BJ27=25,MATCHED!$Z27,IF(MATCHED!BJ27=26,MATCHED!$AA27,IF(MATCHED!BJ27=27,MATCHED!$AB27,"."))))))</f>
        <v>#N/A</v>
      </c>
      <c r="AI27" s="356" t="e">
        <f>IF(MATCHED!BK27=1,MATCHED!$B27,IF(MATCHED!BK27=2,MATCHED!$C27,IF(MATCHED!BK27=3,MATCHED!$D27,IF(MATCHED!BK27=4,MATCHED!$E27,IF(MATCHED!BK27=3,MATCHED!$F27,IF(MATCHED!BK27=6,MATCHED!$G27,IF(MATCHED!BK27=7,MATCHED!$H27,"")))))))&amp;IF(MATCHED!BK27=8,MATCHED!$I27,IF(MATCHED!BK27=9,MATCHED!$J27,IF(MATCHED!BK27=10,MATCHED!$K27,IF(MATCHED!BK27=11,MATCHED!$L27,IF(MATCHED!BK27=12,MATCHED!$M27,IF(MATCHED!BK27=13,MATCHED!$N27,IF(MATCHED!BK27=14,MATCHED!$O27,"")))))))&amp;IF(MATCHED!BK27=15,MATCHED!$P27,IF(MATCHED!BK27=16,MATCHED!$Q27,IF(MATCHED!BK27=17,MATCHED!$R27,IF(MATCHED!BK27=18,MATCHED!$S27,IF(MATCHED!BK27=19,MATCHED!$T27,IF(MATCHED!BK27=20,MATCHED!$U27,IF(MATCHED!BK27=21,MATCHED!$V27,)))))))&amp;IF(MATCHED!BK27=22,MATCHED!$W27,IF(MATCHED!BK27=23,MATCHED!$X27,IF(MATCHED!BK27=24,MATCHED!$Y27,IF(MATCHED!BK27=25,MATCHED!$Z27,IF(MATCHED!BK27=26,MATCHED!$AA27,IF(MATCHED!BK27=27,MATCHED!$AB27,"."))))))</f>
        <v>#N/A</v>
      </c>
      <c r="AJ27" s="535"/>
    </row>
    <row r="28" spans="1:36" s="338" customFormat="1" x14ac:dyDescent="0.25">
      <c r="A28" s="535"/>
      <c r="B28" s="355" t="e">
        <f>IF(MATCHED!AD28=1,MATCHED!$B28,IF(MATCHED!AD28=2,MATCHED!$C28,IF(MATCHED!AD28=3,MATCHED!$D28,IF(MATCHED!AD28=4,MATCHED!$E28,IF(MATCHED!AD28=3,MATCHED!$F28,IF(MATCHED!AD28=6,MATCHED!$G28,IF(MATCHED!AD28=7,MATCHED!$H28,"")))))))&amp;IF(MATCHED!AD28=8,MATCHED!$I28,IF(MATCHED!AD28=9,MATCHED!$J28,IF(MATCHED!AD28=10,MATCHED!$K28,IF(MATCHED!AD28=11,MATCHED!$L28,IF(MATCHED!AD28=12,MATCHED!$M28,IF(MATCHED!AD28=13,MATCHED!$N28,IF(MATCHED!AD28=14,MATCHED!$O28,"")))))))&amp;IF(MATCHED!AD28=15,MATCHED!$P28,IF(MATCHED!AD28=16,MATCHED!$Q28,IF(MATCHED!AD28=17,MATCHED!$R28,IF(MATCHED!AD28=18,MATCHED!$S28,IF(MATCHED!AD28=19,MATCHED!$T28,IF(MATCHED!AD28=20,MATCHED!$U28,IF(MATCHED!AD28=21,MATCHED!$V28,)))))))&amp;IF(MATCHED!AD28=22,MATCHED!$W28,IF(MATCHED!AD28=23,MATCHED!$X28,IF(MATCHED!AD28=24,MATCHED!$Y28,IF(MATCHED!AD28=25,MATCHED!$Z28,IF(MATCHED!AD28=26,MATCHED!$AA28,IF(MATCHED!AD28=27,MATCHED!$AB28,"."))))))</f>
        <v>#N/A</v>
      </c>
      <c r="C28" s="356" t="e">
        <f>IF(MATCHED!AE28=1,MATCHED!$B28,IF(MATCHED!AE28=2,MATCHED!$C28,IF(MATCHED!AE28=3,MATCHED!$D28,IF(MATCHED!AE28=4,MATCHED!$E28,IF(MATCHED!AE28=3,MATCHED!$F28,IF(MATCHED!AE28=6,MATCHED!$G28,IF(MATCHED!AE28=7,MATCHED!$H28,"")))))))&amp;IF(MATCHED!AE28=8,MATCHED!$I28,IF(MATCHED!AE28=9,MATCHED!$J28,IF(MATCHED!AE28=10,MATCHED!$K28,IF(MATCHED!AE28=11,MATCHED!$L28,IF(MATCHED!AE28=12,MATCHED!$M28,IF(MATCHED!AE28=13,MATCHED!$N28,IF(MATCHED!AE28=14,MATCHED!$O28,"")))))))&amp;IF(MATCHED!AE28=15,MATCHED!$P28,IF(MATCHED!AE28=16,MATCHED!$Q28,IF(MATCHED!AE28=17,MATCHED!$R28,IF(MATCHED!AE28=18,MATCHED!$S28,IF(MATCHED!AE28=19,MATCHED!$T28,IF(MATCHED!AE28=20,MATCHED!$U28,IF(MATCHED!AE28=21,MATCHED!$V28,)))))))&amp;IF(MATCHED!AE28=22,MATCHED!$W28,IF(MATCHED!AE28=23,MATCHED!$X28,IF(MATCHED!AE28=24,MATCHED!$Y28,IF(MATCHED!AE28=25,MATCHED!$Z28,IF(MATCHED!AE28=26,MATCHED!$AA28,IF(MATCHED!AE28=27,MATCHED!$AB28,"."))))))</f>
        <v>#N/A</v>
      </c>
      <c r="D28" s="356" t="e">
        <f>IF(MATCHED!AF28=1,MATCHED!$B28,IF(MATCHED!AF28=2,MATCHED!$C28,IF(MATCHED!AF28=3,MATCHED!$D28,IF(MATCHED!AF28=4,MATCHED!$E28,IF(MATCHED!AF28=3,MATCHED!$F28,IF(MATCHED!AF28=6,MATCHED!$G28,IF(MATCHED!AF28=7,MATCHED!$H28,"")))))))&amp;IF(MATCHED!AF28=8,MATCHED!$I28,IF(MATCHED!AF28=9,MATCHED!$J28,IF(MATCHED!AF28=10,MATCHED!$K28,IF(MATCHED!AF28=11,MATCHED!$L28,IF(MATCHED!AF28=12,MATCHED!$M28,IF(MATCHED!AF28=13,MATCHED!$N28,IF(MATCHED!AF28=14,MATCHED!$O28,"")))))))&amp;IF(MATCHED!AF28=15,MATCHED!$P28,IF(MATCHED!AF28=16,MATCHED!$Q28,IF(MATCHED!AF28=17,MATCHED!$R28,IF(MATCHED!AF28=18,MATCHED!$S28,IF(MATCHED!AF28=19,MATCHED!$T28,IF(MATCHED!AF28=20,MATCHED!$U28,IF(MATCHED!AF28=21,MATCHED!$V28,)))))))&amp;IF(MATCHED!AF28=22,MATCHED!$W28,IF(MATCHED!AF28=23,MATCHED!$X28,IF(MATCHED!AF28=24,MATCHED!$Y28,IF(MATCHED!AF28=25,MATCHED!$Z28,IF(MATCHED!AF28=26,MATCHED!$AA28,IF(MATCHED!AF28=27,MATCHED!$AB28,"."))))))</f>
        <v>#N/A</v>
      </c>
      <c r="E28" s="356" t="e">
        <f>IF(MATCHED!AG28=1,MATCHED!$B28,IF(MATCHED!AG28=2,MATCHED!$C28,IF(MATCHED!AG28=3,MATCHED!$D28,IF(MATCHED!AG28=4,MATCHED!$E28,IF(MATCHED!AG28=3,MATCHED!$F28,IF(MATCHED!AG28=6,MATCHED!$G28,IF(MATCHED!AG28=7,MATCHED!$H28,"")))))))&amp;IF(MATCHED!AG28=8,MATCHED!$I28,IF(MATCHED!AG28=9,MATCHED!$J28,IF(MATCHED!AG28=10,MATCHED!$K28,IF(MATCHED!AG28=11,MATCHED!$L28,IF(MATCHED!AG28=12,MATCHED!$M28,IF(MATCHED!AG28=13,MATCHED!$N28,IF(MATCHED!AG28=14,MATCHED!$O28,"")))))))&amp;IF(MATCHED!AG28=15,MATCHED!$P28,IF(MATCHED!AG28=16,MATCHED!$Q28,IF(MATCHED!AG28=17,MATCHED!$R28,IF(MATCHED!AG28=18,MATCHED!$S28,IF(MATCHED!AG28=19,MATCHED!$T28,IF(MATCHED!AG28=20,MATCHED!$U28,IF(MATCHED!AG28=21,MATCHED!$V28,)))))))&amp;IF(MATCHED!AG28=22,MATCHED!$W28,IF(MATCHED!AG28=23,MATCHED!$X28,IF(MATCHED!AG28=24,MATCHED!$Y28,IF(MATCHED!AG28=25,MATCHED!$Z28,IF(MATCHED!AG28=26,MATCHED!$AA28,IF(MATCHED!AG28=27,MATCHED!$AB28,"."))))))</f>
        <v>#N/A</v>
      </c>
      <c r="F28" s="356" t="e">
        <f>IF(MATCHED!AH28=1,MATCHED!$B28,IF(MATCHED!AH28=2,MATCHED!$C28,IF(MATCHED!AH28=3,MATCHED!$D28,IF(MATCHED!AH28=4,MATCHED!$E28,IF(MATCHED!AH28=3,MATCHED!$F28,IF(MATCHED!AH28=6,MATCHED!$G28,IF(MATCHED!AH28=7,MATCHED!$H28,"")))))))&amp;IF(MATCHED!AH28=8,MATCHED!$I28,IF(MATCHED!AH28=9,MATCHED!$J28,IF(MATCHED!AH28=10,MATCHED!$K28,IF(MATCHED!AH28=11,MATCHED!$L28,IF(MATCHED!AH28=12,MATCHED!$M28,IF(MATCHED!AH28=13,MATCHED!$N28,IF(MATCHED!AH28=14,MATCHED!$O28,"")))))))&amp;IF(MATCHED!AH28=15,MATCHED!$P28,IF(MATCHED!AH28=16,MATCHED!$Q28,IF(MATCHED!AH28=17,MATCHED!$R28,IF(MATCHED!AH28=18,MATCHED!$S28,IF(MATCHED!AH28=19,MATCHED!$T28,IF(MATCHED!AH28=20,MATCHED!$U28,IF(MATCHED!AH28=21,MATCHED!$V28,)))))))&amp;IF(MATCHED!AH28=22,MATCHED!$W28,IF(MATCHED!AH28=23,MATCHED!$X28,IF(MATCHED!AH28=24,MATCHED!$Y28,IF(MATCHED!AH28=25,MATCHED!$Z28,IF(MATCHED!AH28=26,MATCHED!$AA28,IF(MATCHED!AH28=27,MATCHED!$AB28,"."))))))</f>
        <v>#N/A</v>
      </c>
      <c r="G28" s="356" t="e">
        <f>IF(MATCHED!AI28=1,MATCHED!$B28,IF(MATCHED!AI28=2,MATCHED!$C28,IF(MATCHED!AI28=3,MATCHED!$D28,IF(MATCHED!AI28=4,MATCHED!$E28,IF(MATCHED!AI28=3,MATCHED!$F28,IF(MATCHED!AI28=6,MATCHED!$G28,IF(MATCHED!AI28=7,MATCHED!$H28,"")))))))&amp;IF(MATCHED!AI28=8,MATCHED!$I28,IF(MATCHED!AI28=9,MATCHED!$J28,IF(MATCHED!AI28=10,MATCHED!$K28,IF(MATCHED!AI28=11,MATCHED!$L28,IF(MATCHED!AI28=12,MATCHED!$M28,IF(MATCHED!AI28=13,MATCHED!$N28,IF(MATCHED!AI28=14,MATCHED!$O28,"")))))))&amp;IF(MATCHED!AI28=15,MATCHED!$P28,IF(MATCHED!AI28=16,MATCHED!$Q28,IF(MATCHED!AI28=17,MATCHED!$R28,IF(MATCHED!AI28=18,MATCHED!$S28,IF(MATCHED!AI28=19,MATCHED!$T28,IF(MATCHED!AI28=20,MATCHED!$U28,IF(MATCHED!AI28=21,MATCHED!$V28,)))))))&amp;IF(MATCHED!AI28=22,MATCHED!$W28,IF(MATCHED!AI28=23,MATCHED!$X28,IF(MATCHED!AI28=24,MATCHED!$Y28,IF(MATCHED!AI28=25,MATCHED!$Z28,IF(MATCHED!AI28=26,MATCHED!$AA28,IF(MATCHED!AI28=27,MATCHED!$AB28,"."))))))</f>
        <v>#N/A</v>
      </c>
      <c r="H28" s="356" t="e">
        <f>IF(MATCHED!AJ28=1,MATCHED!$B28,IF(MATCHED!AJ28=2,MATCHED!$C28,IF(MATCHED!AJ28=3,MATCHED!$D28,IF(MATCHED!AJ28=4,MATCHED!$E28,IF(MATCHED!AJ28=3,MATCHED!$F28,IF(MATCHED!AJ28=6,MATCHED!$G28,IF(MATCHED!AJ28=7,MATCHED!$H28,"")))))))&amp;IF(MATCHED!AJ28=8,MATCHED!$I28,IF(MATCHED!AJ28=9,MATCHED!$J28,IF(MATCHED!AJ28=10,MATCHED!$K28,IF(MATCHED!AJ28=11,MATCHED!$L28,IF(MATCHED!AJ28=12,MATCHED!$M28,IF(MATCHED!AJ28=13,MATCHED!$N28,IF(MATCHED!AJ28=14,MATCHED!$O28,"")))))))&amp;IF(MATCHED!AJ28=15,MATCHED!$P28,IF(MATCHED!AJ28=16,MATCHED!$Q28,IF(MATCHED!AJ28=17,MATCHED!$R28,IF(MATCHED!AJ28=18,MATCHED!$S28,IF(MATCHED!AJ28=19,MATCHED!$T28,IF(MATCHED!AJ28=20,MATCHED!$U28,IF(MATCHED!AJ28=21,MATCHED!$V28,)))))))&amp;IF(MATCHED!AJ28=22,MATCHED!$W28,IF(MATCHED!AJ28=23,MATCHED!$X28,IF(MATCHED!AJ28=24,MATCHED!$Y28,IF(MATCHED!AJ28=25,MATCHED!$Z28,IF(MATCHED!AJ28=26,MATCHED!$AA28,IF(MATCHED!AJ28=27,MATCHED!$AB28,"."))))))</f>
        <v>#N/A</v>
      </c>
      <c r="I28" s="356" t="e">
        <f>IF(MATCHED!AK28=1,MATCHED!$B28,IF(MATCHED!AK28=2,MATCHED!$C28,IF(MATCHED!AK28=3,MATCHED!$D28,IF(MATCHED!AK28=4,MATCHED!$E28,IF(MATCHED!AK28=3,MATCHED!$F28,IF(MATCHED!AK28=6,MATCHED!$G28,IF(MATCHED!AK28=7,MATCHED!$H28,"")))))))&amp;IF(MATCHED!AK28=8,MATCHED!$I28,IF(MATCHED!AK28=9,MATCHED!$J28,IF(MATCHED!AK28=10,MATCHED!$K28,IF(MATCHED!AK28=11,MATCHED!$L28,IF(MATCHED!AK28=12,MATCHED!$M28,IF(MATCHED!AK28=13,MATCHED!$N28,IF(MATCHED!AK28=14,MATCHED!$O28,"")))))))&amp;IF(MATCHED!AK28=15,MATCHED!$P28,IF(MATCHED!AK28=16,MATCHED!$Q28,IF(MATCHED!AK28=17,MATCHED!$R28,IF(MATCHED!AK28=18,MATCHED!$S28,IF(MATCHED!AK28=19,MATCHED!$T28,IF(MATCHED!AK28=20,MATCHED!$U28,IF(MATCHED!AK28=21,MATCHED!$V28,)))))))&amp;IF(MATCHED!AK28=22,MATCHED!$W28,IF(MATCHED!AK28=23,MATCHED!$X28,IF(MATCHED!AK28=24,MATCHED!$Y28,IF(MATCHED!AK28=25,MATCHED!$Z28,IF(MATCHED!AK28=26,MATCHED!$AA28,IF(MATCHED!AK28=27,MATCHED!$AB28,"."))))))</f>
        <v>#N/A</v>
      </c>
      <c r="J28" s="356" t="e">
        <f>IF(MATCHED!AL28=1,MATCHED!$B28,IF(MATCHED!AL28=2,MATCHED!$C28,IF(MATCHED!AL28=3,MATCHED!$D28,IF(MATCHED!AL28=4,MATCHED!$E28,IF(MATCHED!AL28=3,MATCHED!$F28,IF(MATCHED!AL28=6,MATCHED!$G28,IF(MATCHED!AL28=7,MATCHED!$H28,"")))))))&amp;IF(MATCHED!AL28=8,MATCHED!$I28,IF(MATCHED!AL28=9,MATCHED!$J28,IF(MATCHED!AL28=10,MATCHED!$K28,IF(MATCHED!AL28=11,MATCHED!$L28,IF(MATCHED!AL28=12,MATCHED!$M28,IF(MATCHED!AL28=13,MATCHED!$N28,IF(MATCHED!AL28=14,MATCHED!$O28,"")))))))&amp;IF(MATCHED!AL28=15,MATCHED!$P28,IF(MATCHED!AL28=16,MATCHED!$Q28,IF(MATCHED!AL28=17,MATCHED!$R28,IF(MATCHED!AL28=18,MATCHED!$S28,IF(MATCHED!AL28=19,MATCHED!$T28,IF(MATCHED!AL28=20,MATCHED!$U28,IF(MATCHED!AL28=21,MATCHED!$V28,)))))))&amp;IF(MATCHED!AL28=22,MATCHED!$W28,IF(MATCHED!AL28=23,MATCHED!$X28,IF(MATCHED!AL28=24,MATCHED!$Y28,IF(MATCHED!AL28=25,MATCHED!$Z28,IF(MATCHED!AL28=26,MATCHED!$AA28,IF(MATCHED!AL28=27,MATCHED!$AB28,"."))))))</f>
        <v>#N/A</v>
      </c>
      <c r="K28" s="356" t="e">
        <f>IF(MATCHED!AM28=1,MATCHED!$B28,IF(MATCHED!AM28=2,MATCHED!$C28,IF(MATCHED!AM28=3,MATCHED!$D28,IF(MATCHED!AM28=4,MATCHED!$E28,IF(MATCHED!AM28=3,MATCHED!$F28,IF(MATCHED!AM28=6,MATCHED!$G28,IF(MATCHED!AM28=7,MATCHED!$H28,"")))))))&amp;IF(MATCHED!AM28=8,MATCHED!$I28,IF(MATCHED!AM28=9,MATCHED!$J28,IF(MATCHED!AM28=10,MATCHED!$K28,IF(MATCHED!AM28=11,MATCHED!$L28,IF(MATCHED!AM28=12,MATCHED!$M28,IF(MATCHED!AM28=13,MATCHED!$N28,IF(MATCHED!AM28=14,MATCHED!$O28,"")))))))&amp;IF(MATCHED!AM28=15,MATCHED!$P28,IF(MATCHED!AM28=16,MATCHED!$Q28,IF(MATCHED!AM28=17,MATCHED!$R28,IF(MATCHED!AM28=18,MATCHED!$S28,IF(MATCHED!AM28=19,MATCHED!$T28,IF(MATCHED!AM28=20,MATCHED!$U28,IF(MATCHED!AM28=21,MATCHED!$V28,)))))))&amp;IF(MATCHED!AM28=22,MATCHED!$W28,IF(MATCHED!AM28=23,MATCHED!$X28,IF(MATCHED!AM28=24,MATCHED!$Y28,IF(MATCHED!AM28=25,MATCHED!$Z28,IF(MATCHED!AM28=26,MATCHED!$AA28,IF(MATCHED!AM28=27,MATCHED!$AB28,"."))))))</f>
        <v>#N/A</v>
      </c>
      <c r="L28" s="356" t="e">
        <f>IF(MATCHED!AN28=1,MATCHED!$B28,IF(MATCHED!AN28=2,MATCHED!$C28,IF(MATCHED!AN28=3,MATCHED!$D28,IF(MATCHED!AN28=4,MATCHED!$E28,IF(MATCHED!AN28=3,MATCHED!$F28,IF(MATCHED!AN28=6,MATCHED!$G28,IF(MATCHED!AN28=7,MATCHED!$H28,"")))))))&amp;IF(MATCHED!AN28=8,MATCHED!$I28,IF(MATCHED!AN28=9,MATCHED!$J28,IF(MATCHED!AN28=10,MATCHED!$K28,IF(MATCHED!AN28=11,MATCHED!$L28,IF(MATCHED!AN28=12,MATCHED!$M28,IF(MATCHED!AN28=13,MATCHED!$N28,IF(MATCHED!AN28=14,MATCHED!$O28,"")))))))&amp;IF(MATCHED!AN28=15,MATCHED!$P28,IF(MATCHED!AN28=16,MATCHED!$Q28,IF(MATCHED!AN28=17,MATCHED!$R28,IF(MATCHED!AN28=18,MATCHED!$S28,IF(MATCHED!AN28=19,MATCHED!$T28,IF(MATCHED!AN28=20,MATCHED!$U28,IF(MATCHED!AN28=21,MATCHED!$V28,)))))))&amp;IF(MATCHED!AN28=22,MATCHED!$W28,IF(MATCHED!AN28=23,MATCHED!$X28,IF(MATCHED!AN28=24,MATCHED!$Y28,IF(MATCHED!AN28=25,MATCHED!$Z28,IF(MATCHED!AN28=26,MATCHED!$AA28,IF(MATCHED!AN28=27,MATCHED!$AB28,"."))))))</f>
        <v>#N/A</v>
      </c>
      <c r="M28" s="356" t="e">
        <f>IF(MATCHED!AO28=1,MATCHED!$B28,IF(MATCHED!AO28=2,MATCHED!$C28,IF(MATCHED!AO28=3,MATCHED!$D28,IF(MATCHED!AO28=4,MATCHED!$E28,IF(MATCHED!AO28=3,MATCHED!$F28,IF(MATCHED!AO28=6,MATCHED!$G28,IF(MATCHED!AO28=7,MATCHED!$H28,"")))))))&amp;IF(MATCHED!AO28=8,MATCHED!$I28,IF(MATCHED!AO28=9,MATCHED!$J28,IF(MATCHED!AO28=10,MATCHED!$K28,IF(MATCHED!AO28=11,MATCHED!$L28,IF(MATCHED!AO28=12,MATCHED!$M28,IF(MATCHED!AO28=13,MATCHED!$N28,IF(MATCHED!AO28=14,MATCHED!$O28,"")))))))&amp;IF(MATCHED!AO28=15,MATCHED!$P28,IF(MATCHED!AO28=16,MATCHED!$Q28,IF(MATCHED!AO28=17,MATCHED!$R28,IF(MATCHED!AO28=18,MATCHED!$S28,IF(MATCHED!AO28=19,MATCHED!$T28,IF(MATCHED!AO28=20,MATCHED!$U28,IF(MATCHED!AO28=21,MATCHED!$V28,)))))))&amp;IF(MATCHED!AO28=22,MATCHED!$W28,IF(MATCHED!AO28=23,MATCHED!$X28,IF(MATCHED!AO28=24,MATCHED!$Y28,IF(MATCHED!AO28=25,MATCHED!$Z28,IF(MATCHED!AO28=26,MATCHED!$AA28,IF(MATCHED!AO28=27,MATCHED!$AB28,"."))))))</f>
        <v>#N/A</v>
      </c>
      <c r="N28" s="356" t="e">
        <f>IF(MATCHED!AP28=1,MATCHED!$B28,IF(MATCHED!AP28=2,MATCHED!$C28,IF(MATCHED!AP28=3,MATCHED!$D28,IF(MATCHED!AP28=4,MATCHED!$E28,IF(MATCHED!AP28=3,MATCHED!$F28,IF(MATCHED!AP28=6,MATCHED!$G28,IF(MATCHED!AP28=7,MATCHED!$H28,"")))))))&amp;IF(MATCHED!AP28=8,MATCHED!$I28,IF(MATCHED!AP28=9,MATCHED!$J28,IF(MATCHED!AP28=10,MATCHED!$K28,IF(MATCHED!AP28=11,MATCHED!$L28,IF(MATCHED!AP28=12,MATCHED!$M28,IF(MATCHED!AP28=13,MATCHED!$N28,IF(MATCHED!AP28=14,MATCHED!$O28,"")))))))&amp;IF(MATCHED!AP28=15,MATCHED!$P28,IF(MATCHED!AP28=16,MATCHED!$Q28,IF(MATCHED!AP28=17,MATCHED!$R28,IF(MATCHED!AP28=18,MATCHED!$S28,IF(MATCHED!AP28=19,MATCHED!$T28,IF(MATCHED!AP28=20,MATCHED!$U28,IF(MATCHED!AP28=21,MATCHED!$V28,)))))))&amp;IF(MATCHED!AP28=22,MATCHED!$W28,IF(MATCHED!AP28=23,MATCHED!$X28,IF(MATCHED!AP28=24,MATCHED!$Y28,IF(MATCHED!AP28=25,MATCHED!$Z28,IF(MATCHED!AP28=26,MATCHED!$AA28,IF(MATCHED!AP28=27,MATCHED!$AB28,"."))))))</f>
        <v>#N/A</v>
      </c>
      <c r="O28" s="356" t="e">
        <f>IF(MATCHED!AQ28=1,MATCHED!$B28,IF(MATCHED!AQ28=2,MATCHED!$C28,IF(MATCHED!AQ28=3,MATCHED!$D28,IF(MATCHED!AQ28=4,MATCHED!$E28,IF(MATCHED!AQ28=3,MATCHED!$F28,IF(MATCHED!AQ28=6,MATCHED!$G28,IF(MATCHED!AQ28=7,MATCHED!$H28,"")))))))&amp;IF(MATCHED!AQ28=8,MATCHED!$I28,IF(MATCHED!AQ28=9,MATCHED!$J28,IF(MATCHED!AQ28=10,MATCHED!$K28,IF(MATCHED!AQ28=11,MATCHED!$L28,IF(MATCHED!AQ28=12,MATCHED!$M28,IF(MATCHED!AQ28=13,MATCHED!$N28,IF(MATCHED!AQ28=14,MATCHED!$O28,"")))))))&amp;IF(MATCHED!AQ28=15,MATCHED!$P28,IF(MATCHED!AQ28=16,MATCHED!$Q28,IF(MATCHED!AQ28=17,MATCHED!$R28,IF(MATCHED!AQ28=18,MATCHED!$S28,IF(MATCHED!AQ28=19,MATCHED!$T28,IF(MATCHED!AQ28=20,MATCHED!$U28,IF(MATCHED!AQ28=21,MATCHED!$V28,)))))))&amp;IF(MATCHED!AQ28=22,MATCHED!$W28,IF(MATCHED!AQ28=23,MATCHED!$X28,IF(MATCHED!AQ28=24,MATCHED!$Y28,IF(MATCHED!AQ28=25,MATCHED!$Z28,IF(MATCHED!AQ28=26,MATCHED!$AA28,IF(MATCHED!AQ28=27,MATCHED!$AB28,"."))))))</f>
        <v>#N/A</v>
      </c>
      <c r="P28" s="356" t="e">
        <f>IF(MATCHED!AR28=1,MATCHED!$B28,IF(MATCHED!AR28=2,MATCHED!$C28,IF(MATCHED!AR28=3,MATCHED!$D28,IF(MATCHED!AR28=4,MATCHED!$E28,IF(MATCHED!AR28=3,MATCHED!$F28,IF(MATCHED!AR28=6,MATCHED!$G28,IF(MATCHED!AR28=7,MATCHED!$H28,"")))))))&amp;IF(MATCHED!AR28=8,MATCHED!$I28,IF(MATCHED!AR28=9,MATCHED!$J28,IF(MATCHED!AR28=10,MATCHED!$K28,IF(MATCHED!AR28=11,MATCHED!$L28,IF(MATCHED!AR28=12,MATCHED!$M28,IF(MATCHED!AR28=13,MATCHED!$N28,IF(MATCHED!AR28=14,MATCHED!$O28,"")))))))&amp;IF(MATCHED!AR28=15,MATCHED!$P28,IF(MATCHED!AR28=16,MATCHED!$Q28,IF(MATCHED!AR28=17,MATCHED!$R28,IF(MATCHED!AR28=18,MATCHED!$S28,IF(MATCHED!AR28=19,MATCHED!$T28,IF(MATCHED!AR28=20,MATCHED!$U28,IF(MATCHED!AR28=21,MATCHED!$V28,)))))))&amp;IF(MATCHED!AR28=22,MATCHED!$W28,IF(MATCHED!AR28=23,MATCHED!$X28,IF(MATCHED!AR28=24,MATCHED!$Y28,IF(MATCHED!AR28=25,MATCHED!$Z28,IF(MATCHED!AR28=26,MATCHED!$AA28,IF(MATCHED!AR28=27,MATCHED!$AB28,"."))))))</f>
        <v>#N/A</v>
      </c>
      <c r="Q28" s="357" t="e">
        <f>IF(MATCHED!AS28=1,MATCHED!$B28,IF(MATCHED!AS28=2,MATCHED!$C28,IF(MATCHED!AS28=3,MATCHED!$D28,IF(MATCHED!AS28=4,MATCHED!$E28,IF(MATCHED!AS28=3,MATCHED!$F28,IF(MATCHED!AS28=6,MATCHED!$G28,IF(MATCHED!AS28=7,MATCHED!$H28,"")))))))&amp;IF(MATCHED!AS28=8,MATCHED!$I28,IF(MATCHED!AS28=9,MATCHED!$J28,IF(MATCHED!AS28=10,MATCHED!$K28,IF(MATCHED!AS28=11,MATCHED!$L28,IF(MATCHED!AS28=12,MATCHED!$M28,IF(MATCHED!AS28=13,MATCHED!$N28,IF(MATCHED!AS28=14,MATCHED!$O28,"")))))))&amp;IF(MATCHED!AS28=15,MATCHED!$P28,IF(MATCHED!AS28=16,MATCHED!$Q28,IF(MATCHED!AS28=17,MATCHED!$R28,IF(MATCHED!AS28=18,MATCHED!$S28,IF(MATCHED!AS28=19,MATCHED!$T28,IF(MATCHED!AS28=20,MATCHED!$U28,IF(MATCHED!AS28=21,MATCHED!$V28,)))))))&amp;IF(MATCHED!AS28=22,MATCHED!$W28,IF(MATCHED!AS28=23,MATCHED!$X28,IF(MATCHED!AS28=24,MATCHED!$Y28,IF(MATCHED!AS28=25,MATCHED!$Z28,IF(MATCHED!AS28=26,MATCHED!$AA28,IF(MATCHED!AS28=27,MATCHED!$AB28,"."))))))</f>
        <v>#N/A</v>
      </c>
      <c r="R28" s="356" t="e">
        <f>IF(MATCHED!AT28=1,MATCHED!$B28,IF(MATCHED!AT28=2,MATCHED!$C28,IF(MATCHED!AT28=3,MATCHED!$D28,IF(MATCHED!AT28=4,MATCHED!$E28,IF(MATCHED!AT28=3,MATCHED!$F28,IF(MATCHED!AT28=6,MATCHED!$G28,IF(MATCHED!AT28=7,MATCHED!$H28,"")))))))&amp;IF(MATCHED!AT28=8,MATCHED!$I28,IF(MATCHED!AT28=9,MATCHED!$J28,IF(MATCHED!AT28=10,MATCHED!$K28,IF(MATCHED!AT28=11,MATCHED!$L28,IF(MATCHED!AT28=12,MATCHED!$M28,IF(MATCHED!AT28=13,MATCHED!$N28,IF(MATCHED!AT28=14,MATCHED!$O28,"")))))))&amp;IF(MATCHED!AT28=15,MATCHED!$P28,IF(MATCHED!AT28=16,MATCHED!$Q28,IF(MATCHED!AT28=17,MATCHED!$R28,IF(MATCHED!AT28=18,MATCHED!$S28,IF(MATCHED!AT28=19,MATCHED!$T28,IF(MATCHED!AT28=20,MATCHED!$U28,IF(MATCHED!AT28=21,MATCHED!$V28,)))))))&amp;IF(MATCHED!AT28=22,MATCHED!$W28,IF(MATCHED!AT28=23,MATCHED!$X28,IF(MATCHED!AT28=24,MATCHED!$Y28,IF(MATCHED!AT28=25,MATCHED!$Z28,IF(MATCHED!AT28=26,MATCHED!$AA28,IF(MATCHED!AT28=27,MATCHED!$AB28,"."))))))</f>
        <v>#N/A</v>
      </c>
      <c r="S28" s="356" t="e">
        <f>IF(MATCHED!AU28=1,MATCHED!$B28,IF(MATCHED!AU28=2,MATCHED!$C28,IF(MATCHED!AU28=3,MATCHED!$D28,IF(MATCHED!AU28=4,MATCHED!$E28,IF(MATCHED!AU28=3,MATCHED!$F28,IF(MATCHED!AU28=6,MATCHED!$G28,IF(MATCHED!AU28=7,MATCHED!$H28,"")))))))&amp;IF(MATCHED!AU28=8,MATCHED!$I28,IF(MATCHED!AU28=9,MATCHED!$J28,IF(MATCHED!AU28=10,MATCHED!$K28,IF(MATCHED!AU28=11,MATCHED!$L28,IF(MATCHED!AU28=12,MATCHED!$M28,IF(MATCHED!AU28=13,MATCHED!$N28,IF(MATCHED!AU28=14,MATCHED!$O28,"")))))))&amp;IF(MATCHED!AU28=15,MATCHED!$P28,IF(MATCHED!AU28=16,MATCHED!$Q28,IF(MATCHED!AU28=17,MATCHED!$R28,IF(MATCHED!AU28=18,MATCHED!$S28,IF(MATCHED!AU28=19,MATCHED!$T28,IF(MATCHED!AU28=20,MATCHED!$U28,IF(MATCHED!AU28=21,MATCHED!$V28,)))))))&amp;IF(MATCHED!AU28=22,MATCHED!$W28,IF(MATCHED!AU28=23,MATCHED!$X28,IF(MATCHED!AU28=24,MATCHED!$Y28,IF(MATCHED!AU28=25,MATCHED!$Z28,IF(MATCHED!AU28=26,MATCHED!$AA28,IF(MATCHED!AU28=27,MATCHED!$AB28,"."))))))</f>
        <v>#N/A</v>
      </c>
      <c r="T28" s="356" t="e">
        <f>IF(MATCHED!AV28=1,MATCHED!$B28,IF(MATCHED!AV28=2,MATCHED!$C28,IF(MATCHED!AV28=3,MATCHED!$D28,IF(MATCHED!AV28=4,MATCHED!$E28,IF(MATCHED!AV28=3,MATCHED!$F28,IF(MATCHED!AV28=6,MATCHED!$G28,IF(MATCHED!AV28=7,MATCHED!$H28,"")))))))&amp;IF(MATCHED!AV28=8,MATCHED!$I28,IF(MATCHED!AV28=9,MATCHED!$J28,IF(MATCHED!AV28=10,MATCHED!$K28,IF(MATCHED!AV28=11,MATCHED!$L28,IF(MATCHED!AV28=12,MATCHED!$M28,IF(MATCHED!AV28=13,MATCHED!$N28,IF(MATCHED!AV28=14,MATCHED!$O28,"")))))))&amp;IF(MATCHED!AV28=15,MATCHED!$P28,IF(MATCHED!AV28=16,MATCHED!$Q28,IF(MATCHED!AV28=17,MATCHED!$R28,IF(MATCHED!AV28=18,MATCHED!$S28,IF(MATCHED!AV28=19,MATCHED!$T28,IF(MATCHED!AV28=20,MATCHED!$U28,IF(MATCHED!AV28=21,MATCHED!$V28,)))))))&amp;IF(MATCHED!AV28=22,MATCHED!$W28,IF(MATCHED!AV28=23,MATCHED!$X28,IF(MATCHED!AV28=24,MATCHED!$Y28,IF(MATCHED!AV28=25,MATCHED!$Z28,IF(MATCHED!AV28=26,MATCHED!$AA28,IF(MATCHED!AV28=27,MATCHED!$AB28,"."))))))</f>
        <v>#N/A</v>
      </c>
      <c r="U28" s="356" t="e">
        <f>IF(MATCHED!AW28=1,MATCHED!$B28,IF(MATCHED!AW28=2,MATCHED!$C28,IF(MATCHED!AW28=3,MATCHED!$D28,IF(MATCHED!AW28=4,MATCHED!$E28,IF(MATCHED!AW28=3,MATCHED!$F28,IF(MATCHED!AW28=6,MATCHED!$G28,IF(MATCHED!AW28=7,MATCHED!$H28,"")))))))&amp;IF(MATCHED!AW28=8,MATCHED!$I28,IF(MATCHED!AW28=9,MATCHED!$J28,IF(MATCHED!AW28=10,MATCHED!$K28,IF(MATCHED!AW28=11,MATCHED!$L28,IF(MATCHED!AW28=12,MATCHED!$M28,IF(MATCHED!AW28=13,MATCHED!$N28,IF(MATCHED!AW28=14,MATCHED!$O28,"")))))))&amp;IF(MATCHED!AW28=15,MATCHED!$P28,IF(MATCHED!AW28=16,MATCHED!$Q28,IF(MATCHED!AW28=17,MATCHED!$R28,IF(MATCHED!AW28=18,MATCHED!$S28,IF(MATCHED!AW28=19,MATCHED!$T28,IF(MATCHED!AW28=20,MATCHED!$U28,IF(MATCHED!AW28=21,MATCHED!$V28,)))))))&amp;IF(MATCHED!AW28=22,MATCHED!$W28,IF(MATCHED!AW28=23,MATCHED!$X28,IF(MATCHED!AW28=24,MATCHED!$Y28,IF(MATCHED!AW28=25,MATCHED!$Z28,IF(MATCHED!AW28=26,MATCHED!$AA28,IF(MATCHED!AW28=27,MATCHED!$AB28,"."))))))</f>
        <v>#N/A</v>
      </c>
      <c r="V28" s="356" t="e">
        <f>IF(MATCHED!AX28=1,MATCHED!$B28,IF(MATCHED!AX28=2,MATCHED!$C28,IF(MATCHED!AX28=3,MATCHED!$D28,IF(MATCHED!AX28=4,MATCHED!$E28,IF(MATCHED!AX28=3,MATCHED!$F28,IF(MATCHED!AX28=6,MATCHED!$G28,IF(MATCHED!AX28=7,MATCHED!$H28,"")))))))&amp;IF(MATCHED!AX28=8,MATCHED!$I28,IF(MATCHED!AX28=9,MATCHED!$J28,IF(MATCHED!AX28=10,MATCHED!$K28,IF(MATCHED!AX28=11,MATCHED!$L28,IF(MATCHED!AX28=12,MATCHED!$M28,IF(MATCHED!AX28=13,MATCHED!$N28,IF(MATCHED!AX28=14,MATCHED!$O28,"")))))))&amp;IF(MATCHED!AX28=15,MATCHED!$P28,IF(MATCHED!AX28=16,MATCHED!$Q28,IF(MATCHED!AX28=17,MATCHED!$R28,IF(MATCHED!AX28=18,MATCHED!$S28,IF(MATCHED!AX28=19,MATCHED!$T28,IF(MATCHED!AX28=20,MATCHED!$U28,IF(MATCHED!AX28=21,MATCHED!$V28,)))))))&amp;IF(MATCHED!AX28=22,MATCHED!$W28,IF(MATCHED!AX28=23,MATCHED!$X28,IF(MATCHED!AX28=24,MATCHED!$Y28,IF(MATCHED!AX28=25,MATCHED!$Z28,IF(MATCHED!AX28=26,MATCHED!$AA28,IF(MATCHED!AX28=27,MATCHED!$AB28,"."))))))</f>
        <v>#N/A</v>
      </c>
      <c r="W28" s="356" t="e">
        <f>IF(MATCHED!AY28=1,MATCHED!$B28,IF(MATCHED!AY28=2,MATCHED!$C28,IF(MATCHED!AY28=3,MATCHED!$D28,IF(MATCHED!AY28=4,MATCHED!$E28,IF(MATCHED!AY28=3,MATCHED!$F28,IF(MATCHED!AY28=6,MATCHED!$G28,IF(MATCHED!AY28=7,MATCHED!$H28,"")))))))&amp;IF(MATCHED!AY28=8,MATCHED!$I28,IF(MATCHED!AY28=9,MATCHED!$J28,IF(MATCHED!AY28=10,MATCHED!$K28,IF(MATCHED!AY28=11,MATCHED!$L28,IF(MATCHED!AY28=12,MATCHED!$M28,IF(MATCHED!AY28=13,MATCHED!$N28,IF(MATCHED!AY28=14,MATCHED!$O28,"")))))))&amp;IF(MATCHED!AY28=15,MATCHED!$P28,IF(MATCHED!AY28=16,MATCHED!$Q28,IF(MATCHED!AY28=17,MATCHED!$R28,IF(MATCHED!AY28=18,MATCHED!$S28,IF(MATCHED!AY28=19,MATCHED!$T28,IF(MATCHED!AY28=20,MATCHED!$U28,IF(MATCHED!AY28=21,MATCHED!$V28,)))))))&amp;IF(MATCHED!AY28=22,MATCHED!$W28,IF(MATCHED!AY28=23,MATCHED!$X28,IF(MATCHED!AY28=24,MATCHED!$Y28,IF(MATCHED!AY28=25,MATCHED!$Z28,IF(MATCHED!AY28=26,MATCHED!$AA28,IF(MATCHED!AY28=27,MATCHED!$AB28,"."))))))</f>
        <v>#N/A</v>
      </c>
      <c r="X28" s="356" t="e">
        <f>IF(MATCHED!AZ28=1,MATCHED!$B28,IF(MATCHED!AZ28=2,MATCHED!$C28,IF(MATCHED!AZ28=3,MATCHED!$D28,IF(MATCHED!AZ28=4,MATCHED!$E28,IF(MATCHED!AZ28=3,MATCHED!$F28,IF(MATCHED!AZ28=6,MATCHED!$G28,IF(MATCHED!AZ28=7,MATCHED!$H28,"")))))))&amp;IF(MATCHED!AZ28=8,MATCHED!$I28,IF(MATCHED!AZ28=9,MATCHED!$J28,IF(MATCHED!AZ28=10,MATCHED!$K28,IF(MATCHED!AZ28=11,MATCHED!$L28,IF(MATCHED!AZ28=12,MATCHED!$M28,IF(MATCHED!AZ28=13,MATCHED!$N28,IF(MATCHED!AZ28=14,MATCHED!$O28,"")))))))&amp;IF(MATCHED!AZ28=15,MATCHED!$P28,IF(MATCHED!AZ28=16,MATCHED!$Q28,IF(MATCHED!AZ28=17,MATCHED!$R28,IF(MATCHED!AZ28=18,MATCHED!$S28,IF(MATCHED!AZ28=19,MATCHED!$T28,IF(MATCHED!AZ28=20,MATCHED!$U28,IF(MATCHED!AZ28=21,MATCHED!$V28,)))))))&amp;IF(MATCHED!AZ28=22,MATCHED!$W28,IF(MATCHED!AZ28=23,MATCHED!$X28,IF(MATCHED!AZ28=24,MATCHED!$Y28,IF(MATCHED!AZ28=25,MATCHED!$Z28,IF(MATCHED!AZ28=26,MATCHED!$AA28,IF(MATCHED!AZ28=27,MATCHED!$AB28,"."))))))</f>
        <v>#N/A</v>
      </c>
      <c r="Y28" s="356" t="e">
        <f>IF(MATCHED!BA28=1,MATCHED!$B28,IF(MATCHED!BA28=2,MATCHED!$C28,IF(MATCHED!BA28=3,MATCHED!$D28,IF(MATCHED!BA28=4,MATCHED!$E28,IF(MATCHED!BA28=3,MATCHED!$F28,IF(MATCHED!BA28=6,MATCHED!$G28,IF(MATCHED!BA28=7,MATCHED!$H28,"")))))))&amp;IF(MATCHED!BA28=8,MATCHED!$I28,IF(MATCHED!BA28=9,MATCHED!$J28,IF(MATCHED!BA28=10,MATCHED!$K28,IF(MATCHED!BA28=11,MATCHED!$L28,IF(MATCHED!BA28=12,MATCHED!$M28,IF(MATCHED!BA28=13,MATCHED!$N28,IF(MATCHED!BA28=14,MATCHED!$O28,"")))))))&amp;IF(MATCHED!BA28=15,MATCHED!$P28,IF(MATCHED!BA28=16,MATCHED!$Q28,IF(MATCHED!BA28=17,MATCHED!$R28,IF(MATCHED!BA28=18,MATCHED!$S28,IF(MATCHED!BA28=19,MATCHED!$T28,IF(MATCHED!BA28=20,MATCHED!$U28,IF(MATCHED!BA28=21,MATCHED!$V28,)))))))&amp;IF(MATCHED!BA28=22,MATCHED!$W28,IF(MATCHED!BA28=23,MATCHED!$X28,IF(MATCHED!BA28=24,MATCHED!$Y28,IF(MATCHED!BA28=25,MATCHED!$Z28,IF(MATCHED!BA28=26,MATCHED!$AA28,IF(MATCHED!BA28=27,MATCHED!$AB28,"."))))))</f>
        <v>#N/A</v>
      </c>
      <c r="Z28" s="356" t="e">
        <f>IF(MATCHED!BB28=1,MATCHED!$B28,IF(MATCHED!BB28=2,MATCHED!$C28,IF(MATCHED!BB28=3,MATCHED!$D28,IF(MATCHED!BB28=4,MATCHED!$E28,IF(MATCHED!BB28=3,MATCHED!$F28,IF(MATCHED!BB28=6,MATCHED!$G28,IF(MATCHED!BB28=7,MATCHED!$H28,"")))))))&amp;IF(MATCHED!BB28=8,MATCHED!$I28,IF(MATCHED!BB28=9,MATCHED!$J28,IF(MATCHED!BB28=10,MATCHED!$K28,IF(MATCHED!BB28=11,MATCHED!$L28,IF(MATCHED!BB28=12,MATCHED!$M28,IF(MATCHED!BB28=13,MATCHED!$N28,IF(MATCHED!BB28=14,MATCHED!$O28,"")))))))&amp;IF(MATCHED!BB28=15,MATCHED!$P28,IF(MATCHED!BB28=16,MATCHED!$Q28,IF(MATCHED!BB28=17,MATCHED!$R28,IF(MATCHED!BB28=18,MATCHED!$S28,IF(MATCHED!BB28=19,MATCHED!$T28,IF(MATCHED!BB28=20,MATCHED!$U28,IF(MATCHED!BB28=21,MATCHED!$V28,)))))))&amp;IF(MATCHED!BB28=22,MATCHED!$W28,IF(MATCHED!BB28=23,MATCHED!$X28,IF(MATCHED!BB28=24,MATCHED!$Y28,IF(MATCHED!BB28=25,MATCHED!$Z28,IF(MATCHED!BB28=26,MATCHED!$AA28,IF(MATCHED!BB28=27,MATCHED!$AB28,"."))))))</f>
        <v>#N/A</v>
      </c>
      <c r="AA28" s="356" t="e">
        <f>IF(MATCHED!BC28=1,MATCHED!$B28,IF(MATCHED!BC28=2,MATCHED!$C28,IF(MATCHED!BC28=3,MATCHED!$D28,IF(MATCHED!BC28=4,MATCHED!$E28,IF(MATCHED!BC28=3,MATCHED!$F28,IF(MATCHED!BC28=6,MATCHED!$G28,IF(MATCHED!BC28=7,MATCHED!$H28,"")))))))&amp;IF(MATCHED!BC28=8,MATCHED!$I28,IF(MATCHED!BC28=9,MATCHED!$J28,IF(MATCHED!BC28=10,MATCHED!$K28,IF(MATCHED!BC28=11,MATCHED!$L28,IF(MATCHED!BC28=12,MATCHED!$M28,IF(MATCHED!BC28=13,MATCHED!$N28,IF(MATCHED!BC28=14,MATCHED!$O28,"")))))))&amp;IF(MATCHED!BC28=15,MATCHED!$P28,IF(MATCHED!BC28=16,MATCHED!$Q28,IF(MATCHED!BC28=17,MATCHED!$R28,IF(MATCHED!BC28=18,MATCHED!$S28,IF(MATCHED!BC28=19,MATCHED!$T28,IF(MATCHED!BC28=20,MATCHED!$U28,IF(MATCHED!BC28=21,MATCHED!$V28,)))))))&amp;IF(MATCHED!BC28=22,MATCHED!$W28,IF(MATCHED!BC28=23,MATCHED!$X28,IF(MATCHED!BC28=24,MATCHED!$Y28,IF(MATCHED!BC28=25,MATCHED!$Z28,IF(MATCHED!BC28=26,MATCHED!$AA28,IF(MATCHED!BC28=27,MATCHED!$AB28,"."))))))</f>
        <v>#N/A</v>
      </c>
      <c r="AB28" s="356" t="e">
        <f>IF(MATCHED!BD28=1,MATCHED!$B28,IF(MATCHED!BD28=2,MATCHED!$C28,IF(MATCHED!BD28=3,MATCHED!$D28,IF(MATCHED!BD28=4,MATCHED!$E28,IF(MATCHED!BD28=3,MATCHED!$F28,IF(MATCHED!BD28=6,MATCHED!$G28,IF(MATCHED!BD28=7,MATCHED!$H28,"")))))))&amp;IF(MATCHED!BD28=8,MATCHED!$I28,IF(MATCHED!BD28=9,MATCHED!$J28,IF(MATCHED!BD28=10,MATCHED!$K28,IF(MATCHED!BD28=11,MATCHED!$L28,IF(MATCHED!BD28=12,MATCHED!$M28,IF(MATCHED!BD28=13,MATCHED!$N28,IF(MATCHED!BD28=14,MATCHED!$O28,"")))))))&amp;IF(MATCHED!BD28=15,MATCHED!$P28,IF(MATCHED!BD28=16,MATCHED!$Q28,IF(MATCHED!BD28=17,MATCHED!$R28,IF(MATCHED!BD28=18,MATCHED!$S28,IF(MATCHED!BD28=19,MATCHED!$T28,IF(MATCHED!BD28=20,MATCHED!$U28,IF(MATCHED!BD28=21,MATCHED!$V28,)))))))&amp;IF(MATCHED!BD28=22,MATCHED!$W28,IF(MATCHED!BD28=23,MATCHED!$X28,IF(MATCHED!BD28=24,MATCHED!$Y28,IF(MATCHED!BD28=25,MATCHED!$Z28,IF(MATCHED!BD28=26,MATCHED!$AA28,IF(MATCHED!BD28=27,MATCHED!$AB28,"."))))))</f>
        <v>#N/A</v>
      </c>
      <c r="AC28" s="356" t="e">
        <f>IF(MATCHED!BE28=1,MATCHED!$B28,IF(MATCHED!BE28=2,MATCHED!$C28,IF(MATCHED!BE28=3,MATCHED!$D28,IF(MATCHED!BE28=4,MATCHED!$E28,IF(MATCHED!BE28=3,MATCHED!$F28,IF(MATCHED!BE28=6,MATCHED!$G28,IF(MATCHED!BE28=7,MATCHED!$H28,"")))))))&amp;IF(MATCHED!BE28=8,MATCHED!$I28,IF(MATCHED!BE28=9,MATCHED!$J28,IF(MATCHED!BE28=10,MATCHED!$K28,IF(MATCHED!BE28=11,MATCHED!$L28,IF(MATCHED!BE28=12,MATCHED!$M28,IF(MATCHED!BE28=13,MATCHED!$N28,IF(MATCHED!BE28=14,MATCHED!$O28,"")))))))&amp;IF(MATCHED!BE28=15,MATCHED!$P28,IF(MATCHED!BE28=16,MATCHED!$Q28,IF(MATCHED!BE28=17,MATCHED!$R28,IF(MATCHED!BE28=18,MATCHED!$S28,IF(MATCHED!BE28=19,MATCHED!$T28,IF(MATCHED!BE28=20,MATCHED!$U28,IF(MATCHED!BE28=21,MATCHED!$V28,)))))))&amp;IF(MATCHED!BE28=22,MATCHED!$W28,IF(MATCHED!BE28=23,MATCHED!$X28,IF(MATCHED!BE28=24,MATCHED!$Y28,IF(MATCHED!BE28=25,MATCHED!$Z28,IF(MATCHED!BE28=26,MATCHED!$AA28,IF(MATCHED!BE28=27,MATCHED!$AB28,"."))))))</f>
        <v>#N/A</v>
      </c>
      <c r="AD28" s="356" t="e">
        <f>IF(MATCHED!BF28=1,MATCHED!$B28,IF(MATCHED!BF28=2,MATCHED!$C28,IF(MATCHED!BF28=3,MATCHED!$D28,IF(MATCHED!BF28=4,MATCHED!$E28,IF(MATCHED!BF28=3,MATCHED!$F28,IF(MATCHED!BF28=6,MATCHED!$G28,IF(MATCHED!BF28=7,MATCHED!$H28,"")))))))&amp;IF(MATCHED!BF28=8,MATCHED!$I28,IF(MATCHED!BF28=9,MATCHED!$J28,IF(MATCHED!BF28=10,MATCHED!$K28,IF(MATCHED!BF28=11,MATCHED!$L28,IF(MATCHED!BF28=12,MATCHED!$M28,IF(MATCHED!BF28=13,MATCHED!$N28,IF(MATCHED!BF28=14,MATCHED!$O28,"")))))))&amp;IF(MATCHED!BF28=15,MATCHED!$P28,IF(MATCHED!BF28=16,MATCHED!$Q28,IF(MATCHED!BF28=17,MATCHED!$R28,IF(MATCHED!BF28=18,MATCHED!$S28,IF(MATCHED!BF28=19,MATCHED!$T28,IF(MATCHED!BF28=20,MATCHED!$U28,IF(MATCHED!BF28=21,MATCHED!$V28,)))))))&amp;IF(MATCHED!BF28=22,MATCHED!$W28,IF(MATCHED!BF28=23,MATCHED!$X28,IF(MATCHED!BF28=24,MATCHED!$Y28,IF(MATCHED!BF28=25,MATCHED!$Z28,IF(MATCHED!BF28=26,MATCHED!$AA28,IF(MATCHED!BF28=27,MATCHED!$AB28,"."))))))</f>
        <v>#N/A</v>
      </c>
      <c r="AE28" s="356" t="e">
        <f>IF(MATCHED!BG28=1,MATCHED!$B28,IF(MATCHED!BG28=2,MATCHED!$C28,IF(MATCHED!BG28=3,MATCHED!$D28,IF(MATCHED!BG28=4,MATCHED!$E28,IF(MATCHED!BG28=3,MATCHED!$F28,IF(MATCHED!BG28=6,MATCHED!$G28,IF(MATCHED!BG28=7,MATCHED!$H28,"")))))))&amp;IF(MATCHED!BG28=8,MATCHED!$I28,IF(MATCHED!BG28=9,MATCHED!$J28,IF(MATCHED!BG28=10,MATCHED!$K28,IF(MATCHED!BG28=11,MATCHED!$L28,IF(MATCHED!BG28=12,MATCHED!$M28,IF(MATCHED!BG28=13,MATCHED!$N28,IF(MATCHED!BG28=14,MATCHED!$O28,"")))))))&amp;IF(MATCHED!BG28=15,MATCHED!$P28,IF(MATCHED!BG28=16,MATCHED!$Q28,IF(MATCHED!BG28=17,MATCHED!$R28,IF(MATCHED!BG28=18,MATCHED!$S28,IF(MATCHED!BG28=19,MATCHED!$T28,IF(MATCHED!BG28=20,MATCHED!$U28,IF(MATCHED!BG28=21,MATCHED!$V28,)))))))&amp;IF(MATCHED!BG28=22,MATCHED!$W28,IF(MATCHED!BG28=23,MATCHED!$X28,IF(MATCHED!BG28=24,MATCHED!$Y28,IF(MATCHED!BG28=25,MATCHED!$Z28,IF(MATCHED!BG28=26,MATCHED!$AA28,IF(MATCHED!BG28=27,MATCHED!$AB28,"."))))))</f>
        <v>#N/A</v>
      </c>
      <c r="AF28" s="356" t="e">
        <f>IF(MATCHED!BH28=1,MATCHED!$B28,IF(MATCHED!BH28=2,MATCHED!$C28,IF(MATCHED!BH28=3,MATCHED!$D28,IF(MATCHED!BH28=4,MATCHED!$E28,IF(MATCHED!BH28=3,MATCHED!$F28,IF(MATCHED!BH28=6,MATCHED!$G28,IF(MATCHED!BH28=7,MATCHED!$H28,"")))))))&amp;IF(MATCHED!BH28=8,MATCHED!$I28,IF(MATCHED!BH28=9,MATCHED!$J28,IF(MATCHED!BH28=10,MATCHED!$K28,IF(MATCHED!BH28=11,MATCHED!$L28,IF(MATCHED!BH28=12,MATCHED!$M28,IF(MATCHED!BH28=13,MATCHED!$N28,IF(MATCHED!BH28=14,MATCHED!$O28,"")))))))&amp;IF(MATCHED!BH28=15,MATCHED!$P28,IF(MATCHED!BH28=16,MATCHED!$Q28,IF(MATCHED!BH28=17,MATCHED!$R28,IF(MATCHED!BH28=18,MATCHED!$S28,IF(MATCHED!BH28=19,MATCHED!$T28,IF(MATCHED!BH28=20,MATCHED!$U28,IF(MATCHED!BH28=21,MATCHED!$V28,)))))))&amp;IF(MATCHED!BH28=22,MATCHED!$W28,IF(MATCHED!BH28=23,MATCHED!$X28,IF(MATCHED!BH28=24,MATCHED!$Y28,IF(MATCHED!BH28=25,MATCHED!$Z28,IF(MATCHED!BH28=26,MATCHED!$AA28,IF(MATCHED!BH28=27,MATCHED!$AB28,"."))))))</f>
        <v>#N/A</v>
      </c>
      <c r="AG28" s="356" t="e">
        <f>IF(MATCHED!BI28=1,MATCHED!$B28,IF(MATCHED!BI28=2,MATCHED!$C28,IF(MATCHED!BI28=3,MATCHED!$D28,IF(MATCHED!BI28=4,MATCHED!$E28,IF(MATCHED!BI28=3,MATCHED!$F28,IF(MATCHED!BI28=6,MATCHED!$G28,IF(MATCHED!BI28=7,MATCHED!$H28,"")))))))&amp;IF(MATCHED!BI28=8,MATCHED!$I28,IF(MATCHED!BI28=9,MATCHED!$J28,IF(MATCHED!BI28=10,MATCHED!$K28,IF(MATCHED!BI28=11,MATCHED!$L28,IF(MATCHED!BI28=12,MATCHED!$M28,IF(MATCHED!BI28=13,MATCHED!$N28,IF(MATCHED!BI28=14,MATCHED!$O28,"")))))))&amp;IF(MATCHED!BI28=15,MATCHED!$P28,IF(MATCHED!BI28=16,MATCHED!$Q28,IF(MATCHED!BI28=17,MATCHED!$R28,IF(MATCHED!BI28=18,MATCHED!$S28,IF(MATCHED!BI28=19,MATCHED!$T28,IF(MATCHED!BI28=20,MATCHED!$U28,IF(MATCHED!BI28=21,MATCHED!$V28,)))))))&amp;IF(MATCHED!BI28=22,MATCHED!$W28,IF(MATCHED!BI28=23,MATCHED!$X28,IF(MATCHED!BI28=24,MATCHED!$Y28,IF(MATCHED!BI28=25,MATCHED!$Z28,IF(MATCHED!BI28=26,MATCHED!$AA28,IF(MATCHED!BI28=27,MATCHED!$AB28,"."))))))</f>
        <v>#N/A</v>
      </c>
      <c r="AH28" s="356" t="e">
        <f>IF(MATCHED!BJ28=1,MATCHED!$B28,IF(MATCHED!BJ28=2,MATCHED!$C28,IF(MATCHED!BJ28=3,MATCHED!$D28,IF(MATCHED!BJ28=4,MATCHED!$E28,IF(MATCHED!BJ28=3,MATCHED!$F28,IF(MATCHED!BJ28=6,MATCHED!$G28,IF(MATCHED!BJ28=7,MATCHED!$H28,"")))))))&amp;IF(MATCHED!BJ28=8,MATCHED!$I28,IF(MATCHED!BJ28=9,MATCHED!$J28,IF(MATCHED!BJ28=10,MATCHED!$K28,IF(MATCHED!BJ28=11,MATCHED!$L28,IF(MATCHED!BJ28=12,MATCHED!$M28,IF(MATCHED!BJ28=13,MATCHED!$N28,IF(MATCHED!BJ28=14,MATCHED!$O28,"")))))))&amp;IF(MATCHED!BJ28=15,MATCHED!$P28,IF(MATCHED!BJ28=16,MATCHED!$Q28,IF(MATCHED!BJ28=17,MATCHED!$R28,IF(MATCHED!BJ28=18,MATCHED!$S28,IF(MATCHED!BJ28=19,MATCHED!$T28,IF(MATCHED!BJ28=20,MATCHED!$U28,IF(MATCHED!BJ28=21,MATCHED!$V28,)))))))&amp;IF(MATCHED!BJ28=22,MATCHED!$W28,IF(MATCHED!BJ28=23,MATCHED!$X28,IF(MATCHED!BJ28=24,MATCHED!$Y28,IF(MATCHED!BJ28=25,MATCHED!$Z28,IF(MATCHED!BJ28=26,MATCHED!$AA28,IF(MATCHED!BJ28=27,MATCHED!$AB28,"."))))))</f>
        <v>#N/A</v>
      </c>
      <c r="AI28" s="356" t="e">
        <f>IF(MATCHED!BK28=1,MATCHED!$B28,IF(MATCHED!BK28=2,MATCHED!$C28,IF(MATCHED!BK28=3,MATCHED!$D28,IF(MATCHED!BK28=4,MATCHED!$E28,IF(MATCHED!BK28=3,MATCHED!$F28,IF(MATCHED!BK28=6,MATCHED!$G28,IF(MATCHED!BK28=7,MATCHED!$H28,"")))))))&amp;IF(MATCHED!BK28=8,MATCHED!$I28,IF(MATCHED!BK28=9,MATCHED!$J28,IF(MATCHED!BK28=10,MATCHED!$K28,IF(MATCHED!BK28=11,MATCHED!$L28,IF(MATCHED!BK28=12,MATCHED!$M28,IF(MATCHED!BK28=13,MATCHED!$N28,IF(MATCHED!BK28=14,MATCHED!$O28,"")))))))&amp;IF(MATCHED!BK28=15,MATCHED!$P28,IF(MATCHED!BK28=16,MATCHED!$Q28,IF(MATCHED!BK28=17,MATCHED!$R28,IF(MATCHED!BK28=18,MATCHED!$S28,IF(MATCHED!BK28=19,MATCHED!$T28,IF(MATCHED!BK28=20,MATCHED!$U28,IF(MATCHED!BK28=21,MATCHED!$V28,)))))))&amp;IF(MATCHED!BK28=22,MATCHED!$W28,IF(MATCHED!BK28=23,MATCHED!$X28,IF(MATCHED!BK28=24,MATCHED!$Y28,IF(MATCHED!BK28=25,MATCHED!$Z28,IF(MATCHED!BK28=26,MATCHED!$AA28,IF(MATCHED!BK28=27,MATCHED!$AB28,"."))))))</f>
        <v>#N/A</v>
      </c>
      <c r="AJ28" s="535"/>
    </row>
    <row r="29" spans="1:36" s="338" customFormat="1" x14ac:dyDescent="0.25">
      <c r="A29" s="535"/>
      <c r="B29" s="355" t="e">
        <f>IF(MATCHED!AD29=1,MATCHED!$B29,IF(MATCHED!AD29=2,MATCHED!$C29,IF(MATCHED!AD29=3,MATCHED!$D29,IF(MATCHED!AD29=4,MATCHED!$E29,IF(MATCHED!AD29=3,MATCHED!$F29,IF(MATCHED!AD29=6,MATCHED!$G29,IF(MATCHED!AD29=7,MATCHED!$H29,"")))))))&amp;IF(MATCHED!AD29=8,MATCHED!$I29,IF(MATCHED!AD29=9,MATCHED!$J29,IF(MATCHED!AD29=10,MATCHED!$K29,IF(MATCHED!AD29=11,MATCHED!$L29,IF(MATCHED!AD29=12,MATCHED!$M29,IF(MATCHED!AD29=13,MATCHED!$N29,IF(MATCHED!AD29=14,MATCHED!$O29,"")))))))&amp;IF(MATCHED!AD29=15,MATCHED!$P29,IF(MATCHED!AD29=16,MATCHED!$Q29,IF(MATCHED!AD29=17,MATCHED!$R29,IF(MATCHED!AD29=18,MATCHED!$S29,IF(MATCHED!AD29=19,MATCHED!$T29,IF(MATCHED!AD29=20,MATCHED!$U29,IF(MATCHED!AD29=21,MATCHED!$V29,)))))))&amp;IF(MATCHED!AD29=22,MATCHED!$W29,IF(MATCHED!AD29=23,MATCHED!$X29,IF(MATCHED!AD29=24,MATCHED!$Y29,IF(MATCHED!AD29=25,MATCHED!$Z29,IF(MATCHED!AD29=26,MATCHED!$AA29,IF(MATCHED!AD29=27,MATCHED!$AB29,"."))))))</f>
        <v>#N/A</v>
      </c>
      <c r="C29" s="356" t="e">
        <f>IF(MATCHED!AE29=1,MATCHED!$B29,IF(MATCHED!AE29=2,MATCHED!$C29,IF(MATCHED!AE29=3,MATCHED!$D29,IF(MATCHED!AE29=4,MATCHED!$E29,IF(MATCHED!AE29=3,MATCHED!$F29,IF(MATCHED!AE29=6,MATCHED!$G29,IF(MATCHED!AE29=7,MATCHED!$H29,"")))))))&amp;IF(MATCHED!AE29=8,MATCHED!$I29,IF(MATCHED!AE29=9,MATCHED!$J29,IF(MATCHED!AE29=10,MATCHED!$K29,IF(MATCHED!AE29=11,MATCHED!$L29,IF(MATCHED!AE29=12,MATCHED!$M29,IF(MATCHED!AE29=13,MATCHED!$N29,IF(MATCHED!AE29=14,MATCHED!$O29,"")))))))&amp;IF(MATCHED!AE29=15,MATCHED!$P29,IF(MATCHED!AE29=16,MATCHED!$Q29,IF(MATCHED!AE29=17,MATCHED!$R29,IF(MATCHED!AE29=18,MATCHED!$S29,IF(MATCHED!AE29=19,MATCHED!$T29,IF(MATCHED!AE29=20,MATCHED!$U29,IF(MATCHED!AE29=21,MATCHED!$V29,)))))))&amp;IF(MATCHED!AE29=22,MATCHED!$W29,IF(MATCHED!AE29=23,MATCHED!$X29,IF(MATCHED!AE29=24,MATCHED!$Y29,IF(MATCHED!AE29=25,MATCHED!$Z29,IF(MATCHED!AE29=26,MATCHED!$AA29,IF(MATCHED!AE29=27,MATCHED!$AB29,"."))))))</f>
        <v>#N/A</v>
      </c>
      <c r="D29" s="356" t="e">
        <f>IF(MATCHED!AF29=1,MATCHED!$B29,IF(MATCHED!AF29=2,MATCHED!$C29,IF(MATCHED!AF29=3,MATCHED!$D29,IF(MATCHED!AF29=4,MATCHED!$E29,IF(MATCHED!AF29=3,MATCHED!$F29,IF(MATCHED!AF29=6,MATCHED!$G29,IF(MATCHED!AF29=7,MATCHED!$H29,"")))))))&amp;IF(MATCHED!AF29=8,MATCHED!$I29,IF(MATCHED!AF29=9,MATCHED!$J29,IF(MATCHED!AF29=10,MATCHED!$K29,IF(MATCHED!AF29=11,MATCHED!$L29,IF(MATCHED!AF29=12,MATCHED!$M29,IF(MATCHED!AF29=13,MATCHED!$N29,IF(MATCHED!AF29=14,MATCHED!$O29,"")))))))&amp;IF(MATCHED!AF29=15,MATCHED!$P29,IF(MATCHED!AF29=16,MATCHED!$Q29,IF(MATCHED!AF29=17,MATCHED!$R29,IF(MATCHED!AF29=18,MATCHED!$S29,IF(MATCHED!AF29=19,MATCHED!$T29,IF(MATCHED!AF29=20,MATCHED!$U29,IF(MATCHED!AF29=21,MATCHED!$V29,)))))))&amp;IF(MATCHED!AF29=22,MATCHED!$W29,IF(MATCHED!AF29=23,MATCHED!$X29,IF(MATCHED!AF29=24,MATCHED!$Y29,IF(MATCHED!AF29=25,MATCHED!$Z29,IF(MATCHED!AF29=26,MATCHED!$AA29,IF(MATCHED!AF29=27,MATCHED!$AB29,"."))))))</f>
        <v>#N/A</v>
      </c>
      <c r="E29" s="356" t="e">
        <f>IF(MATCHED!AG29=1,MATCHED!$B29,IF(MATCHED!AG29=2,MATCHED!$C29,IF(MATCHED!AG29=3,MATCHED!$D29,IF(MATCHED!AG29=4,MATCHED!$E29,IF(MATCHED!AG29=3,MATCHED!$F29,IF(MATCHED!AG29=6,MATCHED!$G29,IF(MATCHED!AG29=7,MATCHED!$H29,"")))))))&amp;IF(MATCHED!AG29=8,MATCHED!$I29,IF(MATCHED!AG29=9,MATCHED!$J29,IF(MATCHED!AG29=10,MATCHED!$K29,IF(MATCHED!AG29=11,MATCHED!$L29,IF(MATCHED!AG29=12,MATCHED!$M29,IF(MATCHED!AG29=13,MATCHED!$N29,IF(MATCHED!AG29=14,MATCHED!$O29,"")))))))&amp;IF(MATCHED!AG29=15,MATCHED!$P29,IF(MATCHED!AG29=16,MATCHED!$Q29,IF(MATCHED!AG29=17,MATCHED!$R29,IF(MATCHED!AG29=18,MATCHED!$S29,IF(MATCHED!AG29=19,MATCHED!$T29,IF(MATCHED!AG29=20,MATCHED!$U29,IF(MATCHED!AG29=21,MATCHED!$V29,)))))))&amp;IF(MATCHED!AG29=22,MATCHED!$W29,IF(MATCHED!AG29=23,MATCHED!$X29,IF(MATCHED!AG29=24,MATCHED!$Y29,IF(MATCHED!AG29=25,MATCHED!$Z29,IF(MATCHED!AG29=26,MATCHED!$AA29,IF(MATCHED!AG29=27,MATCHED!$AB29,"."))))))</f>
        <v>#N/A</v>
      </c>
      <c r="F29" s="356" t="e">
        <f>IF(MATCHED!AH29=1,MATCHED!$B29,IF(MATCHED!AH29=2,MATCHED!$C29,IF(MATCHED!AH29=3,MATCHED!$D29,IF(MATCHED!AH29=4,MATCHED!$E29,IF(MATCHED!AH29=3,MATCHED!$F29,IF(MATCHED!AH29=6,MATCHED!$G29,IF(MATCHED!AH29=7,MATCHED!$H29,"")))))))&amp;IF(MATCHED!AH29=8,MATCHED!$I29,IF(MATCHED!AH29=9,MATCHED!$J29,IF(MATCHED!AH29=10,MATCHED!$K29,IF(MATCHED!AH29=11,MATCHED!$L29,IF(MATCHED!AH29=12,MATCHED!$M29,IF(MATCHED!AH29=13,MATCHED!$N29,IF(MATCHED!AH29=14,MATCHED!$O29,"")))))))&amp;IF(MATCHED!AH29=15,MATCHED!$P29,IF(MATCHED!AH29=16,MATCHED!$Q29,IF(MATCHED!AH29=17,MATCHED!$R29,IF(MATCHED!AH29=18,MATCHED!$S29,IF(MATCHED!AH29=19,MATCHED!$T29,IF(MATCHED!AH29=20,MATCHED!$U29,IF(MATCHED!AH29=21,MATCHED!$V29,)))))))&amp;IF(MATCHED!AH29=22,MATCHED!$W29,IF(MATCHED!AH29=23,MATCHED!$X29,IF(MATCHED!AH29=24,MATCHED!$Y29,IF(MATCHED!AH29=25,MATCHED!$Z29,IF(MATCHED!AH29=26,MATCHED!$AA29,IF(MATCHED!AH29=27,MATCHED!$AB29,"."))))))</f>
        <v>#N/A</v>
      </c>
      <c r="G29" s="356" t="e">
        <f>IF(MATCHED!AI29=1,MATCHED!$B29,IF(MATCHED!AI29=2,MATCHED!$C29,IF(MATCHED!AI29=3,MATCHED!$D29,IF(MATCHED!AI29=4,MATCHED!$E29,IF(MATCHED!AI29=3,MATCHED!$F29,IF(MATCHED!AI29=6,MATCHED!$G29,IF(MATCHED!AI29=7,MATCHED!$H29,"")))))))&amp;IF(MATCHED!AI29=8,MATCHED!$I29,IF(MATCHED!AI29=9,MATCHED!$J29,IF(MATCHED!AI29=10,MATCHED!$K29,IF(MATCHED!AI29=11,MATCHED!$L29,IF(MATCHED!AI29=12,MATCHED!$M29,IF(MATCHED!AI29=13,MATCHED!$N29,IF(MATCHED!AI29=14,MATCHED!$O29,"")))))))&amp;IF(MATCHED!AI29=15,MATCHED!$P29,IF(MATCHED!AI29=16,MATCHED!$Q29,IF(MATCHED!AI29=17,MATCHED!$R29,IF(MATCHED!AI29=18,MATCHED!$S29,IF(MATCHED!AI29=19,MATCHED!$T29,IF(MATCHED!AI29=20,MATCHED!$U29,IF(MATCHED!AI29=21,MATCHED!$V29,)))))))&amp;IF(MATCHED!AI29=22,MATCHED!$W29,IF(MATCHED!AI29=23,MATCHED!$X29,IF(MATCHED!AI29=24,MATCHED!$Y29,IF(MATCHED!AI29=25,MATCHED!$Z29,IF(MATCHED!AI29=26,MATCHED!$AA29,IF(MATCHED!AI29=27,MATCHED!$AB29,"."))))))</f>
        <v>#N/A</v>
      </c>
      <c r="H29" s="356" t="e">
        <f>IF(MATCHED!AJ29=1,MATCHED!$B29,IF(MATCHED!AJ29=2,MATCHED!$C29,IF(MATCHED!AJ29=3,MATCHED!$D29,IF(MATCHED!AJ29=4,MATCHED!$E29,IF(MATCHED!AJ29=3,MATCHED!$F29,IF(MATCHED!AJ29=6,MATCHED!$G29,IF(MATCHED!AJ29=7,MATCHED!$H29,"")))))))&amp;IF(MATCHED!AJ29=8,MATCHED!$I29,IF(MATCHED!AJ29=9,MATCHED!$J29,IF(MATCHED!AJ29=10,MATCHED!$K29,IF(MATCHED!AJ29=11,MATCHED!$L29,IF(MATCHED!AJ29=12,MATCHED!$M29,IF(MATCHED!AJ29=13,MATCHED!$N29,IF(MATCHED!AJ29=14,MATCHED!$O29,"")))))))&amp;IF(MATCHED!AJ29=15,MATCHED!$P29,IF(MATCHED!AJ29=16,MATCHED!$Q29,IF(MATCHED!AJ29=17,MATCHED!$R29,IF(MATCHED!AJ29=18,MATCHED!$S29,IF(MATCHED!AJ29=19,MATCHED!$T29,IF(MATCHED!AJ29=20,MATCHED!$U29,IF(MATCHED!AJ29=21,MATCHED!$V29,)))))))&amp;IF(MATCHED!AJ29=22,MATCHED!$W29,IF(MATCHED!AJ29=23,MATCHED!$X29,IF(MATCHED!AJ29=24,MATCHED!$Y29,IF(MATCHED!AJ29=25,MATCHED!$Z29,IF(MATCHED!AJ29=26,MATCHED!$AA29,IF(MATCHED!AJ29=27,MATCHED!$AB29,"."))))))</f>
        <v>#N/A</v>
      </c>
      <c r="I29" s="356" t="e">
        <f>IF(MATCHED!AK29=1,MATCHED!$B29,IF(MATCHED!AK29=2,MATCHED!$C29,IF(MATCHED!AK29=3,MATCHED!$D29,IF(MATCHED!AK29=4,MATCHED!$E29,IF(MATCHED!AK29=3,MATCHED!$F29,IF(MATCHED!AK29=6,MATCHED!$G29,IF(MATCHED!AK29=7,MATCHED!$H29,"")))))))&amp;IF(MATCHED!AK29=8,MATCHED!$I29,IF(MATCHED!AK29=9,MATCHED!$J29,IF(MATCHED!AK29=10,MATCHED!$K29,IF(MATCHED!AK29=11,MATCHED!$L29,IF(MATCHED!AK29=12,MATCHED!$M29,IF(MATCHED!AK29=13,MATCHED!$N29,IF(MATCHED!AK29=14,MATCHED!$O29,"")))))))&amp;IF(MATCHED!AK29=15,MATCHED!$P29,IF(MATCHED!AK29=16,MATCHED!$Q29,IF(MATCHED!AK29=17,MATCHED!$R29,IF(MATCHED!AK29=18,MATCHED!$S29,IF(MATCHED!AK29=19,MATCHED!$T29,IF(MATCHED!AK29=20,MATCHED!$U29,IF(MATCHED!AK29=21,MATCHED!$V29,)))))))&amp;IF(MATCHED!AK29=22,MATCHED!$W29,IF(MATCHED!AK29=23,MATCHED!$X29,IF(MATCHED!AK29=24,MATCHED!$Y29,IF(MATCHED!AK29=25,MATCHED!$Z29,IF(MATCHED!AK29=26,MATCHED!$AA29,IF(MATCHED!AK29=27,MATCHED!$AB29,"."))))))</f>
        <v>#N/A</v>
      </c>
      <c r="J29" s="356" t="e">
        <f>IF(MATCHED!AL29=1,MATCHED!$B29,IF(MATCHED!AL29=2,MATCHED!$C29,IF(MATCHED!AL29=3,MATCHED!$D29,IF(MATCHED!AL29=4,MATCHED!$E29,IF(MATCHED!AL29=3,MATCHED!$F29,IF(MATCHED!AL29=6,MATCHED!$G29,IF(MATCHED!AL29=7,MATCHED!$H29,"")))))))&amp;IF(MATCHED!AL29=8,MATCHED!$I29,IF(MATCHED!AL29=9,MATCHED!$J29,IF(MATCHED!AL29=10,MATCHED!$K29,IF(MATCHED!AL29=11,MATCHED!$L29,IF(MATCHED!AL29=12,MATCHED!$M29,IF(MATCHED!AL29=13,MATCHED!$N29,IF(MATCHED!AL29=14,MATCHED!$O29,"")))))))&amp;IF(MATCHED!AL29=15,MATCHED!$P29,IF(MATCHED!AL29=16,MATCHED!$Q29,IF(MATCHED!AL29=17,MATCHED!$R29,IF(MATCHED!AL29=18,MATCHED!$S29,IF(MATCHED!AL29=19,MATCHED!$T29,IF(MATCHED!AL29=20,MATCHED!$U29,IF(MATCHED!AL29=21,MATCHED!$V29,)))))))&amp;IF(MATCHED!AL29=22,MATCHED!$W29,IF(MATCHED!AL29=23,MATCHED!$X29,IF(MATCHED!AL29=24,MATCHED!$Y29,IF(MATCHED!AL29=25,MATCHED!$Z29,IF(MATCHED!AL29=26,MATCHED!$AA29,IF(MATCHED!AL29=27,MATCHED!$AB29,"."))))))</f>
        <v>#N/A</v>
      </c>
      <c r="K29" s="356" t="e">
        <f>IF(MATCHED!AM29=1,MATCHED!$B29,IF(MATCHED!AM29=2,MATCHED!$C29,IF(MATCHED!AM29=3,MATCHED!$D29,IF(MATCHED!AM29=4,MATCHED!$E29,IF(MATCHED!AM29=3,MATCHED!$F29,IF(MATCHED!AM29=6,MATCHED!$G29,IF(MATCHED!AM29=7,MATCHED!$H29,"")))))))&amp;IF(MATCHED!AM29=8,MATCHED!$I29,IF(MATCHED!AM29=9,MATCHED!$J29,IF(MATCHED!AM29=10,MATCHED!$K29,IF(MATCHED!AM29=11,MATCHED!$L29,IF(MATCHED!AM29=12,MATCHED!$M29,IF(MATCHED!AM29=13,MATCHED!$N29,IF(MATCHED!AM29=14,MATCHED!$O29,"")))))))&amp;IF(MATCHED!AM29=15,MATCHED!$P29,IF(MATCHED!AM29=16,MATCHED!$Q29,IF(MATCHED!AM29=17,MATCHED!$R29,IF(MATCHED!AM29=18,MATCHED!$S29,IF(MATCHED!AM29=19,MATCHED!$T29,IF(MATCHED!AM29=20,MATCHED!$U29,IF(MATCHED!AM29=21,MATCHED!$V29,)))))))&amp;IF(MATCHED!AM29=22,MATCHED!$W29,IF(MATCHED!AM29=23,MATCHED!$X29,IF(MATCHED!AM29=24,MATCHED!$Y29,IF(MATCHED!AM29=25,MATCHED!$Z29,IF(MATCHED!AM29=26,MATCHED!$AA29,IF(MATCHED!AM29=27,MATCHED!$AB29,"."))))))</f>
        <v>#N/A</v>
      </c>
      <c r="L29" s="356" t="e">
        <f>IF(MATCHED!AN29=1,MATCHED!$B29,IF(MATCHED!AN29=2,MATCHED!$C29,IF(MATCHED!AN29=3,MATCHED!$D29,IF(MATCHED!AN29=4,MATCHED!$E29,IF(MATCHED!AN29=3,MATCHED!$F29,IF(MATCHED!AN29=6,MATCHED!$G29,IF(MATCHED!AN29=7,MATCHED!$H29,"")))))))&amp;IF(MATCHED!AN29=8,MATCHED!$I29,IF(MATCHED!AN29=9,MATCHED!$J29,IF(MATCHED!AN29=10,MATCHED!$K29,IF(MATCHED!AN29=11,MATCHED!$L29,IF(MATCHED!AN29=12,MATCHED!$M29,IF(MATCHED!AN29=13,MATCHED!$N29,IF(MATCHED!AN29=14,MATCHED!$O29,"")))))))&amp;IF(MATCHED!AN29=15,MATCHED!$P29,IF(MATCHED!AN29=16,MATCHED!$Q29,IF(MATCHED!AN29=17,MATCHED!$R29,IF(MATCHED!AN29=18,MATCHED!$S29,IF(MATCHED!AN29=19,MATCHED!$T29,IF(MATCHED!AN29=20,MATCHED!$U29,IF(MATCHED!AN29=21,MATCHED!$V29,)))))))&amp;IF(MATCHED!AN29=22,MATCHED!$W29,IF(MATCHED!AN29=23,MATCHED!$X29,IF(MATCHED!AN29=24,MATCHED!$Y29,IF(MATCHED!AN29=25,MATCHED!$Z29,IF(MATCHED!AN29=26,MATCHED!$AA29,IF(MATCHED!AN29=27,MATCHED!$AB29,"."))))))</f>
        <v>#N/A</v>
      </c>
      <c r="M29" s="356" t="e">
        <f>IF(MATCHED!AO29=1,MATCHED!$B29,IF(MATCHED!AO29=2,MATCHED!$C29,IF(MATCHED!AO29=3,MATCHED!$D29,IF(MATCHED!AO29=4,MATCHED!$E29,IF(MATCHED!AO29=3,MATCHED!$F29,IF(MATCHED!AO29=6,MATCHED!$G29,IF(MATCHED!AO29=7,MATCHED!$H29,"")))))))&amp;IF(MATCHED!AO29=8,MATCHED!$I29,IF(MATCHED!AO29=9,MATCHED!$J29,IF(MATCHED!AO29=10,MATCHED!$K29,IF(MATCHED!AO29=11,MATCHED!$L29,IF(MATCHED!AO29=12,MATCHED!$M29,IF(MATCHED!AO29=13,MATCHED!$N29,IF(MATCHED!AO29=14,MATCHED!$O29,"")))))))&amp;IF(MATCHED!AO29=15,MATCHED!$P29,IF(MATCHED!AO29=16,MATCHED!$Q29,IF(MATCHED!AO29=17,MATCHED!$R29,IF(MATCHED!AO29=18,MATCHED!$S29,IF(MATCHED!AO29=19,MATCHED!$T29,IF(MATCHED!AO29=20,MATCHED!$U29,IF(MATCHED!AO29=21,MATCHED!$V29,)))))))&amp;IF(MATCHED!AO29=22,MATCHED!$W29,IF(MATCHED!AO29=23,MATCHED!$X29,IF(MATCHED!AO29=24,MATCHED!$Y29,IF(MATCHED!AO29=25,MATCHED!$Z29,IF(MATCHED!AO29=26,MATCHED!$AA29,IF(MATCHED!AO29=27,MATCHED!$AB29,"."))))))</f>
        <v>#N/A</v>
      </c>
      <c r="N29" s="356" t="e">
        <f>IF(MATCHED!AP29=1,MATCHED!$B29,IF(MATCHED!AP29=2,MATCHED!$C29,IF(MATCHED!AP29=3,MATCHED!$D29,IF(MATCHED!AP29=4,MATCHED!$E29,IF(MATCHED!AP29=3,MATCHED!$F29,IF(MATCHED!AP29=6,MATCHED!$G29,IF(MATCHED!AP29=7,MATCHED!$H29,"")))))))&amp;IF(MATCHED!AP29=8,MATCHED!$I29,IF(MATCHED!AP29=9,MATCHED!$J29,IF(MATCHED!AP29=10,MATCHED!$K29,IF(MATCHED!AP29=11,MATCHED!$L29,IF(MATCHED!AP29=12,MATCHED!$M29,IF(MATCHED!AP29=13,MATCHED!$N29,IF(MATCHED!AP29=14,MATCHED!$O29,"")))))))&amp;IF(MATCHED!AP29=15,MATCHED!$P29,IF(MATCHED!AP29=16,MATCHED!$Q29,IF(MATCHED!AP29=17,MATCHED!$R29,IF(MATCHED!AP29=18,MATCHED!$S29,IF(MATCHED!AP29=19,MATCHED!$T29,IF(MATCHED!AP29=20,MATCHED!$U29,IF(MATCHED!AP29=21,MATCHED!$V29,)))))))&amp;IF(MATCHED!AP29=22,MATCHED!$W29,IF(MATCHED!AP29=23,MATCHED!$X29,IF(MATCHED!AP29=24,MATCHED!$Y29,IF(MATCHED!AP29=25,MATCHED!$Z29,IF(MATCHED!AP29=26,MATCHED!$AA29,IF(MATCHED!AP29=27,MATCHED!$AB29,"."))))))</f>
        <v>#N/A</v>
      </c>
      <c r="O29" s="356" t="e">
        <f>IF(MATCHED!AQ29=1,MATCHED!$B29,IF(MATCHED!AQ29=2,MATCHED!$C29,IF(MATCHED!AQ29=3,MATCHED!$D29,IF(MATCHED!AQ29=4,MATCHED!$E29,IF(MATCHED!AQ29=3,MATCHED!$F29,IF(MATCHED!AQ29=6,MATCHED!$G29,IF(MATCHED!AQ29=7,MATCHED!$H29,"")))))))&amp;IF(MATCHED!AQ29=8,MATCHED!$I29,IF(MATCHED!AQ29=9,MATCHED!$J29,IF(MATCHED!AQ29=10,MATCHED!$K29,IF(MATCHED!AQ29=11,MATCHED!$L29,IF(MATCHED!AQ29=12,MATCHED!$M29,IF(MATCHED!AQ29=13,MATCHED!$N29,IF(MATCHED!AQ29=14,MATCHED!$O29,"")))))))&amp;IF(MATCHED!AQ29=15,MATCHED!$P29,IF(MATCHED!AQ29=16,MATCHED!$Q29,IF(MATCHED!AQ29=17,MATCHED!$R29,IF(MATCHED!AQ29=18,MATCHED!$S29,IF(MATCHED!AQ29=19,MATCHED!$T29,IF(MATCHED!AQ29=20,MATCHED!$U29,IF(MATCHED!AQ29=21,MATCHED!$V29,)))))))&amp;IF(MATCHED!AQ29=22,MATCHED!$W29,IF(MATCHED!AQ29=23,MATCHED!$X29,IF(MATCHED!AQ29=24,MATCHED!$Y29,IF(MATCHED!AQ29=25,MATCHED!$Z29,IF(MATCHED!AQ29=26,MATCHED!$AA29,IF(MATCHED!AQ29=27,MATCHED!$AB29,"."))))))</f>
        <v>#N/A</v>
      </c>
      <c r="P29" s="356" t="e">
        <f>IF(MATCHED!AR29=1,MATCHED!$B29,IF(MATCHED!AR29=2,MATCHED!$C29,IF(MATCHED!AR29=3,MATCHED!$D29,IF(MATCHED!AR29=4,MATCHED!$E29,IF(MATCHED!AR29=3,MATCHED!$F29,IF(MATCHED!AR29=6,MATCHED!$G29,IF(MATCHED!AR29=7,MATCHED!$H29,"")))))))&amp;IF(MATCHED!AR29=8,MATCHED!$I29,IF(MATCHED!AR29=9,MATCHED!$J29,IF(MATCHED!AR29=10,MATCHED!$K29,IF(MATCHED!AR29=11,MATCHED!$L29,IF(MATCHED!AR29=12,MATCHED!$M29,IF(MATCHED!AR29=13,MATCHED!$N29,IF(MATCHED!AR29=14,MATCHED!$O29,"")))))))&amp;IF(MATCHED!AR29=15,MATCHED!$P29,IF(MATCHED!AR29=16,MATCHED!$Q29,IF(MATCHED!AR29=17,MATCHED!$R29,IF(MATCHED!AR29=18,MATCHED!$S29,IF(MATCHED!AR29=19,MATCHED!$T29,IF(MATCHED!AR29=20,MATCHED!$U29,IF(MATCHED!AR29=21,MATCHED!$V29,)))))))&amp;IF(MATCHED!AR29=22,MATCHED!$W29,IF(MATCHED!AR29=23,MATCHED!$X29,IF(MATCHED!AR29=24,MATCHED!$Y29,IF(MATCHED!AR29=25,MATCHED!$Z29,IF(MATCHED!AR29=26,MATCHED!$AA29,IF(MATCHED!AR29=27,MATCHED!$AB29,"."))))))</f>
        <v>#N/A</v>
      </c>
      <c r="Q29" s="357" t="e">
        <f>IF(MATCHED!AS29=1,MATCHED!$B29,IF(MATCHED!AS29=2,MATCHED!$C29,IF(MATCHED!AS29=3,MATCHED!$D29,IF(MATCHED!AS29=4,MATCHED!$E29,IF(MATCHED!AS29=3,MATCHED!$F29,IF(MATCHED!AS29=6,MATCHED!$G29,IF(MATCHED!AS29=7,MATCHED!$H29,"")))))))&amp;IF(MATCHED!AS29=8,MATCHED!$I29,IF(MATCHED!AS29=9,MATCHED!$J29,IF(MATCHED!AS29=10,MATCHED!$K29,IF(MATCHED!AS29=11,MATCHED!$L29,IF(MATCHED!AS29=12,MATCHED!$M29,IF(MATCHED!AS29=13,MATCHED!$N29,IF(MATCHED!AS29=14,MATCHED!$O29,"")))))))&amp;IF(MATCHED!AS29=15,MATCHED!$P29,IF(MATCHED!AS29=16,MATCHED!$Q29,IF(MATCHED!AS29=17,MATCHED!$R29,IF(MATCHED!AS29=18,MATCHED!$S29,IF(MATCHED!AS29=19,MATCHED!$T29,IF(MATCHED!AS29=20,MATCHED!$U29,IF(MATCHED!AS29=21,MATCHED!$V29,)))))))&amp;IF(MATCHED!AS29=22,MATCHED!$W29,IF(MATCHED!AS29=23,MATCHED!$X29,IF(MATCHED!AS29=24,MATCHED!$Y29,IF(MATCHED!AS29=25,MATCHED!$Z29,IF(MATCHED!AS29=26,MATCHED!$AA29,IF(MATCHED!AS29=27,MATCHED!$AB29,"."))))))</f>
        <v>#N/A</v>
      </c>
      <c r="R29" s="356" t="e">
        <f>IF(MATCHED!AT29=1,MATCHED!$B29,IF(MATCHED!AT29=2,MATCHED!$C29,IF(MATCHED!AT29=3,MATCHED!$D29,IF(MATCHED!AT29=4,MATCHED!$E29,IF(MATCHED!AT29=3,MATCHED!$F29,IF(MATCHED!AT29=6,MATCHED!$G29,IF(MATCHED!AT29=7,MATCHED!$H29,"")))))))&amp;IF(MATCHED!AT29=8,MATCHED!$I29,IF(MATCHED!AT29=9,MATCHED!$J29,IF(MATCHED!AT29=10,MATCHED!$K29,IF(MATCHED!AT29=11,MATCHED!$L29,IF(MATCHED!AT29=12,MATCHED!$M29,IF(MATCHED!AT29=13,MATCHED!$N29,IF(MATCHED!AT29=14,MATCHED!$O29,"")))))))&amp;IF(MATCHED!AT29=15,MATCHED!$P29,IF(MATCHED!AT29=16,MATCHED!$Q29,IF(MATCHED!AT29=17,MATCHED!$R29,IF(MATCHED!AT29=18,MATCHED!$S29,IF(MATCHED!AT29=19,MATCHED!$T29,IF(MATCHED!AT29=20,MATCHED!$U29,IF(MATCHED!AT29=21,MATCHED!$V29,)))))))&amp;IF(MATCHED!AT29=22,MATCHED!$W29,IF(MATCHED!AT29=23,MATCHED!$X29,IF(MATCHED!AT29=24,MATCHED!$Y29,IF(MATCHED!AT29=25,MATCHED!$Z29,IF(MATCHED!AT29=26,MATCHED!$AA29,IF(MATCHED!AT29=27,MATCHED!$AB29,"."))))))</f>
        <v>#N/A</v>
      </c>
      <c r="S29" s="356" t="e">
        <f>IF(MATCHED!AU29=1,MATCHED!$B29,IF(MATCHED!AU29=2,MATCHED!$C29,IF(MATCHED!AU29=3,MATCHED!$D29,IF(MATCHED!AU29=4,MATCHED!$E29,IF(MATCHED!AU29=3,MATCHED!$F29,IF(MATCHED!AU29=6,MATCHED!$G29,IF(MATCHED!AU29=7,MATCHED!$H29,"")))))))&amp;IF(MATCHED!AU29=8,MATCHED!$I29,IF(MATCHED!AU29=9,MATCHED!$J29,IF(MATCHED!AU29=10,MATCHED!$K29,IF(MATCHED!AU29=11,MATCHED!$L29,IF(MATCHED!AU29=12,MATCHED!$M29,IF(MATCHED!AU29=13,MATCHED!$N29,IF(MATCHED!AU29=14,MATCHED!$O29,"")))))))&amp;IF(MATCHED!AU29=15,MATCHED!$P29,IF(MATCHED!AU29=16,MATCHED!$Q29,IF(MATCHED!AU29=17,MATCHED!$R29,IF(MATCHED!AU29=18,MATCHED!$S29,IF(MATCHED!AU29=19,MATCHED!$T29,IF(MATCHED!AU29=20,MATCHED!$U29,IF(MATCHED!AU29=21,MATCHED!$V29,)))))))&amp;IF(MATCHED!AU29=22,MATCHED!$W29,IF(MATCHED!AU29=23,MATCHED!$X29,IF(MATCHED!AU29=24,MATCHED!$Y29,IF(MATCHED!AU29=25,MATCHED!$Z29,IF(MATCHED!AU29=26,MATCHED!$AA29,IF(MATCHED!AU29=27,MATCHED!$AB29,"."))))))</f>
        <v>#N/A</v>
      </c>
      <c r="T29" s="356" t="e">
        <f>IF(MATCHED!AV29=1,MATCHED!$B29,IF(MATCHED!AV29=2,MATCHED!$C29,IF(MATCHED!AV29=3,MATCHED!$D29,IF(MATCHED!AV29=4,MATCHED!$E29,IF(MATCHED!AV29=3,MATCHED!$F29,IF(MATCHED!AV29=6,MATCHED!$G29,IF(MATCHED!AV29=7,MATCHED!$H29,"")))))))&amp;IF(MATCHED!AV29=8,MATCHED!$I29,IF(MATCHED!AV29=9,MATCHED!$J29,IF(MATCHED!AV29=10,MATCHED!$K29,IF(MATCHED!AV29=11,MATCHED!$L29,IF(MATCHED!AV29=12,MATCHED!$M29,IF(MATCHED!AV29=13,MATCHED!$N29,IF(MATCHED!AV29=14,MATCHED!$O29,"")))))))&amp;IF(MATCHED!AV29=15,MATCHED!$P29,IF(MATCHED!AV29=16,MATCHED!$Q29,IF(MATCHED!AV29=17,MATCHED!$R29,IF(MATCHED!AV29=18,MATCHED!$S29,IF(MATCHED!AV29=19,MATCHED!$T29,IF(MATCHED!AV29=20,MATCHED!$U29,IF(MATCHED!AV29=21,MATCHED!$V29,)))))))&amp;IF(MATCHED!AV29=22,MATCHED!$W29,IF(MATCHED!AV29=23,MATCHED!$X29,IF(MATCHED!AV29=24,MATCHED!$Y29,IF(MATCHED!AV29=25,MATCHED!$Z29,IF(MATCHED!AV29=26,MATCHED!$AA29,IF(MATCHED!AV29=27,MATCHED!$AB29,"."))))))</f>
        <v>#N/A</v>
      </c>
      <c r="U29" s="356" t="e">
        <f>IF(MATCHED!AW29=1,MATCHED!$B29,IF(MATCHED!AW29=2,MATCHED!$C29,IF(MATCHED!AW29=3,MATCHED!$D29,IF(MATCHED!AW29=4,MATCHED!$E29,IF(MATCHED!AW29=3,MATCHED!$F29,IF(MATCHED!AW29=6,MATCHED!$G29,IF(MATCHED!AW29=7,MATCHED!$H29,"")))))))&amp;IF(MATCHED!AW29=8,MATCHED!$I29,IF(MATCHED!AW29=9,MATCHED!$J29,IF(MATCHED!AW29=10,MATCHED!$K29,IF(MATCHED!AW29=11,MATCHED!$L29,IF(MATCHED!AW29=12,MATCHED!$M29,IF(MATCHED!AW29=13,MATCHED!$N29,IF(MATCHED!AW29=14,MATCHED!$O29,"")))))))&amp;IF(MATCHED!AW29=15,MATCHED!$P29,IF(MATCHED!AW29=16,MATCHED!$Q29,IF(MATCHED!AW29=17,MATCHED!$R29,IF(MATCHED!AW29=18,MATCHED!$S29,IF(MATCHED!AW29=19,MATCHED!$T29,IF(MATCHED!AW29=20,MATCHED!$U29,IF(MATCHED!AW29=21,MATCHED!$V29,)))))))&amp;IF(MATCHED!AW29=22,MATCHED!$W29,IF(MATCHED!AW29=23,MATCHED!$X29,IF(MATCHED!AW29=24,MATCHED!$Y29,IF(MATCHED!AW29=25,MATCHED!$Z29,IF(MATCHED!AW29=26,MATCHED!$AA29,IF(MATCHED!AW29=27,MATCHED!$AB29,"."))))))</f>
        <v>#N/A</v>
      </c>
      <c r="V29" s="356" t="e">
        <f>IF(MATCHED!AX29=1,MATCHED!$B29,IF(MATCHED!AX29=2,MATCHED!$C29,IF(MATCHED!AX29=3,MATCHED!$D29,IF(MATCHED!AX29=4,MATCHED!$E29,IF(MATCHED!AX29=3,MATCHED!$F29,IF(MATCHED!AX29=6,MATCHED!$G29,IF(MATCHED!AX29=7,MATCHED!$H29,"")))))))&amp;IF(MATCHED!AX29=8,MATCHED!$I29,IF(MATCHED!AX29=9,MATCHED!$J29,IF(MATCHED!AX29=10,MATCHED!$K29,IF(MATCHED!AX29=11,MATCHED!$L29,IF(MATCHED!AX29=12,MATCHED!$M29,IF(MATCHED!AX29=13,MATCHED!$N29,IF(MATCHED!AX29=14,MATCHED!$O29,"")))))))&amp;IF(MATCHED!AX29=15,MATCHED!$P29,IF(MATCHED!AX29=16,MATCHED!$Q29,IF(MATCHED!AX29=17,MATCHED!$R29,IF(MATCHED!AX29=18,MATCHED!$S29,IF(MATCHED!AX29=19,MATCHED!$T29,IF(MATCHED!AX29=20,MATCHED!$U29,IF(MATCHED!AX29=21,MATCHED!$V29,)))))))&amp;IF(MATCHED!AX29=22,MATCHED!$W29,IF(MATCHED!AX29=23,MATCHED!$X29,IF(MATCHED!AX29=24,MATCHED!$Y29,IF(MATCHED!AX29=25,MATCHED!$Z29,IF(MATCHED!AX29=26,MATCHED!$AA29,IF(MATCHED!AX29=27,MATCHED!$AB29,"."))))))</f>
        <v>#N/A</v>
      </c>
      <c r="W29" s="356" t="e">
        <f>IF(MATCHED!AY29=1,MATCHED!$B29,IF(MATCHED!AY29=2,MATCHED!$C29,IF(MATCHED!AY29=3,MATCHED!$D29,IF(MATCHED!AY29=4,MATCHED!$E29,IF(MATCHED!AY29=3,MATCHED!$F29,IF(MATCHED!AY29=6,MATCHED!$G29,IF(MATCHED!AY29=7,MATCHED!$H29,"")))))))&amp;IF(MATCHED!AY29=8,MATCHED!$I29,IF(MATCHED!AY29=9,MATCHED!$J29,IF(MATCHED!AY29=10,MATCHED!$K29,IF(MATCHED!AY29=11,MATCHED!$L29,IF(MATCHED!AY29=12,MATCHED!$M29,IF(MATCHED!AY29=13,MATCHED!$N29,IF(MATCHED!AY29=14,MATCHED!$O29,"")))))))&amp;IF(MATCHED!AY29=15,MATCHED!$P29,IF(MATCHED!AY29=16,MATCHED!$Q29,IF(MATCHED!AY29=17,MATCHED!$R29,IF(MATCHED!AY29=18,MATCHED!$S29,IF(MATCHED!AY29=19,MATCHED!$T29,IF(MATCHED!AY29=20,MATCHED!$U29,IF(MATCHED!AY29=21,MATCHED!$V29,)))))))&amp;IF(MATCHED!AY29=22,MATCHED!$W29,IF(MATCHED!AY29=23,MATCHED!$X29,IF(MATCHED!AY29=24,MATCHED!$Y29,IF(MATCHED!AY29=25,MATCHED!$Z29,IF(MATCHED!AY29=26,MATCHED!$AA29,IF(MATCHED!AY29=27,MATCHED!$AB29,"."))))))</f>
        <v>#N/A</v>
      </c>
      <c r="X29" s="356" t="e">
        <f>IF(MATCHED!AZ29=1,MATCHED!$B29,IF(MATCHED!AZ29=2,MATCHED!$C29,IF(MATCHED!AZ29=3,MATCHED!$D29,IF(MATCHED!AZ29=4,MATCHED!$E29,IF(MATCHED!AZ29=3,MATCHED!$F29,IF(MATCHED!AZ29=6,MATCHED!$G29,IF(MATCHED!AZ29=7,MATCHED!$H29,"")))))))&amp;IF(MATCHED!AZ29=8,MATCHED!$I29,IF(MATCHED!AZ29=9,MATCHED!$J29,IF(MATCHED!AZ29=10,MATCHED!$K29,IF(MATCHED!AZ29=11,MATCHED!$L29,IF(MATCHED!AZ29=12,MATCHED!$M29,IF(MATCHED!AZ29=13,MATCHED!$N29,IF(MATCHED!AZ29=14,MATCHED!$O29,"")))))))&amp;IF(MATCHED!AZ29=15,MATCHED!$P29,IF(MATCHED!AZ29=16,MATCHED!$Q29,IF(MATCHED!AZ29=17,MATCHED!$R29,IF(MATCHED!AZ29=18,MATCHED!$S29,IF(MATCHED!AZ29=19,MATCHED!$T29,IF(MATCHED!AZ29=20,MATCHED!$U29,IF(MATCHED!AZ29=21,MATCHED!$V29,)))))))&amp;IF(MATCHED!AZ29=22,MATCHED!$W29,IF(MATCHED!AZ29=23,MATCHED!$X29,IF(MATCHED!AZ29=24,MATCHED!$Y29,IF(MATCHED!AZ29=25,MATCHED!$Z29,IF(MATCHED!AZ29=26,MATCHED!$AA29,IF(MATCHED!AZ29=27,MATCHED!$AB29,"."))))))</f>
        <v>#N/A</v>
      </c>
      <c r="Y29" s="356" t="e">
        <f>IF(MATCHED!BA29=1,MATCHED!$B29,IF(MATCHED!BA29=2,MATCHED!$C29,IF(MATCHED!BA29=3,MATCHED!$D29,IF(MATCHED!BA29=4,MATCHED!$E29,IF(MATCHED!BA29=3,MATCHED!$F29,IF(MATCHED!BA29=6,MATCHED!$G29,IF(MATCHED!BA29=7,MATCHED!$H29,"")))))))&amp;IF(MATCHED!BA29=8,MATCHED!$I29,IF(MATCHED!BA29=9,MATCHED!$J29,IF(MATCHED!BA29=10,MATCHED!$K29,IF(MATCHED!BA29=11,MATCHED!$L29,IF(MATCHED!BA29=12,MATCHED!$M29,IF(MATCHED!BA29=13,MATCHED!$N29,IF(MATCHED!BA29=14,MATCHED!$O29,"")))))))&amp;IF(MATCHED!BA29=15,MATCHED!$P29,IF(MATCHED!BA29=16,MATCHED!$Q29,IF(MATCHED!BA29=17,MATCHED!$R29,IF(MATCHED!BA29=18,MATCHED!$S29,IF(MATCHED!BA29=19,MATCHED!$T29,IF(MATCHED!BA29=20,MATCHED!$U29,IF(MATCHED!BA29=21,MATCHED!$V29,)))))))&amp;IF(MATCHED!BA29=22,MATCHED!$W29,IF(MATCHED!BA29=23,MATCHED!$X29,IF(MATCHED!BA29=24,MATCHED!$Y29,IF(MATCHED!BA29=25,MATCHED!$Z29,IF(MATCHED!BA29=26,MATCHED!$AA29,IF(MATCHED!BA29=27,MATCHED!$AB29,"."))))))</f>
        <v>#N/A</v>
      </c>
      <c r="Z29" s="356" t="e">
        <f>IF(MATCHED!BB29=1,MATCHED!$B29,IF(MATCHED!BB29=2,MATCHED!$C29,IF(MATCHED!BB29=3,MATCHED!$D29,IF(MATCHED!BB29=4,MATCHED!$E29,IF(MATCHED!BB29=3,MATCHED!$F29,IF(MATCHED!BB29=6,MATCHED!$G29,IF(MATCHED!BB29=7,MATCHED!$H29,"")))))))&amp;IF(MATCHED!BB29=8,MATCHED!$I29,IF(MATCHED!BB29=9,MATCHED!$J29,IF(MATCHED!BB29=10,MATCHED!$K29,IF(MATCHED!BB29=11,MATCHED!$L29,IF(MATCHED!BB29=12,MATCHED!$M29,IF(MATCHED!BB29=13,MATCHED!$N29,IF(MATCHED!BB29=14,MATCHED!$O29,"")))))))&amp;IF(MATCHED!BB29=15,MATCHED!$P29,IF(MATCHED!BB29=16,MATCHED!$Q29,IF(MATCHED!BB29=17,MATCHED!$R29,IF(MATCHED!BB29=18,MATCHED!$S29,IF(MATCHED!BB29=19,MATCHED!$T29,IF(MATCHED!BB29=20,MATCHED!$U29,IF(MATCHED!BB29=21,MATCHED!$V29,)))))))&amp;IF(MATCHED!BB29=22,MATCHED!$W29,IF(MATCHED!BB29=23,MATCHED!$X29,IF(MATCHED!BB29=24,MATCHED!$Y29,IF(MATCHED!BB29=25,MATCHED!$Z29,IF(MATCHED!BB29=26,MATCHED!$AA29,IF(MATCHED!BB29=27,MATCHED!$AB29,"."))))))</f>
        <v>#N/A</v>
      </c>
      <c r="AA29" s="356" t="e">
        <f>IF(MATCHED!BC29=1,MATCHED!$B29,IF(MATCHED!BC29=2,MATCHED!$C29,IF(MATCHED!BC29=3,MATCHED!$D29,IF(MATCHED!BC29=4,MATCHED!$E29,IF(MATCHED!BC29=3,MATCHED!$F29,IF(MATCHED!BC29=6,MATCHED!$G29,IF(MATCHED!BC29=7,MATCHED!$H29,"")))))))&amp;IF(MATCHED!BC29=8,MATCHED!$I29,IF(MATCHED!BC29=9,MATCHED!$J29,IF(MATCHED!BC29=10,MATCHED!$K29,IF(MATCHED!BC29=11,MATCHED!$L29,IF(MATCHED!BC29=12,MATCHED!$M29,IF(MATCHED!BC29=13,MATCHED!$N29,IF(MATCHED!BC29=14,MATCHED!$O29,"")))))))&amp;IF(MATCHED!BC29=15,MATCHED!$P29,IF(MATCHED!BC29=16,MATCHED!$Q29,IF(MATCHED!BC29=17,MATCHED!$R29,IF(MATCHED!BC29=18,MATCHED!$S29,IF(MATCHED!BC29=19,MATCHED!$T29,IF(MATCHED!BC29=20,MATCHED!$U29,IF(MATCHED!BC29=21,MATCHED!$V29,)))))))&amp;IF(MATCHED!BC29=22,MATCHED!$W29,IF(MATCHED!BC29=23,MATCHED!$X29,IF(MATCHED!BC29=24,MATCHED!$Y29,IF(MATCHED!BC29=25,MATCHED!$Z29,IF(MATCHED!BC29=26,MATCHED!$AA29,IF(MATCHED!BC29=27,MATCHED!$AB29,"."))))))</f>
        <v>#N/A</v>
      </c>
      <c r="AB29" s="356" t="e">
        <f>IF(MATCHED!BD29=1,MATCHED!$B29,IF(MATCHED!BD29=2,MATCHED!$C29,IF(MATCHED!BD29=3,MATCHED!$D29,IF(MATCHED!BD29=4,MATCHED!$E29,IF(MATCHED!BD29=3,MATCHED!$F29,IF(MATCHED!BD29=6,MATCHED!$G29,IF(MATCHED!BD29=7,MATCHED!$H29,"")))))))&amp;IF(MATCHED!BD29=8,MATCHED!$I29,IF(MATCHED!BD29=9,MATCHED!$J29,IF(MATCHED!BD29=10,MATCHED!$K29,IF(MATCHED!BD29=11,MATCHED!$L29,IF(MATCHED!BD29=12,MATCHED!$M29,IF(MATCHED!BD29=13,MATCHED!$N29,IF(MATCHED!BD29=14,MATCHED!$O29,"")))))))&amp;IF(MATCHED!BD29=15,MATCHED!$P29,IF(MATCHED!BD29=16,MATCHED!$Q29,IF(MATCHED!BD29=17,MATCHED!$R29,IF(MATCHED!BD29=18,MATCHED!$S29,IF(MATCHED!BD29=19,MATCHED!$T29,IF(MATCHED!BD29=20,MATCHED!$U29,IF(MATCHED!BD29=21,MATCHED!$V29,)))))))&amp;IF(MATCHED!BD29=22,MATCHED!$W29,IF(MATCHED!BD29=23,MATCHED!$X29,IF(MATCHED!BD29=24,MATCHED!$Y29,IF(MATCHED!BD29=25,MATCHED!$Z29,IF(MATCHED!BD29=26,MATCHED!$AA29,IF(MATCHED!BD29=27,MATCHED!$AB29,"."))))))</f>
        <v>#N/A</v>
      </c>
      <c r="AC29" s="356" t="e">
        <f>IF(MATCHED!BE29=1,MATCHED!$B29,IF(MATCHED!BE29=2,MATCHED!$C29,IF(MATCHED!BE29=3,MATCHED!$D29,IF(MATCHED!BE29=4,MATCHED!$E29,IF(MATCHED!BE29=3,MATCHED!$F29,IF(MATCHED!BE29=6,MATCHED!$G29,IF(MATCHED!BE29=7,MATCHED!$H29,"")))))))&amp;IF(MATCHED!BE29=8,MATCHED!$I29,IF(MATCHED!BE29=9,MATCHED!$J29,IF(MATCHED!BE29=10,MATCHED!$K29,IF(MATCHED!BE29=11,MATCHED!$L29,IF(MATCHED!BE29=12,MATCHED!$M29,IF(MATCHED!BE29=13,MATCHED!$N29,IF(MATCHED!BE29=14,MATCHED!$O29,"")))))))&amp;IF(MATCHED!BE29=15,MATCHED!$P29,IF(MATCHED!BE29=16,MATCHED!$Q29,IF(MATCHED!BE29=17,MATCHED!$R29,IF(MATCHED!BE29=18,MATCHED!$S29,IF(MATCHED!BE29=19,MATCHED!$T29,IF(MATCHED!BE29=20,MATCHED!$U29,IF(MATCHED!BE29=21,MATCHED!$V29,)))))))&amp;IF(MATCHED!BE29=22,MATCHED!$W29,IF(MATCHED!BE29=23,MATCHED!$X29,IF(MATCHED!BE29=24,MATCHED!$Y29,IF(MATCHED!BE29=25,MATCHED!$Z29,IF(MATCHED!BE29=26,MATCHED!$AA29,IF(MATCHED!BE29=27,MATCHED!$AB29,"."))))))</f>
        <v>#N/A</v>
      </c>
      <c r="AD29" s="356" t="e">
        <f>IF(MATCHED!BF29=1,MATCHED!$B29,IF(MATCHED!BF29=2,MATCHED!$C29,IF(MATCHED!BF29=3,MATCHED!$D29,IF(MATCHED!BF29=4,MATCHED!$E29,IF(MATCHED!BF29=3,MATCHED!$F29,IF(MATCHED!BF29=6,MATCHED!$G29,IF(MATCHED!BF29=7,MATCHED!$H29,"")))))))&amp;IF(MATCHED!BF29=8,MATCHED!$I29,IF(MATCHED!BF29=9,MATCHED!$J29,IF(MATCHED!BF29=10,MATCHED!$K29,IF(MATCHED!BF29=11,MATCHED!$L29,IF(MATCHED!BF29=12,MATCHED!$M29,IF(MATCHED!BF29=13,MATCHED!$N29,IF(MATCHED!BF29=14,MATCHED!$O29,"")))))))&amp;IF(MATCHED!BF29=15,MATCHED!$P29,IF(MATCHED!BF29=16,MATCHED!$Q29,IF(MATCHED!BF29=17,MATCHED!$R29,IF(MATCHED!BF29=18,MATCHED!$S29,IF(MATCHED!BF29=19,MATCHED!$T29,IF(MATCHED!BF29=20,MATCHED!$U29,IF(MATCHED!BF29=21,MATCHED!$V29,)))))))&amp;IF(MATCHED!BF29=22,MATCHED!$W29,IF(MATCHED!BF29=23,MATCHED!$X29,IF(MATCHED!BF29=24,MATCHED!$Y29,IF(MATCHED!BF29=25,MATCHED!$Z29,IF(MATCHED!BF29=26,MATCHED!$AA29,IF(MATCHED!BF29=27,MATCHED!$AB29,"."))))))</f>
        <v>#N/A</v>
      </c>
      <c r="AE29" s="356" t="e">
        <f>IF(MATCHED!BG29=1,MATCHED!$B29,IF(MATCHED!BG29=2,MATCHED!$C29,IF(MATCHED!BG29=3,MATCHED!$D29,IF(MATCHED!BG29=4,MATCHED!$E29,IF(MATCHED!BG29=3,MATCHED!$F29,IF(MATCHED!BG29=6,MATCHED!$G29,IF(MATCHED!BG29=7,MATCHED!$H29,"")))))))&amp;IF(MATCHED!BG29=8,MATCHED!$I29,IF(MATCHED!BG29=9,MATCHED!$J29,IF(MATCHED!BG29=10,MATCHED!$K29,IF(MATCHED!BG29=11,MATCHED!$L29,IF(MATCHED!BG29=12,MATCHED!$M29,IF(MATCHED!BG29=13,MATCHED!$N29,IF(MATCHED!BG29=14,MATCHED!$O29,"")))))))&amp;IF(MATCHED!BG29=15,MATCHED!$P29,IF(MATCHED!BG29=16,MATCHED!$Q29,IF(MATCHED!BG29=17,MATCHED!$R29,IF(MATCHED!BG29=18,MATCHED!$S29,IF(MATCHED!BG29=19,MATCHED!$T29,IF(MATCHED!BG29=20,MATCHED!$U29,IF(MATCHED!BG29=21,MATCHED!$V29,)))))))&amp;IF(MATCHED!BG29=22,MATCHED!$W29,IF(MATCHED!BG29=23,MATCHED!$X29,IF(MATCHED!BG29=24,MATCHED!$Y29,IF(MATCHED!BG29=25,MATCHED!$Z29,IF(MATCHED!BG29=26,MATCHED!$AA29,IF(MATCHED!BG29=27,MATCHED!$AB29,"."))))))</f>
        <v>#N/A</v>
      </c>
      <c r="AF29" s="356" t="e">
        <f>IF(MATCHED!BH29=1,MATCHED!$B29,IF(MATCHED!BH29=2,MATCHED!$C29,IF(MATCHED!BH29=3,MATCHED!$D29,IF(MATCHED!BH29=4,MATCHED!$E29,IF(MATCHED!BH29=3,MATCHED!$F29,IF(MATCHED!BH29=6,MATCHED!$G29,IF(MATCHED!BH29=7,MATCHED!$H29,"")))))))&amp;IF(MATCHED!BH29=8,MATCHED!$I29,IF(MATCHED!BH29=9,MATCHED!$J29,IF(MATCHED!BH29=10,MATCHED!$K29,IF(MATCHED!BH29=11,MATCHED!$L29,IF(MATCHED!BH29=12,MATCHED!$M29,IF(MATCHED!BH29=13,MATCHED!$N29,IF(MATCHED!BH29=14,MATCHED!$O29,"")))))))&amp;IF(MATCHED!BH29=15,MATCHED!$P29,IF(MATCHED!BH29=16,MATCHED!$Q29,IF(MATCHED!BH29=17,MATCHED!$R29,IF(MATCHED!BH29=18,MATCHED!$S29,IF(MATCHED!BH29=19,MATCHED!$T29,IF(MATCHED!BH29=20,MATCHED!$U29,IF(MATCHED!BH29=21,MATCHED!$V29,)))))))&amp;IF(MATCHED!BH29=22,MATCHED!$W29,IF(MATCHED!BH29=23,MATCHED!$X29,IF(MATCHED!BH29=24,MATCHED!$Y29,IF(MATCHED!BH29=25,MATCHED!$Z29,IF(MATCHED!BH29=26,MATCHED!$AA29,IF(MATCHED!BH29=27,MATCHED!$AB29,"."))))))</f>
        <v>#N/A</v>
      </c>
      <c r="AG29" s="356" t="e">
        <f>IF(MATCHED!BI29=1,MATCHED!$B29,IF(MATCHED!BI29=2,MATCHED!$C29,IF(MATCHED!BI29=3,MATCHED!$D29,IF(MATCHED!BI29=4,MATCHED!$E29,IF(MATCHED!BI29=3,MATCHED!$F29,IF(MATCHED!BI29=6,MATCHED!$G29,IF(MATCHED!BI29=7,MATCHED!$H29,"")))))))&amp;IF(MATCHED!BI29=8,MATCHED!$I29,IF(MATCHED!BI29=9,MATCHED!$J29,IF(MATCHED!BI29=10,MATCHED!$K29,IF(MATCHED!BI29=11,MATCHED!$L29,IF(MATCHED!BI29=12,MATCHED!$M29,IF(MATCHED!BI29=13,MATCHED!$N29,IF(MATCHED!BI29=14,MATCHED!$O29,"")))))))&amp;IF(MATCHED!BI29=15,MATCHED!$P29,IF(MATCHED!BI29=16,MATCHED!$Q29,IF(MATCHED!BI29=17,MATCHED!$R29,IF(MATCHED!BI29=18,MATCHED!$S29,IF(MATCHED!BI29=19,MATCHED!$T29,IF(MATCHED!BI29=20,MATCHED!$U29,IF(MATCHED!BI29=21,MATCHED!$V29,)))))))&amp;IF(MATCHED!BI29=22,MATCHED!$W29,IF(MATCHED!BI29=23,MATCHED!$X29,IF(MATCHED!BI29=24,MATCHED!$Y29,IF(MATCHED!BI29=25,MATCHED!$Z29,IF(MATCHED!BI29=26,MATCHED!$AA29,IF(MATCHED!BI29=27,MATCHED!$AB29,"."))))))</f>
        <v>#N/A</v>
      </c>
      <c r="AH29" s="356" t="e">
        <f>IF(MATCHED!BJ29=1,MATCHED!$B29,IF(MATCHED!BJ29=2,MATCHED!$C29,IF(MATCHED!BJ29=3,MATCHED!$D29,IF(MATCHED!BJ29=4,MATCHED!$E29,IF(MATCHED!BJ29=3,MATCHED!$F29,IF(MATCHED!BJ29=6,MATCHED!$G29,IF(MATCHED!BJ29=7,MATCHED!$H29,"")))))))&amp;IF(MATCHED!BJ29=8,MATCHED!$I29,IF(MATCHED!BJ29=9,MATCHED!$J29,IF(MATCHED!BJ29=10,MATCHED!$K29,IF(MATCHED!BJ29=11,MATCHED!$L29,IF(MATCHED!BJ29=12,MATCHED!$M29,IF(MATCHED!BJ29=13,MATCHED!$N29,IF(MATCHED!BJ29=14,MATCHED!$O29,"")))))))&amp;IF(MATCHED!BJ29=15,MATCHED!$P29,IF(MATCHED!BJ29=16,MATCHED!$Q29,IF(MATCHED!BJ29=17,MATCHED!$R29,IF(MATCHED!BJ29=18,MATCHED!$S29,IF(MATCHED!BJ29=19,MATCHED!$T29,IF(MATCHED!BJ29=20,MATCHED!$U29,IF(MATCHED!BJ29=21,MATCHED!$V29,)))))))&amp;IF(MATCHED!BJ29=22,MATCHED!$W29,IF(MATCHED!BJ29=23,MATCHED!$X29,IF(MATCHED!BJ29=24,MATCHED!$Y29,IF(MATCHED!BJ29=25,MATCHED!$Z29,IF(MATCHED!BJ29=26,MATCHED!$AA29,IF(MATCHED!BJ29=27,MATCHED!$AB29,"."))))))</f>
        <v>#N/A</v>
      </c>
      <c r="AI29" s="356" t="e">
        <f>IF(MATCHED!BK29=1,MATCHED!$B29,IF(MATCHED!BK29=2,MATCHED!$C29,IF(MATCHED!BK29=3,MATCHED!$D29,IF(MATCHED!BK29=4,MATCHED!$E29,IF(MATCHED!BK29=3,MATCHED!$F29,IF(MATCHED!BK29=6,MATCHED!$G29,IF(MATCHED!BK29=7,MATCHED!$H29,"")))))))&amp;IF(MATCHED!BK29=8,MATCHED!$I29,IF(MATCHED!BK29=9,MATCHED!$J29,IF(MATCHED!BK29=10,MATCHED!$K29,IF(MATCHED!BK29=11,MATCHED!$L29,IF(MATCHED!BK29=12,MATCHED!$M29,IF(MATCHED!BK29=13,MATCHED!$N29,IF(MATCHED!BK29=14,MATCHED!$O29,"")))))))&amp;IF(MATCHED!BK29=15,MATCHED!$P29,IF(MATCHED!BK29=16,MATCHED!$Q29,IF(MATCHED!BK29=17,MATCHED!$R29,IF(MATCHED!BK29=18,MATCHED!$S29,IF(MATCHED!BK29=19,MATCHED!$T29,IF(MATCHED!BK29=20,MATCHED!$U29,IF(MATCHED!BK29=21,MATCHED!$V29,)))))))&amp;IF(MATCHED!BK29=22,MATCHED!$W29,IF(MATCHED!BK29=23,MATCHED!$X29,IF(MATCHED!BK29=24,MATCHED!$Y29,IF(MATCHED!BK29=25,MATCHED!$Z29,IF(MATCHED!BK29=26,MATCHED!$AA29,IF(MATCHED!BK29=27,MATCHED!$AB29,"."))))))</f>
        <v>#N/A</v>
      </c>
      <c r="AJ29" s="535"/>
    </row>
    <row r="30" spans="1:36" s="338" customFormat="1" ht="15.6" thickBot="1" x14ac:dyDescent="0.3">
      <c r="A30" s="536"/>
      <c r="B30" s="355" t="e">
        <f>IF(MATCHED!AD30=1,MATCHED!$B30,IF(MATCHED!AD30=2,MATCHED!$C30,IF(MATCHED!AD30=3,MATCHED!$D30,IF(MATCHED!AD30=4,MATCHED!$E30,IF(MATCHED!AD30=3,MATCHED!$F30,IF(MATCHED!AD30=6,MATCHED!$G30,IF(MATCHED!AD30=7,MATCHED!$H30,"")))))))&amp;IF(MATCHED!AD30=8,MATCHED!$I30,IF(MATCHED!AD30=9,MATCHED!$J30,IF(MATCHED!AD30=10,MATCHED!$K30,IF(MATCHED!AD30=11,MATCHED!$L30,IF(MATCHED!AD30=12,MATCHED!$M30,IF(MATCHED!AD30=13,MATCHED!$N30,IF(MATCHED!AD30=14,MATCHED!$O30,"")))))))&amp;IF(MATCHED!AD30=15,MATCHED!$P30,IF(MATCHED!AD30=16,MATCHED!$Q30,IF(MATCHED!AD30=17,MATCHED!$R30,IF(MATCHED!AD30=18,MATCHED!$S30,IF(MATCHED!AD30=19,MATCHED!$T30,IF(MATCHED!AD30=20,MATCHED!$U30,IF(MATCHED!AD30=21,MATCHED!$V30,)))))))&amp;IF(MATCHED!AD30=22,MATCHED!$W30,IF(MATCHED!AD30=23,MATCHED!$X30,IF(MATCHED!AD30=24,MATCHED!$Y30,IF(MATCHED!AD30=25,MATCHED!$Z30,IF(MATCHED!AD30=26,MATCHED!$AA30,IF(MATCHED!AD30=27,MATCHED!$AB30,"."))))))</f>
        <v>#N/A</v>
      </c>
      <c r="C30" s="356" t="e">
        <f>IF(MATCHED!AE30=1,MATCHED!$B30,IF(MATCHED!AE30=2,MATCHED!$C30,IF(MATCHED!AE30=3,MATCHED!$D30,IF(MATCHED!AE30=4,MATCHED!$E30,IF(MATCHED!AE30=3,MATCHED!$F30,IF(MATCHED!AE30=6,MATCHED!$G30,IF(MATCHED!AE30=7,MATCHED!$H30,"")))))))&amp;IF(MATCHED!AE30=8,MATCHED!$I30,IF(MATCHED!AE30=9,MATCHED!$J30,IF(MATCHED!AE30=10,MATCHED!$K30,IF(MATCHED!AE30=11,MATCHED!$L30,IF(MATCHED!AE30=12,MATCHED!$M30,IF(MATCHED!AE30=13,MATCHED!$N30,IF(MATCHED!AE30=14,MATCHED!$O30,"")))))))&amp;IF(MATCHED!AE30=15,MATCHED!$P30,IF(MATCHED!AE30=16,MATCHED!$Q30,IF(MATCHED!AE30=17,MATCHED!$R30,IF(MATCHED!AE30=18,MATCHED!$S30,IF(MATCHED!AE30=19,MATCHED!$T30,IF(MATCHED!AE30=20,MATCHED!$U30,IF(MATCHED!AE30=21,MATCHED!$V30,)))))))&amp;IF(MATCHED!AE30=22,MATCHED!$W30,IF(MATCHED!AE30=23,MATCHED!$X30,IF(MATCHED!AE30=24,MATCHED!$Y30,IF(MATCHED!AE30=25,MATCHED!$Z30,IF(MATCHED!AE30=26,MATCHED!$AA30,IF(MATCHED!AE30=27,MATCHED!$AB30,"."))))))</f>
        <v>#N/A</v>
      </c>
      <c r="D30" s="362" t="e">
        <f>IF(MATCHED!AF30=1,MATCHED!$B30,IF(MATCHED!AF30=2,MATCHED!$C30,IF(MATCHED!AF30=3,MATCHED!$D30,IF(MATCHED!AF30=4,MATCHED!$E30,IF(MATCHED!AF30=3,MATCHED!$F30,IF(MATCHED!AF30=6,MATCHED!$G30,IF(MATCHED!AF30=7,MATCHED!$H30,"")))))))&amp;IF(MATCHED!AF30=8,MATCHED!$I30,IF(MATCHED!AF30=9,MATCHED!$J30,IF(MATCHED!AF30=10,MATCHED!$K30,IF(MATCHED!AF30=11,MATCHED!$L30,IF(MATCHED!AF30=12,MATCHED!$M30,IF(MATCHED!AF30=13,MATCHED!$N30,IF(MATCHED!AF30=14,MATCHED!$O30,"")))))))&amp;IF(MATCHED!AF30=15,MATCHED!$P30,IF(MATCHED!AF30=16,MATCHED!$Q30,IF(MATCHED!AF30=17,MATCHED!$R30,IF(MATCHED!AF30=18,MATCHED!$S30,IF(MATCHED!AF30=19,MATCHED!$T30,IF(MATCHED!AF30=20,MATCHED!$U30,IF(MATCHED!AF30=21,MATCHED!$V30,)))))))&amp;IF(MATCHED!AF30=22,MATCHED!$W30,IF(MATCHED!AF30=23,MATCHED!$X30,IF(MATCHED!AF30=24,MATCHED!$Y30,IF(MATCHED!AF30=25,MATCHED!$Z30,IF(MATCHED!AF30=26,MATCHED!$AA30,IF(MATCHED!AF30=27,MATCHED!$AB30,"."))))))</f>
        <v>#N/A</v>
      </c>
      <c r="E30" s="362" t="e">
        <f>IF(MATCHED!AG30=1,MATCHED!$B30,IF(MATCHED!AG30=2,MATCHED!$C30,IF(MATCHED!AG30=3,MATCHED!$D30,IF(MATCHED!AG30=4,MATCHED!$E30,IF(MATCHED!AG30=3,MATCHED!$F30,IF(MATCHED!AG30=6,MATCHED!$G30,IF(MATCHED!AG30=7,MATCHED!$H30,"")))))))&amp;IF(MATCHED!AG30=8,MATCHED!$I30,IF(MATCHED!AG30=9,MATCHED!$J30,IF(MATCHED!AG30=10,MATCHED!$K30,IF(MATCHED!AG30=11,MATCHED!$L30,IF(MATCHED!AG30=12,MATCHED!$M30,IF(MATCHED!AG30=13,MATCHED!$N30,IF(MATCHED!AG30=14,MATCHED!$O30,"")))))))&amp;IF(MATCHED!AG30=15,MATCHED!$P30,IF(MATCHED!AG30=16,MATCHED!$Q30,IF(MATCHED!AG30=17,MATCHED!$R30,IF(MATCHED!AG30=18,MATCHED!$S30,IF(MATCHED!AG30=19,MATCHED!$T30,IF(MATCHED!AG30=20,MATCHED!$U30,IF(MATCHED!AG30=21,MATCHED!$V30,)))))))&amp;IF(MATCHED!AG30=22,MATCHED!$W30,IF(MATCHED!AG30=23,MATCHED!$X30,IF(MATCHED!AG30=24,MATCHED!$Y30,IF(MATCHED!AG30=25,MATCHED!$Z30,IF(MATCHED!AG30=26,MATCHED!$AA30,IF(MATCHED!AG30=27,MATCHED!$AB30,"."))))))</f>
        <v>#N/A</v>
      </c>
      <c r="F30" s="362" t="e">
        <f>IF(MATCHED!AH30=1,MATCHED!$B30,IF(MATCHED!AH30=2,MATCHED!$C30,IF(MATCHED!AH30=3,MATCHED!$D30,IF(MATCHED!AH30=4,MATCHED!$E30,IF(MATCHED!AH30=3,MATCHED!$F30,IF(MATCHED!AH30=6,MATCHED!$G30,IF(MATCHED!AH30=7,MATCHED!$H30,"")))))))&amp;IF(MATCHED!AH30=8,MATCHED!$I30,IF(MATCHED!AH30=9,MATCHED!$J30,IF(MATCHED!AH30=10,MATCHED!$K30,IF(MATCHED!AH30=11,MATCHED!$L30,IF(MATCHED!AH30=12,MATCHED!$M30,IF(MATCHED!AH30=13,MATCHED!$N30,IF(MATCHED!AH30=14,MATCHED!$O30,"")))))))&amp;IF(MATCHED!AH30=15,MATCHED!$P30,IF(MATCHED!AH30=16,MATCHED!$Q30,IF(MATCHED!AH30=17,MATCHED!$R30,IF(MATCHED!AH30=18,MATCHED!$S30,IF(MATCHED!AH30=19,MATCHED!$T30,IF(MATCHED!AH30=20,MATCHED!$U30,IF(MATCHED!AH30=21,MATCHED!$V30,)))))))&amp;IF(MATCHED!AH30=22,MATCHED!$W30,IF(MATCHED!AH30=23,MATCHED!$X30,IF(MATCHED!AH30=24,MATCHED!$Y30,IF(MATCHED!AH30=25,MATCHED!$Z30,IF(MATCHED!AH30=26,MATCHED!$AA30,IF(MATCHED!AH30=27,MATCHED!$AB30,"."))))))</f>
        <v>#N/A</v>
      </c>
      <c r="G30" s="362" t="e">
        <f>IF(MATCHED!AI30=1,MATCHED!$B30,IF(MATCHED!AI30=2,MATCHED!$C30,IF(MATCHED!AI30=3,MATCHED!$D30,IF(MATCHED!AI30=4,MATCHED!$E30,IF(MATCHED!AI30=3,MATCHED!$F30,IF(MATCHED!AI30=6,MATCHED!$G30,IF(MATCHED!AI30=7,MATCHED!$H30,"")))))))&amp;IF(MATCHED!AI30=8,MATCHED!$I30,IF(MATCHED!AI30=9,MATCHED!$J30,IF(MATCHED!AI30=10,MATCHED!$K30,IF(MATCHED!AI30=11,MATCHED!$L30,IF(MATCHED!AI30=12,MATCHED!$M30,IF(MATCHED!AI30=13,MATCHED!$N30,IF(MATCHED!AI30=14,MATCHED!$O30,"")))))))&amp;IF(MATCHED!AI30=15,MATCHED!$P30,IF(MATCHED!AI30=16,MATCHED!$Q30,IF(MATCHED!AI30=17,MATCHED!$R30,IF(MATCHED!AI30=18,MATCHED!$S30,IF(MATCHED!AI30=19,MATCHED!$T30,IF(MATCHED!AI30=20,MATCHED!$U30,IF(MATCHED!AI30=21,MATCHED!$V30,)))))))&amp;IF(MATCHED!AI30=22,MATCHED!$W30,IF(MATCHED!AI30=23,MATCHED!$X30,IF(MATCHED!AI30=24,MATCHED!$Y30,IF(MATCHED!AI30=25,MATCHED!$Z30,IF(MATCHED!AI30=26,MATCHED!$AA30,IF(MATCHED!AI30=27,MATCHED!$AB30,"."))))))</f>
        <v>#N/A</v>
      </c>
      <c r="H30" s="362" t="e">
        <f>IF(MATCHED!AJ30=1,MATCHED!$B30,IF(MATCHED!AJ30=2,MATCHED!$C30,IF(MATCHED!AJ30=3,MATCHED!$D30,IF(MATCHED!AJ30=4,MATCHED!$E30,IF(MATCHED!AJ30=3,MATCHED!$F30,IF(MATCHED!AJ30=6,MATCHED!$G30,IF(MATCHED!AJ30=7,MATCHED!$H30,"")))))))&amp;IF(MATCHED!AJ30=8,MATCHED!$I30,IF(MATCHED!AJ30=9,MATCHED!$J30,IF(MATCHED!AJ30=10,MATCHED!$K30,IF(MATCHED!AJ30=11,MATCHED!$L30,IF(MATCHED!AJ30=12,MATCHED!$M30,IF(MATCHED!AJ30=13,MATCHED!$N30,IF(MATCHED!AJ30=14,MATCHED!$O30,"")))))))&amp;IF(MATCHED!AJ30=15,MATCHED!$P30,IF(MATCHED!AJ30=16,MATCHED!$Q30,IF(MATCHED!AJ30=17,MATCHED!$R30,IF(MATCHED!AJ30=18,MATCHED!$S30,IF(MATCHED!AJ30=19,MATCHED!$T30,IF(MATCHED!AJ30=20,MATCHED!$U30,IF(MATCHED!AJ30=21,MATCHED!$V30,)))))))&amp;IF(MATCHED!AJ30=22,MATCHED!$W30,IF(MATCHED!AJ30=23,MATCHED!$X30,IF(MATCHED!AJ30=24,MATCHED!$Y30,IF(MATCHED!AJ30=25,MATCHED!$Z30,IF(MATCHED!AJ30=26,MATCHED!$AA30,IF(MATCHED!AJ30=27,MATCHED!$AB30,"."))))))</f>
        <v>#N/A</v>
      </c>
      <c r="I30" s="362" t="e">
        <f>IF(MATCHED!AK30=1,MATCHED!$B30,IF(MATCHED!AK30=2,MATCHED!$C30,IF(MATCHED!AK30=3,MATCHED!$D30,IF(MATCHED!AK30=4,MATCHED!$E30,IF(MATCHED!AK30=3,MATCHED!$F30,IF(MATCHED!AK30=6,MATCHED!$G30,IF(MATCHED!AK30=7,MATCHED!$H30,"")))))))&amp;IF(MATCHED!AK30=8,MATCHED!$I30,IF(MATCHED!AK30=9,MATCHED!$J30,IF(MATCHED!AK30=10,MATCHED!$K30,IF(MATCHED!AK30=11,MATCHED!$L30,IF(MATCHED!AK30=12,MATCHED!$M30,IF(MATCHED!AK30=13,MATCHED!$N30,IF(MATCHED!AK30=14,MATCHED!$O30,"")))))))&amp;IF(MATCHED!AK30=15,MATCHED!$P30,IF(MATCHED!AK30=16,MATCHED!$Q30,IF(MATCHED!AK30=17,MATCHED!$R30,IF(MATCHED!AK30=18,MATCHED!$S30,IF(MATCHED!AK30=19,MATCHED!$T30,IF(MATCHED!AK30=20,MATCHED!$U30,IF(MATCHED!AK30=21,MATCHED!$V30,)))))))&amp;IF(MATCHED!AK30=22,MATCHED!$W30,IF(MATCHED!AK30=23,MATCHED!$X30,IF(MATCHED!AK30=24,MATCHED!$Y30,IF(MATCHED!AK30=25,MATCHED!$Z30,IF(MATCHED!AK30=26,MATCHED!$AA30,IF(MATCHED!AK30=27,MATCHED!$AB30,"."))))))</f>
        <v>#N/A</v>
      </c>
      <c r="J30" s="362" t="e">
        <f>IF(MATCHED!AL30=1,MATCHED!$B30,IF(MATCHED!AL30=2,MATCHED!$C30,IF(MATCHED!AL30=3,MATCHED!$D30,IF(MATCHED!AL30=4,MATCHED!$E30,IF(MATCHED!AL30=3,MATCHED!$F30,IF(MATCHED!AL30=6,MATCHED!$G30,IF(MATCHED!AL30=7,MATCHED!$H30,"")))))))&amp;IF(MATCHED!AL30=8,MATCHED!$I30,IF(MATCHED!AL30=9,MATCHED!$J30,IF(MATCHED!AL30=10,MATCHED!$K30,IF(MATCHED!AL30=11,MATCHED!$L30,IF(MATCHED!AL30=12,MATCHED!$M30,IF(MATCHED!AL30=13,MATCHED!$N30,IF(MATCHED!AL30=14,MATCHED!$O30,"")))))))&amp;IF(MATCHED!AL30=15,MATCHED!$P30,IF(MATCHED!AL30=16,MATCHED!$Q30,IF(MATCHED!AL30=17,MATCHED!$R30,IF(MATCHED!AL30=18,MATCHED!$S30,IF(MATCHED!AL30=19,MATCHED!$T30,IF(MATCHED!AL30=20,MATCHED!$U30,IF(MATCHED!AL30=21,MATCHED!$V30,)))))))&amp;IF(MATCHED!AL30=22,MATCHED!$W30,IF(MATCHED!AL30=23,MATCHED!$X30,IF(MATCHED!AL30=24,MATCHED!$Y30,IF(MATCHED!AL30=25,MATCHED!$Z30,IF(MATCHED!AL30=26,MATCHED!$AA30,IF(MATCHED!AL30=27,MATCHED!$AB30,"."))))))</f>
        <v>#N/A</v>
      </c>
      <c r="K30" s="362" t="e">
        <f>IF(MATCHED!AM30=1,MATCHED!$B30,IF(MATCHED!AM30=2,MATCHED!$C30,IF(MATCHED!AM30=3,MATCHED!$D30,IF(MATCHED!AM30=4,MATCHED!$E30,IF(MATCHED!AM30=3,MATCHED!$F30,IF(MATCHED!AM30=6,MATCHED!$G30,IF(MATCHED!AM30=7,MATCHED!$H30,"")))))))&amp;IF(MATCHED!AM30=8,MATCHED!$I30,IF(MATCHED!AM30=9,MATCHED!$J30,IF(MATCHED!AM30=10,MATCHED!$K30,IF(MATCHED!AM30=11,MATCHED!$L30,IF(MATCHED!AM30=12,MATCHED!$M30,IF(MATCHED!AM30=13,MATCHED!$N30,IF(MATCHED!AM30=14,MATCHED!$O30,"")))))))&amp;IF(MATCHED!AM30=15,MATCHED!$P30,IF(MATCHED!AM30=16,MATCHED!$Q30,IF(MATCHED!AM30=17,MATCHED!$R30,IF(MATCHED!AM30=18,MATCHED!$S30,IF(MATCHED!AM30=19,MATCHED!$T30,IF(MATCHED!AM30=20,MATCHED!$U30,IF(MATCHED!AM30=21,MATCHED!$V30,)))))))&amp;IF(MATCHED!AM30=22,MATCHED!$W30,IF(MATCHED!AM30=23,MATCHED!$X30,IF(MATCHED!AM30=24,MATCHED!$Y30,IF(MATCHED!AM30=25,MATCHED!$Z30,IF(MATCHED!AM30=26,MATCHED!$AA30,IF(MATCHED!AM30=27,MATCHED!$AB30,"."))))))</f>
        <v>#N/A</v>
      </c>
      <c r="L30" s="362" t="e">
        <f>IF(MATCHED!AN30=1,MATCHED!$B30,IF(MATCHED!AN30=2,MATCHED!$C30,IF(MATCHED!AN30=3,MATCHED!$D30,IF(MATCHED!AN30=4,MATCHED!$E30,IF(MATCHED!AN30=3,MATCHED!$F30,IF(MATCHED!AN30=6,MATCHED!$G30,IF(MATCHED!AN30=7,MATCHED!$H30,"")))))))&amp;IF(MATCHED!AN30=8,MATCHED!$I30,IF(MATCHED!AN30=9,MATCHED!$J30,IF(MATCHED!AN30=10,MATCHED!$K30,IF(MATCHED!AN30=11,MATCHED!$L30,IF(MATCHED!AN30=12,MATCHED!$M30,IF(MATCHED!AN30=13,MATCHED!$N30,IF(MATCHED!AN30=14,MATCHED!$O30,"")))))))&amp;IF(MATCHED!AN30=15,MATCHED!$P30,IF(MATCHED!AN30=16,MATCHED!$Q30,IF(MATCHED!AN30=17,MATCHED!$R30,IF(MATCHED!AN30=18,MATCHED!$S30,IF(MATCHED!AN30=19,MATCHED!$T30,IF(MATCHED!AN30=20,MATCHED!$U30,IF(MATCHED!AN30=21,MATCHED!$V30,)))))))&amp;IF(MATCHED!AN30=22,MATCHED!$W30,IF(MATCHED!AN30=23,MATCHED!$X30,IF(MATCHED!AN30=24,MATCHED!$Y30,IF(MATCHED!AN30=25,MATCHED!$Z30,IF(MATCHED!AN30=26,MATCHED!$AA30,IF(MATCHED!AN30=27,MATCHED!$AB30,"."))))))</f>
        <v>#N/A</v>
      </c>
      <c r="M30" s="362" t="e">
        <f>IF(MATCHED!AO30=1,MATCHED!$B30,IF(MATCHED!AO30=2,MATCHED!$C30,IF(MATCHED!AO30=3,MATCHED!$D30,IF(MATCHED!AO30=4,MATCHED!$E30,IF(MATCHED!AO30=3,MATCHED!$F30,IF(MATCHED!AO30=6,MATCHED!$G30,IF(MATCHED!AO30=7,MATCHED!$H30,"")))))))&amp;IF(MATCHED!AO30=8,MATCHED!$I30,IF(MATCHED!AO30=9,MATCHED!$J30,IF(MATCHED!AO30=10,MATCHED!$K30,IF(MATCHED!AO30=11,MATCHED!$L30,IF(MATCHED!AO30=12,MATCHED!$M30,IF(MATCHED!AO30=13,MATCHED!$N30,IF(MATCHED!AO30=14,MATCHED!$O30,"")))))))&amp;IF(MATCHED!AO30=15,MATCHED!$P30,IF(MATCHED!AO30=16,MATCHED!$Q30,IF(MATCHED!AO30=17,MATCHED!$R30,IF(MATCHED!AO30=18,MATCHED!$S30,IF(MATCHED!AO30=19,MATCHED!$T30,IF(MATCHED!AO30=20,MATCHED!$U30,IF(MATCHED!AO30=21,MATCHED!$V30,)))))))&amp;IF(MATCHED!AO30=22,MATCHED!$W30,IF(MATCHED!AO30=23,MATCHED!$X30,IF(MATCHED!AO30=24,MATCHED!$Y30,IF(MATCHED!AO30=25,MATCHED!$Z30,IF(MATCHED!AO30=26,MATCHED!$AA30,IF(MATCHED!AO30=27,MATCHED!$AB30,"."))))))</f>
        <v>#N/A</v>
      </c>
      <c r="N30" s="362" t="e">
        <f>IF(MATCHED!AP30=1,MATCHED!$B30,IF(MATCHED!AP30=2,MATCHED!$C30,IF(MATCHED!AP30=3,MATCHED!$D30,IF(MATCHED!AP30=4,MATCHED!$E30,IF(MATCHED!AP30=3,MATCHED!$F30,IF(MATCHED!AP30=6,MATCHED!$G30,IF(MATCHED!AP30=7,MATCHED!$H30,"")))))))&amp;IF(MATCHED!AP30=8,MATCHED!$I30,IF(MATCHED!AP30=9,MATCHED!$J30,IF(MATCHED!AP30=10,MATCHED!$K30,IF(MATCHED!AP30=11,MATCHED!$L30,IF(MATCHED!AP30=12,MATCHED!$M30,IF(MATCHED!AP30=13,MATCHED!$N30,IF(MATCHED!AP30=14,MATCHED!$O30,"")))))))&amp;IF(MATCHED!AP30=15,MATCHED!$P30,IF(MATCHED!AP30=16,MATCHED!$Q30,IF(MATCHED!AP30=17,MATCHED!$R30,IF(MATCHED!AP30=18,MATCHED!$S30,IF(MATCHED!AP30=19,MATCHED!$T30,IF(MATCHED!AP30=20,MATCHED!$U30,IF(MATCHED!AP30=21,MATCHED!$V30,)))))))&amp;IF(MATCHED!AP30=22,MATCHED!$W30,IF(MATCHED!AP30=23,MATCHED!$X30,IF(MATCHED!AP30=24,MATCHED!$Y30,IF(MATCHED!AP30=25,MATCHED!$Z30,IF(MATCHED!AP30=26,MATCHED!$AA30,IF(MATCHED!AP30=27,MATCHED!$AB30,"."))))))</f>
        <v>#N/A</v>
      </c>
      <c r="O30" s="362" t="e">
        <f>IF(MATCHED!AQ30=1,MATCHED!$B30,IF(MATCHED!AQ30=2,MATCHED!$C30,IF(MATCHED!AQ30=3,MATCHED!$D30,IF(MATCHED!AQ30=4,MATCHED!$E30,IF(MATCHED!AQ30=3,MATCHED!$F30,IF(MATCHED!AQ30=6,MATCHED!$G30,IF(MATCHED!AQ30=7,MATCHED!$H30,"")))))))&amp;IF(MATCHED!AQ30=8,MATCHED!$I30,IF(MATCHED!AQ30=9,MATCHED!$J30,IF(MATCHED!AQ30=10,MATCHED!$K30,IF(MATCHED!AQ30=11,MATCHED!$L30,IF(MATCHED!AQ30=12,MATCHED!$M30,IF(MATCHED!AQ30=13,MATCHED!$N30,IF(MATCHED!AQ30=14,MATCHED!$O30,"")))))))&amp;IF(MATCHED!AQ30=15,MATCHED!$P30,IF(MATCHED!AQ30=16,MATCHED!$Q30,IF(MATCHED!AQ30=17,MATCHED!$R30,IF(MATCHED!AQ30=18,MATCHED!$S30,IF(MATCHED!AQ30=19,MATCHED!$T30,IF(MATCHED!AQ30=20,MATCHED!$U30,IF(MATCHED!AQ30=21,MATCHED!$V30,)))))))&amp;IF(MATCHED!AQ30=22,MATCHED!$W30,IF(MATCHED!AQ30=23,MATCHED!$X30,IF(MATCHED!AQ30=24,MATCHED!$Y30,IF(MATCHED!AQ30=25,MATCHED!$Z30,IF(MATCHED!AQ30=26,MATCHED!$AA30,IF(MATCHED!AQ30=27,MATCHED!$AB30,"."))))))</f>
        <v>#N/A</v>
      </c>
      <c r="P30" s="362" t="e">
        <f>IF(MATCHED!AR30=1,MATCHED!$B30,IF(MATCHED!AR30=2,MATCHED!$C30,IF(MATCHED!AR30=3,MATCHED!$D30,IF(MATCHED!AR30=4,MATCHED!$E30,IF(MATCHED!AR30=3,MATCHED!$F30,IF(MATCHED!AR30=6,MATCHED!$G30,IF(MATCHED!AR30=7,MATCHED!$H30,"")))))))&amp;IF(MATCHED!AR30=8,MATCHED!$I30,IF(MATCHED!AR30=9,MATCHED!$J30,IF(MATCHED!AR30=10,MATCHED!$K30,IF(MATCHED!AR30=11,MATCHED!$L30,IF(MATCHED!AR30=12,MATCHED!$M30,IF(MATCHED!AR30=13,MATCHED!$N30,IF(MATCHED!AR30=14,MATCHED!$O30,"")))))))&amp;IF(MATCHED!AR30=15,MATCHED!$P30,IF(MATCHED!AR30=16,MATCHED!$Q30,IF(MATCHED!AR30=17,MATCHED!$R30,IF(MATCHED!AR30=18,MATCHED!$S30,IF(MATCHED!AR30=19,MATCHED!$T30,IF(MATCHED!AR30=20,MATCHED!$U30,IF(MATCHED!AR30=21,MATCHED!$V30,)))))))&amp;IF(MATCHED!AR30=22,MATCHED!$W30,IF(MATCHED!AR30=23,MATCHED!$X30,IF(MATCHED!AR30=24,MATCHED!$Y30,IF(MATCHED!AR30=25,MATCHED!$Z30,IF(MATCHED!AR30=26,MATCHED!$AA30,IF(MATCHED!AR30=27,MATCHED!$AB30,"."))))))</f>
        <v>#N/A</v>
      </c>
      <c r="Q30" s="363" t="e">
        <f>IF(MATCHED!AS30=1,MATCHED!$B30,IF(MATCHED!AS30=2,MATCHED!$C30,IF(MATCHED!AS30=3,MATCHED!$D30,IF(MATCHED!AS30=4,MATCHED!$E30,IF(MATCHED!AS30=3,MATCHED!$F30,IF(MATCHED!AS30=6,MATCHED!$G30,IF(MATCHED!AS30=7,MATCHED!$H30,"")))))))&amp;IF(MATCHED!AS30=8,MATCHED!$I30,IF(MATCHED!AS30=9,MATCHED!$J30,IF(MATCHED!AS30=10,MATCHED!$K30,IF(MATCHED!AS30=11,MATCHED!$L30,IF(MATCHED!AS30=12,MATCHED!$M30,IF(MATCHED!AS30=13,MATCHED!$N30,IF(MATCHED!AS30=14,MATCHED!$O30,"")))))))&amp;IF(MATCHED!AS30=15,MATCHED!$P30,IF(MATCHED!AS30=16,MATCHED!$Q30,IF(MATCHED!AS30=17,MATCHED!$R30,IF(MATCHED!AS30=18,MATCHED!$S30,IF(MATCHED!AS30=19,MATCHED!$T30,IF(MATCHED!AS30=20,MATCHED!$U30,IF(MATCHED!AS30=21,MATCHED!$V30,)))))))&amp;IF(MATCHED!AS30=22,MATCHED!$W30,IF(MATCHED!AS30=23,MATCHED!$X30,IF(MATCHED!AS30=24,MATCHED!$Y30,IF(MATCHED!AS30=25,MATCHED!$Z30,IF(MATCHED!AS30=26,MATCHED!$AA30,IF(MATCHED!AS30=27,MATCHED!$AB30,"."))))))</f>
        <v>#N/A</v>
      </c>
      <c r="R30" s="362" t="e">
        <f>IF(MATCHED!AT30=1,MATCHED!$B30,IF(MATCHED!AT30=2,MATCHED!$C30,IF(MATCHED!AT30=3,MATCHED!$D30,IF(MATCHED!AT30=4,MATCHED!$E30,IF(MATCHED!AT30=3,MATCHED!$F30,IF(MATCHED!AT30=6,MATCHED!$G30,IF(MATCHED!AT30=7,MATCHED!$H30,"")))))))&amp;IF(MATCHED!AT30=8,MATCHED!$I30,IF(MATCHED!AT30=9,MATCHED!$J30,IF(MATCHED!AT30=10,MATCHED!$K30,IF(MATCHED!AT30=11,MATCHED!$L30,IF(MATCHED!AT30=12,MATCHED!$M30,IF(MATCHED!AT30=13,MATCHED!$N30,IF(MATCHED!AT30=14,MATCHED!$O30,"")))))))&amp;IF(MATCHED!AT30=15,MATCHED!$P30,IF(MATCHED!AT30=16,MATCHED!$Q30,IF(MATCHED!AT30=17,MATCHED!$R30,IF(MATCHED!AT30=18,MATCHED!$S30,IF(MATCHED!AT30=19,MATCHED!$T30,IF(MATCHED!AT30=20,MATCHED!$U30,IF(MATCHED!AT30=21,MATCHED!$V30,)))))))&amp;IF(MATCHED!AT30=22,MATCHED!$W30,IF(MATCHED!AT30=23,MATCHED!$X30,IF(MATCHED!AT30=24,MATCHED!$Y30,IF(MATCHED!AT30=25,MATCHED!$Z30,IF(MATCHED!AT30=26,MATCHED!$AA30,IF(MATCHED!AT30=27,MATCHED!$AB30,"."))))))</f>
        <v>#N/A</v>
      </c>
      <c r="S30" s="362" t="e">
        <f>IF(MATCHED!AU30=1,MATCHED!$B30,IF(MATCHED!AU30=2,MATCHED!$C30,IF(MATCHED!AU30=3,MATCHED!$D30,IF(MATCHED!AU30=4,MATCHED!$E30,IF(MATCHED!AU30=3,MATCHED!$F30,IF(MATCHED!AU30=6,MATCHED!$G30,IF(MATCHED!AU30=7,MATCHED!$H30,"")))))))&amp;IF(MATCHED!AU30=8,MATCHED!$I30,IF(MATCHED!AU30=9,MATCHED!$J30,IF(MATCHED!AU30=10,MATCHED!$K30,IF(MATCHED!AU30=11,MATCHED!$L30,IF(MATCHED!AU30=12,MATCHED!$M30,IF(MATCHED!AU30=13,MATCHED!$N30,IF(MATCHED!AU30=14,MATCHED!$O30,"")))))))&amp;IF(MATCHED!AU30=15,MATCHED!$P30,IF(MATCHED!AU30=16,MATCHED!$Q30,IF(MATCHED!AU30=17,MATCHED!$R30,IF(MATCHED!AU30=18,MATCHED!$S30,IF(MATCHED!AU30=19,MATCHED!$T30,IF(MATCHED!AU30=20,MATCHED!$U30,IF(MATCHED!AU30=21,MATCHED!$V30,)))))))&amp;IF(MATCHED!AU30=22,MATCHED!$W30,IF(MATCHED!AU30=23,MATCHED!$X30,IF(MATCHED!AU30=24,MATCHED!$Y30,IF(MATCHED!AU30=25,MATCHED!$Z30,IF(MATCHED!AU30=26,MATCHED!$AA30,IF(MATCHED!AU30=27,MATCHED!$AB30,"."))))))</f>
        <v>#N/A</v>
      </c>
      <c r="T30" s="362" t="e">
        <f>IF(MATCHED!AV30=1,MATCHED!$B30,IF(MATCHED!AV30=2,MATCHED!$C30,IF(MATCHED!AV30=3,MATCHED!$D30,IF(MATCHED!AV30=4,MATCHED!$E30,IF(MATCHED!AV30=3,MATCHED!$F30,IF(MATCHED!AV30=6,MATCHED!$G30,IF(MATCHED!AV30=7,MATCHED!$H30,"")))))))&amp;IF(MATCHED!AV30=8,MATCHED!$I30,IF(MATCHED!AV30=9,MATCHED!$J30,IF(MATCHED!AV30=10,MATCHED!$K30,IF(MATCHED!AV30=11,MATCHED!$L30,IF(MATCHED!AV30=12,MATCHED!$M30,IF(MATCHED!AV30=13,MATCHED!$N30,IF(MATCHED!AV30=14,MATCHED!$O30,"")))))))&amp;IF(MATCHED!AV30=15,MATCHED!$P30,IF(MATCHED!AV30=16,MATCHED!$Q30,IF(MATCHED!AV30=17,MATCHED!$R30,IF(MATCHED!AV30=18,MATCHED!$S30,IF(MATCHED!AV30=19,MATCHED!$T30,IF(MATCHED!AV30=20,MATCHED!$U30,IF(MATCHED!AV30=21,MATCHED!$V30,)))))))&amp;IF(MATCHED!AV30=22,MATCHED!$W30,IF(MATCHED!AV30=23,MATCHED!$X30,IF(MATCHED!AV30=24,MATCHED!$Y30,IF(MATCHED!AV30=25,MATCHED!$Z30,IF(MATCHED!AV30=26,MATCHED!$AA30,IF(MATCHED!AV30=27,MATCHED!$AB30,"."))))))</f>
        <v>#N/A</v>
      </c>
      <c r="U30" s="362" t="e">
        <f>IF(MATCHED!AW30=1,MATCHED!$B30,IF(MATCHED!AW30=2,MATCHED!$C30,IF(MATCHED!AW30=3,MATCHED!$D30,IF(MATCHED!AW30=4,MATCHED!$E30,IF(MATCHED!AW30=3,MATCHED!$F30,IF(MATCHED!AW30=6,MATCHED!$G30,IF(MATCHED!AW30=7,MATCHED!$H30,"")))))))&amp;IF(MATCHED!AW30=8,MATCHED!$I30,IF(MATCHED!AW30=9,MATCHED!$J30,IF(MATCHED!AW30=10,MATCHED!$K30,IF(MATCHED!AW30=11,MATCHED!$L30,IF(MATCHED!AW30=12,MATCHED!$M30,IF(MATCHED!AW30=13,MATCHED!$N30,IF(MATCHED!AW30=14,MATCHED!$O30,"")))))))&amp;IF(MATCHED!AW30=15,MATCHED!$P30,IF(MATCHED!AW30=16,MATCHED!$Q30,IF(MATCHED!AW30=17,MATCHED!$R30,IF(MATCHED!AW30=18,MATCHED!$S30,IF(MATCHED!AW30=19,MATCHED!$T30,IF(MATCHED!AW30=20,MATCHED!$U30,IF(MATCHED!AW30=21,MATCHED!$V30,)))))))&amp;IF(MATCHED!AW30=22,MATCHED!$W30,IF(MATCHED!AW30=23,MATCHED!$X30,IF(MATCHED!AW30=24,MATCHED!$Y30,IF(MATCHED!AW30=25,MATCHED!$Z30,IF(MATCHED!AW30=26,MATCHED!$AA30,IF(MATCHED!AW30=27,MATCHED!$AB30,"."))))))</f>
        <v>#N/A</v>
      </c>
      <c r="V30" s="362" t="e">
        <f>IF(MATCHED!AX30=1,MATCHED!$B30,IF(MATCHED!AX30=2,MATCHED!$C30,IF(MATCHED!AX30=3,MATCHED!$D30,IF(MATCHED!AX30=4,MATCHED!$E30,IF(MATCHED!AX30=3,MATCHED!$F30,IF(MATCHED!AX30=6,MATCHED!$G30,IF(MATCHED!AX30=7,MATCHED!$H30,"")))))))&amp;IF(MATCHED!AX30=8,MATCHED!$I30,IF(MATCHED!AX30=9,MATCHED!$J30,IF(MATCHED!AX30=10,MATCHED!$K30,IF(MATCHED!AX30=11,MATCHED!$L30,IF(MATCHED!AX30=12,MATCHED!$M30,IF(MATCHED!AX30=13,MATCHED!$N30,IF(MATCHED!AX30=14,MATCHED!$O30,"")))))))&amp;IF(MATCHED!AX30=15,MATCHED!$P30,IF(MATCHED!AX30=16,MATCHED!$Q30,IF(MATCHED!AX30=17,MATCHED!$R30,IF(MATCHED!AX30=18,MATCHED!$S30,IF(MATCHED!AX30=19,MATCHED!$T30,IF(MATCHED!AX30=20,MATCHED!$U30,IF(MATCHED!AX30=21,MATCHED!$V30,)))))))&amp;IF(MATCHED!AX30=22,MATCHED!$W30,IF(MATCHED!AX30=23,MATCHED!$X30,IF(MATCHED!AX30=24,MATCHED!$Y30,IF(MATCHED!AX30=25,MATCHED!$Z30,IF(MATCHED!AX30=26,MATCHED!$AA30,IF(MATCHED!AX30=27,MATCHED!$AB30,"."))))))</f>
        <v>#N/A</v>
      </c>
      <c r="W30" s="362" t="e">
        <f>IF(MATCHED!AY30=1,MATCHED!$B30,IF(MATCHED!AY30=2,MATCHED!$C30,IF(MATCHED!AY30=3,MATCHED!$D30,IF(MATCHED!AY30=4,MATCHED!$E30,IF(MATCHED!AY30=3,MATCHED!$F30,IF(MATCHED!AY30=6,MATCHED!$G30,IF(MATCHED!AY30=7,MATCHED!$H30,"")))))))&amp;IF(MATCHED!AY30=8,MATCHED!$I30,IF(MATCHED!AY30=9,MATCHED!$J30,IF(MATCHED!AY30=10,MATCHED!$K30,IF(MATCHED!AY30=11,MATCHED!$L30,IF(MATCHED!AY30=12,MATCHED!$M30,IF(MATCHED!AY30=13,MATCHED!$N30,IF(MATCHED!AY30=14,MATCHED!$O30,"")))))))&amp;IF(MATCHED!AY30=15,MATCHED!$P30,IF(MATCHED!AY30=16,MATCHED!$Q30,IF(MATCHED!AY30=17,MATCHED!$R30,IF(MATCHED!AY30=18,MATCHED!$S30,IF(MATCHED!AY30=19,MATCHED!$T30,IF(MATCHED!AY30=20,MATCHED!$U30,IF(MATCHED!AY30=21,MATCHED!$V30,)))))))&amp;IF(MATCHED!AY30=22,MATCHED!$W30,IF(MATCHED!AY30=23,MATCHED!$X30,IF(MATCHED!AY30=24,MATCHED!$Y30,IF(MATCHED!AY30=25,MATCHED!$Z30,IF(MATCHED!AY30=26,MATCHED!$AA30,IF(MATCHED!AY30=27,MATCHED!$AB30,"."))))))</f>
        <v>#N/A</v>
      </c>
      <c r="X30" s="362" t="e">
        <f>IF(MATCHED!AZ30=1,MATCHED!$B30,IF(MATCHED!AZ30=2,MATCHED!$C30,IF(MATCHED!AZ30=3,MATCHED!$D30,IF(MATCHED!AZ30=4,MATCHED!$E30,IF(MATCHED!AZ30=3,MATCHED!$F30,IF(MATCHED!AZ30=6,MATCHED!$G30,IF(MATCHED!AZ30=7,MATCHED!$H30,"")))))))&amp;IF(MATCHED!AZ30=8,MATCHED!$I30,IF(MATCHED!AZ30=9,MATCHED!$J30,IF(MATCHED!AZ30=10,MATCHED!$K30,IF(MATCHED!AZ30=11,MATCHED!$L30,IF(MATCHED!AZ30=12,MATCHED!$M30,IF(MATCHED!AZ30=13,MATCHED!$N30,IF(MATCHED!AZ30=14,MATCHED!$O30,"")))))))&amp;IF(MATCHED!AZ30=15,MATCHED!$P30,IF(MATCHED!AZ30=16,MATCHED!$Q30,IF(MATCHED!AZ30=17,MATCHED!$R30,IF(MATCHED!AZ30=18,MATCHED!$S30,IF(MATCHED!AZ30=19,MATCHED!$T30,IF(MATCHED!AZ30=20,MATCHED!$U30,IF(MATCHED!AZ30=21,MATCHED!$V30,)))))))&amp;IF(MATCHED!AZ30=22,MATCHED!$W30,IF(MATCHED!AZ30=23,MATCHED!$X30,IF(MATCHED!AZ30=24,MATCHED!$Y30,IF(MATCHED!AZ30=25,MATCHED!$Z30,IF(MATCHED!AZ30=26,MATCHED!$AA30,IF(MATCHED!AZ30=27,MATCHED!$AB30,"."))))))</f>
        <v>#N/A</v>
      </c>
      <c r="Y30" s="362" t="e">
        <f>IF(MATCHED!BA30=1,MATCHED!$B30,IF(MATCHED!BA30=2,MATCHED!$C30,IF(MATCHED!BA30=3,MATCHED!$D30,IF(MATCHED!BA30=4,MATCHED!$E30,IF(MATCHED!BA30=3,MATCHED!$F30,IF(MATCHED!BA30=6,MATCHED!$G30,IF(MATCHED!BA30=7,MATCHED!$H30,"")))))))&amp;IF(MATCHED!BA30=8,MATCHED!$I30,IF(MATCHED!BA30=9,MATCHED!$J30,IF(MATCHED!BA30=10,MATCHED!$K30,IF(MATCHED!BA30=11,MATCHED!$L30,IF(MATCHED!BA30=12,MATCHED!$M30,IF(MATCHED!BA30=13,MATCHED!$N30,IF(MATCHED!BA30=14,MATCHED!$O30,"")))))))&amp;IF(MATCHED!BA30=15,MATCHED!$P30,IF(MATCHED!BA30=16,MATCHED!$Q30,IF(MATCHED!BA30=17,MATCHED!$R30,IF(MATCHED!BA30=18,MATCHED!$S30,IF(MATCHED!BA30=19,MATCHED!$T30,IF(MATCHED!BA30=20,MATCHED!$U30,IF(MATCHED!BA30=21,MATCHED!$V30,)))))))&amp;IF(MATCHED!BA30=22,MATCHED!$W30,IF(MATCHED!BA30=23,MATCHED!$X30,IF(MATCHED!BA30=24,MATCHED!$Y30,IF(MATCHED!BA30=25,MATCHED!$Z30,IF(MATCHED!BA30=26,MATCHED!$AA30,IF(MATCHED!BA30=27,MATCHED!$AB30,"."))))))</f>
        <v>#N/A</v>
      </c>
      <c r="Z30" s="362" t="e">
        <f>IF(MATCHED!BB30=1,MATCHED!$B30,IF(MATCHED!BB30=2,MATCHED!$C30,IF(MATCHED!BB30=3,MATCHED!$D30,IF(MATCHED!BB30=4,MATCHED!$E30,IF(MATCHED!BB30=3,MATCHED!$F30,IF(MATCHED!BB30=6,MATCHED!$G30,IF(MATCHED!BB30=7,MATCHED!$H30,"")))))))&amp;IF(MATCHED!BB30=8,MATCHED!$I30,IF(MATCHED!BB30=9,MATCHED!$J30,IF(MATCHED!BB30=10,MATCHED!$K30,IF(MATCHED!BB30=11,MATCHED!$L30,IF(MATCHED!BB30=12,MATCHED!$M30,IF(MATCHED!BB30=13,MATCHED!$N30,IF(MATCHED!BB30=14,MATCHED!$O30,"")))))))&amp;IF(MATCHED!BB30=15,MATCHED!$P30,IF(MATCHED!BB30=16,MATCHED!$Q30,IF(MATCHED!BB30=17,MATCHED!$R30,IF(MATCHED!BB30=18,MATCHED!$S30,IF(MATCHED!BB30=19,MATCHED!$T30,IF(MATCHED!BB30=20,MATCHED!$U30,IF(MATCHED!BB30=21,MATCHED!$V30,)))))))&amp;IF(MATCHED!BB30=22,MATCHED!$W30,IF(MATCHED!BB30=23,MATCHED!$X30,IF(MATCHED!BB30=24,MATCHED!$Y30,IF(MATCHED!BB30=25,MATCHED!$Z30,IF(MATCHED!BB30=26,MATCHED!$AA30,IF(MATCHED!BB30=27,MATCHED!$AB30,"."))))))</f>
        <v>#N/A</v>
      </c>
      <c r="AA30" s="362" t="e">
        <f>IF(MATCHED!BC30=1,MATCHED!$B30,IF(MATCHED!BC30=2,MATCHED!$C30,IF(MATCHED!BC30=3,MATCHED!$D30,IF(MATCHED!BC30=4,MATCHED!$E30,IF(MATCHED!BC30=3,MATCHED!$F30,IF(MATCHED!BC30=6,MATCHED!$G30,IF(MATCHED!BC30=7,MATCHED!$H30,"")))))))&amp;IF(MATCHED!BC30=8,MATCHED!$I30,IF(MATCHED!BC30=9,MATCHED!$J30,IF(MATCHED!BC30=10,MATCHED!$K30,IF(MATCHED!BC30=11,MATCHED!$L30,IF(MATCHED!BC30=12,MATCHED!$M30,IF(MATCHED!BC30=13,MATCHED!$N30,IF(MATCHED!BC30=14,MATCHED!$O30,"")))))))&amp;IF(MATCHED!BC30=15,MATCHED!$P30,IF(MATCHED!BC30=16,MATCHED!$Q30,IF(MATCHED!BC30=17,MATCHED!$R30,IF(MATCHED!BC30=18,MATCHED!$S30,IF(MATCHED!BC30=19,MATCHED!$T30,IF(MATCHED!BC30=20,MATCHED!$U30,IF(MATCHED!BC30=21,MATCHED!$V30,)))))))&amp;IF(MATCHED!BC30=22,MATCHED!$W30,IF(MATCHED!BC30=23,MATCHED!$X30,IF(MATCHED!BC30=24,MATCHED!$Y30,IF(MATCHED!BC30=25,MATCHED!$Z30,IF(MATCHED!BC30=26,MATCHED!$AA30,IF(MATCHED!BC30=27,MATCHED!$AB30,"."))))))</f>
        <v>#N/A</v>
      </c>
      <c r="AB30" s="362" t="e">
        <f>IF(MATCHED!BD30=1,MATCHED!$B30,IF(MATCHED!BD30=2,MATCHED!$C30,IF(MATCHED!BD30=3,MATCHED!$D30,IF(MATCHED!BD30=4,MATCHED!$E30,IF(MATCHED!BD30=3,MATCHED!$F30,IF(MATCHED!BD30=6,MATCHED!$G30,IF(MATCHED!BD30=7,MATCHED!$H30,"")))))))&amp;IF(MATCHED!BD30=8,MATCHED!$I30,IF(MATCHED!BD30=9,MATCHED!$J30,IF(MATCHED!BD30=10,MATCHED!$K30,IF(MATCHED!BD30=11,MATCHED!$L30,IF(MATCHED!BD30=12,MATCHED!$M30,IF(MATCHED!BD30=13,MATCHED!$N30,IF(MATCHED!BD30=14,MATCHED!$O30,"")))))))&amp;IF(MATCHED!BD30=15,MATCHED!$P30,IF(MATCHED!BD30=16,MATCHED!$Q30,IF(MATCHED!BD30=17,MATCHED!$R30,IF(MATCHED!BD30=18,MATCHED!$S30,IF(MATCHED!BD30=19,MATCHED!$T30,IF(MATCHED!BD30=20,MATCHED!$U30,IF(MATCHED!BD30=21,MATCHED!$V30,)))))))&amp;IF(MATCHED!BD30=22,MATCHED!$W30,IF(MATCHED!BD30=23,MATCHED!$X30,IF(MATCHED!BD30=24,MATCHED!$Y30,IF(MATCHED!BD30=25,MATCHED!$Z30,IF(MATCHED!BD30=26,MATCHED!$AA30,IF(MATCHED!BD30=27,MATCHED!$AB30,"."))))))</f>
        <v>#N/A</v>
      </c>
      <c r="AC30" s="362" t="e">
        <f>IF(MATCHED!BE30=1,MATCHED!$B30,IF(MATCHED!BE30=2,MATCHED!$C30,IF(MATCHED!BE30=3,MATCHED!$D30,IF(MATCHED!BE30=4,MATCHED!$E30,IF(MATCHED!BE30=3,MATCHED!$F30,IF(MATCHED!BE30=6,MATCHED!$G30,IF(MATCHED!BE30=7,MATCHED!$H30,"")))))))&amp;IF(MATCHED!BE30=8,MATCHED!$I30,IF(MATCHED!BE30=9,MATCHED!$J30,IF(MATCHED!BE30=10,MATCHED!$K30,IF(MATCHED!BE30=11,MATCHED!$L30,IF(MATCHED!BE30=12,MATCHED!$M30,IF(MATCHED!BE30=13,MATCHED!$N30,IF(MATCHED!BE30=14,MATCHED!$O30,"")))))))&amp;IF(MATCHED!BE30=15,MATCHED!$P30,IF(MATCHED!BE30=16,MATCHED!$Q30,IF(MATCHED!BE30=17,MATCHED!$R30,IF(MATCHED!BE30=18,MATCHED!$S30,IF(MATCHED!BE30=19,MATCHED!$T30,IF(MATCHED!BE30=20,MATCHED!$U30,IF(MATCHED!BE30=21,MATCHED!$V30,)))))))&amp;IF(MATCHED!BE30=22,MATCHED!$W30,IF(MATCHED!BE30=23,MATCHED!$X30,IF(MATCHED!BE30=24,MATCHED!$Y30,IF(MATCHED!BE30=25,MATCHED!$Z30,IF(MATCHED!BE30=26,MATCHED!$AA30,IF(MATCHED!BE30=27,MATCHED!$AB30,"."))))))</f>
        <v>#N/A</v>
      </c>
      <c r="AD30" s="362" t="e">
        <f>IF(MATCHED!BF30=1,MATCHED!$B30,IF(MATCHED!BF30=2,MATCHED!$C30,IF(MATCHED!BF30=3,MATCHED!$D30,IF(MATCHED!BF30=4,MATCHED!$E30,IF(MATCHED!BF30=3,MATCHED!$F30,IF(MATCHED!BF30=6,MATCHED!$G30,IF(MATCHED!BF30=7,MATCHED!$H30,"")))))))&amp;IF(MATCHED!BF30=8,MATCHED!$I30,IF(MATCHED!BF30=9,MATCHED!$J30,IF(MATCHED!BF30=10,MATCHED!$K30,IF(MATCHED!BF30=11,MATCHED!$L30,IF(MATCHED!BF30=12,MATCHED!$M30,IF(MATCHED!BF30=13,MATCHED!$N30,IF(MATCHED!BF30=14,MATCHED!$O30,"")))))))&amp;IF(MATCHED!BF30=15,MATCHED!$P30,IF(MATCHED!BF30=16,MATCHED!$Q30,IF(MATCHED!BF30=17,MATCHED!$R30,IF(MATCHED!BF30=18,MATCHED!$S30,IF(MATCHED!BF30=19,MATCHED!$T30,IF(MATCHED!BF30=20,MATCHED!$U30,IF(MATCHED!BF30=21,MATCHED!$V30,)))))))&amp;IF(MATCHED!BF30=22,MATCHED!$W30,IF(MATCHED!BF30=23,MATCHED!$X30,IF(MATCHED!BF30=24,MATCHED!$Y30,IF(MATCHED!BF30=25,MATCHED!$Z30,IF(MATCHED!BF30=26,MATCHED!$AA30,IF(MATCHED!BF30=27,MATCHED!$AB30,"."))))))</f>
        <v>#N/A</v>
      </c>
      <c r="AE30" s="362" t="e">
        <f>IF(MATCHED!BG30=1,MATCHED!$B30,IF(MATCHED!BG30=2,MATCHED!$C30,IF(MATCHED!BG30=3,MATCHED!$D30,IF(MATCHED!BG30=4,MATCHED!$E30,IF(MATCHED!BG30=3,MATCHED!$F30,IF(MATCHED!BG30=6,MATCHED!$G30,IF(MATCHED!BG30=7,MATCHED!$H30,"")))))))&amp;IF(MATCHED!BG30=8,MATCHED!$I30,IF(MATCHED!BG30=9,MATCHED!$J30,IF(MATCHED!BG30=10,MATCHED!$K30,IF(MATCHED!BG30=11,MATCHED!$L30,IF(MATCHED!BG30=12,MATCHED!$M30,IF(MATCHED!BG30=13,MATCHED!$N30,IF(MATCHED!BG30=14,MATCHED!$O30,"")))))))&amp;IF(MATCHED!BG30=15,MATCHED!$P30,IF(MATCHED!BG30=16,MATCHED!$Q30,IF(MATCHED!BG30=17,MATCHED!$R30,IF(MATCHED!BG30=18,MATCHED!$S30,IF(MATCHED!BG30=19,MATCHED!$T30,IF(MATCHED!BG30=20,MATCHED!$U30,IF(MATCHED!BG30=21,MATCHED!$V30,)))))))&amp;IF(MATCHED!BG30=22,MATCHED!$W30,IF(MATCHED!BG30=23,MATCHED!$X30,IF(MATCHED!BG30=24,MATCHED!$Y30,IF(MATCHED!BG30=25,MATCHED!$Z30,IF(MATCHED!BG30=26,MATCHED!$AA30,IF(MATCHED!BG30=27,MATCHED!$AB30,"."))))))</f>
        <v>#N/A</v>
      </c>
      <c r="AF30" s="362" t="e">
        <f>IF(MATCHED!BH30=1,MATCHED!$B30,IF(MATCHED!BH30=2,MATCHED!$C30,IF(MATCHED!BH30=3,MATCHED!$D30,IF(MATCHED!BH30=4,MATCHED!$E30,IF(MATCHED!BH30=3,MATCHED!$F30,IF(MATCHED!BH30=6,MATCHED!$G30,IF(MATCHED!BH30=7,MATCHED!$H30,"")))))))&amp;IF(MATCHED!BH30=8,MATCHED!$I30,IF(MATCHED!BH30=9,MATCHED!$J30,IF(MATCHED!BH30=10,MATCHED!$K30,IF(MATCHED!BH30=11,MATCHED!$L30,IF(MATCHED!BH30=12,MATCHED!$M30,IF(MATCHED!BH30=13,MATCHED!$N30,IF(MATCHED!BH30=14,MATCHED!$O30,"")))))))&amp;IF(MATCHED!BH30=15,MATCHED!$P30,IF(MATCHED!BH30=16,MATCHED!$Q30,IF(MATCHED!BH30=17,MATCHED!$R30,IF(MATCHED!BH30=18,MATCHED!$S30,IF(MATCHED!BH30=19,MATCHED!$T30,IF(MATCHED!BH30=20,MATCHED!$U30,IF(MATCHED!BH30=21,MATCHED!$V30,)))))))&amp;IF(MATCHED!BH30=22,MATCHED!$W30,IF(MATCHED!BH30=23,MATCHED!$X30,IF(MATCHED!BH30=24,MATCHED!$Y30,IF(MATCHED!BH30=25,MATCHED!$Z30,IF(MATCHED!BH30=26,MATCHED!$AA30,IF(MATCHED!BH30=27,MATCHED!$AB30,"."))))))</f>
        <v>#N/A</v>
      </c>
      <c r="AG30" s="362" t="e">
        <f>IF(MATCHED!BI30=1,MATCHED!$B30,IF(MATCHED!BI30=2,MATCHED!$C30,IF(MATCHED!BI30=3,MATCHED!$D30,IF(MATCHED!BI30=4,MATCHED!$E30,IF(MATCHED!BI30=3,MATCHED!$F30,IF(MATCHED!BI30=6,MATCHED!$G30,IF(MATCHED!BI30=7,MATCHED!$H30,"")))))))&amp;IF(MATCHED!BI30=8,MATCHED!$I30,IF(MATCHED!BI30=9,MATCHED!$J30,IF(MATCHED!BI30=10,MATCHED!$K30,IF(MATCHED!BI30=11,MATCHED!$L30,IF(MATCHED!BI30=12,MATCHED!$M30,IF(MATCHED!BI30=13,MATCHED!$N30,IF(MATCHED!BI30=14,MATCHED!$O30,"")))))))&amp;IF(MATCHED!BI30=15,MATCHED!$P30,IF(MATCHED!BI30=16,MATCHED!$Q30,IF(MATCHED!BI30=17,MATCHED!$R30,IF(MATCHED!BI30=18,MATCHED!$S30,IF(MATCHED!BI30=19,MATCHED!$T30,IF(MATCHED!BI30=20,MATCHED!$U30,IF(MATCHED!BI30=21,MATCHED!$V30,)))))))&amp;IF(MATCHED!BI30=22,MATCHED!$W30,IF(MATCHED!BI30=23,MATCHED!$X30,IF(MATCHED!BI30=24,MATCHED!$Y30,IF(MATCHED!BI30=25,MATCHED!$Z30,IF(MATCHED!BI30=26,MATCHED!$AA30,IF(MATCHED!BI30=27,MATCHED!$AB30,"."))))))</f>
        <v>#N/A</v>
      </c>
      <c r="AH30" s="362" t="e">
        <f>IF(MATCHED!BJ30=1,MATCHED!$B30,IF(MATCHED!BJ30=2,MATCHED!$C30,IF(MATCHED!BJ30=3,MATCHED!$D30,IF(MATCHED!BJ30=4,MATCHED!$E30,IF(MATCHED!BJ30=3,MATCHED!$F30,IF(MATCHED!BJ30=6,MATCHED!$G30,IF(MATCHED!BJ30=7,MATCHED!$H30,"")))))))&amp;IF(MATCHED!BJ30=8,MATCHED!$I30,IF(MATCHED!BJ30=9,MATCHED!$J30,IF(MATCHED!BJ30=10,MATCHED!$K30,IF(MATCHED!BJ30=11,MATCHED!$L30,IF(MATCHED!BJ30=12,MATCHED!$M30,IF(MATCHED!BJ30=13,MATCHED!$N30,IF(MATCHED!BJ30=14,MATCHED!$O30,"")))))))&amp;IF(MATCHED!BJ30=15,MATCHED!$P30,IF(MATCHED!BJ30=16,MATCHED!$Q30,IF(MATCHED!BJ30=17,MATCHED!$R30,IF(MATCHED!BJ30=18,MATCHED!$S30,IF(MATCHED!BJ30=19,MATCHED!$T30,IF(MATCHED!BJ30=20,MATCHED!$U30,IF(MATCHED!BJ30=21,MATCHED!$V30,)))))))&amp;IF(MATCHED!BJ30=22,MATCHED!$W30,IF(MATCHED!BJ30=23,MATCHED!$X30,IF(MATCHED!BJ30=24,MATCHED!$Y30,IF(MATCHED!BJ30=25,MATCHED!$Z30,IF(MATCHED!BJ30=26,MATCHED!$AA30,IF(MATCHED!BJ30=27,MATCHED!$AB30,"."))))))</f>
        <v>#N/A</v>
      </c>
      <c r="AI30" s="362" t="e">
        <f>IF(MATCHED!BK30=1,MATCHED!$B30,IF(MATCHED!BK30=2,MATCHED!$C30,IF(MATCHED!BK30=3,MATCHED!$D30,IF(MATCHED!BK30=4,MATCHED!$E30,IF(MATCHED!BK30=3,MATCHED!$F30,IF(MATCHED!BK30=6,MATCHED!$G30,IF(MATCHED!BK30=7,MATCHED!$H30,"")))))))&amp;IF(MATCHED!BK30=8,MATCHED!$I30,IF(MATCHED!BK30=9,MATCHED!$J30,IF(MATCHED!BK30=10,MATCHED!$K30,IF(MATCHED!BK30=11,MATCHED!$L30,IF(MATCHED!BK30=12,MATCHED!$M30,IF(MATCHED!BK30=13,MATCHED!$N30,IF(MATCHED!BK30=14,MATCHED!$O30,"")))))))&amp;IF(MATCHED!BK30=15,MATCHED!$P30,IF(MATCHED!BK30=16,MATCHED!$Q30,IF(MATCHED!BK30=17,MATCHED!$R30,IF(MATCHED!BK30=18,MATCHED!$S30,IF(MATCHED!BK30=19,MATCHED!$T30,IF(MATCHED!BK30=20,MATCHED!$U30,IF(MATCHED!BK30=21,MATCHED!$V30,)))))))&amp;IF(MATCHED!BK30=22,MATCHED!$W30,IF(MATCHED!BK30=23,MATCHED!$X30,IF(MATCHED!BK30=24,MATCHED!$Y30,IF(MATCHED!BK30=25,MATCHED!$Z30,IF(MATCHED!BK30=26,MATCHED!$AA30,IF(MATCHED!BK30=27,MATCHED!$AB30,"."))))))</f>
        <v>#N/A</v>
      </c>
      <c r="AJ30" s="536"/>
    </row>
    <row r="31" spans="1:36" s="351" customFormat="1" ht="15.6" thickBot="1" x14ac:dyDescent="0.3">
      <c r="A31" s="365"/>
      <c r="B31" s="321" t="e">
        <f>IF(MATCHED!AD31=1,MATCHED!$B31,IF(MATCHED!AD31=2,MATCHED!$C31,IF(MATCHED!AD31=3,MATCHED!$D31,IF(MATCHED!AD31=4,MATCHED!$E31,IF(MATCHED!AD31=3,MATCHED!$F31,IF(MATCHED!AD31=6,MATCHED!$G31,IF(MATCHED!AD31=7,MATCHED!$H31,"")))))))&amp;IF(MATCHED!AD31=8,MATCHED!$I31,IF(MATCHED!AD31=9,MATCHED!$J31,IF(MATCHED!AD31=10,MATCHED!$K31,IF(MATCHED!AD31=11,MATCHED!$L31,IF(MATCHED!AD31=12,MATCHED!$M31,IF(MATCHED!AD31=13,MATCHED!$N31,IF(MATCHED!AD31=14,MATCHED!$O31,"")))))))&amp;IF(MATCHED!AD31=15,MATCHED!$P31,IF(MATCHED!AD31=16,MATCHED!$Q31,IF(MATCHED!AD31=17,MATCHED!$R31,IF(MATCHED!AD31=18,MATCHED!$S31,IF(MATCHED!AD31=19,MATCHED!$T31,IF(MATCHED!AD31=20,MATCHED!$U31,IF(MATCHED!AD31=21,MATCHED!$V31,)))))))&amp;IF(MATCHED!AD31=22,MATCHED!$W31,IF(MATCHED!AD31=23,MATCHED!$X31,IF(MATCHED!AD31=24,MATCHED!$Y31,IF(MATCHED!AD31=25,MATCHED!$Z31,IF(MATCHED!AD31=26,MATCHED!$AA31,IF(MATCHED!AD31=27,MATCHED!$AB31,"."))))))</f>
        <v>#N/A</v>
      </c>
      <c r="C31" s="321" t="e">
        <f>IF(MATCHED!AE31=1,MATCHED!$B31,IF(MATCHED!AE31=2,MATCHED!$C31,IF(MATCHED!AE31=3,MATCHED!$D31,IF(MATCHED!AE31=4,MATCHED!$E31,IF(MATCHED!AE31=3,MATCHED!$F31,IF(MATCHED!AE31=6,MATCHED!$G31,IF(MATCHED!AE31=7,MATCHED!$H31,"")))))))&amp;IF(MATCHED!AE31=8,MATCHED!$I31,IF(MATCHED!AE31=9,MATCHED!$J31,IF(MATCHED!AE31=10,MATCHED!$K31,IF(MATCHED!AE31=11,MATCHED!$L31,IF(MATCHED!AE31=12,MATCHED!$M31,IF(MATCHED!AE31=13,MATCHED!$N31,IF(MATCHED!AE31=14,MATCHED!$O31,"")))))))&amp;IF(MATCHED!AE31=15,MATCHED!$P31,IF(MATCHED!AE31=16,MATCHED!$Q31,IF(MATCHED!AE31=17,MATCHED!$R31,IF(MATCHED!AE31=18,MATCHED!$S31,IF(MATCHED!AE31=19,MATCHED!$T31,IF(MATCHED!AE31=20,MATCHED!$U31,IF(MATCHED!AE31=21,MATCHED!$V31,)))))))&amp;IF(MATCHED!AE31=22,MATCHED!$W31,IF(MATCHED!AE31=23,MATCHED!$X31,IF(MATCHED!AE31=24,MATCHED!$Y31,IF(MATCHED!AE31=25,MATCHED!$Z31,IF(MATCHED!AE31=26,MATCHED!$AA31,IF(MATCHED!AE31=27,MATCHED!$AB31,"."))))))</f>
        <v>#N/A</v>
      </c>
      <c r="D31" s="321" t="e">
        <f>IF(MATCHED!AF31=1,MATCHED!$B31,IF(MATCHED!AF31=2,MATCHED!$C31,IF(MATCHED!AF31=3,MATCHED!$D31,IF(MATCHED!AF31=4,MATCHED!$E31,IF(MATCHED!AF31=3,MATCHED!$F31,IF(MATCHED!AF31=6,MATCHED!$G31,IF(MATCHED!AF31=7,MATCHED!$H31,"")))))))&amp;IF(MATCHED!AF31=8,MATCHED!$I31,IF(MATCHED!AF31=9,MATCHED!$J31,IF(MATCHED!AF31=10,MATCHED!$K31,IF(MATCHED!AF31=11,MATCHED!$L31,IF(MATCHED!AF31=12,MATCHED!$M31,IF(MATCHED!AF31=13,MATCHED!$N31,IF(MATCHED!AF31=14,MATCHED!$O31,"")))))))&amp;IF(MATCHED!AF31=15,MATCHED!$P31,IF(MATCHED!AF31=16,MATCHED!$Q31,IF(MATCHED!AF31=17,MATCHED!$R31,IF(MATCHED!AF31=18,MATCHED!$S31,IF(MATCHED!AF31=19,MATCHED!$T31,IF(MATCHED!AF31=20,MATCHED!$U31,IF(MATCHED!AF31=21,MATCHED!$V31,)))))))&amp;IF(MATCHED!AF31=22,MATCHED!$W31,IF(MATCHED!AF31=23,MATCHED!$X31,IF(MATCHED!AF31=24,MATCHED!$Y31,IF(MATCHED!AF31=25,MATCHED!$Z31,IF(MATCHED!AF31=26,MATCHED!$AA31,IF(MATCHED!AF31=27,MATCHED!$AB31,"."))))))</f>
        <v>#N/A</v>
      </c>
      <c r="E31" s="322" t="e">
        <f>IF(MATCHED!AG31=1,MATCHED!$B31,IF(MATCHED!AG31=2,MATCHED!$C31,IF(MATCHED!AG31=3,MATCHED!$D31,IF(MATCHED!AG31=4,MATCHED!$E31,IF(MATCHED!AG31=3,MATCHED!$F31,IF(MATCHED!AG31=6,MATCHED!$G31,IF(MATCHED!AG31=7,MATCHED!$H31,"")))))))&amp;IF(MATCHED!AG31=8,MATCHED!$I31,IF(MATCHED!AG31=9,MATCHED!$J31,IF(MATCHED!AG31=10,MATCHED!$K31,IF(MATCHED!AG31=11,MATCHED!$L31,IF(MATCHED!AG31=12,MATCHED!$M31,IF(MATCHED!AG31=13,MATCHED!$N31,IF(MATCHED!AG31=14,MATCHED!$O31,"")))))))&amp;IF(MATCHED!AG31=15,MATCHED!$P31,IF(MATCHED!AG31=16,MATCHED!$Q31,IF(MATCHED!AG31=17,MATCHED!$R31,IF(MATCHED!AG31=18,MATCHED!$S31,IF(MATCHED!AG31=19,MATCHED!$T31,IF(MATCHED!AG31=20,MATCHED!$U31,IF(MATCHED!AG31=21,MATCHED!$V31,)))))))&amp;IF(MATCHED!AG31=22,MATCHED!$W31,IF(MATCHED!AG31=23,MATCHED!$X31,IF(MATCHED!AG31=24,MATCHED!$Y31,IF(MATCHED!AG31=25,MATCHED!$Z31,IF(MATCHED!AG31=26,MATCHED!$AA31,IF(MATCHED!AG31=27,MATCHED!$AB31,"."))))))</f>
        <v>#N/A</v>
      </c>
      <c r="F31" s="321" t="e">
        <f>IF(MATCHED!AH31=1,MATCHED!$B31,IF(MATCHED!AH31=2,MATCHED!$C31,IF(MATCHED!AH31=3,MATCHED!$D31,IF(MATCHED!AH31=4,MATCHED!$E31,IF(MATCHED!AH31=3,MATCHED!$F31,IF(MATCHED!AH31=6,MATCHED!$G31,IF(MATCHED!AH31=7,MATCHED!$H31,"")))))))&amp;IF(MATCHED!AH31=8,MATCHED!$I31,IF(MATCHED!AH31=9,MATCHED!$J31,IF(MATCHED!AH31=10,MATCHED!$K31,IF(MATCHED!AH31=11,MATCHED!$L31,IF(MATCHED!AH31=12,MATCHED!$M31,IF(MATCHED!AH31=13,MATCHED!$N31,IF(MATCHED!AH31=14,MATCHED!$O31,"")))))))&amp;IF(MATCHED!AH31=15,MATCHED!$P31,IF(MATCHED!AH31=16,MATCHED!$Q31,IF(MATCHED!AH31=17,MATCHED!$R31,IF(MATCHED!AH31=18,MATCHED!$S31,IF(MATCHED!AH31=19,MATCHED!$T31,IF(MATCHED!AH31=20,MATCHED!$U31,IF(MATCHED!AH31=21,MATCHED!$V31,)))))))&amp;IF(MATCHED!AH31=22,MATCHED!$W31,IF(MATCHED!AH31=23,MATCHED!$X31,IF(MATCHED!AH31=24,MATCHED!$Y31,IF(MATCHED!AH31=25,MATCHED!$Z31,IF(MATCHED!AH31=26,MATCHED!$AA31,IF(MATCHED!AH31=27,MATCHED!$AB31,"."))))))</f>
        <v>#N/A</v>
      </c>
      <c r="G31" s="321" t="e">
        <f>IF(MATCHED!AI31=1,MATCHED!$B31,IF(MATCHED!AI31=2,MATCHED!$C31,IF(MATCHED!AI31=3,MATCHED!$D31,IF(MATCHED!AI31=4,MATCHED!$E31,IF(MATCHED!AI31=3,MATCHED!$F31,IF(MATCHED!AI31=6,MATCHED!$G31,IF(MATCHED!AI31=7,MATCHED!$H31,"")))))))&amp;IF(MATCHED!AI31=8,MATCHED!$I31,IF(MATCHED!AI31=9,MATCHED!$J31,IF(MATCHED!AI31=10,MATCHED!$K31,IF(MATCHED!AI31=11,MATCHED!$L31,IF(MATCHED!AI31=12,MATCHED!$M31,IF(MATCHED!AI31=13,MATCHED!$N31,IF(MATCHED!AI31=14,MATCHED!$O31,"")))))))&amp;IF(MATCHED!AI31=15,MATCHED!$P31,IF(MATCHED!AI31=16,MATCHED!$Q31,IF(MATCHED!AI31=17,MATCHED!$R31,IF(MATCHED!AI31=18,MATCHED!$S31,IF(MATCHED!AI31=19,MATCHED!$T31,IF(MATCHED!AI31=20,MATCHED!$U31,IF(MATCHED!AI31=21,MATCHED!$V31,)))))))&amp;IF(MATCHED!AI31=22,MATCHED!$W31,IF(MATCHED!AI31=23,MATCHED!$X31,IF(MATCHED!AI31=24,MATCHED!$Y31,IF(MATCHED!AI31=25,MATCHED!$Z31,IF(MATCHED!AI31=26,MATCHED!$AA31,IF(MATCHED!AI31=27,MATCHED!$AB31,"."))))))</f>
        <v>#N/A</v>
      </c>
      <c r="H31" s="321" t="e">
        <f>IF(MATCHED!AJ31=1,MATCHED!$B31,IF(MATCHED!AJ31=2,MATCHED!$C31,IF(MATCHED!AJ31=3,MATCHED!$D31,IF(MATCHED!AJ31=4,MATCHED!$E31,IF(MATCHED!AJ31=3,MATCHED!$F31,IF(MATCHED!AJ31=6,MATCHED!$G31,IF(MATCHED!AJ31=7,MATCHED!$H31,"")))))))&amp;IF(MATCHED!AJ31=8,MATCHED!$I31,IF(MATCHED!AJ31=9,MATCHED!$J31,IF(MATCHED!AJ31=10,MATCHED!$K31,IF(MATCHED!AJ31=11,MATCHED!$L31,IF(MATCHED!AJ31=12,MATCHED!$M31,IF(MATCHED!AJ31=13,MATCHED!$N31,IF(MATCHED!AJ31=14,MATCHED!$O31,"")))))))&amp;IF(MATCHED!AJ31=15,MATCHED!$P31,IF(MATCHED!AJ31=16,MATCHED!$Q31,IF(MATCHED!AJ31=17,MATCHED!$R31,IF(MATCHED!AJ31=18,MATCHED!$S31,IF(MATCHED!AJ31=19,MATCHED!$T31,IF(MATCHED!AJ31=20,MATCHED!$U31,IF(MATCHED!AJ31=21,MATCHED!$V31,)))))))&amp;IF(MATCHED!AJ31=22,MATCHED!$W31,IF(MATCHED!AJ31=23,MATCHED!$X31,IF(MATCHED!AJ31=24,MATCHED!$Y31,IF(MATCHED!AJ31=25,MATCHED!$Z31,IF(MATCHED!AJ31=26,MATCHED!$AA31,IF(MATCHED!AJ31=27,MATCHED!$AB31,"."))))))</f>
        <v>#N/A</v>
      </c>
      <c r="I31" s="323" t="e">
        <f>IF(MATCHED!AK31=1,MATCHED!$B31,IF(MATCHED!AK31=2,MATCHED!$C31,IF(MATCHED!AK31=3,MATCHED!$D31,IF(MATCHED!AK31=4,MATCHED!$E31,IF(MATCHED!AK31=3,MATCHED!$F31,IF(MATCHED!AK31=6,MATCHED!$G31,IF(MATCHED!AK31=7,MATCHED!$H31,"")))))))&amp;IF(MATCHED!AK31=8,MATCHED!$I31,IF(MATCHED!AK31=9,MATCHED!$J31,IF(MATCHED!AK31=10,MATCHED!$K31,IF(MATCHED!AK31=11,MATCHED!$L31,IF(MATCHED!AK31=12,MATCHED!$M31,IF(MATCHED!AK31=13,MATCHED!$N31,IF(MATCHED!AK31=14,MATCHED!$O31,"")))))))&amp;IF(MATCHED!AK31=15,MATCHED!$P31,IF(MATCHED!AK31=16,MATCHED!$Q31,IF(MATCHED!AK31=17,MATCHED!$R31,IF(MATCHED!AK31=18,MATCHED!$S31,IF(MATCHED!AK31=19,MATCHED!$T31,IF(MATCHED!AK31=20,MATCHED!$U31,IF(MATCHED!AK31=21,MATCHED!$V31,)))))))&amp;IF(MATCHED!AK31=22,MATCHED!$W31,IF(MATCHED!AK31=23,MATCHED!$X31,IF(MATCHED!AK31=24,MATCHED!$Y31,IF(MATCHED!AK31=25,MATCHED!$Z31,IF(MATCHED!AK31=26,MATCHED!$AA31,IF(MATCHED!AK31=27,MATCHED!$AB31,"."))))))</f>
        <v>#N/A</v>
      </c>
      <c r="J31" s="321" t="e">
        <f>IF(MATCHED!AL31=1,MATCHED!$B31,IF(MATCHED!AL31=2,MATCHED!$C31,IF(MATCHED!AL31=3,MATCHED!$D31,IF(MATCHED!AL31=4,MATCHED!$E31,IF(MATCHED!AL31=3,MATCHED!$F31,IF(MATCHED!AL31=6,MATCHED!$G31,IF(MATCHED!AL31=7,MATCHED!$H31,"")))))))&amp;IF(MATCHED!AL31=8,MATCHED!$I31,IF(MATCHED!AL31=9,MATCHED!$J31,IF(MATCHED!AL31=10,MATCHED!$K31,IF(MATCHED!AL31=11,MATCHED!$L31,IF(MATCHED!AL31=12,MATCHED!$M31,IF(MATCHED!AL31=13,MATCHED!$N31,IF(MATCHED!AL31=14,MATCHED!$O31,"")))))))&amp;IF(MATCHED!AL31=15,MATCHED!$P31,IF(MATCHED!AL31=16,MATCHED!$Q31,IF(MATCHED!AL31=17,MATCHED!$R31,IF(MATCHED!AL31=18,MATCHED!$S31,IF(MATCHED!AL31=19,MATCHED!$T31,IF(MATCHED!AL31=20,MATCHED!$U31,IF(MATCHED!AL31=21,MATCHED!$V31,)))))))&amp;IF(MATCHED!AL31=22,MATCHED!$W31,IF(MATCHED!AL31=23,MATCHED!$X31,IF(MATCHED!AL31=24,MATCHED!$Y31,IF(MATCHED!AL31=25,MATCHED!$Z31,IF(MATCHED!AL31=26,MATCHED!$AA31,IF(MATCHED!AL31=27,MATCHED!$AB31,"."))))))</f>
        <v>#N/A</v>
      </c>
      <c r="K31" s="321" t="e">
        <f>IF(MATCHED!AM31=1,MATCHED!$B31,IF(MATCHED!AM31=2,MATCHED!$C31,IF(MATCHED!AM31=3,MATCHED!$D31,IF(MATCHED!AM31=4,MATCHED!$E31,IF(MATCHED!AM31=3,MATCHED!$F31,IF(MATCHED!AM31=6,MATCHED!$G31,IF(MATCHED!AM31=7,MATCHED!$H31,"")))))))&amp;IF(MATCHED!AM31=8,MATCHED!$I31,IF(MATCHED!AM31=9,MATCHED!$J31,IF(MATCHED!AM31=10,MATCHED!$K31,IF(MATCHED!AM31=11,MATCHED!$L31,IF(MATCHED!AM31=12,MATCHED!$M31,IF(MATCHED!AM31=13,MATCHED!$N31,IF(MATCHED!AM31=14,MATCHED!$O31,"")))))))&amp;IF(MATCHED!AM31=15,MATCHED!$P31,IF(MATCHED!AM31=16,MATCHED!$Q31,IF(MATCHED!AM31=17,MATCHED!$R31,IF(MATCHED!AM31=18,MATCHED!$S31,IF(MATCHED!AM31=19,MATCHED!$T31,IF(MATCHED!AM31=20,MATCHED!$U31,IF(MATCHED!AM31=21,MATCHED!$V31,)))))))&amp;IF(MATCHED!AM31=22,MATCHED!$W31,IF(MATCHED!AM31=23,MATCHED!$X31,IF(MATCHED!AM31=24,MATCHED!$Y31,IF(MATCHED!AM31=25,MATCHED!$Z31,IF(MATCHED!AM31=26,MATCHED!$AA31,IF(MATCHED!AM31=27,MATCHED!$AB31,"."))))))</f>
        <v>#N/A</v>
      </c>
      <c r="L31" s="321" t="e">
        <f>IF(MATCHED!AN31=1,MATCHED!$B31,IF(MATCHED!AN31=2,MATCHED!$C31,IF(MATCHED!AN31=3,MATCHED!$D31,IF(MATCHED!AN31=4,MATCHED!$E31,IF(MATCHED!AN31=3,MATCHED!$F31,IF(MATCHED!AN31=6,MATCHED!$G31,IF(MATCHED!AN31=7,MATCHED!$H31,"")))))))&amp;IF(MATCHED!AN31=8,MATCHED!$I31,IF(MATCHED!AN31=9,MATCHED!$J31,IF(MATCHED!AN31=10,MATCHED!$K31,IF(MATCHED!AN31=11,MATCHED!$L31,IF(MATCHED!AN31=12,MATCHED!$M31,IF(MATCHED!AN31=13,MATCHED!$N31,IF(MATCHED!AN31=14,MATCHED!$O31,"")))))))&amp;IF(MATCHED!AN31=15,MATCHED!$P31,IF(MATCHED!AN31=16,MATCHED!$Q31,IF(MATCHED!AN31=17,MATCHED!$R31,IF(MATCHED!AN31=18,MATCHED!$S31,IF(MATCHED!AN31=19,MATCHED!$T31,IF(MATCHED!AN31=20,MATCHED!$U31,IF(MATCHED!AN31=21,MATCHED!$V31,)))))))&amp;IF(MATCHED!AN31=22,MATCHED!$W31,IF(MATCHED!AN31=23,MATCHED!$X31,IF(MATCHED!AN31=24,MATCHED!$Y31,IF(MATCHED!AN31=25,MATCHED!$Z31,IF(MATCHED!AN31=26,MATCHED!$AA31,IF(MATCHED!AN31=27,MATCHED!$AB31,"."))))))</f>
        <v>#N/A</v>
      </c>
      <c r="M31" s="324" t="e">
        <f>IF(MATCHED!AO31=1,MATCHED!$B31,IF(MATCHED!AO31=2,MATCHED!$C31,IF(MATCHED!AO31=3,MATCHED!$D31,IF(MATCHED!AO31=4,MATCHED!$E31,IF(MATCHED!AO31=3,MATCHED!$F31,IF(MATCHED!AO31=6,MATCHED!$G31,IF(MATCHED!AO31=7,MATCHED!$H31,"")))))))&amp;IF(MATCHED!AO31=8,MATCHED!$I31,IF(MATCHED!AO31=9,MATCHED!$J31,IF(MATCHED!AO31=10,MATCHED!$K31,IF(MATCHED!AO31=11,MATCHED!$L31,IF(MATCHED!AO31=12,MATCHED!$M31,IF(MATCHED!AO31=13,MATCHED!$N31,IF(MATCHED!AO31=14,MATCHED!$O31,"")))))))&amp;IF(MATCHED!AO31=15,MATCHED!$P31,IF(MATCHED!AO31=16,MATCHED!$Q31,IF(MATCHED!AO31=17,MATCHED!$R31,IF(MATCHED!AO31=18,MATCHED!$S31,IF(MATCHED!AO31=19,MATCHED!$T31,IF(MATCHED!AO31=20,MATCHED!$U31,IF(MATCHED!AO31=21,MATCHED!$V31,)))))))&amp;IF(MATCHED!AO31=22,MATCHED!$W31,IF(MATCHED!AO31=23,MATCHED!$X31,IF(MATCHED!AO31=24,MATCHED!$Y31,IF(MATCHED!AO31=25,MATCHED!$Z31,IF(MATCHED!AO31=26,MATCHED!$AA31,IF(MATCHED!AO31=27,MATCHED!$AB31,"."))))))</f>
        <v>#N/A</v>
      </c>
      <c r="N31" s="321" t="e">
        <f>IF(MATCHED!AP31=1,MATCHED!$B31,IF(MATCHED!AP31=2,MATCHED!$C31,IF(MATCHED!AP31=3,MATCHED!$D31,IF(MATCHED!AP31=4,MATCHED!$E31,IF(MATCHED!AP31=3,MATCHED!$F31,IF(MATCHED!AP31=6,MATCHED!$G31,IF(MATCHED!AP31=7,MATCHED!$H31,"")))))))&amp;IF(MATCHED!AP31=8,MATCHED!$I31,IF(MATCHED!AP31=9,MATCHED!$J31,IF(MATCHED!AP31=10,MATCHED!$K31,IF(MATCHED!AP31=11,MATCHED!$L31,IF(MATCHED!AP31=12,MATCHED!$M31,IF(MATCHED!AP31=13,MATCHED!$N31,IF(MATCHED!AP31=14,MATCHED!$O31,"")))))))&amp;IF(MATCHED!AP31=15,MATCHED!$P31,IF(MATCHED!AP31=16,MATCHED!$Q31,IF(MATCHED!AP31=17,MATCHED!$R31,IF(MATCHED!AP31=18,MATCHED!$S31,IF(MATCHED!AP31=19,MATCHED!$T31,IF(MATCHED!AP31=20,MATCHED!$U31,IF(MATCHED!AP31=21,MATCHED!$V31,)))))))&amp;IF(MATCHED!AP31=22,MATCHED!$W31,IF(MATCHED!AP31=23,MATCHED!$X31,IF(MATCHED!AP31=24,MATCHED!$Y31,IF(MATCHED!AP31=25,MATCHED!$Z31,IF(MATCHED!AP31=26,MATCHED!$AA31,IF(MATCHED!AP31=27,MATCHED!$AB31,"."))))))</f>
        <v>#N/A</v>
      </c>
      <c r="O31" s="321" t="e">
        <f>IF(MATCHED!AQ31=1,MATCHED!$B31,IF(MATCHED!AQ31=2,MATCHED!$C31,IF(MATCHED!AQ31=3,MATCHED!$D31,IF(MATCHED!AQ31=4,MATCHED!$E31,IF(MATCHED!AQ31=3,MATCHED!$F31,IF(MATCHED!AQ31=6,MATCHED!$G31,IF(MATCHED!AQ31=7,MATCHED!$H31,"")))))))&amp;IF(MATCHED!AQ31=8,MATCHED!$I31,IF(MATCHED!AQ31=9,MATCHED!$J31,IF(MATCHED!AQ31=10,MATCHED!$K31,IF(MATCHED!AQ31=11,MATCHED!$L31,IF(MATCHED!AQ31=12,MATCHED!$M31,IF(MATCHED!AQ31=13,MATCHED!$N31,IF(MATCHED!AQ31=14,MATCHED!$O31,"")))))))&amp;IF(MATCHED!AQ31=15,MATCHED!$P31,IF(MATCHED!AQ31=16,MATCHED!$Q31,IF(MATCHED!AQ31=17,MATCHED!$R31,IF(MATCHED!AQ31=18,MATCHED!$S31,IF(MATCHED!AQ31=19,MATCHED!$T31,IF(MATCHED!AQ31=20,MATCHED!$U31,IF(MATCHED!AQ31=21,MATCHED!$V31,)))))))&amp;IF(MATCHED!AQ31=22,MATCHED!$W31,IF(MATCHED!AQ31=23,MATCHED!$X31,IF(MATCHED!AQ31=24,MATCHED!$Y31,IF(MATCHED!AQ31=25,MATCHED!$Z31,IF(MATCHED!AQ31=26,MATCHED!$AA31,IF(MATCHED!AQ31=27,MATCHED!$AB31,"."))))))</f>
        <v>#N/A</v>
      </c>
      <c r="P31" s="321" t="e">
        <f>IF(MATCHED!AR31=1,MATCHED!$B31,IF(MATCHED!AR31=2,MATCHED!$C31,IF(MATCHED!AR31=3,MATCHED!$D31,IF(MATCHED!AR31=4,MATCHED!$E31,IF(MATCHED!AR31=3,MATCHED!$F31,IF(MATCHED!AR31=6,MATCHED!$G31,IF(MATCHED!AR31=7,MATCHED!$H31,"")))))))&amp;IF(MATCHED!AR31=8,MATCHED!$I31,IF(MATCHED!AR31=9,MATCHED!$J31,IF(MATCHED!AR31=10,MATCHED!$K31,IF(MATCHED!AR31=11,MATCHED!$L31,IF(MATCHED!AR31=12,MATCHED!$M31,IF(MATCHED!AR31=13,MATCHED!$N31,IF(MATCHED!AR31=14,MATCHED!$O31,"")))))))&amp;IF(MATCHED!AR31=15,MATCHED!$P31,IF(MATCHED!AR31=16,MATCHED!$Q31,IF(MATCHED!AR31=17,MATCHED!$R31,IF(MATCHED!AR31=18,MATCHED!$S31,IF(MATCHED!AR31=19,MATCHED!$T31,IF(MATCHED!AR31=20,MATCHED!$U31,IF(MATCHED!AR31=21,MATCHED!$V31,)))))))&amp;IF(MATCHED!AR31=22,MATCHED!$W31,IF(MATCHED!AR31=23,MATCHED!$X31,IF(MATCHED!AR31=24,MATCHED!$Y31,IF(MATCHED!AR31=25,MATCHED!$Z31,IF(MATCHED!AR31=26,MATCHED!$AA31,IF(MATCHED!AR31=27,MATCHED!$AB31,"."))))))</f>
        <v>#N/A</v>
      </c>
      <c r="Q31" s="322" t="e">
        <f>IF(MATCHED!AS31=1,MATCHED!$B31,IF(MATCHED!AS31=2,MATCHED!$C31,IF(MATCHED!AS31=3,MATCHED!$D31,IF(MATCHED!AS31=4,MATCHED!$E31,IF(MATCHED!AS31=3,MATCHED!$F31,IF(MATCHED!AS31=6,MATCHED!$G31,IF(MATCHED!AS31=7,MATCHED!$H31,"")))))))&amp;IF(MATCHED!AS31=8,MATCHED!$I31,IF(MATCHED!AS31=9,MATCHED!$J31,IF(MATCHED!AS31=10,MATCHED!$K31,IF(MATCHED!AS31=11,MATCHED!$L31,IF(MATCHED!AS31=12,MATCHED!$M31,IF(MATCHED!AS31=13,MATCHED!$N31,IF(MATCHED!AS31=14,MATCHED!$O31,"")))))))&amp;IF(MATCHED!AS31=15,MATCHED!$P31,IF(MATCHED!AS31=16,MATCHED!$Q31,IF(MATCHED!AS31=17,MATCHED!$R31,IF(MATCHED!AS31=18,MATCHED!$S31,IF(MATCHED!AS31=19,MATCHED!$T31,IF(MATCHED!AS31=20,MATCHED!$U31,IF(MATCHED!AS31=21,MATCHED!$V31,)))))))&amp;IF(MATCHED!AS31=22,MATCHED!$W31,IF(MATCHED!AS31=23,MATCHED!$X31,IF(MATCHED!AS31=24,MATCHED!$Y31,IF(MATCHED!AS31=25,MATCHED!$Z31,IF(MATCHED!AS31=26,MATCHED!$AA31,IF(MATCHED!AS31=27,MATCHED!$AB31,"."))))))</f>
        <v>#N/A</v>
      </c>
      <c r="R31" s="321" t="e">
        <f>IF(MATCHED!AT31=1,MATCHED!$B31,IF(MATCHED!AT31=2,MATCHED!$C31,IF(MATCHED!AT31=3,MATCHED!$D31,IF(MATCHED!AT31=4,MATCHED!$E31,IF(MATCHED!AT31=3,MATCHED!$F31,IF(MATCHED!AT31=6,MATCHED!$G31,IF(MATCHED!AT31=7,MATCHED!$H31,"")))))))&amp;IF(MATCHED!AT31=8,MATCHED!$I31,IF(MATCHED!AT31=9,MATCHED!$J31,IF(MATCHED!AT31=10,MATCHED!$K31,IF(MATCHED!AT31=11,MATCHED!$L31,IF(MATCHED!AT31=12,MATCHED!$M31,IF(MATCHED!AT31=13,MATCHED!$N31,IF(MATCHED!AT31=14,MATCHED!$O31,"")))))))&amp;IF(MATCHED!AT31=15,MATCHED!$P31,IF(MATCHED!AT31=16,MATCHED!$Q31,IF(MATCHED!AT31=17,MATCHED!$R31,IF(MATCHED!AT31=18,MATCHED!$S31,IF(MATCHED!AT31=19,MATCHED!$T31,IF(MATCHED!AT31=20,MATCHED!$U31,IF(MATCHED!AT31=21,MATCHED!$V31,)))))))&amp;IF(MATCHED!AT31=22,MATCHED!$W31,IF(MATCHED!AT31=23,MATCHED!$X31,IF(MATCHED!AT31=24,MATCHED!$Y31,IF(MATCHED!AT31=25,MATCHED!$Z31,IF(MATCHED!AT31=26,MATCHED!$AA31,IF(MATCHED!AT31=27,MATCHED!$AB31,"."))))))</f>
        <v>#N/A</v>
      </c>
      <c r="S31" s="321" t="e">
        <f>IF(MATCHED!AU31=1,MATCHED!$B31,IF(MATCHED!AU31=2,MATCHED!$C31,IF(MATCHED!AU31=3,MATCHED!$D31,IF(MATCHED!AU31=4,MATCHED!$E31,IF(MATCHED!AU31=3,MATCHED!$F31,IF(MATCHED!AU31=6,MATCHED!$G31,IF(MATCHED!AU31=7,MATCHED!$H31,"")))))))&amp;IF(MATCHED!AU31=8,MATCHED!$I31,IF(MATCHED!AU31=9,MATCHED!$J31,IF(MATCHED!AU31=10,MATCHED!$K31,IF(MATCHED!AU31=11,MATCHED!$L31,IF(MATCHED!AU31=12,MATCHED!$M31,IF(MATCHED!AU31=13,MATCHED!$N31,IF(MATCHED!AU31=14,MATCHED!$O31,"")))))))&amp;IF(MATCHED!AU31=15,MATCHED!$P31,IF(MATCHED!AU31=16,MATCHED!$Q31,IF(MATCHED!AU31=17,MATCHED!$R31,IF(MATCHED!AU31=18,MATCHED!$S31,IF(MATCHED!AU31=19,MATCHED!$T31,IF(MATCHED!AU31=20,MATCHED!$U31,IF(MATCHED!AU31=21,MATCHED!$V31,)))))))&amp;IF(MATCHED!AU31=22,MATCHED!$W31,IF(MATCHED!AU31=23,MATCHED!$X31,IF(MATCHED!AU31=24,MATCHED!$Y31,IF(MATCHED!AU31=25,MATCHED!$Z31,IF(MATCHED!AU31=26,MATCHED!$AA31,IF(MATCHED!AU31=27,MATCHED!$AB31,"."))))))</f>
        <v>#N/A</v>
      </c>
      <c r="T31" s="321" t="e">
        <f>IF(MATCHED!AV31=1,MATCHED!$B31,IF(MATCHED!AV31=2,MATCHED!$C31,IF(MATCHED!AV31=3,MATCHED!$D31,IF(MATCHED!AV31=4,MATCHED!$E31,IF(MATCHED!AV31=3,MATCHED!$F31,IF(MATCHED!AV31=6,MATCHED!$G31,IF(MATCHED!AV31=7,MATCHED!$H31,"")))))))&amp;IF(MATCHED!AV31=8,MATCHED!$I31,IF(MATCHED!AV31=9,MATCHED!$J31,IF(MATCHED!AV31=10,MATCHED!$K31,IF(MATCHED!AV31=11,MATCHED!$L31,IF(MATCHED!AV31=12,MATCHED!$M31,IF(MATCHED!AV31=13,MATCHED!$N31,IF(MATCHED!AV31=14,MATCHED!$O31,"")))))))&amp;IF(MATCHED!AV31=15,MATCHED!$P31,IF(MATCHED!AV31=16,MATCHED!$Q31,IF(MATCHED!AV31=17,MATCHED!$R31,IF(MATCHED!AV31=18,MATCHED!$S31,IF(MATCHED!AV31=19,MATCHED!$T31,IF(MATCHED!AV31=20,MATCHED!$U31,IF(MATCHED!AV31=21,MATCHED!$V31,)))))))&amp;IF(MATCHED!AV31=22,MATCHED!$W31,IF(MATCHED!AV31=23,MATCHED!$X31,IF(MATCHED!AV31=24,MATCHED!$Y31,IF(MATCHED!AV31=25,MATCHED!$Z31,IF(MATCHED!AV31=26,MATCHED!$AA31,IF(MATCHED!AV31=27,MATCHED!$AB31,"."))))))</f>
        <v>#N/A</v>
      </c>
      <c r="U31" s="321" t="e">
        <f>IF(MATCHED!AW31=1,MATCHED!$B31,IF(MATCHED!AW31=2,MATCHED!$C31,IF(MATCHED!AW31=3,MATCHED!$D31,IF(MATCHED!AW31=4,MATCHED!$E31,IF(MATCHED!AW31=3,MATCHED!$F31,IF(MATCHED!AW31=6,MATCHED!$G31,IF(MATCHED!AW31=7,MATCHED!$H31,"")))))))&amp;IF(MATCHED!AW31=8,MATCHED!$I31,IF(MATCHED!AW31=9,MATCHED!$J31,IF(MATCHED!AW31=10,MATCHED!$K31,IF(MATCHED!AW31=11,MATCHED!$L31,IF(MATCHED!AW31=12,MATCHED!$M31,IF(MATCHED!AW31=13,MATCHED!$N31,IF(MATCHED!AW31=14,MATCHED!$O31,"")))))))&amp;IF(MATCHED!AW31=15,MATCHED!$P31,IF(MATCHED!AW31=16,MATCHED!$Q31,IF(MATCHED!AW31=17,MATCHED!$R31,IF(MATCHED!AW31=18,MATCHED!$S31,IF(MATCHED!AW31=19,MATCHED!$T31,IF(MATCHED!AW31=20,MATCHED!$U31,IF(MATCHED!AW31=21,MATCHED!$V31,)))))))&amp;IF(MATCHED!AW31=22,MATCHED!$W31,IF(MATCHED!AW31=23,MATCHED!$X31,IF(MATCHED!AW31=24,MATCHED!$Y31,IF(MATCHED!AW31=25,MATCHED!$Z31,IF(MATCHED!AW31=26,MATCHED!$AA31,IF(MATCHED!AW31=27,MATCHED!$AB31,"."))))))</f>
        <v>#N/A</v>
      </c>
      <c r="V31" s="321" t="e">
        <f>IF(MATCHED!AX31=1,MATCHED!$B31,IF(MATCHED!AX31=2,MATCHED!$C31,IF(MATCHED!AX31=3,MATCHED!$D31,IF(MATCHED!AX31=4,MATCHED!$E31,IF(MATCHED!AX31=3,MATCHED!$F31,IF(MATCHED!AX31=6,MATCHED!$G31,IF(MATCHED!AX31=7,MATCHED!$H31,"")))))))&amp;IF(MATCHED!AX31=8,MATCHED!$I31,IF(MATCHED!AX31=9,MATCHED!$J31,IF(MATCHED!AX31=10,MATCHED!$K31,IF(MATCHED!AX31=11,MATCHED!$L31,IF(MATCHED!AX31=12,MATCHED!$M31,IF(MATCHED!AX31=13,MATCHED!$N31,IF(MATCHED!AX31=14,MATCHED!$O31,"")))))))&amp;IF(MATCHED!AX31=15,MATCHED!$P31,IF(MATCHED!AX31=16,MATCHED!$Q31,IF(MATCHED!AX31=17,MATCHED!$R31,IF(MATCHED!AX31=18,MATCHED!$S31,IF(MATCHED!AX31=19,MATCHED!$T31,IF(MATCHED!AX31=20,MATCHED!$U31,IF(MATCHED!AX31=21,MATCHED!$V31,)))))))&amp;IF(MATCHED!AX31=22,MATCHED!$W31,IF(MATCHED!AX31=23,MATCHED!$X31,IF(MATCHED!AX31=24,MATCHED!$Y31,IF(MATCHED!AX31=25,MATCHED!$Z31,IF(MATCHED!AX31=26,MATCHED!$AA31,IF(MATCHED!AX31=27,MATCHED!$AB31,"."))))))</f>
        <v>#N/A</v>
      </c>
      <c r="W31" s="321" t="e">
        <f>IF(MATCHED!AY31=1,MATCHED!$B31,IF(MATCHED!AY31=2,MATCHED!$C31,IF(MATCHED!AY31=3,MATCHED!$D31,IF(MATCHED!AY31=4,MATCHED!$E31,IF(MATCHED!AY31=3,MATCHED!$F31,IF(MATCHED!AY31=6,MATCHED!$G31,IF(MATCHED!AY31=7,MATCHED!$H31,"")))))))&amp;IF(MATCHED!AY31=8,MATCHED!$I31,IF(MATCHED!AY31=9,MATCHED!$J31,IF(MATCHED!AY31=10,MATCHED!$K31,IF(MATCHED!AY31=11,MATCHED!$L31,IF(MATCHED!AY31=12,MATCHED!$M31,IF(MATCHED!AY31=13,MATCHED!$N31,IF(MATCHED!AY31=14,MATCHED!$O31,"")))))))&amp;IF(MATCHED!AY31=15,MATCHED!$P31,IF(MATCHED!AY31=16,MATCHED!$Q31,IF(MATCHED!AY31=17,MATCHED!$R31,IF(MATCHED!AY31=18,MATCHED!$S31,IF(MATCHED!AY31=19,MATCHED!$T31,IF(MATCHED!AY31=20,MATCHED!$U31,IF(MATCHED!AY31=21,MATCHED!$V31,)))))))&amp;IF(MATCHED!AY31=22,MATCHED!$W31,IF(MATCHED!AY31=23,MATCHED!$X31,IF(MATCHED!AY31=24,MATCHED!$Y31,IF(MATCHED!AY31=25,MATCHED!$Z31,IF(MATCHED!AY31=26,MATCHED!$AA31,IF(MATCHED!AY31=27,MATCHED!$AB31,"."))))))</f>
        <v>#N/A</v>
      </c>
      <c r="X31" s="321" t="e">
        <f>IF(MATCHED!AZ31=1,MATCHED!$B31,IF(MATCHED!AZ31=2,MATCHED!$C31,IF(MATCHED!AZ31=3,MATCHED!$D31,IF(MATCHED!AZ31=4,MATCHED!$E31,IF(MATCHED!AZ31=3,MATCHED!$F31,IF(MATCHED!AZ31=6,MATCHED!$G31,IF(MATCHED!AZ31=7,MATCHED!$H31,"")))))))&amp;IF(MATCHED!AZ31=8,MATCHED!$I31,IF(MATCHED!AZ31=9,MATCHED!$J31,IF(MATCHED!AZ31=10,MATCHED!$K31,IF(MATCHED!AZ31=11,MATCHED!$L31,IF(MATCHED!AZ31=12,MATCHED!$M31,IF(MATCHED!AZ31=13,MATCHED!$N31,IF(MATCHED!AZ31=14,MATCHED!$O31,"")))))))&amp;IF(MATCHED!AZ31=15,MATCHED!$P31,IF(MATCHED!AZ31=16,MATCHED!$Q31,IF(MATCHED!AZ31=17,MATCHED!$R31,IF(MATCHED!AZ31=18,MATCHED!$S31,IF(MATCHED!AZ31=19,MATCHED!$T31,IF(MATCHED!AZ31=20,MATCHED!$U31,IF(MATCHED!AZ31=21,MATCHED!$V31,)))))))&amp;IF(MATCHED!AZ31=22,MATCHED!$W31,IF(MATCHED!AZ31=23,MATCHED!$X31,IF(MATCHED!AZ31=24,MATCHED!$Y31,IF(MATCHED!AZ31=25,MATCHED!$Z31,IF(MATCHED!AZ31=26,MATCHED!$AA31,IF(MATCHED!AZ31=27,MATCHED!$AB31,"."))))))</f>
        <v>#N/A</v>
      </c>
      <c r="Y31" s="321" t="e">
        <f>IF(MATCHED!BA31=1,MATCHED!$B31,IF(MATCHED!BA31=2,MATCHED!$C31,IF(MATCHED!BA31=3,MATCHED!$D31,IF(MATCHED!BA31=4,MATCHED!$E31,IF(MATCHED!BA31=3,MATCHED!$F31,IF(MATCHED!BA31=6,MATCHED!$G31,IF(MATCHED!BA31=7,MATCHED!$H31,"")))))))&amp;IF(MATCHED!BA31=8,MATCHED!$I31,IF(MATCHED!BA31=9,MATCHED!$J31,IF(MATCHED!BA31=10,MATCHED!$K31,IF(MATCHED!BA31=11,MATCHED!$L31,IF(MATCHED!BA31=12,MATCHED!$M31,IF(MATCHED!BA31=13,MATCHED!$N31,IF(MATCHED!BA31=14,MATCHED!$O31,"")))))))&amp;IF(MATCHED!BA31=15,MATCHED!$P31,IF(MATCHED!BA31=16,MATCHED!$Q31,IF(MATCHED!BA31=17,MATCHED!$R31,IF(MATCHED!BA31=18,MATCHED!$S31,IF(MATCHED!BA31=19,MATCHED!$T31,IF(MATCHED!BA31=20,MATCHED!$U31,IF(MATCHED!BA31=21,MATCHED!$V31,)))))))&amp;IF(MATCHED!BA31=22,MATCHED!$W31,IF(MATCHED!BA31=23,MATCHED!$X31,IF(MATCHED!BA31=24,MATCHED!$Y31,IF(MATCHED!BA31=25,MATCHED!$Z31,IF(MATCHED!BA31=26,MATCHED!$AA31,IF(MATCHED!BA31=27,MATCHED!$AB31,"."))))))</f>
        <v>#N/A</v>
      </c>
      <c r="Z31" s="321" t="e">
        <f>IF(MATCHED!BB31=1,MATCHED!$B31,IF(MATCHED!BB31=2,MATCHED!$C31,IF(MATCHED!BB31=3,MATCHED!$D31,IF(MATCHED!BB31=4,MATCHED!$E31,IF(MATCHED!BB31=3,MATCHED!$F31,IF(MATCHED!BB31=6,MATCHED!$G31,IF(MATCHED!BB31=7,MATCHED!$H31,"")))))))&amp;IF(MATCHED!BB31=8,MATCHED!$I31,IF(MATCHED!BB31=9,MATCHED!$J31,IF(MATCHED!BB31=10,MATCHED!$K31,IF(MATCHED!BB31=11,MATCHED!$L31,IF(MATCHED!BB31=12,MATCHED!$M31,IF(MATCHED!BB31=13,MATCHED!$N31,IF(MATCHED!BB31=14,MATCHED!$O31,"")))))))&amp;IF(MATCHED!BB31=15,MATCHED!$P31,IF(MATCHED!BB31=16,MATCHED!$Q31,IF(MATCHED!BB31=17,MATCHED!$R31,IF(MATCHED!BB31=18,MATCHED!$S31,IF(MATCHED!BB31=19,MATCHED!$T31,IF(MATCHED!BB31=20,MATCHED!$U31,IF(MATCHED!BB31=21,MATCHED!$V31,)))))))&amp;IF(MATCHED!BB31=22,MATCHED!$W31,IF(MATCHED!BB31=23,MATCHED!$X31,IF(MATCHED!BB31=24,MATCHED!$Y31,IF(MATCHED!BB31=25,MATCHED!$Z31,IF(MATCHED!BB31=26,MATCHED!$AA31,IF(MATCHED!BB31=27,MATCHED!$AB31,"."))))))</f>
        <v>#N/A</v>
      </c>
      <c r="AA31" s="321" t="e">
        <f>IF(MATCHED!BC31=1,MATCHED!$B31,IF(MATCHED!BC31=2,MATCHED!$C31,IF(MATCHED!BC31=3,MATCHED!$D31,IF(MATCHED!BC31=4,MATCHED!$E31,IF(MATCHED!BC31=3,MATCHED!$F31,IF(MATCHED!BC31=6,MATCHED!$G31,IF(MATCHED!BC31=7,MATCHED!$H31,"")))))))&amp;IF(MATCHED!BC31=8,MATCHED!$I31,IF(MATCHED!BC31=9,MATCHED!$J31,IF(MATCHED!BC31=10,MATCHED!$K31,IF(MATCHED!BC31=11,MATCHED!$L31,IF(MATCHED!BC31=12,MATCHED!$M31,IF(MATCHED!BC31=13,MATCHED!$N31,IF(MATCHED!BC31=14,MATCHED!$O31,"")))))))&amp;IF(MATCHED!BC31=15,MATCHED!$P31,IF(MATCHED!BC31=16,MATCHED!$Q31,IF(MATCHED!BC31=17,MATCHED!$R31,IF(MATCHED!BC31=18,MATCHED!$S31,IF(MATCHED!BC31=19,MATCHED!$T31,IF(MATCHED!BC31=20,MATCHED!$U31,IF(MATCHED!BC31=21,MATCHED!$V31,)))))))&amp;IF(MATCHED!BC31=22,MATCHED!$W31,IF(MATCHED!BC31=23,MATCHED!$X31,IF(MATCHED!BC31=24,MATCHED!$Y31,IF(MATCHED!BC31=25,MATCHED!$Z31,IF(MATCHED!BC31=26,MATCHED!$AA31,IF(MATCHED!BC31=27,MATCHED!$AB31,"."))))))</f>
        <v>#N/A</v>
      </c>
      <c r="AB31" s="321" t="e">
        <f>IF(MATCHED!BD31=1,MATCHED!$B31,IF(MATCHED!BD31=2,MATCHED!$C31,IF(MATCHED!BD31=3,MATCHED!$D31,IF(MATCHED!BD31=4,MATCHED!$E31,IF(MATCHED!BD31=3,MATCHED!$F31,IF(MATCHED!BD31=6,MATCHED!$G31,IF(MATCHED!BD31=7,MATCHED!$H31,"")))))))&amp;IF(MATCHED!BD31=8,MATCHED!$I31,IF(MATCHED!BD31=9,MATCHED!$J31,IF(MATCHED!BD31=10,MATCHED!$K31,IF(MATCHED!BD31=11,MATCHED!$L31,IF(MATCHED!BD31=12,MATCHED!$M31,IF(MATCHED!BD31=13,MATCHED!$N31,IF(MATCHED!BD31=14,MATCHED!$O31,"")))))))&amp;IF(MATCHED!BD31=15,MATCHED!$P31,IF(MATCHED!BD31=16,MATCHED!$Q31,IF(MATCHED!BD31=17,MATCHED!$R31,IF(MATCHED!BD31=18,MATCHED!$S31,IF(MATCHED!BD31=19,MATCHED!$T31,IF(MATCHED!BD31=20,MATCHED!$U31,IF(MATCHED!BD31=21,MATCHED!$V31,)))))))&amp;IF(MATCHED!BD31=22,MATCHED!$W31,IF(MATCHED!BD31=23,MATCHED!$X31,IF(MATCHED!BD31=24,MATCHED!$Y31,IF(MATCHED!BD31=25,MATCHED!$Z31,IF(MATCHED!BD31=26,MATCHED!$AA31,IF(MATCHED!BD31=27,MATCHED!$AB31,"."))))))</f>
        <v>#N/A</v>
      </c>
      <c r="AC31" s="321" t="e">
        <f>IF(MATCHED!BE31=1,MATCHED!$B31,IF(MATCHED!BE31=2,MATCHED!$C31,IF(MATCHED!BE31=3,MATCHED!$D31,IF(MATCHED!BE31=4,MATCHED!$E31,IF(MATCHED!BE31=3,MATCHED!$F31,IF(MATCHED!BE31=6,MATCHED!$G31,IF(MATCHED!BE31=7,MATCHED!$H31,"")))))))&amp;IF(MATCHED!BE31=8,MATCHED!$I31,IF(MATCHED!BE31=9,MATCHED!$J31,IF(MATCHED!BE31=10,MATCHED!$K31,IF(MATCHED!BE31=11,MATCHED!$L31,IF(MATCHED!BE31=12,MATCHED!$M31,IF(MATCHED!BE31=13,MATCHED!$N31,IF(MATCHED!BE31=14,MATCHED!$O31,"")))))))&amp;IF(MATCHED!BE31=15,MATCHED!$P31,IF(MATCHED!BE31=16,MATCHED!$Q31,IF(MATCHED!BE31=17,MATCHED!$R31,IF(MATCHED!BE31=18,MATCHED!$S31,IF(MATCHED!BE31=19,MATCHED!$T31,IF(MATCHED!BE31=20,MATCHED!$U31,IF(MATCHED!BE31=21,MATCHED!$V31,)))))))&amp;IF(MATCHED!BE31=22,MATCHED!$W31,IF(MATCHED!BE31=23,MATCHED!$X31,IF(MATCHED!BE31=24,MATCHED!$Y31,IF(MATCHED!BE31=25,MATCHED!$Z31,IF(MATCHED!BE31=26,MATCHED!$AA31,IF(MATCHED!BE31=27,MATCHED!$AB31,"."))))))</f>
        <v>#N/A</v>
      </c>
      <c r="AD31" s="321" t="e">
        <f>IF(MATCHED!BF31=1,MATCHED!$B31,IF(MATCHED!BF31=2,MATCHED!$C31,IF(MATCHED!BF31=3,MATCHED!$D31,IF(MATCHED!BF31=4,MATCHED!$E31,IF(MATCHED!BF31=3,MATCHED!$F31,IF(MATCHED!BF31=6,MATCHED!$G31,IF(MATCHED!BF31=7,MATCHED!$H31,"")))))))&amp;IF(MATCHED!BF31=8,MATCHED!$I31,IF(MATCHED!BF31=9,MATCHED!$J31,IF(MATCHED!BF31=10,MATCHED!$K31,IF(MATCHED!BF31=11,MATCHED!$L31,IF(MATCHED!BF31=12,MATCHED!$M31,IF(MATCHED!BF31=13,MATCHED!$N31,IF(MATCHED!BF31=14,MATCHED!$O31,"")))))))&amp;IF(MATCHED!BF31=15,MATCHED!$P31,IF(MATCHED!BF31=16,MATCHED!$Q31,IF(MATCHED!BF31=17,MATCHED!$R31,IF(MATCHED!BF31=18,MATCHED!$S31,IF(MATCHED!BF31=19,MATCHED!$T31,IF(MATCHED!BF31=20,MATCHED!$U31,IF(MATCHED!BF31=21,MATCHED!$V31,)))))))&amp;IF(MATCHED!BF31=22,MATCHED!$W31,IF(MATCHED!BF31=23,MATCHED!$X31,IF(MATCHED!BF31=24,MATCHED!$Y31,IF(MATCHED!BF31=25,MATCHED!$Z31,IF(MATCHED!BF31=26,MATCHED!$AA31,IF(MATCHED!BF31=27,MATCHED!$AB31,"."))))))</f>
        <v>#N/A</v>
      </c>
      <c r="AE31" s="321" t="e">
        <f>IF(MATCHED!BG31=1,MATCHED!$B31,IF(MATCHED!BG31=2,MATCHED!$C31,IF(MATCHED!BG31=3,MATCHED!$D31,IF(MATCHED!BG31=4,MATCHED!$E31,IF(MATCHED!BG31=3,MATCHED!$F31,IF(MATCHED!BG31=6,MATCHED!$G31,IF(MATCHED!BG31=7,MATCHED!$H31,"")))))))&amp;IF(MATCHED!BG31=8,MATCHED!$I31,IF(MATCHED!BG31=9,MATCHED!$J31,IF(MATCHED!BG31=10,MATCHED!$K31,IF(MATCHED!BG31=11,MATCHED!$L31,IF(MATCHED!BG31=12,MATCHED!$M31,IF(MATCHED!BG31=13,MATCHED!$N31,IF(MATCHED!BG31=14,MATCHED!$O31,"")))))))&amp;IF(MATCHED!BG31=15,MATCHED!$P31,IF(MATCHED!BG31=16,MATCHED!$Q31,IF(MATCHED!BG31=17,MATCHED!$R31,IF(MATCHED!BG31=18,MATCHED!$S31,IF(MATCHED!BG31=19,MATCHED!$T31,IF(MATCHED!BG31=20,MATCHED!$U31,IF(MATCHED!BG31=21,MATCHED!$V31,)))))))&amp;IF(MATCHED!BG31=22,MATCHED!$W31,IF(MATCHED!BG31=23,MATCHED!$X31,IF(MATCHED!BG31=24,MATCHED!$Y31,IF(MATCHED!BG31=25,MATCHED!$Z31,IF(MATCHED!BG31=26,MATCHED!$AA31,IF(MATCHED!BG31=27,MATCHED!$AB31,"."))))))</f>
        <v>#N/A</v>
      </c>
      <c r="AF31" s="321" t="e">
        <f>IF(MATCHED!BH31=1,MATCHED!$B31,IF(MATCHED!BH31=2,MATCHED!$C31,IF(MATCHED!BH31=3,MATCHED!$D31,IF(MATCHED!BH31=4,MATCHED!$E31,IF(MATCHED!BH31=3,MATCHED!$F31,IF(MATCHED!BH31=6,MATCHED!$G31,IF(MATCHED!BH31=7,MATCHED!$H31,"")))))))&amp;IF(MATCHED!BH31=8,MATCHED!$I31,IF(MATCHED!BH31=9,MATCHED!$J31,IF(MATCHED!BH31=10,MATCHED!$K31,IF(MATCHED!BH31=11,MATCHED!$L31,IF(MATCHED!BH31=12,MATCHED!$M31,IF(MATCHED!BH31=13,MATCHED!$N31,IF(MATCHED!BH31=14,MATCHED!$O31,"")))))))&amp;IF(MATCHED!BH31=15,MATCHED!$P31,IF(MATCHED!BH31=16,MATCHED!$Q31,IF(MATCHED!BH31=17,MATCHED!$R31,IF(MATCHED!BH31=18,MATCHED!$S31,IF(MATCHED!BH31=19,MATCHED!$T31,IF(MATCHED!BH31=20,MATCHED!$U31,IF(MATCHED!BH31=21,MATCHED!$V31,)))))))&amp;IF(MATCHED!BH31=22,MATCHED!$W31,IF(MATCHED!BH31=23,MATCHED!$X31,IF(MATCHED!BH31=24,MATCHED!$Y31,IF(MATCHED!BH31=25,MATCHED!$Z31,IF(MATCHED!BH31=26,MATCHED!$AA31,IF(MATCHED!BH31=27,MATCHED!$AB31,"."))))))</f>
        <v>#N/A</v>
      </c>
      <c r="AG31" s="321" t="e">
        <f>IF(MATCHED!BI31=1,MATCHED!$B31,IF(MATCHED!BI31=2,MATCHED!$C31,IF(MATCHED!BI31=3,MATCHED!$D31,IF(MATCHED!BI31=4,MATCHED!$E31,IF(MATCHED!BI31=3,MATCHED!$F31,IF(MATCHED!BI31=6,MATCHED!$G31,IF(MATCHED!BI31=7,MATCHED!$H31,"")))))))&amp;IF(MATCHED!BI31=8,MATCHED!$I31,IF(MATCHED!BI31=9,MATCHED!$J31,IF(MATCHED!BI31=10,MATCHED!$K31,IF(MATCHED!BI31=11,MATCHED!$L31,IF(MATCHED!BI31=12,MATCHED!$M31,IF(MATCHED!BI31=13,MATCHED!$N31,IF(MATCHED!BI31=14,MATCHED!$O31,"")))))))&amp;IF(MATCHED!BI31=15,MATCHED!$P31,IF(MATCHED!BI31=16,MATCHED!$Q31,IF(MATCHED!BI31=17,MATCHED!$R31,IF(MATCHED!BI31=18,MATCHED!$S31,IF(MATCHED!BI31=19,MATCHED!$T31,IF(MATCHED!BI31=20,MATCHED!$U31,IF(MATCHED!BI31=21,MATCHED!$V31,)))))))&amp;IF(MATCHED!BI31=22,MATCHED!$W31,IF(MATCHED!BI31=23,MATCHED!$X31,IF(MATCHED!BI31=24,MATCHED!$Y31,IF(MATCHED!BI31=25,MATCHED!$Z31,IF(MATCHED!BI31=26,MATCHED!$AA31,IF(MATCHED!BI31=27,MATCHED!$AB31,"."))))))</f>
        <v>#N/A</v>
      </c>
      <c r="AH31" s="322" t="e">
        <f>IF(MATCHED!BJ31=1,MATCHED!$B31,IF(MATCHED!BJ31=2,MATCHED!$C31,IF(MATCHED!BJ31=3,MATCHED!$D31,IF(MATCHED!BJ31=4,MATCHED!$E31,IF(MATCHED!BJ31=3,MATCHED!$F31,IF(MATCHED!BJ31=6,MATCHED!$G31,IF(MATCHED!BJ31=7,MATCHED!$H31,"")))))))&amp;IF(MATCHED!BJ31=8,MATCHED!$I31,IF(MATCHED!BJ31=9,MATCHED!$J31,IF(MATCHED!BJ31=10,MATCHED!$K31,IF(MATCHED!BJ31=11,MATCHED!$L31,IF(MATCHED!BJ31=12,MATCHED!$M31,IF(MATCHED!BJ31=13,MATCHED!$N31,IF(MATCHED!BJ31=14,MATCHED!$O31,"")))))))&amp;IF(MATCHED!BJ31=15,MATCHED!$P31,IF(MATCHED!BJ31=16,MATCHED!$Q31,IF(MATCHED!BJ31=17,MATCHED!$R31,IF(MATCHED!BJ31=18,MATCHED!$S31,IF(MATCHED!BJ31=19,MATCHED!$T31,IF(MATCHED!BJ31=20,MATCHED!$U31,IF(MATCHED!BJ31=21,MATCHED!$V31,)))))))&amp;IF(MATCHED!BJ31=22,MATCHED!$W31,IF(MATCHED!BJ31=23,MATCHED!$X31,IF(MATCHED!BJ31=24,MATCHED!$Y31,IF(MATCHED!BJ31=25,MATCHED!$Z31,IF(MATCHED!BJ31=26,MATCHED!$AA31,IF(MATCHED!BJ31=27,MATCHED!$AB31,"."))))))</f>
        <v>#N/A</v>
      </c>
      <c r="AI31" s="321" t="e">
        <f>IF(MATCHED!BK31=1,MATCHED!$B31,IF(MATCHED!BK31=2,MATCHED!$C31,IF(MATCHED!BK31=3,MATCHED!$D31,IF(MATCHED!BK31=4,MATCHED!$E31,IF(MATCHED!BK31=3,MATCHED!$F31,IF(MATCHED!BK31=6,MATCHED!$G31,IF(MATCHED!BK31=7,MATCHED!$H31,"")))))))&amp;IF(MATCHED!BK31=8,MATCHED!$I31,IF(MATCHED!BK31=9,MATCHED!$J31,IF(MATCHED!BK31=10,MATCHED!$K31,IF(MATCHED!BK31=11,MATCHED!$L31,IF(MATCHED!BK31=12,MATCHED!$M31,IF(MATCHED!BK31=13,MATCHED!$N31,IF(MATCHED!BK31=14,MATCHED!$O31,"")))))))&amp;IF(MATCHED!BK31=15,MATCHED!$P31,IF(MATCHED!BK31=16,MATCHED!$Q31,IF(MATCHED!BK31=17,MATCHED!$R31,IF(MATCHED!BK31=18,MATCHED!$S31,IF(MATCHED!BK31=19,MATCHED!$T31,IF(MATCHED!BK31=20,MATCHED!$U31,IF(MATCHED!BK31=21,MATCHED!$V31,)))))))&amp;IF(MATCHED!BK31=22,MATCHED!$W31,IF(MATCHED!BK31=23,MATCHED!$X31,IF(MATCHED!BK31=24,MATCHED!$Y31,IF(MATCHED!BK31=25,MATCHED!$Z31,IF(MATCHED!BK31=26,MATCHED!$AA31,IF(MATCHED!BK31=27,MATCHED!$AB31,"."))))))</f>
        <v>#N/A</v>
      </c>
      <c r="AJ31" s="365"/>
    </row>
    <row r="32" spans="1:36" s="338" customFormat="1" x14ac:dyDescent="0.25">
      <c r="A32" s="540" t="s">
        <v>182</v>
      </c>
      <c r="B32" s="366" t="e">
        <f>IF(MATCHED!AD32=1,MATCHED!$B32,IF(MATCHED!AD32=2,MATCHED!$C32,IF(MATCHED!AD32=3,MATCHED!$D32,IF(MATCHED!AD32=4,MATCHED!$E32,IF(MATCHED!AD32=3,MATCHED!$F32,IF(MATCHED!AD32=6,MATCHED!$G32,IF(MATCHED!AD32=7,MATCHED!$H32,"")))))))&amp;IF(MATCHED!AD32=8,MATCHED!$I32,IF(MATCHED!AD32=9,MATCHED!$J32,IF(MATCHED!AD32=10,MATCHED!$K32,IF(MATCHED!AD32=11,MATCHED!$L32,IF(MATCHED!AD32=12,MATCHED!$M32,IF(MATCHED!AD32=13,MATCHED!$N32,IF(MATCHED!AD32=14,MATCHED!$O32,"")))))))&amp;IF(MATCHED!AD32=15,MATCHED!$P32,IF(MATCHED!AD32=16,MATCHED!$Q32,IF(MATCHED!AD32=17,MATCHED!$R32,IF(MATCHED!AD32=18,MATCHED!$S32,IF(MATCHED!AD32=19,MATCHED!$T32,IF(MATCHED!AD32=20,MATCHED!$U32,IF(MATCHED!AD32=21,MATCHED!$V32,)))))))&amp;IF(MATCHED!AD32=22,MATCHED!$W32,IF(MATCHED!AD32=23,MATCHED!$X32,IF(MATCHED!AD32=24,MATCHED!$Y32,IF(MATCHED!AD32=25,MATCHED!$Z32,IF(MATCHED!AD32=26,MATCHED!$AA32,IF(MATCHED!AD32=27,MATCHED!$AB32,"."))))))</f>
        <v>#N/A</v>
      </c>
      <c r="C32" s="367" t="e">
        <f>IF(MATCHED!AE32=1,MATCHED!$B32,IF(MATCHED!AE32=2,MATCHED!$C32,IF(MATCHED!AE32=3,MATCHED!$D32,IF(MATCHED!AE32=4,MATCHED!$E32,IF(MATCHED!AE32=3,MATCHED!$F32,IF(MATCHED!AE32=6,MATCHED!$G32,IF(MATCHED!AE32=7,MATCHED!$H32,"")))))))&amp;IF(MATCHED!AE32=8,MATCHED!$I32,IF(MATCHED!AE32=9,MATCHED!$J32,IF(MATCHED!AE32=10,MATCHED!$K32,IF(MATCHED!AE32=11,MATCHED!$L32,IF(MATCHED!AE32=12,MATCHED!$M32,IF(MATCHED!AE32=13,MATCHED!$N32,IF(MATCHED!AE32=14,MATCHED!$O32,"")))))))&amp;IF(MATCHED!AE32=15,MATCHED!$P32,IF(MATCHED!AE32=16,MATCHED!$Q32,IF(MATCHED!AE32=17,MATCHED!$R32,IF(MATCHED!AE32=18,MATCHED!$S32,IF(MATCHED!AE32=19,MATCHED!$T32,IF(MATCHED!AE32=20,MATCHED!$U32,IF(MATCHED!AE32=21,MATCHED!$V32,)))))))&amp;IF(MATCHED!AE32=22,MATCHED!$W32,IF(MATCHED!AE32=23,MATCHED!$X32,IF(MATCHED!AE32=24,MATCHED!$Y32,IF(MATCHED!AE32=25,MATCHED!$Z32,IF(MATCHED!AE32=26,MATCHED!$AA32,IF(MATCHED!AE32=27,MATCHED!$AB32,"."))))))</f>
        <v>#N/A</v>
      </c>
      <c r="D32" s="367" t="e">
        <f>IF(MATCHED!AF32=1,MATCHED!$B32,IF(MATCHED!AF32=2,MATCHED!$C32,IF(MATCHED!AF32=3,MATCHED!$D32,IF(MATCHED!AF32=4,MATCHED!$E32,IF(MATCHED!AF32=3,MATCHED!$F32,IF(MATCHED!AF32=6,MATCHED!$G32,IF(MATCHED!AF32=7,MATCHED!$H32,"")))))))&amp;IF(MATCHED!AF32=8,MATCHED!$I32,IF(MATCHED!AF32=9,MATCHED!$J32,IF(MATCHED!AF32=10,MATCHED!$K32,IF(MATCHED!AF32=11,MATCHED!$L32,IF(MATCHED!AF32=12,MATCHED!$M32,IF(MATCHED!AF32=13,MATCHED!$N32,IF(MATCHED!AF32=14,MATCHED!$O32,"")))))))&amp;IF(MATCHED!AF32=15,MATCHED!$P32,IF(MATCHED!AF32=16,MATCHED!$Q32,IF(MATCHED!AF32=17,MATCHED!$R32,IF(MATCHED!AF32=18,MATCHED!$S32,IF(MATCHED!AF32=19,MATCHED!$T32,IF(MATCHED!AF32=20,MATCHED!$U32,IF(MATCHED!AF32=21,MATCHED!$V32,)))))))&amp;IF(MATCHED!AF32=22,MATCHED!$W32,IF(MATCHED!AF32=23,MATCHED!$X32,IF(MATCHED!AF32=24,MATCHED!$Y32,IF(MATCHED!AF32=25,MATCHED!$Z32,IF(MATCHED!AF32=26,MATCHED!$AA32,IF(MATCHED!AF32=27,MATCHED!$AB32,"."))))))</f>
        <v>#N/A</v>
      </c>
      <c r="E32" s="367" t="e">
        <f>IF(MATCHED!AG32=1,MATCHED!$B32,IF(MATCHED!AG32=2,MATCHED!$C32,IF(MATCHED!AG32=3,MATCHED!$D32,IF(MATCHED!AG32=4,MATCHED!$E32,IF(MATCHED!AG32=3,MATCHED!$F32,IF(MATCHED!AG32=6,MATCHED!$G32,IF(MATCHED!AG32=7,MATCHED!$H32,"")))))))&amp;IF(MATCHED!AG32=8,MATCHED!$I32,IF(MATCHED!AG32=9,MATCHED!$J32,IF(MATCHED!AG32=10,MATCHED!$K32,IF(MATCHED!AG32=11,MATCHED!$L32,IF(MATCHED!AG32=12,MATCHED!$M32,IF(MATCHED!AG32=13,MATCHED!$N32,IF(MATCHED!AG32=14,MATCHED!$O32,"")))))))&amp;IF(MATCHED!AG32=15,MATCHED!$P32,IF(MATCHED!AG32=16,MATCHED!$Q32,IF(MATCHED!AG32=17,MATCHED!$R32,IF(MATCHED!AG32=18,MATCHED!$S32,IF(MATCHED!AG32=19,MATCHED!$T32,IF(MATCHED!AG32=20,MATCHED!$U32,IF(MATCHED!AG32=21,MATCHED!$V32,)))))))&amp;IF(MATCHED!AG32=22,MATCHED!$W32,IF(MATCHED!AG32=23,MATCHED!$X32,IF(MATCHED!AG32=24,MATCHED!$Y32,IF(MATCHED!AG32=25,MATCHED!$Z32,IF(MATCHED!AG32=26,MATCHED!$AA32,IF(MATCHED!AG32=27,MATCHED!$AB32,"."))))))</f>
        <v>#N/A</v>
      </c>
      <c r="F32" s="367" t="e">
        <f>IF(MATCHED!AH32=1,MATCHED!$B32,IF(MATCHED!AH32=2,MATCHED!$C32,IF(MATCHED!AH32=3,MATCHED!$D32,IF(MATCHED!AH32=4,MATCHED!$E32,IF(MATCHED!AH32=3,MATCHED!$F32,IF(MATCHED!AH32=6,MATCHED!$G32,IF(MATCHED!AH32=7,MATCHED!$H32,"")))))))&amp;IF(MATCHED!AH32=8,MATCHED!$I32,IF(MATCHED!AH32=9,MATCHED!$J32,IF(MATCHED!AH32=10,MATCHED!$K32,IF(MATCHED!AH32=11,MATCHED!$L32,IF(MATCHED!AH32=12,MATCHED!$M32,IF(MATCHED!AH32=13,MATCHED!$N32,IF(MATCHED!AH32=14,MATCHED!$O32,"")))))))&amp;IF(MATCHED!AH32=15,MATCHED!$P32,IF(MATCHED!AH32=16,MATCHED!$Q32,IF(MATCHED!AH32=17,MATCHED!$R32,IF(MATCHED!AH32=18,MATCHED!$S32,IF(MATCHED!AH32=19,MATCHED!$T32,IF(MATCHED!AH32=20,MATCHED!$U32,IF(MATCHED!AH32=21,MATCHED!$V32,)))))))&amp;IF(MATCHED!AH32=22,MATCHED!$W32,IF(MATCHED!AH32=23,MATCHED!$X32,IF(MATCHED!AH32=24,MATCHED!$Y32,IF(MATCHED!AH32=25,MATCHED!$Z32,IF(MATCHED!AH32=26,MATCHED!$AA32,IF(MATCHED!AH32=27,MATCHED!$AB32,"."))))))</f>
        <v>#N/A</v>
      </c>
      <c r="G32" s="367" t="e">
        <f>IF(MATCHED!AI32=1,MATCHED!$B32,IF(MATCHED!AI32=2,MATCHED!$C32,IF(MATCHED!AI32=3,MATCHED!$D32,IF(MATCHED!AI32=4,MATCHED!$E32,IF(MATCHED!AI32=3,MATCHED!$F32,IF(MATCHED!AI32=6,MATCHED!$G32,IF(MATCHED!AI32=7,MATCHED!$H32,"")))))))&amp;IF(MATCHED!AI32=8,MATCHED!$I32,IF(MATCHED!AI32=9,MATCHED!$J32,IF(MATCHED!AI32=10,MATCHED!$K32,IF(MATCHED!AI32=11,MATCHED!$L32,IF(MATCHED!AI32=12,MATCHED!$M32,IF(MATCHED!AI32=13,MATCHED!$N32,IF(MATCHED!AI32=14,MATCHED!$O32,"")))))))&amp;IF(MATCHED!AI32=15,MATCHED!$P32,IF(MATCHED!AI32=16,MATCHED!$Q32,IF(MATCHED!AI32=17,MATCHED!$R32,IF(MATCHED!AI32=18,MATCHED!$S32,IF(MATCHED!AI32=19,MATCHED!$T32,IF(MATCHED!AI32=20,MATCHED!$U32,IF(MATCHED!AI32=21,MATCHED!$V32,)))))))&amp;IF(MATCHED!AI32=22,MATCHED!$W32,IF(MATCHED!AI32=23,MATCHED!$X32,IF(MATCHED!AI32=24,MATCHED!$Y32,IF(MATCHED!AI32=25,MATCHED!$Z32,IF(MATCHED!AI32=26,MATCHED!$AA32,IF(MATCHED!AI32=27,MATCHED!$AB32,"."))))))</f>
        <v>#N/A</v>
      </c>
      <c r="H32" s="367" t="e">
        <f>IF(MATCHED!AJ32=1,MATCHED!$B32,IF(MATCHED!AJ32=2,MATCHED!$C32,IF(MATCHED!AJ32=3,MATCHED!$D32,IF(MATCHED!AJ32=4,MATCHED!$E32,IF(MATCHED!AJ32=3,MATCHED!$F32,IF(MATCHED!AJ32=6,MATCHED!$G32,IF(MATCHED!AJ32=7,MATCHED!$H32,"")))))))&amp;IF(MATCHED!AJ32=8,MATCHED!$I32,IF(MATCHED!AJ32=9,MATCHED!$J32,IF(MATCHED!AJ32=10,MATCHED!$K32,IF(MATCHED!AJ32=11,MATCHED!$L32,IF(MATCHED!AJ32=12,MATCHED!$M32,IF(MATCHED!AJ32=13,MATCHED!$N32,IF(MATCHED!AJ32=14,MATCHED!$O32,"")))))))&amp;IF(MATCHED!AJ32=15,MATCHED!$P32,IF(MATCHED!AJ32=16,MATCHED!$Q32,IF(MATCHED!AJ32=17,MATCHED!$R32,IF(MATCHED!AJ32=18,MATCHED!$S32,IF(MATCHED!AJ32=19,MATCHED!$T32,IF(MATCHED!AJ32=20,MATCHED!$U32,IF(MATCHED!AJ32=21,MATCHED!$V32,)))))))&amp;IF(MATCHED!AJ32=22,MATCHED!$W32,IF(MATCHED!AJ32=23,MATCHED!$X32,IF(MATCHED!AJ32=24,MATCHED!$Y32,IF(MATCHED!AJ32=25,MATCHED!$Z32,IF(MATCHED!AJ32=26,MATCHED!$AA32,IF(MATCHED!AJ32=27,MATCHED!$AB32,"."))))))</f>
        <v>#N/A</v>
      </c>
      <c r="I32" s="367" t="e">
        <f>IF(MATCHED!AK32=1,MATCHED!$B32,IF(MATCHED!AK32=2,MATCHED!$C32,IF(MATCHED!AK32=3,MATCHED!$D32,IF(MATCHED!AK32=4,MATCHED!$E32,IF(MATCHED!AK32=3,MATCHED!$F32,IF(MATCHED!AK32=6,MATCHED!$G32,IF(MATCHED!AK32=7,MATCHED!$H32,"")))))))&amp;IF(MATCHED!AK32=8,MATCHED!$I32,IF(MATCHED!AK32=9,MATCHED!$J32,IF(MATCHED!AK32=10,MATCHED!$K32,IF(MATCHED!AK32=11,MATCHED!$L32,IF(MATCHED!AK32=12,MATCHED!$M32,IF(MATCHED!AK32=13,MATCHED!$N32,IF(MATCHED!AK32=14,MATCHED!$O32,"")))))))&amp;IF(MATCHED!AK32=15,MATCHED!$P32,IF(MATCHED!AK32=16,MATCHED!$Q32,IF(MATCHED!AK32=17,MATCHED!$R32,IF(MATCHED!AK32=18,MATCHED!$S32,IF(MATCHED!AK32=19,MATCHED!$T32,IF(MATCHED!AK32=20,MATCHED!$U32,IF(MATCHED!AK32=21,MATCHED!$V32,)))))))&amp;IF(MATCHED!AK32=22,MATCHED!$W32,IF(MATCHED!AK32=23,MATCHED!$X32,IF(MATCHED!AK32=24,MATCHED!$Y32,IF(MATCHED!AK32=25,MATCHED!$Z32,IF(MATCHED!AK32=26,MATCHED!$AA32,IF(MATCHED!AK32=27,MATCHED!$AB32,"."))))))</f>
        <v>#N/A</v>
      </c>
      <c r="J32" s="367" t="e">
        <f>IF(MATCHED!AL32=1,MATCHED!$B32,IF(MATCHED!AL32=2,MATCHED!$C32,IF(MATCHED!AL32=3,MATCHED!$D32,IF(MATCHED!AL32=4,MATCHED!$E32,IF(MATCHED!AL32=3,MATCHED!$F32,IF(MATCHED!AL32=6,MATCHED!$G32,IF(MATCHED!AL32=7,MATCHED!$H32,"")))))))&amp;IF(MATCHED!AL32=8,MATCHED!$I32,IF(MATCHED!AL32=9,MATCHED!$J32,IF(MATCHED!AL32=10,MATCHED!$K32,IF(MATCHED!AL32=11,MATCHED!$L32,IF(MATCHED!AL32=12,MATCHED!$M32,IF(MATCHED!AL32=13,MATCHED!$N32,IF(MATCHED!AL32=14,MATCHED!$O32,"")))))))&amp;IF(MATCHED!AL32=15,MATCHED!$P32,IF(MATCHED!AL32=16,MATCHED!$Q32,IF(MATCHED!AL32=17,MATCHED!$R32,IF(MATCHED!AL32=18,MATCHED!$S32,IF(MATCHED!AL32=19,MATCHED!$T32,IF(MATCHED!AL32=20,MATCHED!$U32,IF(MATCHED!AL32=21,MATCHED!$V32,)))))))&amp;IF(MATCHED!AL32=22,MATCHED!$W32,IF(MATCHED!AL32=23,MATCHED!$X32,IF(MATCHED!AL32=24,MATCHED!$Y32,IF(MATCHED!AL32=25,MATCHED!$Z32,IF(MATCHED!AL32=26,MATCHED!$AA32,IF(MATCHED!AL32=27,MATCHED!$AB32,"."))))))</f>
        <v>#N/A</v>
      </c>
      <c r="K32" s="367" t="e">
        <f>IF(MATCHED!AM32=1,MATCHED!$B32,IF(MATCHED!AM32=2,MATCHED!$C32,IF(MATCHED!AM32=3,MATCHED!$D32,IF(MATCHED!AM32=4,MATCHED!$E32,IF(MATCHED!AM32=3,MATCHED!$F32,IF(MATCHED!AM32=6,MATCHED!$G32,IF(MATCHED!AM32=7,MATCHED!$H32,"")))))))&amp;IF(MATCHED!AM32=8,MATCHED!$I32,IF(MATCHED!AM32=9,MATCHED!$J32,IF(MATCHED!AM32=10,MATCHED!$K32,IF(MATCHED!AM32=11,MATCHED!$L32,IF(MATCHED!AM32=12,MATCHED!$M32,IF(MATCHED!AM32=13,MATCHED!$N32,IF(MATCHED!AM32=14,MATCHED!$O32,"")))))))&amp;IF(MATCHED!AM32=15,MATCHED!$P32,IF(MATCHED!AM32=16,MATCHED!$Q32,IF(MATCHED!AM32=17,MATCHED!$R32,IF(MATCHED!AM32=18,MATCHED!$S32,IF(MATCHED!AM32=19,MATCHED!$T32,IF(MATCHED!AM32=20,MATCHED!$U32,IF(MATCHED!AM32=21,MATCHED!$V32,)))))))&amp;IF(MATCHED!AM32=22,MATCHED!$W32,IF(MATCHED!AM32=23,MATCHED!$X32,IF(MATCHED!AM32=24,MATCHED!$Y32,IF(MATCHED!AM32=25,MATCHED!$Z32,IF(MATCHED!AM32=26,MATCHED!$AA32,IF(MATCHED!AM32=27,MATCHED!$AB32,"."))))))</f>
        <v>#N/A</v>
      </c>
      <c r="L32" s="367" t="e">
        <f>IF(MATCHED!AN32=1,MATCHED!$B32,IF(MATCHED!AN32=2,MATCHED!$C32,IF(MATCHED!AN32=3,MATCHED!$D32,IF(MATCHED!AN32=4,MATCHED!$E32,IF(MATCHED!AN32=3,MATCHED!$F32,IF(MATCHED!AN32=6,MATCHED!$G32,IF(MATCHED!AN32=7,MATCHED!$H32,"")))))))&amp;IF(MATCHED!AN32=8,MATCHED!$I32,IF(MATCHED!AN32=9,MATCHED!$J32,IF(MATCHED!AN32=10,MATCHED!$K32,IF(MATCHED!AN32=11,MATCHED!$L32,IF(MATCHED!AN32=12,MATCHED!$M32,IF(MATCHED!AN32=13,MATCHED!$N32,IF(MATCHED!AN32=14,MATCHED!$O32,"")))))))&amp;IF(MATCHED!AN32=15,MATCHED!$P32,IF(MATCHED!AN32=16,MATCHED!$Q32,IF(MATCHED!AN32=17,MATCHED!$R32,IF(MATCHED!AN32=18,MATCHED!$S32,IF(MATCHED!AN32=19,MATCHED!$T32,IF(MATCHED!AN32=20,MATCHED!$U32,IF(MATCHED!AN32=21,MATCHED!$V32,)))))))&amp;IF(MATCHED!AN32=22,MATCHED!$W32,IF(MATCHED!AN32=23,MATCHED!$X32,IF(MATCHED!AN32=24,MATCHED!$Y32,IF(MATCHED!AN32=25,MATCHED!$Z32,IF(MATCHED!AN32=26,MATCHED!$AA32,IF(MATCHED!AN32=27,MATCHED!$AB32,"."))))))</f>
        <v>#N/A</v>
      </c>
      <c r="M32" s="367" t="e">
        <f>IF(MATCHED!AO32=1,MATCHED!$B32,IF(MATCHED!AO32=2,MATCHED!$C32,IF(MATCHED!AO32=3,MATCHED!$D32,IF(MATCHED!AO32=4,MATCHED!$E32,IF(MATCHED!AO32=3,MATCHED!$F32,IF(MATCHED!AO32=6,MATCHED!$G32,IF(MATCHED!AO32=7,MATCHED!$H32,"")))))))&amp;IF(MATCHED!AO32=8,MATCHED!$I32,IF(MATCHED!AO32=9,MATCHED!$J32,IF(MATCHED!AO32=10,MATCHED!$K32,IF(MATCHED!AO32=11,MATCHED!$L32,IF(MATCHED!AO32=12,MATCHED!$M32,IF(MATCHED!AO32=13,MATCHED!$N32,IF(MATCHED!AO32=14,MATCHED!$O32,"")))))))&amp;IF(MATCHED!AO32=15,MATCHED!$P32,IF(MATCHED!AO32=16,MATCHED!$Q32,IF(MATCHED!AO32=17,MATCHED!$R32,IF(MATCHED!AO32=18,MATCHED!$S32,IF(MATCHED!AO32=19,MATCHED!$T32,IF(MATCHED!AO32=20,MATCHED!$U32,IF(MATCHED!AO32=21,MATCHED!$V32,)))))))&amp;IF(MATCHED!AO32=22,MATCHED!$W32,IF(MATCHED!AO32=23,MATCHED!$X32,IF(MATCHED!AO32=24,MATCHED!$Y32,IF(MATCHED!AO32=25,MATCHED!$Z32,IF(MATCHED!AO32=26,MATCHED!$AA32,IF(MATCHED!AO32=27,MATCHED!$AB32,"."))))))</f>
        <v>#N/A</v>
      </c>
      <c r="N32" s="367" t="e">
        <f>IF(MATCHED!AP32=1,MATCHED!$B32,IF(MATCHED!AP32=2,MATCHED!$C32,IF(MATCHED!AP32=3,MATCHED!$D32,IF(MATCHED!AP32=4,MATCHED!$E32,IF(MATCHED!AP32=3,MATCHED!$F32,IF(MATCHED!AP32=6,MATCHED!$G32,IF(MATCHED!AP32=7,MATCHED!$H32,"")))))))&amp;IF(MATCHED!AP32=8,MATCHED!$I32,IF(MATCHED!AP32=9,MATCHED!$J32,IF(MATCHED!AP32=10,MATCHED!$K32,IF(MATCHED!AP32=11,MATCHED!$L32,IF(MATCHED!AP32=12,MATCHED!$M32,IF(MATCHED!AP32=13,MATCHED!$N32,IF(MATCHED!AP32=14,MATCHED!$O32,"")))))))&amp;IF(MATCHED!AP32=15,MATCHED!$P32,IF(MATCHED!AP32=16,MATCHED!$Q32,IF(MATCHED!AP32=17,MATCHED!$R32,IF(MATCHED!AP32=18,MATCHED!$S32,IF(MATCHED!AP32=19,MATCHED!$T32,IF(MATCHED!AP32=20,MATCHED!$U32,IF(MATCHED!AP32=21,MATCHED!$V32,)))))))&amp;IF(MATCHED!AP32=22,MATCHED!$W32,IF(MATCHED!AP32=23,MATCHED!$X32,IF(MATCHED!AP32=24,MATCHED!$Y32,IF(MATCHED!AP32=25,MATCHED!$Z32,IF(MATCHED!AP32=26,MATCHED!$AA32,IF(MATCHED!AP32=27,MATCHED!$AB32,"."))))))</f>
        <v>#N/A</v>
      </c>
      <c r="O32" s="367" t="e">
        <f>IF(MATCHED!AQ32=1,MATCHED!$B32,IF(MATCHED!AQ32=2,MATCHED!$C32,IF(MATCHED!AQ32=3,MATCHED!$D32,IF(MATCHED!AQ32=4,MATCHED!$E32,IF(MATCHED!AQ32=3,MATCHED!$F32,IF(MATCHED!AQ32=6,MATCHED!$G32,IF(MATCHED!AQ32=7,MATCHED!$H32,"")))))))&amp;IF(MATCHED!AQ32=8,MATCHED!$I32,IF(MATCHED!AQ32=9,MATCHED!$J32,IF(MATCHED!AQ32=10,MATCHED!$K32,IF(MATCHED!AQ32=11,MATCHED!$L32,IF(MATCHED!AQ32=12,MATCHED!$M32,IF(MATCHED!AQ32=13,MATCHED!$N32,IF(MATCHED!AQ32=14,MATCHED!$O32,"")))))))&amp;IF(MATCHED!AQ32=15,MATCHED!$P32,IF(MATCHED!AQ32=16,MATCHED!$Q32,IF(MATCHED!AQ32=17,MATCHED!$R32,IF(MATCHED!AQ32=18,MATCHED!$S32,IF(MATCHED!AQ32=19,MATCHED!$T32,IF(MATCHED!AQ32=20,MATCHED!$U32,IF(MATCHED!AQ32=21,MATCHED!$V32,)))))))&amp;IF(MATCHED!AQ32=22,MATCHED!$W32,IF(MATCHED!AQ32=23,MATCHED!$X32,IF(MATCHED!AQ32=24,MATCHED!$Y32,IF(MATCHED!AQ32=25,MATCHED!$Z32,IF(MATCHED!AQ32=26,MATCHED!$AA32,IF(MATCHED!AQ32=27,MATCHED!$AB32,"."))))))</f>
        <v>#N/A</v>
      </c>
      <c r="P32" s="367" t="e">
        <f>IF(MATCHED!AR32=1,MATCHED!$B32,IF(MATCHED!AR32=2,MATCHED!$C32,IF(MATCHED!AR32=3,MATCHED!$D32,IF(MATCHED!AR32=4,MATCHED!$E32,IF(MATCHED!AR32=3,MATCHED!$F32,IF(MATCHED!AR32=6,MATCHED!$G32,IF(MATCHED!AR32=7,MATCHED!$H32,"")))))))&amp;IF(MATCHED!AR32=8,MATCHED!$I32,IF(MATCHED!AR32=9,MATCHED!$J32,IF(MATCHED!AR32=10,MATCHED!$K32,IF(MATCHED!AR32=11,MATCHED!$L32,IF(MATCHED!AR32=12,MATCHED!$M32,IF(MATCHED!AR32=13,MATCHED!$N32,IF(MATCHED!AR32=14,MATCHED!$O32,"")))))))&amp;IF(MATCHED!AR32=15,MATCHED!$P32,IF(MATCHED!AR32=16,MATCHED!$Q32,IF(MATCHED!AR32=17,MATCHED!$R32,IF(MATCHED!AR32=18,MATCHED!$S32,IF(MATCHED!AR32=19,MATCHED!$T32,IF(MATCHED!AR32=20,MATCHED!$U32,IF(MATCHED!AR32=21,MATCHED!$V32,)))))))&amp;IF(MATCHED!AR32=22,MATCHED!$W32,IF(MATCHED!AR32=23,MATCHED!$X32,IF(MATCHED!AR32=24,MATCHED!$Y32,IF(MATCHED!AR32=25,MATCHED!$Z32,IF(MATCHED!AR32=26,MATCHED!$AA32,IF(MATCHED!AR32=27,MATCHED!$AB32,"."))))))</f>
        <v>#N/A</v>
      </c>
      <c r="Q32" s="368" t="e">
        <f>IF(MATCHED!AS32=1,MATCHED!$B32,IF(MATCHED!AS32=2,MATCHED!$C32,IF(MATCHED!AS32=3,MATCHED!$D32,IF(MATCHED!AS32=4,MATCHED!$E32,IF(MATCHED!AS32=3,MATCHED!$F32,IF(MATCHED!AS32=6,MATCHED!$G32,IF(MATCHED!AS32=7,MATCHED!$H32,"")))))))&amp;IF(MATCHED!AS32=8,MATCHED!$I32,IF(MATCHED!AS32=9,MATCHED!$J32,IF(MATCHED!AS32=10,MATCHED!$K32,IF(MATCHED!AS32=11,MATCHED!$L32,IF(MATCHED!AS32=12,MATCHED!$M32,IF(MATCHED!AS32=13,MATCHED!$N32,IF(MATCHED!AS32=14,MATCHED!$O32,"")))))))&amp;IF(MATCHED!AS32=15,MATCHED!$P32,IF(MATCHED!AS32=16,MATCHED!$Q32,IF(MATCHED!AS32=17,MATCHED!$R32,IF(MATCHED!AS32=18,MATCHED!$S32,IF(MATCHED!AS32=19,MATCHED!$T32,IF(MATCHED!AS32=20,MATCHED!$U32,IF(MATCHED!AS32=21,MATCHED!$V32,)))))))&amp;IF(MATCHED!AS32=22,MATCHED!$W32,IF(MATCHED!AS32=23,MATCHED!$X32,IF(MATCHED!AS32=24,MATCHED!$Y32,IF(MATCHED!AS32=25,MATCHED!$Z32,IF(MATCHED!AS32=26,MATCHED!$AA32,IF(MATCHED!AS32=27,MATCHED!$AB32,"."))))))</f>
        <v>#N/A</v>
      </c>
      <c r="R32" s="367" t="e">
        <f>IF(MATCHED!AT32=1,MATCHED!$B32,IF(MATCHED!AT32=2,MATCHED!$C32,IF(MATCHED!AT32=3,MATCHED!$D32,IF(MATCHED!AT32=4,MATCHED!$E32,IF(MATCHED!AT32=3,MATCHED!$F32,IF(MATCHED!AT32=6,MATCHED!$G32,IF(MATCHED!AT32=7,MATCHED!$H32,"")))))))&amp;IF(MATCHED!AT32=8,MATCHED!$I32,IF(MATCHED!AT32=9,MATCHED!$J32,IF(MATCHED!AT32=10,MATCHED!$K32,IF(MATCHED!AT32=11,MATCHED!$L32,IF(MATCHED!AT32=12,MATCHED!$M32,IF(MATCHED!AT32=13,MATCHED!$N32,IF(MATCHED!AT32=14,MATCHED!$O32,"")))))))&amp;IF(MATCHED!AT32=15,MATCHED!$P32,IF(MATCHED!AT32=16,MATCHED!$Q32,IF(MATCHED!AT32=17,MATCHED!$R32,IF(MATCHED!AT32=18,MATCHED!$S32,IF(MATCHED!AT32=19,MATCHED!$T32,IF(MATCHED!AT32=20,MATCHED!$U32,IF(MATCHED!AT32=21,MATCHED!$V32,)))))))&amp;IF(MATCHED!AT32=22,MATCHED!$W32,IF(MATCHED!AT32=23,MATCHED!$X32,IF(MATCHED!AT32=24,MATCHED!$Y32,IF(MATCHED!AT32=25,MATCHED!$Z32,IF(MATCHED!AT32=26,MATCHED!$AA32,IF(MATCHED!AT32=27,MATCHED!$AB32,"."))))))</f>
        <v>#N/A</v>
      </c>
      <c r="S32" s="367" t="e">
        <f>IF(MATCHED!AU32=1,MATCHED!$B32,IF(MATCHED!AU32=2,MATCHED!$C32,IF(MATCHED!AU32=3,MATCHED!$D32,IF(MATCHED!AU32=4,MATCHED!$E32,IF(MATCHED!AU32=3,MATCHED!$F32,IF(MATCHED!AU32=6,MATCHED!$G32,IF(MATCHED!AU32=7,MATCHED!$H32,"")))))))&amp;IF(MATCHED!AU32=8,MATCHED!$I32,IF(MATCHED!AU32=9,MATCHED!$J32,IF(MATCHED!AU32=10,MATCHED!$K32,IF(MATCHED!AU32=11,MATCHED!$L32,IF(MATCHED!AU32=12,MATCHED!$M32,IF(MATCHED!AU32=13,MATCHED!$N32,IF(MATCHED!AU32=14,MATCHED!$O32,"")))))))&amp;IF(MATCHED!AU32=15,MATCHED!$P32,IF(MATCHED!AU32=16,MATCHED!$Q32,IF(MATCHED!AU32=17,MATCHED!$R32,IF(MATCHED!AU32=18,MATCHED!$S32,IF(MATCHED!AU32=19,MATCHED!$T32,IF(MATCHED!AU32=20,MATCHED!$U32,IF(MATCHED!AU32=21,MATCHED!$V32,)))))))&amp;IF(MATCHED!AU32=22,MATCHED!$W32,IF(MATCHED!AU32=23,MATCHED!$X32,IF(MATCHED!AU32=24,MATCHED!$Y32,IF(MATCHED!AU32=25,MATCHED!$Z32,IF(MATCHED!AU32=26,MATCHED!$AA32,IF(MATCHED!AU32=27,MATCHED!$AB32,"."))))))</f>
        <v>#N/A</v>
      </c>
      <c r="T32" s="367" t="e">
        <f>IF(MATCHED!AV32=1,MATCHED!$B32,IF(MATCHED!AV32=2,MATCHED!$C32,IF(MATCHED!AV32=3,MATCHED!$D32,IF(MATCHED!AV32=4,MATCHED!$E32,IF(MATCHED!AV32=3,MATCHED!$F32,IF(MATCHED!AV32=6,MATCHED!$G32,IF(MATCHED!AV32=7,MATCHED!$H32,"")))))))&amp;IF(MATCHED!AV32=8,MATCHED!$I32,IF(MATCHED!AV32=9,MATCHED!$J32,IF(MATCHED!AV32=10,MATCHED!$K32,IF(MATCHED!AV32=11,MATCHED!$L32,IF(MATCHED!AV32=12,MATCHED!$M32,IF(MATCHED!AV32=13,MATCHED!$N32,IF(MATCHED!AV32=14,MATCHED!$O32,"")))))))&amp;IF(MATCHED!AV32=15,MATCHED!$P32,IF(MATCHED!AV32=16,MATCHED!$Q32,IF(MATCHED!AV32=17,MATCHED!$R32,IF(MATCHED!AV32=18,MATCHED!$S32,IF(MATCHED!AV32=19,MATCHED!$T32,IF(MATCHED!AV32=20,MATCHED!$U32,IF(MATCHED!AV32=21,MATCHED!$V32,)))))))&amp;IF(MATCHED!AV32=22,MATCHED!$W32,IF(MATCHED!AV32=23,MATCHED!$X32,IF(MATCHED!AV32=24,MATCHED!$Y32,IF(MATCHED!AV32=25,MATCHED!$Z32,IF(MATCHED!AV32=26,MATCHED!$AA32,IF(MATCHED!AV32=27,MATCHED!$AB32,"."))))))</f>
        <v>#N/A</v>
      </c>
      <c r="U32" s="367" t="e">
        <f>IF(MATCHED!AW32=1,MATCHED!$B32,IF(MATCHED!AW32=2,MATCHED!$C32,IF(MATCHED!AW32=3,MATCHED!$D32,IF(MATCHED!AW32=4,MATCHED!$E32,IF(MATCHED!AW32=3,MATCHED!$F32,IF(MATCHED!AW32=6,MATCHED!$G32,IF(MATCHED!AW32=7,MATCHED!$H32,"")))))))&amp;IF(MATCHED!AW32=8,MATCHED!$I32,IF(MATCHED!AW32=9,MATCHED!$J32,IF(MATCHED!AW32=10,MATCHED!$K32,IF(MATCHED!AW32=11,MATCHED!$L32,IF(MATCHED!AW32=12,MATCHED!$M32,IF(MATCHED!AW32=13,MATCHED!$N32,IF(MATCHED!AW32=14,MATCHED!$O32,"")))))))&amp;IF(MATCHED!AW32=15,MATCHED!$P32,IF(MATCHED!AW32=16,MATCHED!$Q32,IF(MATCHED!AW32=17,MATCHED!$R32,IF(MATCHED!AW32=18,MATCHED!$S32,IF(MATCHED!AW32=19,MATCHED!$T32,IF(MATCHED!AW32=20,MATCHED!$U32,IF(MATCHED!AW32=21,MATCHED!$V32,)))))))&amp;IF(MATCHED!AW32=22,MATCHED!$W32,IF(MATCHED!AW32=23,MATCHED!$X32,IF(MATCHED!AW32=24,MATCHED!$Y32,IF(MATCHED!AW32=25,MATCHED!$Z32,IF(MATCHED!AW32=26,MATCHED!$AA32,IF(MATCHED!AW32=27,MATCHED!$AB32,"."))))))</f>
        <v>#N/A</v>
      </c>
      <c r="V32" s="367" t="e">
        <f>IF(MATCHED!AX32=1,MATCHED!$B32,IF(MATCHED!AX32=2,MATCHED!$C32,IF(MATCHED!AX32=3,MATCHED!$D32,IF(MATCHED!AX32=4,MATCHED!$E32,IF(MATCHED!AX32=3,MATCHED!$F32,IF(MATCHED!AX32=6,MATCHED!$G32,IF(MATCHED!AX32=7,MATCHED!$H32,"")))))))&amp;IF(MATCHED!AX32=8,MATCHED!$I32,IF(MATCHED!AX32=9,MATCHED!$J32,IF(MATCHED!AX32=10,MATCHED!$K32,IF(MATCHED!AX32=11,MATCHED!$L32,IF(MATCHED!AX32=12,MATCHED!$M32,IF(MATCHED!AX32=13,MATCHED!$N32,IF(MATCHED!AX32=14,MATCHED!$O32,"")))))))&amp;IF(MATCHED!AX32=15,MATCHED!$P32,IF(MATCHED!AX32=16,MATCHED!$Q32,IF(MATCHED!AX32=17,MATCHED!$R32,IF(MATCHED!AX32=18,MATCHED!$S32,IF(MATCHED!AX32=19,MATCHED!$T32,IF(MATCHED!AX32=20,MATCHED!$U32,IF(MATCHED!AX32=21,MATCHED!$V32,)))))))&amp;IF(MATCHED!AX32=22,MATCHED!$W32,IF(MATCHED!AX32=23,MATCHED!$X32,IF(MATCHED!AX32=24,MATCHED!$Y32,IF(MATCHED!AX32=25,MATCHED!$Z32,IF(MATCHED!AX32=26,MATCHED!$AA32,IF(MATCHED!AX32=27,MATCHED!$AB32,"."))))))</f>
        <v>#N/A</v>
      </c>
      <c r="W32" s="367" t="e">
        <f>IF(MATCHED!AY32=1,MATCHED!$B32,IF(MATCHED!AY32=2,MATCHED!$C32,IF(MATCHED!AY32=3,MATCHED!$D32,IF(MATCHED!AY32=4,MATCHED!$E32,IF(MATCHED!AY32=3,MATCHED!$F32,IF(MATCHED!AY32=6,MATCHED!$G32,IF(MATCHED!AY32=7,MATCHED!$H32,"")))))))&amp;IF(MATCHED!AY32=8,MATCHED!$I32,IF(MATCHED!AY32=9,MATCHED!$J32,IF(MATCHED!AY32=10,MATCHED!$K32,IF(MATCHED!AY32=11,MATCHED!$L32,IF(MATCHED!AY32=12,MATCHED!$M32,IF(MATCHED!AY32=13,MATCHED!$N32,IF(MATCHED!AY32=14,MATCHED!$O32,"")))))))&amp;IF(MATCHED!AY32=15,MATCHED!$P32,IF(MATCHED!AY32=16,MATCHED!$Q32,IF(MATCHED!AY32=17,MATCHED!$R32,IF(MATCHED!AY32=18,MATCHED!$S32,IF(MATCHED!AY32=19,MATCHED!$T32,IF(MATCHED!AY32=20,MATCHED!$U32,IF(MATCHED!AY32=21,MATCHED!$V32,)))))))&amp;IF(MATCHED!AY32=22,MATCHED!$W32,IF(MATCHED!AY32=23,MATCHED!$X32,IF(MATCHED!AY32=24,MATCHED!$Y32,IF(MATCHED!AY32=25,MATCHED!$Z32,IF(MATCHED!AY32=26,MATCHED!$AA32,IF(MATCHED!AY32=27,MATCHED!$AB32,"."))))))</f>
        <v>#N/A</v>
      </c>
      <c r="X32" s="367" t="e">
        <f>IF(MATCHED!AZ32=1,MATCHED!$B32,IF(MATCHED!AZ32=2,MATCHED!$C32,IF(MATCHED!AZ32=3,MATCHED!$D32,IF(MATCHED!AZ32=4,MATCHED!$E32,IF(MATCHED!AZ32=3,MATCHED!$F32,IF(MATCHED!AZ32=6,MATCHED!$G32,IF(MATCHED!AZ32=7,MATCHED!$H32,"")))))))&amp;IF(MATCHED!AZ32=8,MATCHED!$I32,IF(MATCHED!AZ32=9,MATCHED!$J32,IF(MATCHED!AZ32=10,MATCHED!$K32,IF(MATCHED!AZ32=11,MATCHED!$L32,IF(MATCHED!AZ32=12,MATCHED!$M32,IF(MATCHED!AZ32=13,MATCHED!$N32,IF(MATCHED!AZ32=14,MATCHED!$O32,"")))))))&amp;IF(MATCHED!AZ32=15,MATCHED!$P32,IF(MATCHED!AZ32=16,MATCHED!$Q32,IF(MATCHED!AZ32=17,MATCHED!$R32,IF(MATCHED!AZ32=18,MATCHED!$S32,IF(MATCHED!AZ32=19,MATCHED!$T32,IF(MATCHED!AZ32=20,MATCHED!$U32,IF(MATCHED!AZ32=21,MATCHED!$V32,)))))))&amp;IF(MATCHED!AZ32=22,MATCHED!$W32,IF(MATCHED!AZ32=23,MATCHED!$X32,IF(MATCHED!AZ32=24,MATCHED!$Y32,IF(MATCHED!AZ32=25,MATCHED!$Z32,IF(MATCHED!AZ32=26,MATCHED!$AA32,IF(MATCHED!AZ32=27,MATCHED!$AB32,"."))))))</f>
        <v>#N/A</v>
      </c>
      <c r="Y32" s="367" t="e">
        <f>IF(MATCHED!BA32=1,MATCHED!$B32,IF(MATCHED!BA32=2,MATCHED!$C32,IF(MATCHED!BA32=3,MATCHED!$D32,IF(MATCHED!BA32=4,MATCHED!$E32,IF(MATCHED!BA32=3,MATCHED!$F32,IF(MATCHED!BA32=6,MATCHED!$G32,IF(MATCHED!BA32=7,MATCHED!$H32,"")))))))&amp;IF(MATCHED!BA32=8,MATCHED!$I32,IF(MATCHED!BA32=9,MATCHED!$J32,IF(MATCHED!BA32=10,MATCHED!$K32,IF(MATCHED!BA32=11,MATCHED!$L32,IF(MATCHED!BA32=12,MATCHED!$M32,IF(MATCHED!BA32=13,MATCHED!$N32,IF(MATCHED!BA32=14,MATCHED!$O32,"")))))))&amp;IF(MATCHED!BA32=15,MATCHED!$P32,IF(MATCHED!BA32=16,MATCHED!$Q32,IF(MATCHED!BA32=17,MATCHED!$R32,IF(MATCHED!BA32=18,MATCHED!$S32,IF(MATCHED!BA32=19,MATCHED!$T32,IF(MATCHED!BA32=20,MATCHED!$U32,IF(MATCHED!BA32=21,MATCHED!$V32,)))))))&amp;IF(MATCHED!BA32=22,MATCHED!$W32,IF(MATCHED!BA32=23,MATCHED!$X32,IF(MATCHED!BA32=24,MATCHED!$Y32,IF(MATCHED!BA32=25,MATCHED!$Z32,IF(MATCHED!BA32=26,MATCHED!$AA32,IF(MATCHED!BA32=27,MATCHED!$AB32,"."))))))</f>
        <v>#N/A</v>
      </c>
      <c r="Z32" s="367" t="e">
        <f>IF(MATCHED!BB32=1,MATCHED!$B32,IF(MATCHED!BB32=2,MATCHED!$C32,IF(MATCHED!BB32=3,MATCHED!$D32,IF(MATCHED!BB32=4,MATCHED!$E32,IF(MATCHED!BB32=3,MATCHED!$F32,IF(MATCHED!BB32=6,MATCHED!$G32,IF(MATCHED!BB32=7,MATCHED!$H32,"")))))))&amp;IF(MATCHED!BB32=8,MATCHED!$I32,IF(MATCHED!BB32=9,MATCHED!$J32,IF(MATCHED!BB32=10,MATCHED!$K32,IF(MATCHED!BB32=11,MATCHED!$L32,IF(MATCHED!BB32=12,MATCHED!$M32,IF(MATCHED!BB32=13,MATCHED!$N32,IF(MATCHED!BB32=14,MATCHED!$O32,"")))))))&amp;IF(MATCHED!BB32=15,MATCHED!$P32,IF(MATCHED!BB32=16,MATCHED!$Q32,IF(MATCHED!BB32=17,MATCHED!$R32,IF(MATCHED!BB32=18,MATCHED!$S32,IF(MATCHED!BB32=19,MATCHED!$T32,IF(MATCHED!BB32=20,MATCHED!$U32,IF(MATCHED!BB32=21,MATCHED!$V32,)))))))&amp;IF(MATCHED!BB32=22,MATCHED!$W32,IF(MATCHED!BB32=23,MATCHED!$X32,IF(MATCHED!BB32=24,MATCHED!$Y32,IF(MATCHED!BB32=25,MATCHED!$Z32,IF(MATCHED!BB32=26,MATCHED!$AA32,IF(MATCHED!BB32=27,MATCHED!$AB32,"."))))))</f>
        <v>#N/A</v>
      </c>
      <c r="AA32" s="367" t="e">
        <f>IF(MATCHED!BC32=1,MATCHED!$B32,IF(MATCHED!BC32=2,MATCHED!$C32,IF(MATCHED!BC32=3,MATCHED!$D32,IF(MATCHED!BC32=4,MATCHED!$E32,IF(MATCHED!BC32=3,MATCHED!$F32,IF(MATCHED!BC32=6,MATCHED!$G32,IF(MATCHED!BC32=7,MATCHED!$H32,"")))))))&amp;IF(MATCHED!BC32=8,MATCHED!$I32,IF(MATCHED!BC32=9,MATCHED!$J32,IF(MATCHED!BC32=10,MATCHED!$K32,IF(MATCHED!BC32=11,MATCHED!$L32,IF(MATCHED!BC32=12,MATCHED!$M32,IF(MATCHED!BC32=13,MATCHED!$N32,IF(MATCHED!BC32=14,MATCHED!$O32,"")))))))&amp;IF(MATCHED!BC32=15,MATCHED!$P32,IF(MATCHED!BC32=16,MATCHED!$Q32,IF(MATCHED!BC32=17,MATCHED!$R32,IF(MATCHED!BC32=18,MATCHED!$S32,IF(MATCHED!BC32=19,MATCHED!$T32,IF(MATCHED!BC32=20,MATCHED!$U32,IF(MATCHED!BC32=21,MATCHED!$V32,)))))))&amp;IF(MATCHED!BC32=22,MATCHED!$W32,IF(MATCHED!BC32=23,MATCHED!$X32,IF(MATCHED!BC32=24,MATCHED!$Y32,IF(MATCHED!BC32=25,MATCHED!$Z32,IF(MATCHED!BC32=26,MATCHED!$AA32,IF(MATCHED!BC32=27,MATCHED!$AB32,"."))))))</f>
        <v>#N/A</v>
      </c>
      <c r="AB32" s="367" t="e">
        <f>IF(MATCHED!BD32=1,MATCHED!$B32,IF(MATCHED!BD32=2,MATCHED!$C32,IF(MATCHED!BD32=3,MATCHED!$D32,IF(MATCHED!BD32=4,MATCHED!$E32,IF(MATCHED!BD32=3,MATCHED!$F32,IF(MATCHED!BD32=6,MATCHED!$G32,IF(MATCHED!BD32=7,MATCHED!$H32,"")))))))&amp;IF(MATCHED!BD32=8,MATCHED!$I32,IF(MATCHED!BD32=9,MATCHED!$J32,IF(MATCHED!BD32=10,MATCHED!$K32,IF(MATCHED!BD32=11,MATCHED!$L32,IF(MATCHED!BD32=12,MATCHED!$M32,IF(MATCHED!BD32=13,MATCHED!$N32,IF(MATCHED!BD32=14,MATCHED!$O32,"")))))))&amp;IF(MATCHED!BD32=15,MATCHED!$P32,IF(MATCHED!BD32=16,MATCHED!$Q32,IF(MATCHED!BD32=17,MATCHED!$R32,IF(MATCHED!BD32=18,MATCHED!$S32,IF(MATCHED!BD32=19,MATCHED!$T32,IF(MATCHED!BD32=20,MATCHED!$U32,IF(MATCHED!BD32=21,MATCHED!$V32,)))))))&amp;IF(MATCHED!BD32=22,MATCHED!$W32,IF(MATCHED!BD32=23,MATCHED!$X32,IF(MATCHED!BD32=24,MATCHED!$Y32,IF(MATCHED!BD32=25,MATCHED!$Z32,IF(MATCHED!BD32=26,MATCHED!$AA32,IF(MATCHED!BD32=27,MATCHED!$AB32,"."))))))</f>
        <v>#N/A</v>
      </c>
      <c r="AC32" s="367" t="e">
        <f>IF(MATCHED!BE32=1,MATCHED!$B32,IF(MATCHED!BE32=2,MATCHED!$C32,IF(MATCHED!BE32=3,MATCHED!$D32,IF(MATCHED!BE32=4,MATCHED!$E32,IF(MATCHED!BE32=3,MATCHED!$F32,IF(MATCHED!BE32=6,MATCHED!$G32,IF(MATCHED!BE32=7,MATCHED!$H32,"")))))))&amp;IF(MATCHED!BE32=8,MATCHED!$I32,IF(MATCHED!BE32=9,MATCHED!$J32,IF(MATCHED!BE32=10,MATCHED!$K32,IF(MATCHED!BE32=11,MATCHED!$L32,IF(MATCHED!BE32=12,MATCHED!$M32,IF(MATCHED!BE32=13,MATCHED!$N32,IF(MATCHED!BE32=14,MATCHED!$O32,"")))))))&amp;IF(MATCHED!BE32=15,MATCHED!$P32,IF(MATCHED!BE32=16,MATCHED!$Q32,IF(MATCHED!BE32=17,MATCHED!$R32,IF(MATCHED!BE32=18,MATCHED!$S32,IF(MATCHED!BE32=19,MATCHED!$T32,IF(MATCHED!BE32=20,MATCHED!$U32,IF(MATCHED!BE32=21,MATCHED!$V32,)))))))&amp;IF(MATCHED!BE32=22,MATCHED!$W32,IF(MATCHED!BE32=23,MATCHED!$X32,IF(MATCHED!BE32=24,MATCHED!$Y32,IF(MATCHED!BE32=25,MATCHED!$Z32,IF(MATCHED!BE32=26,MATCHED!$AA32,IF(MATCHED!BE32=27,MATCHED!$AB32,"."))))))</f>
        <v>#N/A</v>
      </c>
      <c r="AD32" s="367" t="e">
        <f>IF(MATCHED!BF32=1,MATCHED!$B32,IF(MATCHED!BF32=2,MATCHED!$C32,IF(MATCHED!BF32=3,MATCHED!$D32,IF(MATCHED!BF32=4,MATCHED!$E32,IF(MATCHED!BF32=3,MATCHED!$F32,IF(MATCHED!BF32=6,MATCHED!$G32,IF(MATCHED!BF32=7,MATCHED!$H32,"")))))))&amp;IF(MATCHED!BF32=8,MATCHED!$I32,IF(MATCHED!BF32=9,MATCHED!$J32,IF(MATCHED!BF32=10,MATCHED!$K32,IF(MATCHED!BF32=11,MATCHED!$L32,IF(MATCHED!BF32=12,MATCHED!$M32,IF(MATCHED!BF32=13,MATCHED!$N32,IF(MATCHED!BF32=14,MATCHED!$O32,"")))))))&amp;IF(MATCHED!BF32=15,MATCHED!$P32,IF(MATCHED!BF32=16,MATCHED!$Q32,IF(MATCHED!BF32=17,MATCHED!$R32,IF(MATCHED!BF32=18,MATCHED!$S32,IF(MATCHED!BF32=19,MATCHED!$T32,IF(MATCHED!BF32=20,MATCHED!$U32,IF(MATCHED!BF32=21,MATCHED!$V32,)))))))&amp;IF(MATCHED!BF32=22,MATCHED!$W32,IF(MATCHED!BF32=23,MATCHED!$X32,IF(MATCHED!BF32=24,MATCHED!$Y32,IF(MATCHED!BF32=25,MATCHED!$Z32,IF(MATCHED!BF32=26,MATCHED!$AA32,IF(MATCHED!BF32=27,MATCHED!$AB32,"."))))))</f>
        <v>#N/A</v>
      </c>
      <c r="AE32" s="367" t="e">
        <f>IF(MATCHED!BG32=1,MATCHED!$B32,IF(MATCHED!BG32=2,MATCHED!$C32,IF(MATCHED!BG32=3,MATCHED!$D32,IF(MATCHED!BG32=4,MATCHED!$E32,IF(MATCHED!BG32=3,MATCHED!$F32,IF(MATCHED!BG32=6,MATCHED!$G32,IF(MATCHED!BG32=7,MATCHED!$H32,"")))))))&amp;IF(MATCHED!BG32=8,MATCHED!$I32,IF(MATCHED!BG32=9,MATCHED!$J32,IF(MATCHED!BG32=10,MATCHED!$K32,IF(MATCHED!BG32=11,MATCHED!$L32,IF(MATCHED!BG32=12,MATCHED!$M32,IF(MATCHED!BG32=13,MATCHED!$N32,IF(MATCHED!BG32=14,MATCHED!$O32,"")))))))&amp;IF(MATCHED!BG32=15,MATCHED!$P32,IF(MATCHED!BG32=16,MATCHED!$Q32,IF(MATCHED!BG32=17,MATCHED!$R32,IF(MATCHED!BG32=18,MATCHED!$S32,IF(MATCHED!BG32=19,MATCHED!$T32,IF(MATCHED!BG32=20,MATCHED!$U32,IF(MATCHED!BG32=21,MATCHED!$V32,)))))))&amp;IF(MATCHED!BG32=22,MATCHED!$W32,IF(MATCHED!BG32=23,MATCHED!$X32,IF(MATCHED!BG32=24,MATCHED!$Y32,IF(MATCHED!BG32=25,MATCHED!$Z32,IF(MATCHED!BG32=26,MATCHED!$AA32,IF(MATCHED!BG32=27,MATCHED!$AB32,"."))))))</f>
        <v>#N/A</v>
      </c>
      <c r="AF32" s="367" t="e">
        <f>IF(MATCHED!BH32=1,MATCHED!$B32,IF(MATCHED!BH32=2,MATCHED!$C32,IF(MATCHED!BH32=3,MATCHED!$D32,IF(MATCHED!BH32=4,MATCHED!$E32,IF(MATCHED!BH32=3,MATCHED!$F32,IF(MATCHED!BH32=6,MATCHED!$G32,IF(MATCHED!BH32=7,MATCHED!$H32,"")))))))&amp;IF(MATCHED!BH32=8,MATCHED!$I32,IF(MATCHED!BH32=9,MATCHED!$J32,IF(MATCHED!BH32=10,MATCHED!$K32,IF(MATCHED!BH32=11,MATCHED!$L32,IF(MATCHED!BH32=12,MATCHED!$M32,IF(MATCHED!BH32=13,MATCHED!$N32,IF(MATCHED!BH32=14,MATCHED!$O32,"")))))))&amp;IF(MATCHED!BH32=15,MATCHED!$P32,IF(MATCHED!BH32=16,MATCHED!$Q32,IF(MATCHED!BH32=17,MATCHED!$R32,IF(MATCHED!BH32=18,MATCHED!$S32,IF(MATCHED!BH32=19,MATCHED!$T32,IF(MATCHED!BH32=20,MATCHED!$U32,IF(MATCHED!BH32=21,MATCHED!$V32,)))))))&amp;IF(MATCHED!BH32=22,MATCHED!$W32,IF(MATCHED!BH32=23,MATCHED!$X32,IF(MATCHED!BH32=24,MATCHED!$Y32,IF(MATCHED!BH32=25,MATCHED!$Z32,IF(MATCHED!BH32=26,MATCHED!$AA32,IF(MATCHED!BH32=27,MATCHED!$AB32,"."))))))</f>
        <v>#N/A</v>
      </c>
      <c r="AG32" s="367" t="e">
        <f>IF(MATCHED!BI32=1,MATCHED!$B32,IF(MATCHED!BI32=2,MATCHED!$C32,IF(MATCHED!BI32=3,MATCHED!$D32,IF(MATCHED!BI32=4,MATCHED!$E32,IF(MATCHED!BI32=3,MATCHED!$F32,IF(MATCHED!BI32=6,MATCHED!$G32,IF(MATCHED!BI32=7,MATCHED!$H32,"")))))))&amp;IF(MATCHED!BI32=8,MATCHED!$I32,IF(MATCHED!BI32=9,MATCHED!$J32,IF(MATCHED!BI32=10,MATCHED!$K32,IF(MATCHED!BI32=11,MATCHED!$L32,IF(MATCHED!BI32=12,MATCHED!$M32,IF(MATCHED!BI32=13,MATCHED!$N32,IF(MATCHED!BI32=14,MATCHED!$O32,"")))))))&amp;IF(MATCHED!BI32=15,MATCHED!$P32,IF(MATCHED!BI32=16,MATCHED!$Q32,IF(MATCHED!BI32=17,MATCHED!$R32,IF(MATCHED!BI32=18,MATCHED!$S32,IF(MATCHED!BI32=19,MATCHED!$T32,IF(MATCHED!BI32=20,MATCHED!$U32,IF(MATCHED!BI32=21,MATCHED!$V32,)))))))&amp;IF(MATCHED!BI32=22,MATCHED!$W32,IF(MATCHED!BI32=23,MATCHED!$X32,IF(MATCHED!BI32=24,MATCHED!$Y32,IF(MATCHED!BI32=25,MATCHED!$Z32,IF(MATCHED!BI32=26,MATCHED!$AA32,IF(MATCHED!BI32=27,MATCHED!$AB32,"."))))))</f>
        <v>#N/A</v>
      </c>
      <c r="AH32" s="367" t="e">
        <f>IF(MATCHED!BJ32=1,MATCHED!$B32,IF(MATCHED!BJ32=2,MATCHED!$C32,IF(MATCHED!BJ32=3,MATCHED!$D32,IF(MATCHED!BJ32=4,MATCHED!$E32,IF(MATCHED!BJ32=3,MATCHED!$F32,IF(MATCHED!BJ32=6,MATCHED!$G32,IF(MATCHED!BJ32=7,MATCHED!$H32,"")))))))&amp;IF(MATCHED!BJ32=8,MATCHED!$I32,IF(MATCHED!BJ32=9,MATCHED!$J32,IF(MATCHED!BJ32=10,MATCHED!$K32,IF(MATCHED!BJ32=11,MATCHED!$L32,IF(MATCHED!BJ32=12,MATCHED!$M32,IF(MATCHED!BJ32=13,MATCHED!$N32,IF(MATCHED!BJ32=14,MATCHED!$O32,"")))))))&amp;IF(MATCHED!BJ32=15,MATCHED!$P32,IF(MATCHED!BJ32=16,MATCHED!$Q32,IF(MATCHED!BJ32=17,MATCHED!$R32,IF(MATCHED!BJ32=18,MATCHED!$S32,IF(MATCHED!BJ32=19,MATCHED!$T32,IF(MATCHED!BJ32=20,MATCHED!$U32,IF(MATCHED!BJ32=21,MATCHED!$V32,)))))))&amp;IF(MATCHED!BJ32=22,MATCHED!$W32,IF(MATCHED!BJ32=23,MATCHED!$X32,IF(MATCHED!BJ32=24,MATCHED!$Y32,IF(MATCHED!BJ32=25,MATCHED!$Z32,IF(MATCHED!BJ32=26,MATCHED!$AA32,IF(MATCHED!BJ32=27,MATCHED!$AB32,"."))))))</f>
        <v>#N/A</v>
      </c>
      <c r="AI32" s="367" t="e">
        <f>IF(MATCHED!BK32=1,MATCHED!$B32,IF(MATCHED!BK32=2,MATCHED!$C32,IF(MATCHED!BK32=3,MATCHED!$D32,IF(MATCHED!BK32=4,MATCHED!$E32,IF(MATCHED!BK32=3,MATCHED!$F32,IF(MATCHED!BK32=6,MATCHED!$G32,IF(MATCHED!BK32=7,MATCHED!$H32,"")))))))&amp;IF(MATCHED!BK32=8,MATCHED!$I32,IF(MATCHED!BK32=9,MATCHED!$J32,IF(MATCHED!BK32=10,MATCHED!$K32,IF(MATCHED!BK32=11,MATCHED!$L32,IF(MATCHED!BK32=12,MATCHED!$M32,IF(MATCHED!BK32=13,MATCHED!$N32,IF(MATCHED!BK32=14,MATCHED!$O32,"")))))))&amp;IF(MATCHED!BK32=15,MATCHED!$P32,IF(MATCHED!BK32=16,MATCHED!$Q32,IF(MATCHED!BK32=17,MATCHED!$R32,IF(MATCHED!BK32=18,MATCHED!$S32,IF(MATCHED!BK32=19,MATCHED!$T32,IF(MATCHED!BK32=20,MATCHED!$U32,IF(MATCHED!BK32=21,MATCHED!$V32,)))))))&amp;IF(MATCHED!BK32=22,MATCHED!$W32,IF(MATCHED!BK32=23,MATCHED!$X32,IF(MATCHED!BK32=24,MATCHED!$Y32,IF(MATCHED!BK32=25,MATCHED!$Z32,IF(MATCHED!BK32=26,MATCHED!$AA32,IF(MATCHED!BK32=27,MATCHED!$AB32,"."))))))</f>
        <v>#N/A</v>
      </c>
      <c r="AJ32" s="540" t="s">
        <v>182</v>
      </c>
    </row>
    <row r="33" spans="1:36" s="338" customFormat="1" x14ac:dyDescent="0.25">
      <c r="A33" s="535"/>
      <c r="B33" s="369" t="e">
        <f>IF(MATCHED!AD33=1,MATCHED!$B33,IF(MATCHED!AD33=2,MATCHED!$C33,IF(MATCHED!AD33=3,MATCHED!$D33,IF(MATCHED!AD33=4,MATCHED!$E33,IF(MATCHED!AD33=3,MATCHED!$F33,IF(MATCHED!AD33=6,MATCHED!$G33,IF(MATCHED!AD33=7,MATCHED!$H33,"")))))))&amp;IF(MATCHED!AD33=8,MATCHED!$I33,IF(MATCHED!AD33=9,MATCHED!$J33,IF(MATCHED!AD33=10,MATCHED!$K33,IF(MATCHED!AD33=11,MATCHED!$L33,IF(MATCHED!AD33=12,MATCHED!$M33,IF(MATCHED!AD33=13,MATCHED!$N33,IF(MATCHED!AD33=14,MATCHED!$O33,"")))))))&amp;IF(MATCHED!AD33=15,MATCHED!$P33,IF(MATCHED!AD33=16,MATCHED!$Q33,IF(MATCHED!AD33=17,MATCHED!$R33,IF(MATCHED!AD33=18,MATCHED!$S33,IF(MATCHED!AD33=19,MATCHED!$T33,IF(MATCHED!AD33=20,MATCHED!$U33,IF(MATCHED!AD33=21,MATCHED!$V33,)))))))&amp;IF(MATCHED!AD33=22,MATCHED!$W33,IF(MATCHED!AD33=23,MATCHED!$X33,IF(MATCHED!AD33=24,MATCHED!$Y33,IF(MATCHED!AD33=25,MATCHED!$Z33,IF(MATCHED!AD33=26,MATCHED!$AA33,IF(MATCHED!AD33=27,MATCHED!$AB33,"."))))))</f>
        <v>#N/A</v>
      </c>
      <c r="C33" s="370" t="e">
        <f>IF(MATCHED!AE33=1,MATCHED!$B33,IF(MATCHED!AE33=2,MATCHED!$C33,IF(MATCHED!AE33=3,MATCHED!$D33,IF(MATCHED!AE33=4,MATCHED!$E33,IF(MATCHED!AE33=3,MATCHED!$F33,IF(MATCHED!AE33=6,MATCHED!$G33,IF(MATCHED!AE33=7,MATCHED!$H33,"")))))))&amp;IF(MATCHED!AE33=8,MATCHED!$I33,IF(MATCHED!AE33=9,MATCHED!$J33,IF(MATCHED!AE33=10,MATCHED!$K33,IF(MATCHED!AE33=11,MATCHED!$L33,IF(MATCHED!AE33=12,MATCHED!$M33,IF(MATCHED!AE33=13,MATCHED!$N33,IF(MATCHED!AE33=14,MATCHED!$O33,"")))))))&amp;IF(MATCHED!AE33=15,MATCHED!$P33,IF(MATCHED!AE33=16,MATCHED!$Q33,IF(MATCHED!AE33=17,MATCHED!$R33,IF(MATCHED!AE33=18,MATCHED!$S33,IF(MATCHED!AE33=19,MATCHED!$T33,IF(MATCHED!AE33=20,MATCHED!$U33,IF(MATCHED!AE33=21,MATCHED!$V33,)))))))&amp;IF(MATCHED!AE33=22,MATCHED!$W33,IF(MATCHED!AE33=23,MATCHED!$X33,IF(MATCHED!AE33=24,MATCHED!$Y33,IF(MATCHED!AE33=25,MATCHED!$Z33,IF(MATCHED!AE33=26,MATCHED!$AA33,IF(MATCHED!AE33=27,MATCHED!$AB33,"."))))))</f>
        <v>#N/A</v>
      </c>
      <c r="D33" s="370" t="e">
        <f>IF(MATCHED!AF33=1,MATCHED!$B33,IF(MATCHED!AF33=2,MATCHED!$C33,IF(MATCHED!AF33=3,MATCHED!$D33,IF(MATCHED!AF33=4,MATCHED!$E33,IF(MATCHED!AF33=3,MATCHED!$F33,IF(MATCHED!AF33=6,MATCHED!$G33,IF(MATCHED!AF33=7,MATCHED!$H33,"")))))))&amp;IF(MATCHED!AF33=8,MATCHED!$I33,IF(MATCHED!AF33=9,MATCHED!$J33,IF(MATCHED!AF33=10,MATCHED!$K33,IF(MATCHED!AF33=11,MATCHED!$L33,IF(MATCHED!AF33=12,MATCHED!$M33,IF(MATCHED!AF33=13,MATCHED!$N33,IF(MATCHED!AF33=14,MATCHED!$O33,"")))))))&amp;IF(MATCHED!AF33=15,MATCHED!$P33,IF(MATCHED!AF33=16,MATCHED!$Q33,IF(MATCHED!AF33=17,MATCHED!$R33,IF(MATCHED!AF33=18,MATCHED!$S33,IF(MATCHED!AF33=19,MATCHED!$T33,IF(MATCHED!AF33=20,MATCHED!$U33,IF(MATCHED!AF33=21,MATCHED!$V33,)))))))&amp;IF(MATCHED!AF33=22,MATCHED!$W33,IF(MATCHED!AF33=23,MATCHED!$X33,IF(MATCHED!AF33=24,MATCHED!$Y33,IF(MATCHED!AF33=25,MATCHED!$Z33,IF(MATCHED!AF33=26,MATCHED!$AA33,IF(MATCHED!AF33=27,MATCHED!$AB33,"."))))))</f>
        <v>#N/A</v>
      </c>
      <c r="E33" s="370" t="e">
        <f>IF(MATCHED!AG33=1,MATCHED!$B33,IF(MATCHED!AG33=2,MATCHED!$C33,IF(MATCHED!AG33=3,MATCHED!$D33,IF(MATCHED!AG33=4,MATCHED!$E33,IF(MATCHED!AG33=3,MATCHED!$F33,IF(MATCHED!AG33=6,MATCHED!$G33,IF(MATCHED!AG33=7,MATCHED!$H33,"")))))))&amp;IF(MATCHED!AG33=8,MATCHED!$I33,IF(MATCHED!AG33=9,MATCHED!$J33,IF(MATCHED!AG33=10,MATCHED!$K33,IF(MATCHED!AG33=11,MATCHED!$L33,IF(MATCHED!AG33=12,MATCHED!$M33,IF(MATCHED!AG33=13,MATCHED!$N33,IF(MATCHED!AG33=14,MATCHED!$O33,"")))))))&amp;IF(MATCHED!AG33=15,MATCHED!$P33,IF(MATCHED!AG33=16,MATCHED!$Q33,IF(MATCHED!AG33=17,MATCHED!$R33,IF(MATCHED!AG33=18,MATCHED!$S33,IF(MATCHED!AG33=19,MATCHED!$T33,IF(MATCHED!AG33=20,MATCHED!$U33,IF(MATCHED!AG33=21,MATCHED!$V33,)))))))&amp;IF(MATCHED!AG33=22,MATCHED!$W33,IF(MATCHED!AG33=23,MATCHED!$X33,IF(MATCHED!AG33=24,MATCHED!$Y33,IF(MATCHED!AG33=25,MATCHED!$Z33,IF(MATCHED!AG33=26,MATCHED!$AA33,IF(MATCHED!AG33=27,MATCHED!$AB33,"."))))))</f>
        <v>#N/A</v>
      </c>
      <c r="F33" s="370" t="e">
        <f>IF(MATCHED!AH33=1,MATCHED!$B33,IF(MATCHED!AH33=2,MATCHED!$C33,IF(MATCHED!AH33=3,MATCHED!$D33,IF(MATCHED!AH33=4,MATCHED!$E33,IF(MATCHED!AH33=3,MATCHED!$F33,IF(MATCHED!AH33=6,MATCHED!$G33,IF(MATCHED!AH33=7,MATCHED!$H33,"")))))))&amp;IF(MATCHED!AH33=8,MATCHED!$I33,IF(MATCHED!AH33=9,MATCHED!$J33,IF(MATCHED!AH33=10,MATCHED!$K33,IF(MATCHED!AH33=11,MATCHED!$L33,IF(MATCHED!AH33=12,MATCHED!$M33,IF(MATCHED!AH33=13,MATCHED!$N33,IF(MATCHED!AH33=14,MATCHED!$O33,"")))))))&amp;IF(MATCHED!AH33=15,MATCHED!$P33,IF(MATCHED!AH33=16,MATCHED!$Q33,IF(MATCHED!AH33=17,MATCHED!$R33,IF(MATCHED!AH33=18,MATCHED!$S33,IF(MATCHED!AH33=19,MATCHED!$T33,IF(MATCHED!AH33=20,MATCHED!$U33,IF(MATCHED!AH33=21,MATCHED!$V33,)))))))&amp;IF(MATCHED!AH33=22,MATCHED!$W33,IF(MATCHED!AH33=23,MATCHED!$X33,IF(MATCHED!AH33=24,MATCHED!$Y33,IF(MATCHED!AH33=25,MATCHED!$Z33,IF(MATCHED!AH33=26,MATCHED!$AA33,IF(MATCHED!AH33=27,MATCHED!$AB33,"."))))))</f>
        <v>#N/A</v>
      </c>
      <c r="G33" s="370" t="e">
        <f>IF(MATCHED!AI33=1,MATCHED!$B33,IF(MATCHED!AI33=2,MATCHED!$C33,IF(MATCHED!AI33=3,MATCHED!$D33,IF(MATCHED!AI33=4,MATCHED!$E33,IF(MATCHED!AI33=3,MATCHED!$F33,IF(MATCHED!AI33=6,MATCHED!$G33,IF(MATCHED!AI33=7,MATCHED!$H33,"")))))))&amp;IF(MATCHED!AI33=8,MATCHED!$I33,IF(MATCHED!AI33=9,MATCHED!$J33,IF(MATCHED!AI33=10,MATCHED!$K33,IF(MATCHED!AI33=11,MATCHED!$L33,IF(MATCHED!AI33=12,MATCHED!$M33,IF(MATCHED!AI33=13,MATCHED!$N33,IF(MATCHED!AI33=14,MATCHED!$O33,"")))))))&amp;IF(MATCHED!AI33=15,MATCHED!$P33,IF(MATCHED!AI33=16,MATCHED!$Q33,IF(MATCHED!AI33=17,MATCHED!$R33,IF(MATCHED!AI33=18,MATCHED!$S33,IF(MATCHED!AI33=19,MATCHED!$T33,IF(MATCHED!AI33=20,MATCHED!$U33,IF(MATCHED!AI33=21,MATCHED!$V33,)))))))&amp;IF(MATCHED!AI33=22,MATCHED!$W33,IF(MATCHED!AI33=23,MATCHED!$X33,IF(MATCHED!AI33=24,MATCHED!$Y33,IF(MATCHED!AI33=25,MATCHED!$Z33,IF(MATCHED!AI33=26,MATCHED!$AA33,IF(MATCHED!AI33=27,MATCHED!$AB33,"."))))))</f>
        <v>#N/A</v>
      </c>
      <c r="H33" s="370" t="e">
        <f>IF(MATCHED!AJ33=1,MATCHED!$B33,IF(MATCHED!AJ33=2,MATCHED!$C33,IF(MATCHED!AJ33=3,MATCHED!$D33,IF(MATCHED!AJ33=4,MATCHED!$E33,IF(MATCHED!AJ33=3,MATCHED!$F33,IF(MATCHED!AJ33=6,MATCHED!$G33,IF(MATCHED!AJ33=7,MATCHED!$H33,"")))))))&amp;IF(MATCHED!AJ33=8,MATCHED!$I33,IF(MATCHED!AJ33=9,MATCHED!$J33,IF(MATCHED!AJ33=10,MATCHED!$K33,IF(MATCHED!AJ33=11,MATCHED!$L33,IF(MATCHED!AJ33=12,MATCHED!$M33,IF(MATCHED!AJ33=13,MATCHED!$N33,IF(MATCHED!AJ33=14,MATCHED!$O33,"")))))))&amp;IF(MATCHED!AJ33=15,MATCHED!$P33,IF(MATCHED!AJ33=16,MATCHED!$Q33,IF(MATCHED!AJ33=17,MATCHED!$R33,IF(MATCHED!AJ33=18,MATCHED!$S33,IF(MATCHED!AJ33=19,MATCHED!$T33,IF(MATCHED!AJ33=20,MATCHED!$U33,IF(MATCHED!AJ33=21,MATCHED!$V33,)))))))&amp;IF(MATCHED!AJ33=22,MATCHED!$W33,IF(MATCHED!AJ33=23,MATCHED!$X33,IF(MATCHED!AJ33=24,MATCHED!$Y33,IF(MATCHED!AJ33=25,MATCHED!$Z33,IF(MATCHED!AJ33=26,MATCHED!$AA33,IF(MATCHED!AJ33=27,MATCHED!$AB33,"."))))))</f>
        <v>#N/A</v>
      </c>
      <c r="I33" s="370" t="e">
        <f>IF(MATCHED!AK33=1,MATCHED!$B33,IF(MATCHED!AK33=2,MATCHED!$C33,IF(MATCHED!AK33=3,MATCHED!$D33,IF(MATCHED!AK33=4,MATCHED!$E33,IF(MATCHED!AK33=3,MATCHED!$F33,IF(MATCHED!AK33=6,MATCHED!$G33,IF(MATCHED!AK33=7,MATCHED!$H33,"")))))))&amp;IF(MATCHED!AK33=8,MATCHED!$I33,IF(MATCHED!AK33=9,MATCHED!$J33,IF(MATCHED!AK33=10,MATCHED!$K33,IF(MATCHED!AK33=11,MATCHED!$L33,IF(MATCHED!AK33=12,MATCHED!$M33,IF(MATCHED!AK33=13,MATCHED!$N33,IF(MATCHED!AK33=14,MATCHED!$O33,"")))))))&amp;IF(MATCHED!AK33=15,MATCHED!$P33,IF(MATCHED!AK33=16,MATCHED!$Q33,IF(MATCHED!AK33=17,MATCHED!$R33,IF(MATCHED!AK33=18,MATCHED!$S33,IF(MATCHED!AK33=19,MATCHED!$T33,IF(MATCHED!AK33=20,MATCHED!$U33,IF(MATCHED!AK33=21,MATCHED!$V33,)))))))&amp;IF(MATCHED!AK33=22,MATCHED!$W33,IF(MATCHED!AK33=23,MATCHED!$X33,IF(MATCHED!AK33=24,MATCHED!$Y33,IF(MATCHED!AK33=25,MATCHED!$Z33,IF(MATCHED!AK33=26,MATCHED!$AA33,IF(MATCHED!AK33=27,MATCHED!$AB33,"."))))))</f>
        <v>#N/A</v>
      </c>
      <c r="J33" s="370" t="e">
        <f>IF(MATCHED!AL33=1,MATCHED!$B33,IF(MATCHED!AL33=2,MATCHED!$C33,IF(MATCHED!AL33=3,MATCHED!$D33,IF(MATCHED!AL33=4,MATCHED!$E33,IF(MATCHED!AL33=3,MATCHED!$F33,IF(MATCHED!AL33=6,MATCHED!$G33,IF(MATCHED!AL33=7,MATCHED!$H33,"")))))))&amp;IF(MATCHED!AL33=8,MATCHED!$I33,IF(MATCHED!AL33=9,MATCHED!$J33,IF(MATCHED!AL33=10,MATCHED!$K33,IF(MATCHED!AL33=11,MATCHED!$L33,IF(MATCHED!AL33=12,MATCHED!$M33,IF(MATCHED!AL33=13,MATCHED!$N33,IF(MATCHED!AL33=14,MATCHED!$O33,"")))))))&amp;IF(MATCHED!AL33=15,MATCHED!$P33,IF(MATCHED!AL33=16,MATCHED!$Q33,IF(MATCHED!AL33=17,MATCHED!$R33,IF(MATCHED!AL33=18,MATCHED!$S33,IF(MATCHED!AL33=19,MATCHED!$T33,IF(MATCHED!AL33=20,MATCHED!$U33,IF(MATCHED!AL33=21,MATCHED!$V33,)))))))&amp;IF(MATCHED!AL33=22,MATCHED!$W33,IF(MATCHED!AL33=23,MATCHED!$X33,IF(MATCHED!AL33=24,MATCHED!$Y33,IF(MATCHED!AL33=25,MATCHED!$Z33,IF(MATCHED!AL33=26,MATCHED!$AA33,IF(MATCHED!AL33=27,MATCHED!$AB33,"."))))))</f>
        <v>#N/A</v>
      </c>
      <c r="K33" s="370" t="e">
        <f>IF(MATCHED!AM33=1,MATCHED!$B33,IF(MATCHED!AM33=2,MATCHED!$C33,IF(MATCHED!AM33=3,MATCHED!$D33,IF(MATCHED!AM33=4,MATCHED!$E33,IF(MATCHED!AM33=3,MATCHED!$F33,IF(MATCHED!AM33=6,MATCHED!$G33,IF(MATCHED!AM33=7,MATCHED!$H33,"")))))))&amp;IF(MATCHED!AM33=8,MATCHED!$I33,IF(MATCHED!AM33=9,MATCHED!$J33,IF(MATCHED!AM33=10,MATCHED!$K33,IF(MATCHED!AM33=11,MATCHED!$L33,IF(MATCHED!AM33=12,MATCHED!$M33,IF(MATCHED!AM33=13,MATCHED!$N33,IF(MATCHED!AM33=14,MATCHED!$O33,"")))))))&amp;IF(MATCHED!AM33=15,MATCHED!$P33,IF(MATCHED!AM33=16,MATCHED!$Q33,IF(MATCHED!AM33=17,MATCHED!$R33,IF(MATCHED!AM33=18,MATCHED!$S33,IF(MATCHED!AM33=19,MATCHED!$T33,IF(MATCHED!AM33=20,MATCHED!$U33,IF(MATCHED!AM33=21,MATCHED!$V33,)))))))&amp;IF(MATCHED!AM33=22,MATCHED!$W33,IF(MATCHED!AM33=23,MATCHED!$X33,IF(MATCHED!AM33=24,MATCHED!$Y33,IF(MATCHED!AM33=25,MATCHED!$Z33,IF(MATCHED!AM33=26,MATCHED!$AA33,IF(MATCHED!AM33=27,MATCHED!$AB33,"."))))))</f>
        <v>#N/A</v>
      </c>
      <c r="L33" s="370" t="e">
        <f>IF(MATCHED!AN33=1,MATCHED!$B33,IF(MATCHED!AN33=2,MATCHED!$C33,IF(MATCHED!AN33=3,MATCHED!$D33,IF(MATCHED!AN33=4,MATCHED!$E33,IF(MATCHED!AN33=3,MATCHED!$F33,IF(MATCHED!AN33=6,MATCHED!$G33,IF(MATCHED!AN33=7,MATCHED!$H33,"")))))))&amp;IF(MATCHED!AN33=8,MATCHED!$I33,IF(MATCHED!AN33=9,MATCHED!$J33,IF(MATCHED!AN33=10,MATCHED!$K33,IF(MATCHED!AN33=11,MATCHED!$L33,IF(MATCHED!AN33=12,MATCHED!$M33,IF(MATCHED!AN33=13,MATCHED!$N33,IF(MATCHED!AN33=14,MATCHED!$O33,"")))))))&amp;IF(MATCHED!AN33=15,MATCHED!$P33,IF(MATCHED!AN33=16,MATCHED!$Q33,IF(MATCHED!AN33=17,MATCHED!$R33,IF(MATCHED!AN33=18,MATCHED!$S33,IF(MATCHED!AN33=19,MATCHED!$T33,IF(MATCHED!AN33=20,MATCHED!$U33,IF(MATCHED!AN33=21,MATCHED!$V33,)))))))&amp;IF(MATCHED!AN33=22,MATCHED!$W33,IF(MATCHED!AN33=23,MATCHED!$X33,IF(MATCHED!AN33=24,MATCHED!$Y33,IF(MATCHED!AN33=25,MATCHED!$Z33,IF(MATCHED!AN33=26,MATCHED!$AA33,IF(MATCHED!AN33=27,MATCHED!$AB33,"."))))))</f>
        <v>#N/A</v>
      </c>
      <c r="M33" s="370" t="e">
        <f>IF(MATCHED!AO33=1,MATCHED!$B33,IF(MATCHED!AO33=2,MATCHED!$C33,IF(MATCHED!AO33=3,MATCHED!$D33,IF(MATCHED!AO33=4,MATCHED!$E33,IF(MATCHED!AO33=3,MATCHED!$F33,IF(MATCHED!AO33=6,MATCHED!$G33,IF(MATCHED!AO33=7,MATCHED!$H33,"")))))))&amp;IF(MATCHED!AO33=8,MATCHED!$I33,IF(MATCHED!AO33=9,MATCHED!$J33,IF(MATCHED!AO33=10,MATCHED!$K33,IF(MATCHED!AO33=11,MATCHED!$L33,IF(MATCHED!AO33=12,MATCHED!$M33,IF(MATCHED!AO33=13,MATCHED!$N33,IF(MATCHED!AO33=14,MATCHED!$O33,"")))))))&amp;IF(MATCHED!AO33=15,MATCHED!$P33,IF(MATCHED!AO33=16,MATCHED!$Q33,IF(MATCHED!AO33=17,MATCHED!$R33,IF(MATCHED!AO33=18,MATCHED!$S33,IF(MATCHED!AO33=19,MATCHED!$T33,IF(MATCHED!AO33=20,MATCHED!$U33,IF(MATCHED!AO33=21,MATCHED!$V33,)))))))&amp;IF(MATCHED!AO33=22,MATCHED!$W33,IF(MATCHED!AO33=23,MATCHED!$X33,IF(MATCHED!AO33=24,MATCHED!$Y33,IF(MATCHED!AO33=25,MATCHED!$Z33,IF(MATCHED!AO33=26,MATCHED!$AA33,IF(MATCHED!AO33=27,MATCHED!$AB33,"."))))))</f>
        <v>#N/A</v>
      </c>
      <c r="N33" s="370" t="e">
        <f>IF(MATCHED!AP33=1,MATCHED!$B33,IF(MATCHED!AP33=2,MATCHED!$C33,IF(MATCHED!AP33=3,MATCHED!$D33,IF(MATCHED!AP33=4,MATCHED!$E33,IF(MATCHED!AP33=3,MATCHED!$F33,IF(MATCHED!AP33=6,MATCHED!$G33,IF(MATCHED!AP33=7,MATCHED!$H33,"")))))))&amp;IF(MATCHED!AP33=8,MATCHED!$I33,IF(MATCHED!AP33=9,MATCHED!$J33,IF(MATCHED!AP33=10,MATCHED!$K33,IF(MATCHED!AP33=11,MATCHED!$L33,IF(MATCHED!AP33=12,MATCHED!$M33,IF(MATCHED!AP33=13,MATCHED!$N33,IF(MATCHED!AP33=14,MATCHED!$O33,"")))))))&amp;IF(MATCHED!AP33=15,MATCHED!$P33,IF(MATCHED!AP33=16,MATCHED!$Q33,IF(MATCHED!AP33=17,MATCHED!$R33,IF(MATCHED!AP33=18,MATCHED!$S33,IF(MATCHED!AP33=19,MATCHED!$T33,IF(MATCHED!AP33=20,MATCHED!$U33,IF(MATCHED!AP33=21,MATCHED!$V33,)))))))&amp;IF(MATCHED!AP33=22,MATCHED!$W33,IF(MATCHED!AP33=23,MATCHED!$X33,IF(MATCHED!AP33=24,MATCHED!$Y33,IF(MATCHED!AP33=25,MATCHED!$Z33,IF(MATCHED!AP33=26,MATCHED!$AA33,IF(MATCHED!AP33=27,MATCHED!$AB33,"."))))))</f>
        <v>#N/A</v>
      </c>
      <c r="O33" s="370" t="e">
        <f>IF(MATCHED!AQ33=1,MATCHED!$B33,IF(MATCHED!AQ33=2,MATCHED!$C33,IF(MATCHED!AQ33=3,MATCHED!$D33,IF(MATCHED!AQ33=4,MATCHED!$E33,IF(MATCHED!AQ33=3,MATCHED!$F33,IF(MATCHED!AQ33=6,MATCHED!$G33,IF(MATCHED!AQ33=7,MATCHED!$H33,"")))))))&amp;IF(MATCHED!AQ33=8,MATCHED!$I33,IF(MATCHED!AQ33=9,MATCHED!$J33,IF(MATCHED!AQ33=10,MATCHED!$K33,IF(MATCHED!AQ33=11,MATCHED!$L33,IF(MATCHED!AQ33=12,MATCHED!$M33,IF(MATCHED!AQ33=13,MATCHED!$N33,IF(MATCHED!AQ33=14,MATCHED!$O33,"")))))))&amp;IF(MATCHED!AQ33=15,MATCHED!$P33,IF(MATCHED!AQ33=16,MATCHED!$Q33,IF(MATCHED!AQ33=17,MATCHED!$R33,IF(MATCHED!AQ33=18,MATCHED!$S33,IF(MATCHED!AQ33=19,MATCHED!$T33,IF(MATCHED!AQ33=20,MATCHED!$U33,IF(MATCHED!AQ33=21,MATCHED!$V33,)))))))&amp;IF(MATCHED!AQ33=22,MATCHED!$W33,IF(MATCHED!AQ33=23,MATCHED!$X33,IF(MATCHED!AQ33=24,MATCHED!$Y33,IF(MATCHED!AQ33=25,MATCHED!$Z33,IF(MATCHED!AQ33=26,MATCHED!$AA33,IF(MATCHED!AQ33=27,MATCHED!$AB33,"."))))))</f>
        <v>#N/A</v>
      </c>
      <c r="P33" s="370" t="e">
        <f>IF(MATCHED!AR33=1,MATCHED!$B33,IF(MATCHED!AR33=2,MATCHED!$C33,IF(MATCHED!AR33=3,MATCHED!$D33,IF(MATCHED!AR33=4,MATCHED!$E33,IF(MATCHED!AR33=3,MATCHED!$F33,IF(MATCHED!AR33=6,MATCHED!$G33,IF(MATCHED!AR33=7,MATCHED!$H33,"")))))))&amp;IF(MATCHED!AR33=8,MATCHED!$I33,IF(MATCHED!AR33=9,MATCHED!$J33,IF(MATCHED!AR33=10,MATCHED!$K33,IF(MATCHED!AR33=11,MATCHED!$L33,IF(MATCHED!AR33=12,MATCHED!$M33,IF(MATCHED!AR33=13,MATCHED!$N33,IF(MATCHED!AR33=14,MATCHED!$O33,"")))))))&amp;IF(MATCHED!AR33=15,MATCHED!$P33,IF(MATCHED!AR33=16,MATCHED!$Q33,IF(MATCHED!AR33=17,MATCHED!$R33,IF(MATCHED!AR33=18,MATCHED!$S33,IF(MATCHED!AR33=19,MATCHED!$T33,IF(MATCHED!AR33=20,MATCHED!$U33,IF(MATCHED!AR33=21,MATCHED!$V33,)))))))&amp;IF(MATCHED!AR33=22,MATCHED!$W33,IF(MATCHED!AR33=23,MATCHED!$X33,IF(MATCHED!AR33=24,MATCHED!$Y33,IF(MATCHED!AR33=25,MATCHED!$Z33,IF(MATCHED!AR33=26,MATCHED!$AA33,IF(MATCHED!AR33=27,MATCHED!$AB33,"."))))))</f>
        <v>#N/A</v>
      </c>
      <c r="Q33" s="371" t="e">
        <f>IF(MATCHED!AS33=1,MATCHED!$B33,IF(MATCHED!AS33=2,MATCHED!$C33,IF(MATCHED!AS33=3,MATCHED!$D33,IF(MATCHED!AS33=4,MATCHED!$E33,IF(MATCHED!AS33=3,MATCHED!$F33,IF(MATCHED!AS33=6,MATCHED!$G33,IF(MATCHED!AS33=7,MATCHED!$H33,"")))))))&amp;IF(MATCHED!AS33=8,MATCHED!$I33,IF(MATCHED!AS33=9,MATCHED!$J33,IF(MATCHED!AS33=10,MATCHED!$K33,IF(MATCHED!AS33=11,MATCHED!$L33,IF(MATCHED!AS33=12,MATCHED!$M33,IF(MATCHED!AS33=13,MATCHED!$N33,IF(MATCHED!AS33=14,MATCHED!$O33,"")))))))&amp;IF(MATCHED!AS33=15,MATCHED!$P33,IF(MATCHED!AS33=16,MATCHED!$Q33,IF(MATCHED!AS33=17,MATCHED!$R33,IF(MATCHED!AS33=18,MATCHED!$S33,IF(MATCHED!AS33=19,MATCHED!$T33,IF(MATCHED!AS33=20,MATCHED!$U33,IF(MATCHED!AS33=21,MATCHED!$V33,)))))))&amp;IF(MATCHED!AS33=22,MATCHED!$W33,IF(MATCHED!AS33=23,MATCHED!$X33,IF(MATCHED!AS33=24,MATCHED!$Y33,IF(MATCHED!AS33=25,MATCHED!$Z33,IF(MATCHED!AS33=26,MATCHED!$AA33,IF(MATCHED!AS33=27,MATCHED!$AB33,"."))))))</f>
        <v>#N/A</v>
      </c>
      <c r="R33" s="370" t="e">
        <f>IF(MATCHED!AT33=1,MATCHED!$B33,IF(MATCHED!AT33=2,MATCHED!$C33,IF(MATCHED!AT33=3,MATCHED!$D33,IF(MATCHED!AT33=4,MATCHED!$E33,IF(MATCHED!AT33=3,MATCHED!$F33,IF(MATCHED!AT33=6,MATCHED!$G33,IF(MATCHED!AT33=7,MATCHED!$H33,"")))))))&amp;IF(MATCHED!AT33=8,MATCHED!$I33,IF(MATCHED!AT33=9,MATCHED!$J33,IF(MATCHED!AT33=10,MATCHED!$K33,IF(MATCHED!AT33=11,MATCHED!$L33,IF(MATCHED!AT33=12,MATCHED!$M33,IF(MATCHED!AT33=13,MATCHED!$N33,IF(MATCHED!AT33=14,MATCHED!$O33,"")))))))&amp;IF(MATCHED!AT33=15,MATCHED!$P33,IF(MATCHED!AT33=16,MATCHED!$Q33,IF(MATCHED!AT33=17,MATCHED!$R33,IF(MATCHED!AT33=18,MATCHED!$S33,IF(MATCHED!AT33=19,MATCHED!$T33,IF(MATCHED!AT33=20,MATCHED!$U33,IF(MATCHED!AT33=21,MATCHED!$V33,)))))))&amp;IF(MATCHED!AT33=22,MATCHED!$W33,IF(MATCHED!AT33=23,MATCHED!$X33,IF(MATCHED!AT33=24,MATCHED!$Y33,IF(MATCHED!AT33=25,MATCHED!$Z33,IF(MATCHED!AT33=26,MATCHED!$AA33,IF(MATCHED!AT33=27,MATCHED!$AB33,"."))))))</f>
        <v>#N/A</v>
      </c>
      <c r="S33" s="370" t="e">
        <f>IF(MATCHED!AU33=1,MATCHED!$B33,IF(MATCHED!AU33=2,MATCHED!$C33,IF(MATCHED!AU33=3,MATCHED!$D33,IF(MATCHED!AU33=4,MATCHED!$E33,IF(MATCHED!AU33=3,MATCHED!$F33,IF(MATCHED!AU33=6,MATCHED!$G33,IF(MATCHED!AU33=7,MATCHED!$H33,"")))))))&amp;IF(MATCHED!AU33=8,MATCHED!$I33,IF(MATCHED!AU33=9,MATCHED!$J33,IF(MATCHED!AU33=10,MATCHED!$K33,IF(MATCHED!AU33=11,MATCHED!$L33,IF(MATCHED!AU33=12,MATCHED!$M33,IF(MATCHED!AU33=13,MATCHED!$N33,IF(MATCHED!AU33=14,MATCHED!$O33,"")))))))&amp;IF(MATCHED!AU33=15,MATCHED!$P33,IF(MATCHED!AU33=16,MATCHED!$Q33,IF(MATCHED!AU33=17,MATCHED!$R33,IF(MATCHED!AU33=18,MATCHED!$S33,IF(MATCHED!AU33=19,MATCHED!$T33,IF(MATCHED!AU33=20,MATCHED!$U33,IF(MATCHED!AU33=21,MATCHED!$V33,)))))))&amp;IF(MATCHED!AU33=22,MATCHED!$W33,IF(MATCHED!AU33=23,MATCHED!$X33,IF(MATCHED!AU33=24,MATCHED!$Y33,IF(MATCHED!AU33=25,MATCHED!$Z33,IF(MATCHED!AU33=26,MATCHED!$AA33,IF(MATCHED!AU33=27,MATCHED!$AB33,"."))))))</f>
        <v>#N/A</v>
      </c>
      <c r="T33" s="370" t="e">
        <f>IF(MATCHED!AV33=1,MATCHED!$B33,IF(MATCHED!AV33=2,MATCHED!$C33,IF(MATCHED!AV33=3,MATCHED!$D33,IF(MATCHED!AV33=4,MATCHED!$E33,IF(MATCHED!AV33=3,MATCHED!$F33,IF(MATCHED!AV33=6,MATCHED!$G33,IF(MATCHED!AV33=7,MATCHED!$H33,"")))))))&amp;IF(MATCHED!AV33=8,MATCHED!$I33,IF(MATCHED!AV33=9,MATCHED!$J33,IF(MATCHED!AV33=10,MATCHED!$K33,IF(MATCHED!AV33=11,MATCHED!$L33,IF(MATCHED!AV33=12,MATCHED!$M33,IF(MATCHED!AV33=13,MATCHED!$N33,IF(MATCHED!AV33=14,MATCHED!$O33,"")))))))&amp;IF(MATCHED!AV33=15,MATCHED!$P33,IF(MATCHED!AV33=16,MATCHED!$Q33,IF(MATCHED!AV33=17,MATCHED!$R33,IF(MATCHED!AV33=18,MATCHED!$S33,IF(MATCHED!AV33=19,MATCHED!$T33,IF(MATCHED!AV33=20,MATCHED!$U33,IF(MATCHED!AV33=21,MATCHED!$V33,)))))))&amp;IF(MATCHED!AV33=22,MATCHED!$W33,IF(MATCHED!AV33=23,MATCHED!$X33,IF(MATCHED!AV33=24,MATCHED!$Y33,IF(MATCHED!AV33=25,MATCHED!$Z33,IF(MATCHED!AV33=26,MATCHED!$AA33,IF(MATCHED!AV33=27,MATCHED!$AB33,"."))))))</f>
        <v>#N/A</v>
      </c>
      <c r="U33" s="370" t="e">
        <f>IF(MATCHED!AW33=1,MATCHED!$B33,IF(MATCHED!AW33=2,MATCHED!$C33,IF(MATCHED!AW33=3,MATCHED!$D33,IF(MATCHED!AW33=4,MATCHED!$E33,IF(MATCHED!AW33=3,MATCHED!$F33,IF(MATCHED!AW33=6,MATCHED!$G33,IF(MATCHED!AW33=7,MATCHED!$H33,"")))))))&amp;IF(MATCHED!AW33=8,MATCHED!$I33,IF(MATCHED!AW33=9,MATCHED!$J33,IF(MATCHED!AW33=10,MATCHED!$K33,IF(MATCHED!AW33=11,MATCHED!$L33,IF(MATCHED!AW33=12,MATCHED!$M33,IF(MATCHED!AW33=13,MATCHED!$N33,IF(MATCHED!AW33=14,MATCHED!$O33,"")))))))&amp;IF(MATCHED!AW33=15,MATCHED!$P33,IF(MATCHED!AW33=16,MATCHED!$Q33,IF(MATCHED!AW33=17,MATCHED!$R33,IF(MATCHED!AW33=18,MATCHED!$S33,IF(MATCHED!AW33=19,MATCHED!$T33,IF(MATCHED!AW33=20,MATCHED!$U33,IF(MATCHED!AW33=21,MATCHED!$V33,)))))))&amp;IF(MATCHED!AW33=22,MATCHED!$W33,IF(MATCHED!AW33=23,MATCHED!$X33,IF(MATCHED!AW33=24,MATCHED!$Y33,IF(MATCHED!AW33=25,MATCHED!$Z33,IF(MATCHED!AW33=26,MATCHED!$AA33,IF(MATCHED!AW33=27,MATCHED!$AB33,"."))))))</f>
        <v>#N/A</v>
      </c>
      <c r="V33" s="370" t="e">
        <f>IF(MATCHED!AX33=1,MATCHED!$B33,IF(MATCHED!AX33=2,MATCHED!$C33,IF(MATCHED!AX33=3,MATCHED!$D33,IF(MATCHED!AX33=4,MATCHED!$E33,IF(MATCHED!AX33=3,MATCHED!$F33,IF(MATCHED!AX33=6,MATCHED!$G33,IF(MATCHED!AX33=7,MATCHED!$H33,"")))))))&amp;IF(MATCHED!AX33=8,MATCHED!$I33,IF(MATCHED!AX33=9,MATCHED!$J33,IF(MATCHED!AX33=10,MATCHED!$K33,IF(MATCHED!AX33=11,MATCHED!$L33,IF(MATCHED!AX33=12,MATCHED!$M33,IF(MATCHED!AX33=13,MATCHED!$N33,IF(MATCHED!AX33=14,MATCHED!$O33,"")))))))&amp;IF(MATCHED!AX33=15,MATCHED!$P33,IF(MATCHED!AX33=16,MATCHED!$Q33,IF(MATCHED!AX33=17,MATCHED!$R33,IF(MATCHED!AX33=18,MATCHED!$S33,IF(MATCHED!AX33=19,MATCHED!$T33,IF(MATCHED!AX33=20,MATCHED!$U33,IF(MATCHED!AX33=21,MATCHED!$V33,)))))))&amp;IF(MATCHED!AX33=22,MATCHED!$W33,IF(MATCHED!AX33=23,MATCHED!$X33,IF(MATCHED!AX33=24,MATCHED!$Y33,IF(MATCHED!AX33=25,MATCHED!$Z33,IF(MATCHED!AX33=26,MATCHED!$AA33,IF(MATCHED!AX33=27,MATCHED!$AB33,"."))))))</f>
        <v>#N/A</v>
      </c>
      <c r="W33" s="370" t="e">
        <f>IF(MATCHED!AY33=1,MATCHED!$B33,IF(MATCHED!AY33=2,MATCHED!$C33,IF(MATCHED!AY33=3,MATCHED!$D33,IF(MATCHED!AY33=4,MATCHED!$E33,IF(MATCHED!AY33=3,MATCHED!$F33,IF(MATCHED!AY33=6,MATCHED!$G33,IF(MATCHED!AY33=7,MATCHED!$H33,"")))))))&amp;IF(MATCHED!AY33=8,MATCHED!$I33,IF(MATCHED!AY33=9,MATCHED!$J33,IF(MATCHED!AY33=10,MATCHED!$K33,IF(MATCHED!AY33=11,MATCHED!$L33,IF(MATCHED!AY33=12,MATCHED!$M33,IF(MATCHED!AY33=13,MATCHED!$N33,IF(MATCHED!AY33=14,MATCHED!$O33,"")))))))&amp;IF(MATCHED!AY33=15,MATCHED!$P33,IF(MATCHED!AY33=16,MATCHED!$Q33,IF(MATCHED!AY33=17,MATCHED!$R33,IF(MATCHED!AY33=18,MATCHED!$S33,IF(MATCHED!AY33=19,MATCHED!$T33,IF(MATCHED!AY33=20,MATCHED!$U33,IF(MATCHED!AY33=21,MATCHED!$V33,)))))))&amp;IF(MATCHED!AY33=22,MATCHED!$W33,IF(MATCHED!AY33=23,MATCHED!$X33,IF(MATCHED!AY33=24,MATCHED!$Y33,IF(MATCHED!AY33=25,MATCHED!$Z33,IF(MATCHED!AY33=26,MATCHED!$AA33,IF(MATCHED!AY33=27,MATCHED!$AB33,"."))))))</f>
        <v>#N/A</v>
      </c>
      <c r="X33" s="370" t="e">
        <f>IF(MATCHED!AZ33=1,MATCHED!$B33,IF(MATCHED!AZ33=2,MATCHED!$C33,IF(MATCHED!AZ33=3,MATCHED!$D33,IF(MATCHED!AZ33=4,MATCHED!$E33,IF(MATCHED!AZ33=3,MATCHED!$F33,IF(MATCHED!AZ33=6,MATCHED!$G33,IF(MATCHED!AZ33=7,MATCHED!$H33,"")))))))&amp;IF(MATCHED!AZ33=8,MATCHED!$I33,IF(MATCHED!AZ33=9,MATCHED!$J33,IF(MATCHED!AZ33=10,MATCHED!$K33,IF(MATCHED!AZ33=11,MATCHED!$L33,IF(MATCHED!AZ33=12,MATCHED!$M33,IF(MATCHED!AZ33=13,MATCHED!$N33,IF(MATCHED!AZ33=14,MATCHED!$O33,"")))))))&amp;IF(MATCHED!AZ33=15,MATCHED!$P33,IF(MATCHED!AZ33=16,MATCHED!$Q33,IF(MATCHED!AZ33=17,MATCHED!$R33,IF(MATCHED!AZ33=18,MATCHED!$S33,IF(MATCHED!AZ33=19,MATCHED!$T33,IF(MATCHED!AZ33=20,MATCHED!$U33,IF(MATCHED!AZ33=21,MATCHED!$V33,)))))))&amp;IF(MATCHED!AZ33=22,MATCHED!$W33,IF(MATCHED!AZ33=23,MATCHED!$X33,IF(MATCHED!AZ33=24,MATCHED!$Y33,IF(MATCHED!AZ33=25,MATCHED!$Z33,IF(MATCHED!AZ33=26,MATCHED!$AA33,IF(MATCHED!AZ33=27,MATCHED!$AB33,"."))))))</f>
        <v>#N/A</v>
      </c>
      <c r="Y33" s="370" t="e">
        <f>IF(MATCHED!BA33=1,MATCHED!$B33,IF(MATCHED!BA33=2,MATCHED!$C33,IF(MATCHED!BA33=3,MATCHED!$D33,IF(MATCHED!BA33=4,MATCHED!$E33,IF(MATCHED!BA33=3,MATCHED!$F33,IF(MATCHED!BA33=6,MATCHED!$G33,IF(MATCHED!BA33=7,MATCHED!$H33,"")))))))&amp;IF(MATCHED!BA33=8,MATCHED!$I33,IF(MATCHED!BA33=9,MATCHED!$J33,IF(MATCHED!BA33=10,MATCHED!$K33,IF(MATCHED!BA33=11,MATCHED!$L33,IF(MATCHED!BA33=12,MATCHED!$M33,IF(MATCHED!BA33=13,MATCHED!$N33,IF(MATCHED!BA33=14,MATCHED!$O33,"")))))))&amp;IF(MATCHED!BA33=15,MATCHED!$P33,IF(MATCHED!BA33=16,MATCHED!$Q33,IF(MATCHED!BA33=17,MATCHED!$R33,IF(MATCHED!BA33=18,MATCHED!$S33,IF(MATCHED!BA33=19,MATCHED!$T33,IF(MATCHED!BA33=20,MATCHED!$U33,IF(MATCHED!BA33=21,MATCHED!$V33,)))))))&amp;IF(MATCHED!BA33=22,MATCHED!$W33,IF(MATCHED!BA33=23,MATCHED!$X33,IF(MATCHED!BA33=24,MATCHED!$Y33,IF(MATCHED!BA33=25,MATCHED!$Z33,IF(MATCHED!BA33=26,MATCHED!$AA33,IF(MATCHED!BA33=27,MATCHED!$AB33,"."))))))</f>
        <v>#N/A</v>
      </c>
      <c r="Z33" s="370" t="e">
        <f>IF(MATCHED!BB33=1,MATCHED!$B33,IF(MATCHED!BB33=2,MATCHED!$C33,IF(MATCHED!BB33=3,MATCHED!$D33,IF(MATCHED!BB33=4,MATCHED!$E33,IF(MATCHED!BB33=3,MATCHED!$F33,IF(MATCHED!BB33=6,MATCHED!$G33,IF(MATCHED!BB33=7,MATCHED!$H33,"")))))))&amp;IF(MATCHED!BB33=8,MATCHED!$I33,IF(MATCHED!BB33=9,MATCHED!$J33,IF(MATCHED!BB33=10,MATCHED!$K33,IF(MATCHED!BB33=11,MATCHED!$L33,IF(MATCHED!BB33=12,MATCHED!$M33,IF(MATCHED!BB33=13,MATCHED!$N33,IF(MATCHED!BB33=14,MATCHED!$O33,"")))))))&amp;IF(MATCHED!BB33=15,MATCHED!$P33,IF(MATCHED!BB33=16,MATCHED!$Q33,IF(MATCHED!BB33=17,MATCHED!$R33,IF(MATCHED!BB33=18,MATCHED!$S33,IF(MATCHED!BB33=19,MATCHED!$T33,IF(MATCHED!BB33=20,MATCHED!$U33,IF(MATCHED!BB33=21,MATCHED!$V33,)))))))&amp;IF(MATCHED!BB33=22,MATCHED!$W33,IF(MATCHED!BB33=23,MATCHED!$X33,IF(MATCHED!BB33=24,MATCHED!$Y33,IF(MATCHED!BB33=25,MATCHED!$Z33,IF(MATCHED!BB33=26,MATCHED!$AA33,IF(MATCHED!BB33=27,MATCHED!$AB33,"."))))))</f>
        <v>#N/A</v>
      </c>
      <c r="AA33" s="370" t="e">
        <f>IF(MATCHED!BC33=1,MATCHED!$B33,IF(MATCHED!BC33=2,MATCHED!$C33,IF(MATCHED!BC33=3,MATCHED!$D33,IF(MATCHED!BC33=4,MATCHED!$E33,IF(MATCHED!BC33=3,MATCHED!$F33,IF(MATCHED!BC33=6,MATCHED!$G33,IF(MATCHED!BC33=7,MATCHED!$H33,"")))))))&amp;IF(MATCHED!BC33=8,MATCHED!$I33,IF(MATCHED!BC33=9,MATCHED!$J33,IF(MATCHED!BC33=10,MATCHED!$K33,IF(MATCHED!BC33=11,MATCHED!$L33,IF(MATCHED!BC33=12,MATCHED!$M33,IF(MATCHED!BC33=13,MATCHED!$N33,IF(MATCHED!BC33=14,MATCHED!$O33,"")))))))&amp;IF(MATCHED!BC33=15,MATCHED!$P33,IF(MATCHED!BC33=16,MATCHED!$Q33,IF(MATCHED!BC33=17,MATCHED!$R33,IF(MATCHED!BC33=18,MATCHED!$S33,IF(MATCHED!BC33=19,MATCHED!$T33,IF(MATCHED!BC33=20,MATCHED!$U33,IF(MATCHED!BC33=21,MATCHED!$V33,)))))))&amp;IF(MATCHED!BC33=22,MATCHED!$W33,IF(MATCHED!BC33=23,MATCHED!$X33,IF(MATCHED!BC33=24,MATCHED!$Y33,IF(MATCHED!BC33=25,MATCHED!$Z33,IF(MATCHED!BC33=26,MATCHED!$AA33,IF(MATCHED!BC33=27,MATCHED!$AB33,"."))))))</f>
        <v>#N/A</v>
      </c>
      <c r="AB33" s="370" t="e">
        <f>IF(MATCHED!BD33=1,MATCHED!$B33,IF(MATCHED!BD33=2,MATCHED!$C33,IF(MATCHED!BD33=3,MATCHED!$D33,IF(MATCHED!BD33=4,MATCHED!$E33,IF(MATCHED!BD33=3,MATCHED!$F33,IF(MATCHED!BD33=6,MATCHED!$G33,IF(MATCHED!BD33=7,MATCHED!$H33,"")))))))&amp;IF(MATCHED!BD33=8,MATCHED!$I33,IF(MATCHED!BD33=9,MATCHED!$J33,IF(MATCHED!BD33=10,MATCHED!$K33,IF(MATCHED!BD33=11,MATCHED!$L33,IF(MATCHED!BD33=12,MATCHED!$M33,IF(MATCHED!BD33=13,MATCHED!$N33,IF(MATCHED!BD33=14,MATCHED!$O33,"")))))))&amp;IF(MATCHED!BD33=15,MATCHED!$P33,IF(MATCHED!BD33=16,MATCHED!$Q33,IF(MATCHED!BD33=17,MATCHED!$R33,IF(MATCHED!BD33=18,MATCHED!$S33,IF(MATCHED!BD33=19,MATCHED!$T33,IF(MATCHED!BD33=20,MATCHED!$U33,IF(MATCHED!BD33=21,MATCHED!$V33,)))))))&amp;IF(MATCHED!BD33=22,MATCHED!$W33,IF(MATCHED!BD33=23,MATCHED!$X33,IF(MATCHED!BD33=24,MATCHED!$Y33,IF(MATCHED!BD33=25,MATCHED!$Z33,IF(MATCHED!BD33=26,MATCHED!$AA33,IF(MATCHED!BD33=27,MATCHED!$AB33,"."))))))</f>
        <v>#N/A</v>
      </c>
      <c r="AC33" s="370" t="e">
        <f>IF(MATCHED!BE33=1,MATCHED!$B33,IF(MATCHED!BE33=2,MATCHED!$C33,IF(MATCHED!BE33=3,MATCHED!$D33,IF(MATCHED!BE33=4,MATCHED!$E33,IF(MATCHED!BE33=3,MATCHED!$F33,IF(MATCHED!BE33=6,MATCHED!$G33,IF(MATCHED!BE33=7,MATCHED!$H33,"")))))))&amp;IF(MATCHED!BE33=8,MATCHED!$I33,IF(MATCHED!BE33=9,MATCHED!$J33,IF(MATCHED!BE33=10,MATCHED!$K33,IF(MATCHED!BE33=11,MATCHED!$L33,IF(MATCHED!BE33=12,MATCHED!$M33,IF(MATCHED!BE33=13,MATCHED!$N33,IF(MATCHED!BE33=14,MATCHED!$O33,"")))))))&amp;IF(MATCHED!BE33=15,MATCHED!$P33,IF(MATCHED!BE33=16,MATCHED!$Q33,IF(MATCHED!BE33=17,MATCHED!$R33,IF(MATCHED!BE33=18,MATCHED!$S33,IF(MATCHED!BE33=19,MATCHED!$T33,IF(MATCHED!BE33=20,MATCHED!$U33,IF(MATCHED!BE33=21,MATCHED!$V33,)))))))&amp;IF(MATCHED!BE33=22,MATCHED!$W33,IF(MATCHED!BE33=23,MATCHED!$X33,IF(MATCHED!BE33=24,MATCHED!$Y33,IF(MATCHED!BE33=25,MATCHED!$Z33,IF(MATCHED!BE33=26,MATCHED!$AA33,IF(MATCHED!BE33=27,MATCHED!$AB33,"."))))))</f>
        <v>#N/A</v>
      </c>
      <c r="AD33" s="370" t="e">
        <f>IF(MATCHED!BF33=1,MATCHED!$B33,IF(MATCHED!BF33=2,MATCHED!$C33,IF(MATCHED!BF33=3,MATCHED!$D33,IF(MATCHED!BF33=4,MATCHED!$E33,IF(MATCHED!BF33=3,MATCHED!$F33,IF(MATCHED!BF33=6,MATCHED!$G33,IF(MATCHED!BF33=7,MATCHED!$H33,"")))))))&amp;IF(MATCHED!BF33=8,MATCHED!$I33,IF(MATCHED!BF33=9,MATCHED!$J33,IF(MATCHED!BF33=10,MATCHED!$K33,IF(MATCHED!BF33=11,MATCHED!$L33,IF(MATCHED!BF33=12,MATCHED!$M33,IF(MATCHED!BF33=13,MATCHED!$N33,IF(MATCHED!BF33=14,MATCHED!$O33,"")))))))&amp;IF(MATCHED!BF33=15,MATCHED!$P33,IF(MATCHED!BF33=16,MATCHED!$Q33,IF(MATCHED!BF33=17,MATCHED!$R33,IF(MATCHED!BF33=18,MATCHED!$S33,IF(MATCHED!BF33=19,MATCHED!$T33,IF(MATCHED!BF33=20,MATCHED!$U33,IF(MATCHED!BF33=21,MATCHED!$V33,)))))))&amp;IF(MATCHED!BF33=22,MATCHED!$W33,IF(MATCHED!BF33=23,MATCHED!$X33,IF(MATCHED!BF33=24,MATCHED!$Y33,IF(MATCHED!BF33=25,MATCHED!$Z33,IF(MATCHED!BF33=26,MATCHED!$AA33,IF(MATCHED!BF33=27,MATCHED!$AB33,"."))))))</f>
        <v>#N/A</v>
      </c>
      <c r="AE33" s="370" t="e">
        <f>IF(MATCHED!BG33=1,MATCHED!$B33,IF(MATCHED!BG33=2,MATCHED!$C33,IF(MATCHED!BG33=3,MATCHED!$D33,IF(MATCHED!BG33=4,MATCHED!$E33,IF(MATCHED!BG33=3,MATCHED!$F33,IF(MATCHED!BG33=6,MATCHED!$G33,IF(MATCHED!BG33=7,MATCHED!$H33,"")))))))&amp;IF(MATCHED!BG33=8,MATCHED!$I33,IF(MATCHED!BG33=9,MATCHED!$J33,IF(MATCHED!BG33=10,MATCHED!$K33,IF(MATCHED!BG33=11,MATCHED!$L33,IF(MATCHED!BG33=12,MATCHED!$M33,IF(MATCHED!BG33=13,MATCHED!$N33,IF(MATCHED!BG33=14,MATCHED!$O33,"")))))))&amp;IF(MATCHED!BG33=15,MATCHED!$P33,IF(MATCHED!BG33=16,MATCHED!$Q33,IF(MATCHED!BG33=17,MATCHED!$R33,IF(MATCHED!BG33=18,MATCHED!$S33,IF(MATCHED!BG33=19,MATCHED!$T33,IF(MATCHED!BG33=20,MATCHED!$U33,IF(MATCHED!BG33=21,MATCHED!$V33,)))))))&amp;IF(MATCHED!BG33=22,MATCHED!$W33,IF(MATCHED!BG33=23,MATCHED!$X33,IF(MATCHED!BG33=24,MATCHED!$Y33,IF(MATCHED!BG33=25,MATCHED!$Z33,IF(MATCHED!BG33=26,MATCHED!$AA33,IF(MATCHED!BG33=27,MATCHED!$AB33,"."))))))</f>
        <v>#N/A</v>
      </c>
      <c r="AF33" s="370" t="e">
        <f>IF(MATCHED!BH33=1,MATCHED!$B33,IF(MATCHED!BH33=2,MATCHED!$C33,IF(MATCHED!BH33=3,MATCHED!$D33,IF(MATCHED!BH33=4,MATCHED!$E33,IF(MATCHED!BH33=3,MATCHED!$F33,IF(MATCHED!BH33=6,MATCHED!$G33,IF(MATCHED!BH33=7,MATCHED!$H33,"")))))))&amp;IF(MATCHED!BH33=8,MATCHED!$I33,IF(MATCHED!BH33=9,MATCHED!$J33,IF(MATCHED!BH33=10,MATCHED!$K33,IF(MATCHED!BH33=11,MATCHED!$L33,IF(MATCHED!BH33=12,MATCHED!$M33,IF(MATCHED!BH33=13,MATCHED!$N33,IF(MATCHED!BH33=14,MATCHED!$O33,"")))))))&amp;IF(MATCHED!BH33=15,MATCHED!$P33,IF(MATCHED!BH33=16,MATCHED!$Q33,IF(MATCHED!BH33=17,MATCHED!$R33,IF(MATCHED!BH33=18,MATCHED!$S33,IF(MATCHED!BH33=19,MATCHED!$T33,IF(MATCHED!BH33=20,MATCHED!$U33,IF(MATCHED!BH33=21,MATCHED!$V33,)))))))&amp;IF(MATCHED!BH33=22,MATCHED!$W33,IF(MATCHED!BH33=23,MATCHED!$X33,IF(MATCHED!BH33=24,MATCHED!$Y33,IF(MATCHED!BH33=25,MATCHED!$Z33,IF(MATCHED!BH33=26,MATCHED!$AA33,IF(MATCHED!BH33=27,MATCHED!$AB33,"."))))))</f>
        <v>#N/A</v>
      </c>
      <c r="AG33" s="370" t="e">
        <f>IF(MATCHED!BI33=1,MATCHED!$B33,IF(MATCHED!BI33=2,MATCHED!$C33,IF(MATCHED!BI33=3,MATCHED!$D33,IF(MATCHED!BI33=4,MATCHED!$E33,IF(MATCHED!BI33=3,MATCHED!$F33,IF(MATCHED!BI33=6,MATCHED!$G33,IF(MATCHED!BI33=7,MATCHED!$H33,"")))))))&amp;IF(MATCHED!BI33=8,MATCHED!$I33,IF(MATCHED!BI33=9,MATCHED!$J33,IF(MATCHED!BI33=10,MATCHED!$K33,IF(MATCHED!BI33=11,MATCHED!$L33,IF(MATCHED!BI33=12,MATCHED!$M33,IF(MATCHED!BI33=13,MATCHED!$N33,IF(MATCHED!BI33=14,MATCHED!$O33,"")))))))&amp;IF(MATCHED!BI33=15,MATCHED!$P33,IF(MATCHED!BI33=16,MATCHED!$Q33,IF(MATCHED!BI33=17,MATCHED!$R33,IF(MATCHED!BI33=18,MATCHED!$S33,IF(MATCHED!BI33=19,MATCHED!$T33,IF(MATCHED!BI33=20,MATCHED!$U33,IF(MATCHED!BI33=21,MATCHED!$V33,)))))))&amp;IF(MATCHED!BI33=22,MATCHED!$W33,IF(MATCHED!BI33=23,MATCHED!$X33,IF(MATCHED!BI33=24,MATCHED!$Y33,IF(MATCHED!BI33=25,MATCHED!$Z33,IF(MATCHED!BI33=26,MATCHED!$AA33,IF(MATCHED!BI33=27,MATCHED!$AB33,"."))))))</f>
        <v>#N/A</v>
      </c>
      <c r="AH33" s="370" t="e">
        <f>IF(MATCHED!BJ33=1,MATCHED!$B33,IF(MATCHED!BJ33=2,MATCHED!$C33,IF(MATCHED!BJ33=3,MATCHED!$D33,IF(MATCHED!BJ33=4,MATCHED!$E33,IF(MATCHED!BJ33=3,MATCHED!$F33,IF(MATCHED!BJ33=6,MATCHED!$G33,IF(MATCHED!BJ33=7,MATCHED!$H33,"")))))))&amp;IF(MATCHED!BJ33=8,MATCHED!$I33,IF(MATCHED!BJ33=9,MATCHED!$J33,IF(MATCHED!BJ33=10,MATCHED!$K33,IF(MATCHED!BJ33=11,MATCHED!$L33,IF(MATCHED!BJ33=12,MATCHED!$M33,IF(MATCHED!BJ33=13,MATCHED!$N33,IF(MATCHED!BJ33=14,MATCHED!$O33,"")))))))&amp;IF(MATCHED!BJ33=15,MATCHED!$P33,IF(MATCHED!BJ33=16,MATCHED!$Q33,IF(MATCHED!BJ33=17,MATCHED!$R33,IF(MATCHED!BJ33=18,MATCHED!$S33,IF(MATCHED!BJ33=19,MATCHED!$T33,IF(MATCHED!BJ33=20,MATCHED!$U33,IF(MATCHED!BJ33=21,MATCHED!$V33,)))))))&amp;IF(MATCHED!BJ33=22,MATCHED!$W33,IF(MATCHED!BJ33=23,MATCHED!$X33,IF(MATCHED!BJ33=24,MATCHED!$Y33,IF(MATCHED!BJ33=25,MATCHED!$Z33,IF(MATCHED!BJ33=26,MATCHED!$AA33,IF(MATCHED!BJ33=27,MATCHED!$AB33,"."))))))</f>
        <v>#N/A</v>
      </c>
      <c r="AI33" s="370" t="e">
        <f>IF(MATCHED!BK33=1,MATCHED!$B33,IF(MATCHED!BK33=2,MATCHED!$C33,IF(MATCHED!BK33=3,MATCHED!$D33,IF(MATCHED!BK33=4,MATCHED!$E33,IF(MATCHED!BK33=3,MATCHED!$F33,IF(MATCHED!BK33=6,MATCHED!$G33,IF(MATCHED!BK33=7,MATCHED!$H33,"")))))))&amp;IF(MATCHED!BK33=8,MATCHED!$I33,IF(MATCHED!BK33=9,MATCHED!$J33,IF(MATCHED!BK33=10,MATCHED!$K33,IF(MATCHED!BK33=11,MATCHED!$L33,IF(MATCHED!BK33=12,MATCHED!$M33,IF(MATCHED!BK33=13,MATCHED!$N33,IF(MATCHED!BK33=14,MATCHED!$O33,"")))))))&amp;IF(MATCHED!BK33=15,MATCHED!$P33,IF(MATCHED!BK33=16,MATCHED!$Q33,IF(MATCHED!BK33=17,MATCHED!$R33,IF(MATCHED!BK33=18,MATCHED!$S33,IF(MATCHED!BK33=19,MATCHED!$T33,IF(MATCHED!BK33=20,MATCHED!$U33,IF(MATCHED!BK33=21,MATCHED!$V33,)))))))&amp;IF(MATCHED!BK33=22,MATCHED!$W33,IF(MATCHED!BK33=23,MATCHED!$X33,IF(MATCHED!BK33=24,MATCHED!$Y33,IF(MATCHED!BK33=25,MATCHED!$Z33,IF(MATCHED!BK33=26,MATCHED!$AA33,IF(MATCHED!BK33=27,MATCHED!$AB33,"."))))))</f>
        <v>#N/A</v>
      </c>
      <c r="AJ33" s="535"/>
    </row>
    <row r="34" spans="1:36" s="338" customFormat="1" x14ac:dyDescent="0.25">
      <c r="A34" s="535"/>
      <c r="B34" s="369" t="e">
        <f>IF(MATCHED!AD34=1,MATCHED!$B34,IF(MATCHED!AD34=2,MATCHED!$C34,IF(MATCHED!AD34=3,MATCHED!$D34,IF(MATCHED!AD34=4,MATCHED!$E34,IF(MATCHED!AD34=3,MATCHED!$F34,IF(MATCHED!AD34=6,MATCHED!$G34,IF(MATCHED!AD34=7,MATCHED!$H34,"")))))))&amp;IF(MATCHED!AD34=8,MATCHED!$I34,IF(MATCHED!AD34=9,MATCHED!$J34,IF(MATCHED!AD34=10,MATCHED!$K34,IF(MATCHED!AD34=11,MATCHED!$L34,IF(MATCHED!AD34=12,MATCHED!$M34,IF(MATCHED!AD34=13,MATCHED!$N34,IF(MATCHED!AD34=14,MATCHED!$O34,"")))))))&amp;IF(MATCHED!AD34=15,MATCHED!$P34,IF(MATCHED!AD34=16,MATCHED!$Q34,IF(MATCHED!AD34=17,MATCHED!$R34,IF(MATCHED!AD34=18,MATCHED!$S34,IF(MATCHED!AD34=19,MATCHED!$T34,IF(MATCHED!AD34=20,MATCHED!$U34,IF(MATCHED!AD34=21,MATCHED!$V34,)))))))&amp;IF(MATCHED!AD34=22,MATCHED!$W34,IF(MATCHED!AD34=23,MATCHED!$X34,IF(MATCHED!AD34=24,MATCHED!$Y34,IF(MATCHED!AD34=25,MATCHED!$Z34,IF(MATCHED!AD34=26,MATCHED!$AA34,IF(MATCHED!AD34=27,MATCHED!$AB34,"."))))))</f>
        <v>#N/A</v>
      </c>
      <c r="C34" s="370" t="e">
        <f>IF(MATCHED!AE34=1,MATCHED!$B34,IF(MATCHED!AE34=2,MATCHED!$C34,IF(MATCHED!AE34=3,MATCHED!$D34,IF(MATCHED!AE34=4,MATCHED!$E34,IF(MATCHED!AE34=3,MATCHED!$F34,IF(MATCHED!AE34=6,MATCHED!$G34,IF(MATCHED!AE34=7,MATCHED!$H34,"")))))))&amp;IF(MATCHED!AE34=8,MATCHED!$I34,IF(MATCHED!AE34=9,MATCHED!$J34,IF(MATCHED!AE34=10,MATCHED!$K34,IF(MATCHED!AE34=11,MATCHED!$L34,IF(MATCHED!AE34=12,MATCHED!$M34,IF(MATCHED!AE34=13,MATCHED!$N34,IF(MATCHED!AE34=14,MATCHED!$O34,"")))))))&amp;IF(MATCHED!AE34=15,MATCHED!$P34,IF(MATCHED!AE34=16,MATCHED!$Q34,IF(MATCHED!AE34=17,MATCHED!$R34,IF(MATCHED!AE34=18,MATCHED!$S34,IF(MATCHED!AE34=19,MATCHED!$T34,IF(MATCHED!AE34=20,MATCHED!$U34,IF(MATCHED!AE34=21,MATCHED!$V34,)))))))&amp;IF(MATCHED!AE34=22,MATCHED!$W34,IF(MATCHED!AE34=23,MATCHED!$X34,IF(MATCHED!AE34=24,MATCHED!$Y34,IF(MATCHED!AE34=25,MATCHED!$Z34,IF(MATCHED!AE34=26,MATCHED!$AA34,IF(MATCHED!AE34=27,MATCHED!$AB34,"."))))))</f>
        <v>#N/A</v>
      </c>
      <c r="D34" s="370" t="e">
        <f>IF(MATCHED!AF34=1,MATCHED!$B34,IF(MATCHED!AF34=2,MATCHED!$C34,IF(MATCHED!AF34=3,MATCHED!$D34,IF(MATCHED!AF34=4,MATCHED!$E34,IF(MATCHED!AF34=3,MATCHED!$F34,IF(MATCHED!AF34=6,MATCHED!$G34,IF(MATCHED!AF34=7,MATCHED!$H34,"")))))))&amp;IF(MATCHED!AF34=8,MATCHED!$I34,IF(MATCHED!AF34=9,MATCHED!$J34,IF(MATCHED!AF34=10,MATCHED!$K34,IF(MATCHED!AF34=11,MATCHED!$L34,IF(MATCHED!AF34=12,MATCHED!$M34,IF(MATCHED!AF34=13,MATCHED!$N34,IF(MATCHED!AF34=14,MATCHED!$O34,"")))))))&amp;IF(MATCHED!AF34=15,MATCHED!$P34,IF(MATCHED!AF34=16,MATCHED!$Q34,IF(MATCHED!AF34=17,MATCHED!$R34,IF(MATCHED!AF34=18,MATCHED!$S34,IF(MATCHED!AF34=19,MATCHED!$T34,IF(MATCHED!AF34=20,MATCHED!$U34,IF(MATCHED!AF34=21,MATCHED!$V34,)))))))&amp;IF(MATCHED!AF34=22,MATCHED!$W34,IF(MATCHED!AF34=23,MATCHED!$X34,IF(MATCHED!AF34=24,MATCHED!$Y34,IF(MATCHED!AF34=25,MATCHED!$Z34,IF(MATCHED!AF34=26,MATCHED!$AA34,IF(MATCHED!AF34=27,MATCHED!$AB34,"."))))))</f>
        <v>#N/A</v>
      </c>
      <c r="E34" s="370" t="e">
        <f>IF(MATCHED!AG34=1,MATCHED!$B34,IF(MATCHED!AG34=2,MATCHED!$C34,IF(MATCHED!AG34=3,MATCHED!$D34,IF(MATCHED!AG34=4,MATCHED!$E34,IF(MATCHED!AG34=3,MATCHED!$F34,IF(MATCHED!AG34=6,MATCHED!$G34,IF(MATCHED!AG34=7,MATCHED!$H34,"")))))))&amp;IF(MATCHED!AG34=8,MATCHED!$I34,IF(MATCHED!AG34=9,MATCHED!$J34,IF(MATCHED!AG34=10,MATCHED!$K34,IF(MATCHED!AG34=11,MATCHED!$L34,IF(MATCHED!AG34=12,MATCHED!$M34,IF(MATCHED!AG34=13,MATCHED!$N34,IF(MATCHED!AG34=14,MATCHED!$O34,"")))))))&amp;IF(MATCHED!AG34=15,MATCHED!$P34,IF(MATCHED!AG34=16,MATCHED!$Q34,IF(MATCHED!AG34=17,MATCHED!$R34,IF(MATCHED!AG34=18,MATCHED!$S34,IF(MATCHED!AG34=19,MATCHED!$T34,IF(MATCHED!AG34=20,MATCHED!$U34,IF(MATCHED!AG34=21,MATCHED!$V34,)))))))&amp;IF(MATCHED!AG34=22,MATCHED!$W34,IF(MATCHED!AG34=23,MATCHED!$X34,IF(MATCHED!AG34=24,MATCHED!$Y34,IF(MATCHED!AG34=25,MATCHED!$Z34,IF(MATCHED!AG34=26,MATCHED!$AA34,IF(MATCHED!AG34=27,MATCHED!$AB34,"."))))))</f>
        <v>#N/A</v>
      </c>
      <c r="F34" s="370" t="e">
        <f>IF(MATCHED!AH34=1,MATCHED!$B34,IF(MATCHED!AH34=2,MATCHED!$C34,IF(MATCHED!AH34=3,MATCHED!$D34,IF(MATCHED!AH34=4,MATCHED!$E34,IF(MATCHED!AH34=3,MATCHED!$F34,IF(MATCHED!AH34=6,MATCHED!$G34,IF(MATCHED!AH34=7,MATCHED!$H34,"")))))))&amp;IF(MATCHED!AH34=8,MATCHED!$I34,IF(MATCHED!AH34=9,MATCHED!$J34,IF(MATCHED!AH34=10,MATCHED!$K34,IF(MATCHED!AH34=11,MATCHED!$L34,IF(MATCHED!AH34=12,MATCHED!$M34,IF(MATCHED!AH34=13,MATCHED!$N34,IF(MATCHED!AH34=14,MATCHED!$O34,"")))))))&amp;IF(MATCHED!AH34=15,MATCHED!$P34,IF(MATCHED!AH34=16,MATCHED!$Q34,IF(MATCHED!AH34=17,MATCHED!$R34,IF(MATCHED!AH34=18,MATCHED!$S34,IF(MATCHED!AH34=19,MATCHED!$T34,IF(MATCHED!AH34=20,MATCHED!$U34,IF(MATCHED!AH34=21,MATCHED!$V34,)))))))&amp;IF(MATCHED!AH34=22,MATCHED!$W34,IF(MATCHED!AH34=23,MATCHED!$X34,IF(MATCHED!AH34=24,MATCHED!$Y34,IF(MATCHED!AH34=25,MATCHED!$Z34,IF(MATCHED!AH34=26,MATCHED!$AA34,IF(MATCHED!AH34=27,MATCHED!$AB34,"."))))))</f>
        <v>#N/A</v>
      </c>
      <c r="G34" s="370" t="e">
        <f>IF(MATCHED!AI34=1,MATCHED!$B34,IF(MATCHED!AI34=2,MATCHED!$C34,IF(MATCHED!AI34=3,MATCHED!$D34,IF(MATCHED!AI34=4,MATCHED!$E34,IF(MATCHED!AI34=3,MATCHED!$F34,IF(MATCHED!AI34=6,MATCHED!$G34,IF(MATCHED!AI34=7,MATCHED!$H34,"")))))))&amp;IF(MATCHED!AI34=8,MATCHED!$I34,IF(MATCHED!AI34=9,MATCHED!$J34,IF(MATCHED!AI34=10,MATCHED!$K34,IF(MATCHED!AI34=11,MATCHED!$L34,IF(MATCHED!AI34=12,MATCHED!$M34,IF(MATCHED!AI34=13,MATCHED!$N34,IF(MATCHED!AI34=14,MATCHED!$O34,"")))))))&amp;IF(MATCHED!AI34=15,MATCHED!$P34,IF(MATCHED!AI34=16,MATCHED!$Q34,IF(MATCHED!AI34=17,MATCHED!$R34,IF(MATCHED!AI34=18,MATCHED!$S34,IF(MATCHED!AI34=19,MATCHED!$T34,IF(MATCHED!AI34=20,MATCHED!$U34,IF(MATCHED!AI34=21,MATCHED!$V34,)))))))&amp;IF(MATCHED!AI34=22,MATCHED!$W34,IF(MATCHED!AI34=23,MATCHED!$X34,IF(MATCHED!AI34=24,MATCHED!$Y34,IF(MATCHED!AI34=25,MATCHED!$Z34,IF(MATCHED!AI34=26,MATCHED!$AA34,IF(MATCHED!AI34=27,MATCHED!$AB34,"."))))))</f>
        <v>#N/A</v>
      </c>
      <c r="H34" s="370" t="e">
        <f>IF(MATCHED!AJ34=1,MATCHED!$B34,IF(MATCHED!AJ34=2,MATCHED!$C34,IF(MATCHED!AJ34=3,MATCHED!$D34,IF(MATCHED!AJ34=4,MATCHED!$E34,IF(MATCHED!AJ34=3,MATCHED!$F34,IF(MATCHED!AJ34=6,MATCHED!$G34,IF(MATCHED!AJ34=7,MATCHED!$H34,"")))))))&amp;IF(MATCHED!AJ34=8,MATCHED!$I34,IF(MATCHED!AJ34=9,MATCHED!$J34,IF(MATCHED!AJ34=10,MATCHED!$K34,IF(MATCHED!AJ34=11,MATCHED!$L34,IF(MATCHED!AJ34=12,MATCHED!$M34,IF(MATCHED!AJ34=13,MATCHED!$N34,IF(MATCHED!AJ34=14,MATCHED!$O34,"")))))))&amp;IF(MATCHED!AJ34=15,MATCHED!$P34,IF(MATCHED!AJ34=16,MATCHED!$Q34,IF(MATCHED!AJ34=17,MATCHED!$R34,IF(MATCHED!AJ34=18,MATCHED!$S34,IF(MATCHED!AJ34=19,MATCHED!$T34,IF(MATCHED!AJ34=20,MATCHED!$U34,IF(MATCHED!AJ34=21,MATCHED!$V34,)))))))&amp;IF(MATCHED!AJ34=22,MATCHED!$W34,IF(MATCHED!AJ34=23,MATCHED!$X34,IF(MATCHED!AJ34=24,MATCHED!$Y34,IF(MATCHED!AJ34=25,MATCHED!$Z34,IF(MATCHED!AJ34=26,MATCHED!$AA34,IF(MATCHED!AJ34=27,MATCHED!$AB34,"."))))))</f>
        <v>#N/A</v>
      </c>
      <c r="I34" s="370" t="e">
        <f>IF(MATCHED!AK34=1,MATCHED!$B34,IF(MATCHED!AK34=2,MATCHED!$C34,IF(MATCHED!AK34=3,MATCHED!$D34,IF(MATCHED!AK34=4,MATCHED!$E34,IF(MATCHED!AK34=3,MATCHED!$F34,IF(MATCHED!AK34=6,MATCHED!$G34,IF(MATCHED!AK34=7,MATCHED!$H34,"")))))))&amp;IF(MATCHED!AK34=8,MATCHED!$I34,IF(MATCHED!AK34=9,MATCHED!$J34,IF(MATCHED!AK34=10,MATCHED!$K34,IF(MATCHED!AK34=11,MATCHED!$L34,IF(MATCHED!AK34=12,MATCHED!$M34,IF(MATCHED!AK34=13,MATCHED!$N34,IF(MATCHED!AK34=14,MATCHED!$O34,"")))))))&amp;IF(MATCHED!AK34=15,MATCHED!$P34,IF(MATCHED!AK34=16,MATCHED!$Q34,IF(MATCHED!AK34=17,MATCHED!$R34,IF(MATCHED!AK34=18,MATCHED!$S34,IF(MATCHED!AK34=19,MATCHED!$T34,IF(MATCHED!AK34=20,MATCHED!$U34,IF(MATCHED!AK34=21,MATCHED!$V34,)))))))&amp;IF(MATCHED!AK34=22,MATCHED!$W34,IF(MATCHED!AK34=23,MATCHED!$X34,IF(MATCHED!AK34=24,MATCHED!$Y34,IF(MATCHED!AK34=25,MATCHED!$Z34,IF(MATCHED!AK34=26,MATCHED!$AA34,IF(MATCHED!AK34=27,MATCHED!$AB34,"."))))))</f>
        <v>#N/A</v>
      </c>
      <c r="J34" s="370" t="e">
        <f>IF(MATCHED!AL34=1,MATCHED!$B34,IF(MATCHED!AL34=2,MATCHED!$C34,IF(MATCHED!AL34=3,MATCHED!$D34,IF(MATCHED!AL34=4,MATCHED!$E34,IF(MATCHED!AL34=3,MATCHED!$F34,IF(MATCHED!AL34=6,MATCHED!$G34,IF(MATCHED!AL34=7,MATCHED!$H34,"")))))))&amp;IF(MATCHED!AL34=8,MATCHED!$I34,IF(MATCHED!AL34=9,MATCHED!$J34,IF(MATCHED!AL34=10,MATCHED!$K34,IF(MATCHED!AL34=11,MATCHED!$L34,IF(MATCHED!AL34=12,MATCHED!$M34,IF(MATCHED!AL34=13,MATCHED!$N34,IF(MATCHED!AL34=14,MATCHED!$O34,"")))))))&amp;IF(MATCHED!AL34=15,MATCHED!$P34,IF(MATCHED!AL34=16,MATCHED!$Q34,IF(MATCHED!AL34=17,MATCHED!$R34,IF(MATCHED!AL34=18,MATCHED!$S34,IF(MATCHED!AL34=19,MATCHED!$T34,IF(MATCHED!AL34=20,MATCHED!$U34,IF(MATCHED!AL34=21,MATCHED!$V34,)))))))&amp;IF(MATCHED!AL34=22,MATCHED!$W34,IF(MATCHED!AL34=23,MATCHED!$X34,IF(MATCHED!AL34=24,MATCHED!$Y34,IF(MATCHED!AL34=25,MATCHED!$Z34,IF(MATCHED!AL34=26,MATCHED!$AA34,IF(MATCHED!AL34=27,MATCHED!$AB34,"."))))))</f>
        <v>#N/A</v>
      </c>
      <c r="K34" s="370" t="e">
        <f>IF(MATCHED!AM34=1,MATCHED!$B34,IF(MATCHED!AM34=2,MATCHED!$C34,IF(MATCHED!AM34=3,MATCHED!$D34,IF(MATCHED!AM34=4,MATCHED!$E34,IF(MATCHED!AM34=3,MATCHED!$F34,IF(MATCHED!AM34=6,MATCHED!$G34,IF(MATCHED!AM34=7,MATCHED!$H34,"")))))))&amp;IF(MATCHED!AM34=8,MATCHED!$I34,IF(MATCHED!AM34=9,MATCHED!$J34,IF(MATCHED!AM34=10,MATCHED!$K34,IF(MATCHED!AM34=11,MATCHED!$L34,IF(MATCHED!AM34=12,MATCHED!$M34,IF(MATCHED!AM34=13,MATCHED!$N34,IF(MATCHED!AM34=14,MATCHED!$O34,"")))))))&amp;IF(MATCHED!AM34=15,MATCHED!$P34,IF(MATCHED!AM34=16,MATCHED!$Q34,IF(MATCHED!AM34=17,MATCHED!$R34,IF(MATCHED!AM34=18,MATCHED!$S34,IF(MATCHED!AM34=19,MATCHED!$T34,IF(MATCHED!AM34=20,MATCHED!$U34,IF(MATCHED!AM34=21,MATCHED!$V34,)))))))&amp;IF(MATCHED!AM34=22,MATCHED!$W34,IF(MATCHED!AM34=23,MATCHED!$X34,IF(MATCHED!AM34=24,MATCHED!$Y34,IF(MATCHED!AM34=25,MATCHED!$Z34,IF(MATCHED!AM34=26,MATCHED!$AA34,IF(MATCHED!AM34=27,MATCHED!$AB34,"."))))))</f>
        <v>#N/A</v>
      </c>
      <c r="L34" s="370" t="e">
        <f>IF(MATCHED!AN34=1,MATCHED!$B34,IF(MATCHED!AN34=2,MATCHED!$C34,IF(MATCHED!AN34=3,MATCHED!$D34,IF(MATCHED!AN34=4,MATCHED!$E34,IF(MATCHED!AN34=3,MATCHED!$F34,IF(MATCHED!AN34=6,MATCHED!$G34,IF(MATCHED!AN34=7,MATCHED!$H34,"")))))))&amp;IF(MATCHED!AN34=8,MATCHED!$I34,IF(MATCHED!AN34=9,MATCHED!$J34,IF(MATCHED!AN34=10,MATCHED!$K34,IF(MATCHED!AN34=11,MATCHED!$L34,IF(MATCHED!AN34=12,MATCHED!$M34,IF(MATCHED!AN34=13,MATCHED!$N34,IF(MATCHED!AN34=14,MATCHED!$O34,"")))))))&amp;IF(MATCHED!AN34=15,MATCHED!$P34,IF(MATCHED!AN34=16,MATCHED!$Q34,IF(MATCHED!AN34=17,MATCHED!$R34,IF(MATCHED!AN34=18,MATCHED!$S34,IF(MATCHED!AN34=19,MATCHED!$T34,IF(MATCHED!AN34=20,MATCHED!$U34,IF(MATCHED!AN34=21,MATCHED!$V34,)))))))&amp;IF(MATCHED!AN34=22,MATCHED!$W34,IF(MATCHED!AN34=23,MATCHED!$X34,IF(MATCHED!AN34=24,MATCHED!$Y34,IF(MATCHED!AN34=25,MATCHED!$Z34,IF(MATCHED!AN34=26,MATCHED!$AA34,IF(MATCHED!AN34=27,MATCHED!$AB34,"."))))))</f>
        <v>#N/A</v>
      </c>
      <c r="M34" s="370" t="e">
        <f>IF(MATCHED!AO34=1,MATCHED!$B34,IF(MATCHED!AO34=2,MATCHED!$C34,IF(MATCHED!AO34=3,MATCHED!$D34,IF(MATCHED!AO34=4,MATCHED!$E34,IF(MATCHED!AO34=3,MATCHED!$F34,IF(MATCHED!AO34=6,MATCHED!$G34,IF(MATCHED!AO34=7,MATCHED!$H34,"")))))))&amp;IF(MATCHED!AO34=8,MATCHED!$I34,IF(MATCHED!AO34=9,MATCHED!$J34,IF(MATCHED!AO34=10,MATCHED!$K34,IF(MATCHED!AO34=11,MATCHED!$L34,IF(MATCHED!AO34=12,MATCHED!$M34,IF(MATCHED!AO34=13,MATCHED!$N34,IF(MATCHED!AO34=14,MATCHED!$O34,"")))))))&amp;IF(MATCHED!AO34=15,MATCHED!$P34,IF(MATCHED!AO34=16,MATCHED!$Q34,IF(MATCHED!AO34=17,MATCHED!$R34,IF(MATCHED!AO34=18,MATCHED!$S34,IF(MATCHED!AO34=19,MATCHED!$T34,IF(MATCHED!AO34=20,MATCHED!$U34,IF(MATCHED!AO34=21,MATCHED!$V34,)))))))&amp;IF(MATCHED!AO34=22,MATCHED!$W34,IF(MATCHED!AO34=23,MATCHED!$X34,IF(MATCHED!AO34=24,MATCHED!$Y34,IF(MATCHED!AO34=25,MATCHED!$Z34,IF(MATCHED!AO34=26,MATCHED!$AA34,IF(MATCHED!AO34=27,MATCHED!$AB34,"."))))))</f>
        <v>#N/A</v>
      </c>
      <c r="N34" s="370" t="e">
        <f>IF(MATCHED!AP34=1,MATCHED!$B34,IF(MATCHED!AP34=2,MATCHED!$C34,IF(MATCHED!AP34=3,MATCHED!$D34,IF(MATCHED!AP34=4,MATCHED!$E34,IF(MATCHED!AP34=3,MATCHED!$F34,IF(MATCHED!AP34=6,MATCHED!$G34,IF(MATCHED!AP34=7,MATCHED!$H34,"")))))))&amp;IF(MATCHED!AP34=8,MATCHED!$I34,IF(MATCHED!AP34=9,MATCHED!$J34,IF(MATCHED!AP34=10,MATCHED!$K34,IF(MATCHED!AP34=11,MATCHED!$L34,IF(MATCHED!AP34=12,MATCHED!$M34,IF(MATCHED!AP34=13,MATCHED!$N34,IF(MATCHED!AP34=14,MATCHED!$O34,"")))))))&amp;IF(MATCHED!AP34=15,MATCHED!$P34,IF(MATCHED!AP34=16,MATCHED!$Q34,IF(MATCHED!AP34=17,MATCHED!$R34,IF(MATCHED!AP34=18,MATCHED!$S34,IF(MATCHED!AP34=19,MATCHED!$T34,IF(MATCHED!AP34=20,MATCHED!$U34,IF(MATCHED!AP34=21,MATCHED!$V34,)))))))&amp;IF(MATCHED!AP34=22,MATCHED!$W34,IF(MATCHED!AP34=23,MATCHED!$X34,IF(MATCHED!AP34=24,MATCHED!$Y34,IF(MATCHED!AP34=25,MATCHED!$Z34,IF(MATCHED!AP34=26,MATCHED!$AA34,IF(MATCHED!AP34=27,MATCHED!$AB34,"."))))))</f>
        <v>#N/A</v>
      </c>
      <c r="O34" s="370" t="e">
        <f>IF(MATCHED!AQ34=1,MATCHED!$B34,IF(MATCHED!AQ34=2,MATCHED!$C34,IF(MATCHED!AQ34=3,MATCHED!$D34,IF(MATCHED!AQ34=4,MATCHED!$E34,IF(MATCHED!AQ34=3,MATCHED!$F34,IF(MATCHED!AQ34=6,MATCHED!$G34,IF(MATCHED!AQ34=7,MATCHED!$H34,"")))))))&amp;IF(MATCHED!AQ34=8,MATCHED!$I34,IF(MATCHED!AQ34=9,MATCHED!$J34,IF(MATCHED!AQ34=10,MATCHED!$K34,IF(MATCHED!AQ34=11,MATCHED!$L34,IF(MATCHED!AQ34=12,MATCHED!$M34,IF(MATCHED!AQ34=13,MATCHED!$N34,IF(MATCHED!AQ34=14,MATCHED!$O34,"")))))))&amp;IF(MATCHED!AQ34=15,MATCHED!$P34,IF(MATCHED!AQ34=16,MATCHED!$Q34,IF(MATCHED!AQ34=17,MATCHED!$R34,IF(MATCHED!AQ34=18,MATCHED!$S34,IF(MATCHED!AQ34=19,MATCHED!$T34,IF(MATCHED!AQ34=20,MATCHED!$U34,IF(MATCHED!AQ34=21,MATCHED!$V34,)))))))&amp;IF(MATCHED!AQ34=22,MATCHED!$W34,IF(MATCHED!AQ34=23,MATCHED!$X34,IF(MATCHED!AQ34=24,MATCHED!$Y34,IF(MATCHED!AQ34=25,MATCHED!$Z34,IF(MATCHED!AQ34=26,MATCHED!$AA34,IF(MATCHED!AQ34=27,MATCHED!$AB34,"."))))))</f>
        <v>#N/A</v>
      </c>
      <c r="P34" s="370" t="e">
        <f>IF(MATCHED!AR34=1,MATCHED!$B34,IF(MATCHED!AR34=2,MATCHED!$C34,IF(MATCHED!AR34=3,MATCHED!$D34,IF(MATCHED!AR34=4,MATCHED!$E34,IF(MATCHED!AR34=3,MATCHED!$F34,IF(MATCHED!AR34=6,MATCHED!$G34,IF(MATCHED!AR34=7,MATCHED!$H34,"")))))))&amp;IF(MATCHED!AR34=8,MATCHED!$I34,IF(MATCHED!AR34=9,MATCHED!$J34,IF(MATCHED!AR34=10,MATCHED!$K34,IF(MATCHED!AR34=11,MATCHED!$L34,IF(MATCHED!AR34=12,MATCHED!$M34,IF(MATCHED!AR34=13,MATCHED!$N34,IF(MATCHED!AR34=14,MATCHED!$O34,"")))))))&amp;IF(MATCHED!AR34=15,MATCHED!$P34,IF(MATCHED!AR34=16,MATCHED!$Q34,IF(MATCHED!AR34=17,MATCHED!$R34,IF(MATCHED!AR34=18,MATCHED!$S34,IF(MATCHED!AR34=19,MATCHED!$T34,IF(MATCHED!AR34=20,MATCHED!$U34,IF(MATCHED!AR34=21,MATCHED!$V34,)))))))&amp;IF(MATCHED!AR34=22,MATCHED!$W34,IF(MATCHED!AR34=23,MATCHED!$X34,IF(MATCHED!AR34=24,MATCHED!$Y34,IF(MATCHED!AR34=25,MATCHED!$Z34,IF(MATCHED!AR34=26,MATCHED!$AA34,IF(MATCHED!AR34=27,MATCHED!$AB34,"."))))))</f>
        <v>#N/A</v>
      </c>
      <c r="Q34" s="371" t="e">
        <f>IF(MATCHED!AS34=1,MATCHED!$B34,IF(MATCHED!AS34=2,MATCHED!$C34,IF(MATCHED!AS34=3,MATCHED!$D34,IF(MATCHED!AS34=4,MATCHED!$E34,IF(MATCHED!AS34=3,MATCHED!$F34,IF(MATCHED!AS34=6,MATCHED!$G34,IF(MATCHED!AS34=7,MATCHED!$H34,"")))))))&amp;IF(MATCHED!AS34=8,MATCHED!$I34,IF(MATCHED!AS34=9,MATCHED!$J34,IF(MATCHED!AS34=10,MATCHED!$K34,IF(MATCHED!AS34=11,MATCHED!$L34,IF(MATCHED!AS34=12,MATCHED!$M34,IF(MATCHED!AS34=13,MATCHED!$N34,IF(MATCHED!AS34=14,MATCHED!$O34,"")))))))&amp;IF(MATCHED!AS34=15,MATCHED!$P34,IF(MATCHED!AS34=16,MATCHED!$Q34,IF(MATCHED!AS34=17,MATCHED!$R34,IF(MATCHED!AS34=18,MATCHED!$S34,IF(MATCHED!AS34=19,MATCHED!$T34,IF(MATCHED!AS34=20,MATCHED!$U34,IF(MATCHED!AS34=21,MATCHED!$V34,)))))))&amp;IF(MATCHED!AS34=22,MATCHED!$W34,IF(MATCHED!AS34=23,MATCHED!$X34,IF(MATCHED!AS34=24,MATCHED!$Y34,IF(MATCHED!AS34=25,MATCHED!$Z34,IF(MATCHED!AS34=26,MATCHED!$AA34,IF(MATCHED!AS34=27,MATCHED!$AB34,"."))))))</f>
        <v>#N/A</v>
      </c>
      <c r="R34" s="370" t="e">
        <f>IF(MATCHED!AT34=1,MATCHED!$B34,IF(MATCHED!AT34=2,MATCHED!$C34,IF(MATCHED!AT34=3,MATCHED!$D34,IF(MATCHED!AT34=4,MATCHED!$E34,IF(MATCHED!AT34=3,MATCHED!$F34,IF(MATCHED!AT34=6,MATCHED!$G34,IF(MATCHED!AT34=7,MATCHED!$H34,"")))))))&amp;IF(MATCHED!AT34=8,MATCHED!$I34,IF(MATCHED!AT34=9,MATCHED!$J34,IF(MATCHED!AT34=10,MATCHED!$K34,IF(MATCHED!AT34=11,MATCHED!$L34,IF(MATCHED!AT34=12,MATCHED!$M34,IF(MATCHED!AT34=13,MATCHED!$N34,IF(MATCHED!AT34=14,MATCHED!$O34,"")))))))&amp;IF(MATCHED!AT34=15,MATCHED!$P34,IF(MATCHED!AT34=16,MATCHED!$Q34,IF(MATCHED!AT34=17,MATCHED!$R34,IF(MATCHED!AT34=18,MATCHED!$S34,IF(MATCHED!AT34=19,MATCHED!$T34,IF(MATCHED!AT34=20,MATCHED!$U34,IF(MATCHED!AT34=21,MATCHED!$V34,)))))))&amp;IF(MATCHED!AT34=22,MATCHED!$W34,IF(MATCHED!AT34=23,MATCHED!$X34,IF(MATCHED!AT34=24,MATCHED!$Y34,IF(MATCHED!AT34=25,MATCHED!$Z34,IF(MATCHED!AT34=26,MATCHED!$AA34,IF(MATCHED!AT34=27,MATCHED!$AB34,"."))))))</f>
        <v>#N/A</v>
      </c>
      <c r="S34" s="370" t="e">
        <f>IF(MATCHED!AU34=1,MATCHED!$B34,IF(MATCHED!AU34=2,MATCHED!$C34,IF(MATCHED!AU34=3,MATCHED!$D34,IF(MATCHED!AU34=4,MATCHED!$E34,IF(MATCHED!AU34=3,MATCHED!$F34,IF(MATCHED!AU34=6,MATCHED!$G34,IF(MATCHED!AU34=7,MATCHED!$H34,"")))))))&amp;IF(MATCHED!AU34=8,MATCHED!$I34,IF(MATCHED!AU34=9,MATCHED!$J34,IF(MATCHED!AU34=10,MATCHED!$K34,IF(MATCHED!AU34=11,MATCHED!$L34,IF(MATCHED!AU34=12,MATCHED!$M34,IF(MATCHED!AU34=13,MATCHED!$N34,IF(MATCHED!AU34=14,MATCHED!$O34,"")))))))&amp;IF(MATCHED!AU34=15,MATCHED!$P34,IF(MATCHED!AU34=16,MATCHED!$Q34,IF(MATCHED!AU34=17,MATCHED!$R34,IF(MATCHED!AU34=18,MATCHED!$S34,IF(MATCHED!AU34=19,MATCHED!$T34,IF(MATCHED!AU34=20,MATCHED!$U34,IF(MATCHED!AU34=21,MATCHED!$V34,)))))))&amp;IF(MATCHED!AU34=22,MATCHED!$W34,IF(MATCHED!AU34=23,MATCHED!$X34,IF(MATCHED!AU34=24,MATCHED!$Y34,IF(MATCHED!AU34=25,MATCHED!$Z34,IF(MATCHED!AU34=26,MATCHED!$AA34,IF(MATCHED!AU34=27,MATCHED!$AB34,"."))))))</f>
        <v>#N/A</v>
      </c>
      <c r="T34" s="370" t="e">
        <f>IF(MATCHED!AV34=1,MATCHED!$B34,IF(MATCHED!AV34=2,MATCHED!$C34,IF(MATCHED!AV34=3,MATCHED!$D34,IF(MATCHED!AV34=4,MATCHED!$E34,IF(MATCHED!AV34=3,MATCHED!$F34,IF(MATCHED!AV34=6,MATCHED!$G34,IF(MATCHED!AV34=7,MATCHED!$H34,"")))))))&amp;IF(MATCHED!AV34=8,MATCHED!$I34,IF(MATCHED!AV34=9,MATCHED!$J34,IF(MATCHED!AV34=10,MATCHED!$K34,IF(MATCHED!AV34=11,MATCHED!$L34,IF(MATCHED!AV34=12,MATCHED!$M34,IF(MATCHED!AV34=13,MATCHED!$N34,IF(MATCHED!AV34=14,MATCHED!$O34,"")))))))&amp;IF(MATCHED!AV34=15,MATCHED!$P34,IF(MATCHED!AV34=16,MATCHED!$Q34,IF(MATCHED!AV34=17,MATCHED!$R34,IF(MATCHED!AV34=18,MATCHED!$S34,IF(MATCHED!AV34=19,MATCHED!$T34,IF(MATCHED!AV34=20,MATCHED!$U34,IF(MATCHED!AV34=21,MATCHED!$V34,)))))))&amp;IF(MATCHED!AV34=22,MATCHED!$W34,IF(MATCHED!AV34=23,MATCHED!$X34,IF(MATCHED!AV34=24,MATCHED!$Y34,IF(MATCHED!AV34=25,MATCHED!$Z34,IF(MATCHED!AV34=26,MATCHED!$AA34,IF(MATCHED!AV34=27,MATCHED!$AB34,"."))))))</f>
        <v>#N/A</v>
      </c>
      <c r="U34" s="370" t="e">
        <f>IF(MATCHED!AW34=1,MATCHED!$B34,IF(MATCHED!AW34=2,MATCHED!$C34,IF(MATCHED!AW34=3,MATCHED!$D34,IF(MATCHED!AW34=4,MATCHED!$E34,IF(MATCHED!AW34=3,MATCHED!$F34,IF(MATCHED!AW34=6,MATCHED!$G34,IF(MATCHED!AW34=7,MATCHED!$H34,"")))))))&amp;IF(MATCHED!AW34=8,MATCHED!$I34,IF(MATCHED!AW34=9,MATCHED!$J34,IF(MATCHED!AW34=10,MATCHED!$K34,IF(MATCHED!AW34=11,MATCHED!$L34,IF(MATCHED!AW34=12,MATCHED!$M34,IF(MATCHED!AW34=13,MATCHED!$N34,IF(MATCHED!AW34=14,MATCHED!$O34,"")))))))&amp;IF(MATCHED!AW34=15,MATCHED!$P34,IF(MATCHED!AW34=16,MATCHED!$Q34,IF(MATCHED!AW34=17,MATCHED!$R34,IF(MATCHED!AW34=18,MATCHED!$S34,IF(MATCHED!AW34=19,MATCHED!$T34,IF(MATCHED!AW34=20,MATCHED!$U34,IF(MATCHED!AW34=21,MATCHED!$V34,)))))))&amp;IF(MATCHED!AW34=22,MATCHED!$W34,IF(MATCHED!AW34=23,MATCHED!$X34,IF(MATCHED!AW34=24,MATCHED!$Y34,IF(MATCHED!AW34=25,MATCHED!$Z34,IF(MATCHED!AW34=26,MATCHED!$AA34,IF(MATCHED!AW34=27,MATCHED!$AB34,"."))))))</f>
        <v>#N/A</v>
      </c>
      <c r="V34" s="370" t="e">
        <f>IF(MATCHED!AX34=1,MATCHED!$B34,IF(MATCHED!AX34=2,MATCHED!$C34,IF(MATCHED!AX34=3,MATCHED!$D34,IF(MATCHED!AX34=4,MATCHED!$E34,IF(MATCHED!AX34=3,MATCHED!$F34,IF(MATCHED!AX34=6,MATCHED!$G34,IF(MATCHED!AX34=7,MATCHED!$H34,"")))))))&amp;IF(MATCHED!AX34=8,MATCHED!$I34,IF(MATCHED!AX34=9,MATCHED!$J34,IF(MATCHED!AX34=10,MATCHED!$K34,IF(MATCHED!AX34=11,MATCHED!$L34,IF(MATCHED!AX34=12,MATCHED!$M34,IF(MATCHED!AX34=13,MATCHED!$N34,IF(MATCHED!AX34=14,MATCHED!$O34,"")))))))&amp;IF(MATCHED!AX34=15,MATCHED!$P34,IF(MATCHED!AX34=16,MATCHED!$Q34,IF(MATCHED!AX34=17,MATCHED!$R34,IF(MATCHED!AX34=18,MATCHED!$S34,IF(MATCHED!AX34=19,MATCHED!$T34,IF(MATCHED!AX34=20,MATCHED!$U34,IF(MATCHED!AX34=21,MATCHED!$V34,)))))))&amp;IF(MATCHED!AX34=22,MATCHED!$W34,IF(MATCHED!AX34=23,MATCHED!$X34,IF(MATCHED!AX34=24,MATCHED!$Y34,IF(MATCHED!AX34=25,MATCHED!$Z34,IF(MATCHED!AX34=26,MATCHED!$AA34,IF(MATCHED!AX34=27,MATCHED!$AB34,"."))))))</f>
        <v>#N/A</v>
      </c>
      <c r="W34" s="370" t="e">
        <f>IF(MATCHED!AY34=1,MATCHED!$B34,IF(MATCHED!AY34=2,MATCHED!$C34,IF(MATCHED!AY34=3,MATCHED!$D34,IF(MATCHED!AY34=4,MATCHED!$E34,IF(MATCHED!AY34=3,MATCHED!$F34,IF(MATCHED!AY34=6,MATCHED!$G34,IF(MATCHED!AY34=7,MATCHED!$H34,"")))))))&amp;IF(MATCHED!AY34=8,MATCHED!$I34,IF(MATCHED!AY34=9,MATCHED!$J34,IF(MATCHED!AY34=10,MATCHED!$K34,IF(MATCHED!AY34=11,MATCHED!$L34,IF(MATCHED!AY34=12,MATCHED!$M34,IF(MATCHED!AY34=13,MATCHED!$N34,IF(MATCHED!AY34=14,MATCHED!$O34,"")))))))&amp;IF(MATCHED!AY34=15,MATCHED!$P34,IF(MATCHED!AY34=16,MATCHED!$Q34,IF(MATCHED!AY34=17,MATCHED!$R34,IF(MATCHED!AY34=18,MATCHED!$S34,IF(MATCHED!AY34=19,MATCHED!$T34,IF(MATCHED!AY34=20,MATCHED!$U34,IF(MATCHED!AY34=21,MATCHED!$V34,)))))))&amp;IF(MATCHED!AY34=22,MATCHED!$W34,IF(MATCHED!AY34=23,MATCHED!$X34,IF(MATCHED!AY34=24,MATCHED!$Y34,IF(MATCHED!AY34=25,MATCHED!$Z34,IF(MATCHED!AY34=26,MATCHED!$AA34,IF(MATCHED!AY34=27,MATCHED!$AB34,"."))))))</f>
        <v>#N/A</v>
      </c>
      <c r="X34" s="370" t="e">
        <f>IF(MATCHED!AZ34=1,MATCHED!$B34,IF(MATCHED!AZ34=2,MATCHED!$C34,IF(MATCHED!AZ34=3,MATCHED!$D34,IF(MATCHED!AZ34=4,MATCHED!$E34,IF(MATCHED!AZ34=3,MATCHED!$F34,IF(MATCHED!AZ34=6,MATCHED!$G34,IF(MATCHED!AZ34=7,MATCHED!$H34,"")))))))&amp;IF(MATCHED!AZ34=8,MATCHED!$I34,IF(MATCHED!AZ34=9,MATCHED!$J34,IF(MATCHED!AZ34=10,MATCHED!$K34,IF(MATCHED!AZ34=11,MATCHED!$L34,IF(MATCHED!AZ34=12,MATCHED!$M34,IF(MATCHED!AZ34=13,MATCHED!$N34,IF(MATCHED!AZ34=14,MATCHED!$O34,"")))))))&amp;IF(MATCHED!AZ34=15,MATCHED!$P34,IF(MATCHED!AZ34=16,MATCHED!$Q34,IF(MATCHED!AZ34=17,MATCHED!$R34,IF(MATCHED!AZ34=18,MATCHED!$S34,IF(MATCHED!AZ34=19,MATCHED!$T34,IF(MATCHED!AZ34=20,MATCHED!$U34,IF(MATCHED!AZ34=21,MATCHED!$V34,)))))))&amp;IF(MATCHED!AZ34=22,MATCHED!$W34,IF(MATCHED!AZ34=23,MATCHED!$X34,IF(MATCHED!AZ34=24,MATCHED!$Y34,IF(MATCHED!AZ34=25,MATCHED!$Z34,IF(MATCHED!AZ34=26,MATCHED!$AA34,IF(MATCHED!AZ34=27,MATCHED!$AB34,"."))))))</f>
        <v>#N/A</v>
      </c>
      <c r="Y34" s="370" t="e">
        <f>IF(MATCHED!BA34=1,MATCHED!$B34,IF(MATCHED!BA34=2,MATCHED!$C34,IF(MATCHED!BA34=3,MATCHED!$D34,IF(MATCHED!BA34=4,MATCHED!$E34,IF(MATCHED!BA34=3,MATCHED!$F34,IF(MATCHED!BA34=6,MATCHED!$G34,IF(MATCHED!BA34=7,MATCHED!$H34,"")))))))&amp;IF(MATCHED!BA34=8,MATCHED!$I34,IF(MATCHED!BA34=9,MATCHED!$J34,IF(MATCHED!BA34=10,MATCHED!$K34,IF(MATCHED!BA34=11,MATCHED!$L34,IF(MATCHED!BA34=12,MATCHED!$M34,IF(MATCHED!BA34=13,MATCHED!$N34,IF(MATCHED!BA34=14,MATCHED!$O34,"")))))))&amp;IF(MATCHED!BA34=15,MATCHED!$P34,IF(MATCHED!BA34=16,MATCHED!$Q34,IF(MATCHED!BA34=17,MATCHED!$R34,IF(MATCHED!BA34=18,MATCHED!$S34,IF(MATCHED!BA34=19,MATCHED!$T34,IF(MATCHED!BA34=20,MATCHED!$U34,IF(MATCHED!BA34=21,MATCHED!$V34,)))))))&amp;IF(MATCHED!BA34=22,MATCHED!$W34,IF(MATCHED!BA34=23,MATCHED!$X34,IF(MATCHED!BA34=24,MATCHED!$Y34,IF(MATCHED!BA34=25,MATCHED!$Z34,IF(MATCHED!BA34=26,MATCHED!$AA34,IF(MATCHED!BA34=27,MATCHED!$AB34,"."))))))</f>
        <v>#N/A</v>
      </c>
      <c r="Z34" s="370" t="e">
        <f>IF(MATCHED!BB34=1,MATCHED!$B34,IF(MATCHED!BB34=2,MATCHED!$C34,IF(MATCHED!BB34=3,MATCHED!$D34,IF(MATCHED!BB34=4,MATCHED!$E34,IF(MATCHED!BB34=3,MATCHED!$F34,IF(MATCHED!BB34=6,MATCHED!$G34,IF(MATCHED!BB34=7,MATCHED!$H34,"")))))))&amp;IF(MATCHED!BB34=8,MATCHED!$I34,IF(MATCHED!BB34=9,MATCHED!$J34,IF(MATCHED!BB34=10,MATCHED!$K34,IF(MATCHED!BB34=11,MATCHED!$L34,IF(MATCHED!BB34=12,MATCHED!$M34,IF(MATCHED!BB34=13,MATCHED!$N34,IF(MATCHED!BB34=14,MATCHED!$O34,"")))))))&amp;IF(MATCHED!BB34=15,MATCHED!$P34,IF(MATCHED!BB34=16,MATCHED!$Q34,IF(MATCHED!BB34=17,MATCHED!$R34,IF(MATCHED!BB34=18,MATCHED!$S34,IF(MATCHED!BB34=19,MATCHED!$T34,IF(MATCHED!BB34=20,MATCHED!$U34,IF(MATCHED!BB34=21,MATCHED!$V34,)))))))&amp;IF(MATCHED!BB34=22,MATCHED!$W34,IF(MATCHED!BB34=23,MATCHED!$X34,IF(MATCHED!BB34=24,MATCHED!$Y34,IF(MATCHED!BB34=25,MATCHED!$Z34,IF(MATCHED!BB34=26,MATCHED!$AA34,IF(MATCHED!BB34=27,MATCHED!$AB34,"."))))))</f>
        <v>#N/A</v>
      </c>
      <c r="AA34" s="370" t="e">
        <f>IF(MATCHED!BC34=1,MATCHED!$B34,IF(MATCHED!BC34=2,MATCHED!$C34,IF(MATCHED!BC34=3,MATCHED!$D34,IF(MATCHED!BC34=4,MATCHED!$E34,IF(MATCHED!BC34=3,MATCHED!$F34,IF(MATCHED!BC34=6,MATCHED!$G34,IF(MATCHED!BC34=7,MATCHED!$H34,"")))))))&amp;IF(MATCHED!BC34=8,MATCHED!$I34,IF(MATCHED!BC34=9,MATCHED!$J34,IF(MATCHED!BC34=10,MATCHED!$K34,IF(MATCHED!BC34=11,MATCHED!$L34,IF(MATCHED!BC34=12,MATCHED!$M34,IF(MATCHED!BC34=13,MATCHED!$N34,IF(MATCHED!BC34=14,MATCHED!$O34,"")))))))&amp;IF(MATCHED!BC34=15,MATCHED!$P34,IF(MATCHED!BC34=16,MATCHED!$Q34,IF(MATCHED!BC34=17,MATCHED!$R34,IF(MATCHED!BC34=18,MATCHED!$S34,IF(MATCHED!BC34=19,MATCHED!$T34,IF(MATCHED!BC34=20,MATCHED!$U34,IF(MATCHED!BC34=21,MATCHED!$V34,)))))))&amp;IF(MATCHED!BC34=22,MATCHED!$W34,IF(MATCHED!BC34=23,MATCHED!$X34,IF(MATCHED!BC34=24,MATCHED!$Y34,IF(MATCHED!BC34=25,MATCHED!$Z34,IF(MATCHED!BC34=26,MATCHED!$AA34,IF(MATCHED!BC34=27,MATCHED!$AB34,"."))))))</f>
        <v>#N/A</v>
      </c>
      <c r="AB34" s="370" t="e">
        <f>IF(MATCHED!BD34=1,MATCHED!$B34,IF(MATCHED!BD34=2,MATCHED!$C34,IF(MATCHED!BD34=3,MATCHED!$D34,IF(MATCHED!BD34=4,MATCHED!$E34,IF(MATCHED!BD34=3,MATCHED!$F34,IF(MATCHED!BD34=6,MATCHED!$G34,IF(MATCHED!BD34=7,MATCHED!$H34,"")))))))&amp;IF(MATCHED!BD34=8,MATCHED!$I34,IF(MATCHED!BD34=9,MATCHED!$J34,IF(MATCHED!BD34=10,MATCHED!$K34,IF(MATCHED!BD34=11,MATCHED!$L34,IF(MATCHED!BD34=12,MATCHED!$M34,IF(MATCHED!BD34=13,MATCHED!$N34,IF(MATCHED!BD34=14,MATCHED!$O34,"")))))))&amp;IF(MATCHED!BD34=15,MATCHED!$P34,IF(MATCHED!BD34=16,MATCHED!$Q34,IF(MATCHED!BD34=17,MATCHED!$R34,IF(MATCHED!BD34=18,MATCHED!$S34,IF(MATCHED!BD34=19,MATCHED!$T34,IF(MATCHED!BD34=20,MATCHED!$U34,IF(MATCHED!BD34=21,MATCHED!$V34,)))))))&amp;IF(MATCHED!BD34=22,MATCHED!$W34,IF(MATCHED!BD34=23,MATCHED!$X34,IF(MATCHED!BD34=24,MATCHED!$Y34,IF(MATCHED!BD34=25,MATCHED!$Z34,IF(MATCHED!BD34=26,MATCHED!$AA34,IF(MATCHED!BD34=27,MATCHED!$AB34,"."))))))</f>
        <v>#N/A</v>
      </c>
      <c r="AC34" s="370" t="e">
        <f>IF(MATCHED!BE34=1,MATCHED!$B34,IF(MATCHED!BE34=2,MATCHED!$C34,IF(MATCHED!BE34=3,MATCHED!$D34,IF(MATCHED!BE34=4,MATCHED!$E34,IF(MATCHED!BE34=3,MATCHED!$F34,IF(MATCHED!BE34=6,MATCHED!$G34,IF(MATCHED!BE34=7,MATCHED!$H34,"")))))))&amp;IF(MATCHED!BE34=8,MATCHED!$I34,IF(MATCHED!BE34=9,MATCHED!$J34,IF(MATCHED!BE34=10,MATCHED!$K34,IF(MATCHED!BE34=11,MATCHED!$L34,IF(MATCHED!BE34=12,MATCHED!$M34,IF(MATCHED!BE34=13,MATCHED!$N34,IF(MATCHED!BE34=14,MATCHED!$O34,"")))))))&amp;IF(MATCHED!BE34=15,MATCHED!$P34,IF(MATCHED!BE34=16,MATCHED!$Q34,IF(MATCHED!BE34=17,MATCHED!$R34,IF(MATCHED!BE34=18,MATCHED!$S34,IF(MATCHED!BE34=19,MATCHED!$T34,IF(MATCHED!BE34=20,MATCHED!$U34,IF(MATCHED!BE34=21,MATCHED!$V34,)))))))&amp;IF(MATCHED!BE34=22,MATCHED!$W34,IF(MATCHED!BE34=23,MATCHED!$X34,IF(MATCHED!BE34=24,MATCHED!$Y34,IF(MATCHED!BE34=25,MATCHED!$Z34,IF(MATCHED!BE34=26,MATCHED!$AA34,IF(MATCHED!BE34=27,MATCHED!$AB34,"."))))))</f>
        <v>#N/A</v>
      </c>
      <c r="AD34" s="370" t="e">
        <f>IF(MATCHED!BF34=1,MATCHED!$B34,IF(MATCHED!BF34=2,MATCHED!$C34,IF(MATCHED!BF34=3,MATCHED!$D34,IF(MATCHED!BF34=4,MATCHED!$E34,IF(MATCHED!BF34=3,MATCHED!$F34,IF(MATCHED!BF34=6,MATCHED!$G34,IF(MATCHED!BF34=7,MATCHED!$H34,"")))))))&amp;IF(MATCHED!BF34=8,MATCHED!$I34,IF(MATCHED!BF34=9,MATCHED!$J34,IF(MATCHED!BF34=10,MATCHED!$K34,IF(MATCHED!BF34=11,MATCHED!$L34,IF(MATCHED!BF34=12,MATCHED!$M34,IF(MATCHED!BF34=13,MATCHED!$N34,IF(MATCHED!BF34=14,MATCHED!$O34,"")))))))&amp;IF(MATCHED!BF34=15,MATCHED!$P34,IF(MATCHED!BF34=16,MATCHED!$Q34,IF(MATCHED!BF34=17,MATCHED!$R34,IF(MATCHED!BF34=18,MATCHED!$S34,IF(MATCHED!BF34=19,MATCHED!$T34,IF(MATCHED!BF34=20,MATCHED!$U34,IF(MATCHED!BF34=21,MATCHED!$V34,)))))))&amp;IF(MATCHED!BF34=22,MATCHED!$W34,IF(MATCHED!BF34=23,MATCHED!$X34,IF(MATCHED!BF34=24,MATCHED!$Y34,IF(MATCHED!BF34=25,MATCHED!$Z34,IF(MATCHED!BF34=26,MATCHED!$AA34,IF(MATCHED!BF34=27,MATCHED!$AB34,"."))))))</f>
        <v>#N/A</v>
      </c>
      <c r="AE34" s="370" t="e">
        <f>IF(MATCHED!BG34=1,MATCHED!$B34,IF(MATCHED!BG34=2,MATCHED!$C34,IF(MATCHED!BG34=3,MATCHED!$D34,IF(MATCHED!BG34=4,MATCHED!$E34,IF(MATCHED!BG34=3,MATCHED!$F34,IF(MATCHED!BG34=6,MATCHED!$G34,IF(MATCHED!BG34=7,MATCHED!$H34,"")))))))&amp;IF(MATCHED!BG34=8,MATCHED!$I34,IF(MATCHED!BG34=9,MATCHED!$J34,IF(MATCHED!BG34=10,MATCHED!$K34,IF(MATCHED!BG34=11,MATCHED!$L34,IF(MATCHED!BG34=12,MATCHED!$M34,IF(MATCHED!BG34=13,MATCHED!$N34,IF(MATCHED!BG34=14,MATCHED!$O34,"")))))))&amp;IF(MATCHED!BG34=15,MATCHED!$P34,IF(MATCHED!BG34=16,MATCHED!$Q34,IF(MATCHED!BG34=17,MATCHED!$R34,IF(MATCHED!BG34=18,MATCHED!$S34,IF(MATCHED!BG34=19,MATCHED!$T34,IF(MATCHED!BG34=20,MATCHED!$U34,IF(MATCHED!BG34=21,MATCHED!$V34,)))))))&amp;IF(MATCHED!BG34=22,MATCHED!$W34,IF(MATCHED!BG34=23,MATCHED!$X34,IF(MATCHED!BG34=24,MATCHED!$Y34,IF(MATCHED!BG34=25,MATCHED!$Z34,IF(MATCHED!BG34=26,MATCHED!$AA34,IF(MATCHED!BG34=27,MATCHED!$AB34,"."))))))</f>
        <v>#N/A</v>
      </c>
      <c r="AF34" s="370" t="e">
        <f>IF(MATCHED!BH34=1,MATCHED!$B34,IF(MATCHED!BH34=2,MATCHED!$C34,IF(MATCHED!BH34=3,MATCHED!$D34,IF(MATCHED!BH34=4,MATCHED!$E34,IF(MATCHED!BH34=3,MATCHED!$F34,IF(MATCHED!BH34=6,MATCHED!$G34,IF(MATCHED!BH34=7,MATCHED!$H34,"")))))))&amp;IF(MATCHED!BH34=8,MATCHED!$I34,IF(MATCHED!BH34=9,MATCHED!$J34,IF(MATCHED!BH34=10,MATCHED!$K34,IF(MATCHED!BH34=11,MATCHED!$L34,IF(MATCHED!BH34=12,MATCHED!$M34,IF(MATCHED!BH34=13,MATCHED!$N34,IF(MATCHED!BH34=14,MATCHED!$O34,"")))))))&amp;IF(MATCHED!BH34=15,MATCHED!$P34,IF(MATCHED!BH34=16,MATCHED!$Q34,IF(MATCHED!BH34=17,MATCHED!$R34,IF(MATCHED!BH34=18,MATCHED!$S34,IF(MATCHED!BH34=19,MATCHED!$T34,IF(MATCHED!BH34=20,MATCHED!$U34,IF(MATCHED!BH34=21,MATCHED!$V34,)))))))&amp;IF(MATCHED!BH34=22,MATCHED!$W34,IF(MATCHED!BH34=23,MATCHED!$X34,IF(MATCHED!BH34=24,MATCHED!$Y34,IF(MATCHED!BH34=25,MATCHED!$Z34,IF(MATCHED!BH34=26,MATCHED!$AA34,IF(MATCHED!BH34=27,MATCHED!$AB34,"."))))))</f>
        <v>#N/A</v>
      </c>
      <c r="AG34" s="370" t="e">
        <f>IF(MATCHED!BI34=1,MATCHED!$B34,IF(MATCHED!BI34=2,MATCHED!$C34,IF(MATCHED!BI34=3,MATCHED!$D34,IF(MATCHED!BI34=4,MATCHED!$E34,IF(MATCHED!BI34=3,MATCHED!$F34,IF(MATCHED!BI34=6,MATCHED!$G34,IF(MATCHED!BI34=7,MATCHED!$H34,"")))))))&amp;IF(MATCHED!BI34=8,MATCHED!$I34,IF(MATCHED!BI34=9,MATCHED!$J34,IF(MATCHED!BI34=10,MATCHED!$K34,IF(MATCHED!BI34=11,MATCHED!$L34,IF(MATCHED!BI34=12,MATCHED!$M34,IF(MATCHED!BI34=13,MATCHED!$N34,IF(MATCHED!BI34=14,MATCHED!$O34,"")))))))&amp;IF(MATCHED!BI34=15,MATCHED!$P34,IF(MATCHED!BI34=16,MATCHED!$Q34,IF(MATCHED!BI34=17,MATCHED!$R34,IF(MATCHED!BI34=18,MATCHED!$S34,IF(MATCHED!BI34=19,MATCHED!$T34,IF(MATCHED!BI34=20,MATCHED!$U34,IF(MATCHED!BI34=21,MATCHED!$V34,)))))))&amp;IF(MATCHED!BI34=22,MATCHED!$W34,IF(MATCHED!BI34=23,MATCHED!$X34,IF(MATCHED!BI34=24,MATCHED!$Y34,IF(MATCHED!BI34=25,MATCHED!$Z34,IF(MATCHED!BI34=26,MATCHED!$AA34,IF(MATCHED!BI34=27,MATCHED!$AB34,"."))))))</f>
        <v>#N/A</v>
      </c>
      <c r="AH34" s="370" t="e">
        <f>IF(MATCHED!BJ34=1,MATCHED!$B34,IF(MATCHED!BJ34=2,MATCHED!$C34,IF(MATCHED!BJ34=3,MATCHED!$D34,IF(MATCHED!BJ34=4,MATCHED!$E34,IF(MATCHED!BJ34=3,MATCHED!$F34,IF(MATCHED!BJ34=6,MATCHED!$G34,IF(MATCHED!BJ34=7,MATCHED!$H34,"")))))))&amp;IF(MATCHED!BJ34=8,MATCHED!$I34,IF(MATCHED!BJ34=9,MATCHED!$J34,IF(MATCHED!BJ34=10,MATCHED!$K34,IF(MATCHED!BJ34=11,MATCHED!$L34,IF(MATCHED!BJ34=12,MATCHED!$M34,IF(MATCHED!BJ34=13,MATCHED!$N34,IF(MATCHED!BJ34=14,MATCHED!$O34,"")))))))&amp;IF(MATCHED!BJ34=15,MATCHED!$P34,IF(MATCHED!BJ34=16,MATCHED!$Q34,IF(MATCHED!BJ34=17,MATCHED!$R34,IF(MATCHED!BJ34=18,MATCHED!$S34,IF(MATCHED!BJ34=19,MATCHED!$T34,IF(MATCHED!BJ34=20,MATCHED!$U34,IF(MATCHED!BJ34=21,MATCHED!$V34,)))))))&amp;IF(MATCHED!BJ34=22,MATCHED!$W34,IF(MATCHED!BJ34=23,MATCHED!$X34,IF(MATCHED!BJ34=24,MATCHED!$Y34,IF(MATCHED!BJ34=25,MATCHED!$Z34,IF(MATCHED!BJ34=26,MATCHED!$AA34,IF(MATCHED!BJ34=27,MATCHED!$AB34,"."))))))</f>
        <v>#N/A</v>
      </c>
      <c r="AI34" s="370" t="e">
        <f>IF(MATCHED!BK34=1,MATCHED!$B34,IF(MATCHED!BK34=2,MATCHED!$C34,IF(MATCHED!BK34=3,MATCHED!$D34,IF(MATCHED!BK34=4,MATCHED!$E34,IF(MATCHED!BK34=3,MATCHED!$F34,IF(MATCHED!BK34=6,MATCHED!$G34,IF(MATCHED!BK34=7,MATCHED!$H34,"")))))))&amp;IF(MATCHED!BK34=8,MATCHED!$I34,IF(MATCHED!BK34=9,MATCHED!$J34,IF(MATCHED!BK34=10,MATCHED!$K34,IF(MATCHED!BK34=11,MATCHED!$L34,IF(MATCHED!BK34=12,MATCHED!$M34,IF(MATCHED!BK34=13,MATCHED!$N34,IF(MATCHED!BK34=14,MATCHED!$O34,"")))))))&amp;IF(MATCHED!BK34=15,MATCHED!$P34,IF(MATCHED!BK34=16,MATCHED!$Q34,IF(MATCHED!BK34=17,MATCHED!$R34,IF(MATCHED!BK34=18,MATCHED!$S34,IF(MATCHED!BK34=19,MATCHED!$T34,IF(MATCHED!BK34=20,MATCHED!$U34,IF(MATCHED!BK34=21,MATCHED!$V34,)))))))&amp;IF(MATCHED!BK34=22,MATCHED!$W34,IF(MATCHED!BK34=23,MATCHED!$X34,IF(MATCHED!BK34=24,MATCHED!$Y34,IF(MATCHED!BK34=25,MATCHED!$Z34,IF(MATCHED!BK34=26,MATCHED!$AA34,IF(MATCHED!BK34=27,MATCHED!$AB34,"."))))))</f>
        <v>#N/A</v>
      </c>
      <c r="AJ34" s="535"/>
    </row>
    <row r="35" spans="1:36" s="338" customFormat="1" x14ac:dyDescent="0.25">
      <c r="A35" s="535"/>
      <c r="B35" s="369" t="e">
        <f>IF(MATCHED!AD35=1,MATCHED!$B35,IF(MATCHED!AD35=2,MATCHED!$C35,IF(MATCHED!AD35=3,MATCHED!$D35,IF(MATCHED!AD35=4,MATCHED!$E35,IF(MATCHED!AD35=3,MATCHED!$F35,IF(MATCHED!AD35=6,MATCHED!$G35,IF(MATCHED!AD35=7,MATCHED!$H35,"")))))))&amp;IF(MATCHED!AD35=8,MATCHED!$I35,IF(MATCHED!AD35=9,MATCHED!$J35,IF(MATCHED!AD35=10,MATCHED!$K35,IF(MATCHED!AD35=11,MATCHED!$L35,IF(MATCHED!AD35=12,MATCHED!$M35,IF(MATCHED!AD35=13,MATCHED!$N35,IF(MATCHED!AD35=14,MATCHED!$O35,"")))))))&amp;IF(MATCHED!AD35=15,MATCHED!$P35,IF(MATCHED!AD35=16,MATCHED!$Q35,IF(MATCHED!AD35=17,MATCHED!$R35,IF(MATCHED!AD35=18,MATCHED!$S35,IF(MATCHED!AD35=19,MATCHED!$T35,IF(MATCHED!AD35=20,MATCHED!$U35,IF(MATCHED!AD35=21,MATCHED!$V35,)))))))&amp;IF(MATCHED!AD35=22,MATCHED!$W35,IF(MATCHED!AD35=23,MATCHED!$X35,IF(MATCHED!AD35=24,MATCHED!$Y35,IF(MATCHED!AD35=25,MATCHED!$Z35,IF(MATCHED!AD35=26,MATCHED!$AA35,IF(MATCHED!AD35=27,MATCHED!$AB35,"."))))))</f>
        <v>#N/A</v>
      </c>
      <c r="C35" s="370" t="e">
        <f>IF(MATCHED!AE35=1,MATCHED!$B35,IF(MATCHED!AE35=2,MATCHED!$C35,IF(MATCHED!AE35=3,MATCHED!$D35,IF(MATCHED!AE35=4,MATCHED!$E35,IF(MATCHED!AE35=3,MATCHED!$F35,IF(MATCHED!AE35=6,MATCHED!$G35,IF(MATCHED!AE35=7,MATCHED!$H35,"")))))))&amp;IF(MATCHED!AE35=8,MATCHED!$I35,IF(MATCHED!AE35=9,MATCHED!$J35,IF(MATCHED!AE35=10,MATCHED!$K35,IF(MATCHED!AE35=11,MATCHED!$L35,IF(MATCHED!AE35=12,MATCHED!$M35,IF(MATCHED!AE35=13,MATCHED!$N35,IF(MATCHED!AE35=14,MATCHED!$O35,"")))))))&amp;IF(MATCHED!AE35=15,MATCHED!$P35,IF(MATCHED!AE35=16,MATCHED!$Q35,IF(MATCHED!AE35=17,MATCHED!$R35,IF(MATCHED!AE35=18,MATCHED!$S35,IF(MATCHED!AE35=19,MATCHED!$T35,IF(MATCHED!AE35=20,MATCHED!$U35,IF(MATCHED!AE35=21,MATCHED!$V35,)))))))&amp;IF(MATCHED!AE35=22,MATCHED!$W35,IF(MATCHED!AE35=23,MATCHED!$X35,IF(MATCHED!AE35=24,MATCHED!$Y35,IF(MATCHED!AE35=25,MATCHED!$Z35,IF(MATCHED!AE35=26,MATCHED!$AA35,IF(MATCHED!AE35=27,MATCHED!$AB35,"."))))))</f>
        <v>#N/A</v>
      </c>
      <c r="D35" s="370" t="e">
        <f>IF(MATCHED!AF35=1,MATCHED!$B35,IF(MATCHED!AF35=2,MATCHED!$C35,IF(MATCHED!AF35=3,MATCHED!$D35,IF(MATCHED!AF35=4,MATCHED!$E35,IF(MATCHED!AF35=3,MATCHED!$F35,IF(MATCHED!AF35=6,MATCHED!$G35,IF(MATCHED!AF35=7,MATCHED!$H35,"")))))))&amp;IF(MATCHED!AF35=8,MATCHED!$I35,IF(MATCHED!AF35=9,MATCHED!$J35,IF(MATCHED!AF35=10,MATCHED!$K35,IF(MATCHED!AF35=11,MATCHED!$L35,IF(MATCHED!AF35=12,MATCHED!$M35,IF(MATCHED!AF35=13,MATCHED!$N35,IF(MATCHED!AF35=14,MATCHED!$O35,"")))))))&amp;IF(MATCHED!AF35=15,MATCHED!$P35,IF(MATCHED!AF35=16,MATCHED!$Q35,IF(MATCHED!AF35=17,MATCHED!$R35,IF(MATCHED!AF35=18,MATCHED!$S35,IF(MATCHED!AF35=19,MATCHED!$T35,IF(MATCHED!AF35=20,MATCHED!$U35,IF(MATCHED!AF35=21,MATCHED!$V35,)))))))&amp;IF(MATCHED!AF35=22,MATCHED!$W35,IF(MATCHED!AF35=23,MATCHED!$X35,IF(MATCHED!AF35=24,MATCHED!$Y35,IF(MATCHED!AF35=25,MATCHED!$Z35,IF(MATCHED!AF35=26,MATCHED!$AA35,IF(MATCHED!AF35=27,MATCHED!$AB35,"."))))))</f>
        <v>#N/A</v>
      </c>
      <c r="E35" s="370" t="e">
        <f>IF(MATCHED!AG35=1,MATCHED!$B35,IF(MATCHED!AG35=2,MATCHED!$C35,IF(MATCHED!AG35=3,MATCHED!$D35,IF(MATCHED!AG35=4,MATCHED!$E35,IF(MATCHED!AG35=3,MATCHED!$F35,IF(MATCHED!AG35=6,MATCHED!$G35,IF(MATCHED!AG35=7,MATCHED!$H35,"")))))))&amp;IF(MATCHED!AG35=8,MATCHED!$I35,IF(MATCHED!AG35=9,MATCHED!$J35,IF(MATCHED!AG35=10,MATCHED!$K35,IF(MATCHED!AG35=11,MATCHED!$L35,IF(MATCHED!AG35=12,MATCHED!$M35,IF(MATCHED!AG35=13,MATCHED!$N35,IF(MATCHED!AG35=14,MATCHED!$O35,"")))))))&amp;IF(MATCHED!AG35=15,MATCHED!$P35,IF(MATCHED!AG35=16,MATCHED!$Q35,IF(MATCHED!AG35=17,MATCHED!$R35,IF(MATCHED!AG35=18,MATCHED!$S35,IF(MATCHED!AG35=19,MATCHED!$T35,IF(MATCHED!AG35=20,MATCHED!$U35,IF(MATCHED!AG35=21,MATCHED!$V35,)))))))&amp;IF(MATCHED!AG35=22,MATCHED!$W35,IF(MATCHED!AG35=23,MATCHED!$X35,IF(MATCHED!AG35=24,MATCHED!$Y35,IF(MATCHED!AG35=25,MATCHED!$Z35,IF(MATCHED!AG35=26,MATCHED!$AA35,IF(MATCHED!AG35=27,MATCHED!$AB35,"."))))))</f>
        <v>#N/A</v>
      </c>
      <c r="F35" s="370" t="e">
        <f>IF(MATCHED!AH35=1,MATCHED!$B35,IF(MATCHED!AH35=2,MATCHED!$C35,IF(MATCHED!AH35=3,MATCHED!$D35,IF(MATCHED!AH35=4,MATCHED!$E35,IF(MATCHED!AH35=3,MATCHED!$F35,IF(MATCHED!AH35=6,MATCHED!$G35,IF(MATCHED!AH35=7,MATCHED!$H35,"")))))))&amp;IF(MATCHED!AH35=8,MATCHED!$I35,IF(MATCHED!AH35=9,MATCHED!$J35,IF(MATCHED!AH35=10,MATCHED!$K35,IF(MATCHED!AH35=11,MATCHED!$L35,IF(MATCHED!AH35=12,MATCHED!$M35,IF(MATCHED!AH35=13,MATCHED!$N35,IF(MATCHED!AH35=14,MATCHED!$O35,"")))))))&amp;IF(MATCHED!AH35=15,MATCHED!$P35,IF(MATCHED!AH35=16,MATCHED!$Q35,IF(MATCHED!AH35=17,MATCHED!$R35,IF(MATCHED!AH35=18,MATCHED!$S35,IF(MATCHED!AH35=19,MATCHED!$T35,IF(MATCHED!AH35=20,MATCHED!$U35,IF(MATCHED!AH35=21,MATCHED!$V35,)))))))&amp;IF(MATCHED!AH35=22,MATCHED!$W35,IF(MATCHED!AH35=23,MATCHED!$X35,IF(MATCHED!AH35=24,MATCHED!$Y35,IF(MATCHED!AH35=25,MATCHED!$Z35,IF(MATCHED!AH35=26,MATCHED!$AA35,IF(MATCHED!AH35=27,MATCHED!$AB35,"."))))))</f>
        <v>#N/A</v>
      </c>
      <c r="G35" s="370" t="e">
        <f>IF(MATCHED!AI35=1,MATCHED!$B35,IF(MATCHED!AI35=2,MATCHED!$C35,IF(MATCHED!AI35=3,MATCHED!$D35,IF(MATCHED!AI35=4,MATCHED!$E35,IF(MATCHED!AI35=3,MATCHED!$F35,IF(MATCHED!AI35=6,MATCHED!$G35,IF(MATCHED!AI35=7,MATCHED!$H35,"")))))))&amp;IF(MATCHED!AI35=8,MATCHED!$I35,IF(MATCHED!AI35=9,MATCHED!$J35,IF(MATCHED!AI35=10,MATCHED!$K35,IF(MATCHED!AI35=11,MATCHED!$L35,IF(MATCHED!AI35=12,MATCHED!$M35,IF(MATCHED!AI35=13,MATCHED!$N35,IF(MATCHED!AI35=14,MATCHED!$O35,"")))))))&amp;IF(MATCHED!AI35=15,MATCHED!$P35,IF(MATCHED!AI35=16,MATCHED!$Q35,IF(MATCHED!AI35=17,MATCHED!$R35,IF(MATCHED!AI35=18,MATCHED!$S35,IF(MATCHED!AI35=19,MATCHED!$T35,IF(MATCHED!AI35=20,MATCHED!$U35,IF(MATCHED!AI35=21,MATCHED!$V35,)))))))&amp;IF(MATCHED!AI35=22,MATCHED!$W35,IF(MATCHED!AI35=23,MATCHED!$X35,IF(MATCHED!AI35=24,MATCHED!$Y35,IF(MATCHED!AI35=25,MATCHED!$Z35,IF(MATCHED!AI35=26,MATCHED!$AA35,IF(MATCHED!AI35=27,MATCHED!$AB35,"."))))))</f>
        <v>#N/A</v>
      </c>
      <c r="H35" s="370" t="e">
        <f>IF(MATCHED!AJ35=1,MATCHED!$B35,IF(MATCHED!AJ35=2,MATCHED!$C35,IF(MATCHED!AJ35=3,MATCHED!$D35,IF(MATCHED!AJ35=4,MATCHED!$E35,IF(MATCHED!AJ35=3,MATCHED!$F35,IF(MATCHED!AJ35=6,MATCHED!$G35,IF(MATCHED!AJ35=7,MATCHED!$H35,"")))))))&amp;IF(MATCHED!AJ35=8,MATCHED!$I35,IF(MATCHED!AJ35=9,MATCHED!$J35,IF(MATCHED!AJ35=10,MATCHED!$K35,IF(MATCHED!AJ35=11,MATCHED!$L35,IF(MATCHED!AJ35=12,MATCHED!$M35,IF(MATCHED!AJ35=13,MATCHED!$N35,IF(MATCHED!AJ35=14,MATCHED!$O35,"")))))))&amp;IF(MATCHED!AJ35=15,MATCHED!$P35,IF(MATCHED!AJ35=16,MATCHED!$Q35,IF(MATCHED!AJ35=17,MATCHED!$R35,IF(MATCHED!AJ35=18,MATCHED!$S35,IF(MATCHED!AJ35=19,MATCHED!$T35,IF(MATCHED!AJ35=20,MATCHED!$U35,IF(MATCHED!AJ35=21,MATCHED!$V35,)))))))&amp;IF(MATCHED!AJ35=22,MATCHED!$W35,IF(MATCHED!AJ35=23,MATCHED!$X35,IF(MATCHED!AJ35=24,MATCHED!$Y35,IF(MATCHED!AJ35=25,MATCHED!$Z35,IF(MATCHED!AJ35=26,MATCHED!$AA35,IF(MATCHED!AJ35=27,MATCHED!$AB35,"."))))))</f>
        <v>#N/A</v>
      </c>
      <c r="I35" s="370" t="e">
        <f>IF(MATCHED!AK35=1,MATCHED!$B35,IF(MATCHED!AK35=2,MATCHED!$C35,IF(MATCHED!AK35=3,MATCHED!$D35,IF(MATCHED!AK35=4,MATCHED!$E35,IF(MATCHED!AK35=3,MATCHED!$F35,IF(MATCHED!AK35=6,MATCHED!$G35,IF(MATCHED!AK35=7,MATCHED!$H35,"")))))))&amp;IF(MATCHED!AK35=8,MATCHED!$I35,IF(MATCHED!AK35=9,MATCHED!$J35,IF(MATCHED!AK35=10,MATCHED!$K35,IF(MATCHED!AK35=11,MATCHED!$L35,IF(MATCHED!AK35=12,MATCHED!$M35,IF(MATCHED!AK35=13,MATCHED!$N35,IF(MATCHED!AK35=14,MATCHED!$O35,"")))))))&amp;IF(MATCHED!AK35=15,MATCHED!$P35,IF(MATCHED!AK35=16,MATCHED!$Q35,IF(MATCHED!AK35=17,MATCHED!$R35,IF(MATCHED!AK35=18,MATCHED!$S35,IF(MATCHED!AK35=19,MATCHED!$T35,IF(MATCHED!AK35=20,MATCHED!$U35,IF(MATCHED!AK35=21,MATCHED!$V35,)))))))&amp;IF(MATCHED!AK35=22,MATCHED!$W35,IF(MATCHED!AK35=23,MATCHED!$X35,IF(MATCHED!AK35=24,MATCHED!$Y35,IF(MATCHED!AK35=25,MATCHED!$Z35,IF(MATCHED!AK35=26,MATCHED!$AA35,IF(MATCHED!AK35=27,MATCHED!$AB35,"."))))))</f>
        <v>#N/A</v>
      </c>
      <c r="J35" s="370" t="e">
        <f>IF(MATCHED!AL35=1,MATCHED!$B35,IF(MATCHED!AL35=2,MATCHED!$C35,IF(MATCHED!AL35=3,MATCHED!$D35,IF(MATCHED!AL35=4,MATCHED!$E35,IF(MATCHED!AL35=3,MATCHED!$F35,IF(MATCHED!AL35=6,MATCHED!$G35,IF(MATCHED!AL35=7,MATCHED!$H35,"")))))))&amp;IF(MATCHED!AL35=8,MATCHED!$I35,IF(MATCHED!AL35=9,MATCHED!$J35,IF(MATCHED!AL35=10,MATCHED!$K35,IF(MATCHED!AL35=11,MATCHED!$L35,IF(MATCHED!AL35=12,MATCHED!$M35,IF(MATCHED!AL35=13,MATCHED!$N35,IF(MATCHED!AL35=14,MATCHED!$O35,"")))))))&amp;IF(MATCHED!AL35=15,MATCHED!$P35,IF(MATCHED!AL35=16,MATCHED!$Q35,IF(MATCHED!AL35=17,MATCHED!$R35,IF(MATCHED!AL35=18,MATCHED!$S35,IF(MATCHED!AL35=19,MATCHED!$T35,IF(MATCHED!AL35=20,MATCHED!$U35,IF(MATCHED!AL35=21,MATCHED!$V35,)))))))&amp;IF(MATCHED!AL35=22,MATCHED!$W35,IF(MATCHED!AL35=23,MATCHED!$X35,IF(MATCHED!AL35=24,MATCHED!$Y35,IF(MATCHED!AL35=25,MATCHED!$Z35,IF(MATCHED!AL35=26,MATCHED!$AA35,IF(MATCHED!AL35=27,MATCHED!$AB35,"."))))))</f>
        <v>#N/A</v>
      </c>
      <c r="K35" s="370" t="e">
        <f>IF(MATCHED!AM35=1,MATCHED!$B35,IF(MATCHED!AM35=2,MATCHED!$C35,IF(MATCHED!AM35=3,MATCHED!$D35,IF(MATCHED!AM35=4,MATCHED!$E35,IF(MATCHED!AM35=3,MATCHED!$F35,IF(MATCHED!AM35=6,MATCHED!$G35,IF(MATCHED!AM35=7,MATCHED!$H35,"")))))))&amp;IF(MATCHED!AM35=8,MATCHED!$I35,IF(MATCHED!AM35=9,MATCHED!$J35,IF(MATCHED!AM35=10,MATCHED!$K35,IF(MATCHED!AM35=11,MATCHED!$L35,IF(MATCHED!AM35=12,MATCHED!$M35,IF(MATCHED!AM35=13,MATCHED!$N35,IF(MATCHED!AM35=14,MATCHED!$O35,"")))))))&amp;IF(MATCHED!AM35=15,MATCHED!$P35,IF(MATCHED!AM35=16,MATCHED!$Q35,IF(MATCHED!AM35=17,MATCHED!$R35,IF(MATCHED!AM35=18,MATCHED!$S35,IF(MATCHED!AM35=19,MATCHED!$T35,IF(MATCHED!AM35=20,MATCHED!$U35,IF(MATCHED!AM35=21,MATCHED!$V35,)))))))&amp;IF(MATCHED!AM35=22,MATCHED!$W35,IF(MATCHED!AM35=23,MATCHED!$X35,IF(MATCHED!AM35=24,MATCHED!$Y35,IF(MATCHED!AM35=25,MATCHED!$Z35,IF(MATCHED!AM35=26,MATCHED!$AA35,IF(MATCHED!AM35=27,MATCHED!$AB35,"."))))))</f>
        <v>#N/A</v>
      </c>
      <c r="L35" s="370" t="e">
        <f>IF(MATCHED!AN35=1,MATCHED!$B35,IF(MATCHED!AN35=2,MATCHED!$C35,IF(MATCHED!AN35=3,MATCHED!$D35,IF(MATCHED!AN35=4,MATCHED!$E35,IF(MATCHED!AN35=3,MATCHED!$F35,IF(MATCHED!AN35=6,MATCHED!$G35,IF(MATCHED!AN35=7,MATCHED!$H35,"")))))))&amp;IF(MATCHED!AN35=8,MATCHED!$I35,IF(MATCHED!AN35=9,MATCHED!$J35,IF(MATCHED!AN35=10,MATCHED!$K35,IF(MATCHED!AN35=11,MATCHED!$L35,IF(MATCHED!AN35=12,MATCHED!$M35,IF(MATCHED!AN35=13,MATCHED!$N35,IF(MATCHED!AN35=14,MATCHED!$O35,"")))))))&amp;IF(MATCHED!AN35=15,MATCHED!$P35,IF(MATCHED!AN35=16,MATCHED!$Q35,IF(MATCHED!AN35=17,MATCHED!$R35,IF(MATCHED!AN35=18,MATCHED!$S35,IF(MATCHED!AN35=19,MATCHED!$T35,IF(MATCHED!AN35=20,MATCHED!$U35,IF(MATCHED!AN35=21,MATCHED!$V35,)))))))&amp;IF(MATCHED!AN35=22,MATCHED!$W35,IF(MATCHED!AN35=23,MATCHED!$X35,IF(MATCHED!AN35=24,MATCHED!$Y35,IF(MATCHED!AN35=25,MATCHED!$Z35,IF(MATCHED!AN35=26,MATCHED!$AA35,IF(MATCHED!AN35=27,MATCHED!$AB35,"."))))))</f>
        <v>#N/A</v>
      </c>
      <c r="M35" s="370" t="e">
        <f>IF(MATCHED!AO35=1,MATCHED!$B35,IF(MATCHED!AO35=2,MATCHED!$C35,IF(MATCHED!AO35=3,MATCHED!$D35,IF(MATCHED!AO35=4,MATCHED!$E35,IF(MATCHED!AO35=3,MATCHED!$F35,IF(MATCHED!AO35=6,MATCHED!$G35,IF(MATCHED!AO35=7,MATCHED!$H35,"")))))))&amp;IF(MATCHED!AO35=8,MATCHED!$I35,IF(MATCHED!AO35=9,MATCHED!$J35,IF(MATCHED!AO35=10,MATCHED!$K35,IF(MATCHED!AO35=11,MATCHED!$L35,IF(MATCHED!AO35=12,MATCHED!$M35,IF(MATCHED!AO35=13,MATCHED!$N35,IF(MATCHED!AO35=14,MATCHED!$O35,"")))))))&amp;IF(MATCHED!AO35=15,MATCHED!$P35,IF(MATCHED!AO35=16,MATCHED!$Q35,IF(MATCHED!AO35=17,MATCHED!$R35,IF(MATCHED!AO35=18,MATCHED!$S35,IF(MATCHED!AO35=19,MATCHED!$T35,IF(MATCHED!AO35=20,MATCHED!$U35,IF(MATCHED!AO35=21,MATCHED!$V35,)))))))&amp;IF(MATCHED!AO35=22,MATCHED!$W35,IF(MATCHED!AO35=23,MATCHED!$X35,IF(MATCHED!AO35=24,MATCHED!$Y35,IF(MATCHED!AO35=25,MATCHED!$Z35,IF(MATCHED!AO35=26,MATCHED!$AA35,IF(MATCHED!AO35=27,MATCHED!$AB35,"."))))))</f>
        <v>#N/A</v>
      </c>
      <c r="N35" s="370" t="e">
        <f>IF(MATCHED!AP35=1,MATCHED!$B35,IF(MATCHED!AP35=2,MATCHED!$C35,IF(MATCHED!AP35=3,MATCHED!$D35,IF(MATCHED!AP35=4,MATCHED!$E35,IF(MATCHED!AP35=3,MATCHED!$F35,IF(MATCHED!AP35=6,MATCHED!$G35,IF(MATCHED!AP35=7,MATCHED!$H35,"")))))))&amp;IF(MATCHED!AP35=8,MATCHED!$I35,IF(MATCHED!AP35=9,MATCHED!$J35,IF(MATCHED!AP35=10,MATCHED!$K35,IF(MATCHED!AP35=11,MATCHED!$L35,IF(MATCHED!AP35=12,MATCHED!$M35,IF(MATCHED!AP35=13,MATCHED!$N35,IF(MATCHED!AP35=14,MATCHED!$O35,"")))))))&amp;IF(MATCHED!AP35=15,MATCHED!$P35,IF(MATCHED!AP35=16,MATCHED!$Q35,IF(MATCHED!AP35=17,MATCHED!$R35,IF(MATCHED!AP35=18,MATCHED!$S35,IF(MATCHED!AP35=19,MATCHED!$T35,IF(MATCHED!AP35=20,MATCHED!$U35,IF(MATCHED!AP35=21,MATCHED!$V35,)))))))&amp;IF(MATCHED!AP35=22,MATCHED!$W35,IF(MATCHED!AP35=23,MATCHED!$X35,IF(MATCHED!AP35=24,MATCHED!$Y35,IF(MATCHED!AP35=25,MATCHED!$Z35,IF(MATCHED!AP35=26,MATCHED!$AA35,IF(MATCHED!AP35=27,MATCHED!$AB35,"."))))))</f>
        <v>#N/A</v>
      </c>
      <c r="O35" s="370" t="e">
        <f>IF(MATCHED!AQ35=1,MATCHED!$B35,IF(MATCHED!AQ35=2,MATCHED!$C35,IF(MATCHED!AQ35=3,MATCHED!$D35,IF(MATCHED!AQ35=4,MATCHED!$E35,IF(MATCHED!AQ35=3,MATCHED!$F35,IF(MATCHED!AQ35=6,MATCHED!$G35,IF(MATCHED!AQ35=7,MATCHED!$H35,"")))))))&amp;IF(MATCHED!AQ35=8,MATCHED!$I35,IF(MATCHED!AQ35=9,MATCHED!$J35,IF(MATCHED!AQ35=10,MATCHED!$K35,IF(MATCHED!AQ35=11,MATCHED!$L35,IF(MATCHED!AQ35=12,MATCHED!$M35,IF(MATCHED!AQ35=13,MATCHED!$N35,IF(MATCHED!AQ35=14,MATCHED!$O35,"")))))))&amp;IF(MATCHED!AQ35=15,MATCHED!$P35,IF(MATCHED!AQ35=16,MATCHED!$Q35,IF(MATCHED!AQ35=17,MATCHED!$R35,IF(MATCHED!AQ35=18,MATCHED!$S35,IF(MATCHED!AQ35=19,MATCHED!$T35,IF(MATCHED!AQ35=20,MATCHED!$U35,IF(MATCHED!AQ35=21,MATCHED!$V35,)))))))&amp;IF(MATCHED!AQ35=22,MATCHED!$W35,IF(MATCHED!AQ35=23,MATCHED!$X35,IF(MATCHED!AQ35=24,MATCHED!$Y35,IF(MATCHED!AQ35=25,MATCHED!$Z35,IF(MATCHED!AQ35=26,MATCHED!$AA35,IF(MATCHED!AQ35=27,MATCHED!$AB35,"."))))))</f>
        <v>#N/A</v>
      </c>
      <c r="P35" s="370" t="e">
        <f>IF(MATCHED!AR35=1,MATCHED!$B35,IF(MATCHED!AR35=2,MATCHED!$C35,IF(MATCHED!AR35=3,MATCHED!$D35,IF(MATCHED!AR35=4,MATCHED!$E35,IF(MATCHED!AR35=3,MATCHED!$F35,IF(MATCHED!AR35=6,MATCHED!$G35,IF(MATCHED!AR35=7,MATCHED!$H35,"")))))))&amp;IF(MATCHED!AR35=8,MATCHED!$I35,IF(MATCHED!AR35=9,MATCHED!$J35,IF(MATCHED!AR35=10,MATCHED!$K35,IF(MATCHED!AR35=11,MATCHED!$L35,IF(MATCHED!AR35=12,MATCHED!$M35,IF(MATCHED!AR35=13,MATCHED!$N35,IF(MATCHED!AR35=14,MATCHED!$O35,"")))))))&amp;IF(MATCHED!AR35=15,MATCHED!$P35,IF(MATCHED!AR35=16,MATCHED!$Q35,IF(MATCHED!AR35=17,MATCHED!$R35,IF(MATCHED!AR35=18,MATCHED!$S35,IF(MATCHED!AR35=19,MATCHED!$T35,IF(MATCHED!AR35=20,MATCHED!$U35,IF(MATCHED!AR35=21,MATCHED!$V35,)))))))&amp;IF(MATCHED!AR35=22,MATCHED!$W35,IF(MATCHED!AR35=23,MATCHED!$X35,IF(MATCHED!AR35=24,MATCHED!$Y35,IF(MATCHED!AR35=25,MATCHED!$Z35,IF(MATCHED!AR35=26,MATCHED!$AA35,IF(MATCHED!AR35=27,MATCHED!$AB35,"."))))))</f>
        <v>#N/A</v>
      </c>
      <c r="Q35" s="371" t="e">
        <f>IF(MATCHED!AS35=1,MATCHED!$B35,IF(MATCHED!AS35=2,MATCHED!$C35,IF(MATCHED!AS35=3,MATCHED!$D35,IF(MATCHED!AS35=4,MATCHED!$E35,IF(MATCHED!AS35=3,MATCHED!$F35,IF(MATCHED!AS35=6,MATCHED!$G35,IF(MATCHED!AS35=7,MATCHED!$H35,"")))))))&amp;IF(MATCHED!AS35=8,MATCHED!$I35,IF(MATCHED!AS35=9,MATCHED!$J35,IF(MATCHED!AS35=10,MATCHED!$K35,IF(MATCHED!AS35=11,MATCHED!$L35,IF(MATCHED!AS35=12,MATCHED!$M35,IF(MATCHED!AS35=13,MATCHED!$N35,IF(MATCHED!AS35=14,MATCHED!$O35,"")))))))&amp;IF(MATCHED!AS35=15,MATCHED!$P35,IF(MATCHED!AS35=16,MATCHED!$Q35,IF(MATCHED!AS35=17,MATCHED!$R35,IF(MATCHED!AS35=18,MATCHED!$S35,IF(MATCHED!AS35=19,MATCHED!$T35,IF(MATCHED!AS35=20,MATCHED!$U35,IF(MATCHED!AS35=21,MATCHED!$V35,)))))))&amp;IF(MATCHED!AS35=22,MATCHED!$W35,IF(MATCHED!AS35=23,MATCHED!$X35,IF(MATCHED!AS35=24,MATCHED!$Y35,IF(MATCHED!AS35=25,MATCHED!$Z35,IF(MATCHED!AS35=26,MATCHED!$AA35,IF(MATCHED!AS35=27,MATCHED!$AB35,"."))))))</f>
        <v>#N/A</v>
      </c>
      <c r="R35" s="370" t="e">
        <f>IF(MATCHED!AT35=1,MATCHED!$B35,IF(MATCHED!AT35=2,MATCHED!$C35,IF(MATCHED!AT35=3,MATCHED!$D35,IF(MATCHED!AT35=4,MATCHED!$E35,IF(MATCHED!AT35=3,MATCHED!$F35,IF(MATCHED!AT35=6,MATCHED!$G35,IF(MATCHED!AT35=7,MATCHED!$H35,"")))))))&amp;IF(MATCHED!AT35=8,MATCHED!$I35,IF(MATCHED!AT35=9,MATCHED!$J35,IF(MATCHED!AT35=10,MATCHED!$K35,IF(MATCHED!AT35=11,MATCHED!$L35,IF(MATCHED!AT35=12,MATCHED!$M35,IF(MATCHED!AT35=13,MATCHED!$N35,IF(MATCHED!AT35=14,MATCHED!$O35,"")))))))&amp;IF(MATCHED!AT35=15,MATCHED!$P35,IF(MATCHED!AT35=16,MATCHED!$Q35,IF(MATCHED!AT35=17,MATCHED!$R35,IF(MATCHED!AT35=18,MATCHED!$S35,IF(MATCHED!AT35=19,MATCHED!$T35,IF(MATCHED!AT35=20,MATCHED!$U35,IF(MATCHED!AT35=21,MATCHED!$V35,)))))))&amp;IF(MATCHED!AT35=22,MATCHED!$W35,IF(MATCHED!AT35=23,MATCHED!$X35,IF(MATCHED!AT35=24,MATCHED!$Y35,IF(MATCHED!AT35=25,MATCHED!$Z35,IF(MATCHED!AT35=26,MATCHED!$AA35,IF(MATCHED!AT35=27,MATCHED!$AB35,"."))))))</f>
        <v>#N/A</v>
      </c>
      <c r="S35" s="370" t="e">
        <f>IF(MATCHED!AU35=1,MATCHED!$B35,IF(MATCHED!AU35=2,MATCHED!$C35,IF(MATCHED!AU35=3,MATCHED!$D35,IF(MATCHED!AU35=4,MATCHED!$E35,IF(MATCHED!AU35=3,MATCHED!$F35,IF(MATCHED!AU35=6,MATCHED!$G35,IF(MATCHED!AU35=7,MATCHED!$H35,"")))))))&amp;IF(MATCHED!AU35=8,MATCHED!$I35,IF(MATCHED!AU35=9,MATCHED!$J35,IF(MATCHED!AU35=10,MATCHED!$K35,IF(MATCHED!AU35=11,MATCHED!$L35,IF(MATCHED!AU35=12,MATCHED!$M35,IF(MATCHED!AU35=13,MATCHED!$N35,IF(MATCHED!AU35=14,MATCHED!$O35,"")))))))&amp;IF(MATCHED!AU35=15,MATCHED!$P35,IF(MATCHED!AU35=16,MATCHED!$Q35,IF(MATCHED!AU35=17,MATCHED!$R35,IF(MATCHED!AU35=18,MATCHED!$S35,IF(MATCHED!AU35=19,MATCHED!$T35,IF(MATCHED!AU35=20,MATCHED!$U35,IF(MATCHED!AU35=21,MATCHED!$V35,)))))))&amp;IF(MATCHED!AU35=22,MATCHED!$W35,IF(MATCHED!AU35=23,MATCHED!$X35,IF(MATCHED!AU35=24,MATCHED!$Y35,IF(MATCHED!AU35=25,MATCHED!$Z35,IF(MATCHED!AU35=26,MATCHED!$AA35,IF(MATCHED!AU35=27,MATCHED!$AB35,"."))))))</f>
        <v>#N/A</v>
      </c>
      <c r="T35" s="370" t="e">
        <f>IF(MATCHED!AV35=1,MATCHED!$B35,IF(MATCHED!AV35=2,MATCHED!$C35,IF(MATCHED!AV35=3,MATCHED!$D35,IF(MATCHED!AV35=4,MATCHED!$E35,IF(MATCHED!AV35=3,MATCHED!$F35,IF(MATCHED!AV35=6,MATCHED!$G35,IF(MATCHED!AV35=7,MATCHED!$H35,"")))))))&amp;IF(MATCHED!AV35=8,MATCHED!$I35,IF(MATCHED!AV35=9,MATCHED!$J35,IF(MATCHED!AV35=10,MATCHED!$K35,IF(MATCHED!AV35=11,MATCHED!$L35,IF(MATCHED!AV35=12,MATCHED!$M35,IF(MATCHED!AV35=13,MATCHED!$N35,IF(MATCHED!AV35=14,MATCHED!$O35,"")))))))&amp;IF(MATCHED!AV35=15,MATCHED!$P35,IF(MATCHED!AV35=16,MATCHED!$Q35,IF(MATCHED!AV35=17,MATCHED!$R35,IF(MATCHED!AV35=18,MATCHED!$S35,IF(MATCHED!AV35=19,MATCHED!$T35,IF(MATCHED!AV35=20,MATCHED!$U35,IF(MATCHED!AV35=21,MATCHED!$V35,)))))))&amp;IF(MATCHED!AV35=22,MATCHED!$W35,IF(MATCHED!AV35=23,MATCHED!$X35,IF(MATCHED!AV35=24,MATCHED!$Y35,IF(MATCHED!AV35=25,MATCHED!$Z35,IF(MATCHED!AV35=26,MATCHED!$AA35,IF(MATCHED!AV35=27,MATCHED!$AB35,"."))))))</f>
        <v>#N/A</v>
      </c>
      <c r="U35" s="370" t="e">
        <f>IF(MATCHED!AW35=1,MATCHED!$B35,IF(MATCHED!AW35=2,MATCHED!$C35,IF(MATCHED!AW35=3,MATCHED!$D35,IF(MATCHED!AW35=4,MATCHED!$E35,IF(MATCHED!AW35=3,MATCHED!$F35,IF(MATCHED!AW35=6,MATCHED!$G35,IF(MATCHED!AW35=7,MATCHED!$H35,"")))))))&amp;IF(MATCHED!AW35=8,MATCHED!$I35,IF(MATCHED!AW35=9,MATCHED!$J35,IF(MATCHED!AW35=10,MATCHED!$K35,IF(MATCHED!AW35=11,MATCHED!$L35,IF(MATCHED!AW35=12,MATCHED!$M35,IF(MATCHED!AW35=13,MATCHED!$N35,IF(MATCHED!AW35=14,MATCHED!$O35,"")))))))&amp;IF(MATCHED!AW35=15,MATCHED!$P35,IF(MATCHED!AW35=16,MATCHED!$Q35,IF(MATCHED!AW35=17,MATCHED!$R35,IF(MATCHED!AW35=18,MATCHED!$S35,IF(MATCHED!AW35=19,MATCHED!$T35,IF(MATCHED!AW35=20,MATCHED!$U35,IF(MATCHED!AW35=21,MATCHED!$V35,)))))))&amp;IF(MATCHED!AW35=22,MATCHED!$W35,IF(MATCHED!AW35=23,MATCHED!$X35,IF(MATCHED!AW35=24,MATCHED!$Y35,IF(MATCHED!AW35=25,MATCHED!$Z35,IF(MATCHED!AW35=26,MATCHED!$AA35,IF(MATCHED!AW35=27,MATCHED!$AB35,"."))))))</f>
        <v>#N/A</v>
      </c>
      <c r="V35" s="370" t="e">
        <f>IF(MATCHED!AX35=1,MATCHED!$B35,IF(MATCHED!AX35=2,MATCHED!$C35,IF(MATCHED!AX35=3,MATCHED!$D35,IF(MATCHED!AX35=4,MATCHED!$E35,IF(MATCHED!AX35=3,MATCHED!$F35,IF(MATCHED!AX35=6,MATCHED!$G35,IF(MATCHED!AX35=7,MATCHED!$H35,"")))))))&amp;IF(MATCHED!AX35=8,MATCHED!$I35,IF(MATCHED!AX35=9,MATCHED!$J35,IF(MATCHED!AX35=10,MATCHED!$K35,IF(MATCHED!AX35=11,MATCHED!$L35,IF(MATCHED!AX35=12,MATCHED!$M35,IF(MATCHED!AX35=13,MATCHED!$N35,IF(MATCHED!AX35=14,MATCHED!$O35,"")))))))&amp;IF(MATCHED!AX35=15,MATCHED!$P35,IF(MATCHED!AX35=16,MATCHED!$Q35,IF(MATCHED!AX35=17,MATCHED!$R35,IF(MATCHED!AX35=18,MATCHED!$S35,IF(MATCHED!AX35=19,MATCHED!$T35,IF(MATCHED!AX35=20,MATCHED!$U35,IF(MATCHED!AX35=21,MATCHED!$V35,)))))))&amp;IF(MATCHED!AX35=22,MATCHED!$W35,IF(MATCHED!AX35=23,MATCHED!$X35,IF(MATCHED!AX35=24,MATCHED!$Y35,IF(MATCHED!AX35=25,MATCHED!$Z35,IF(MATCHED!AX35=26,MATCHED!$AA35,IF(MATCHED!AX35=27,MATCHED!$AB35,"."))))))</f>
        <v>#N/A</v>
      </c>
      <c r="W35" s="370" t="e">
        <f>IF(MATCHED!AY35=1,MATCHED!$B35,IF(MATCHED!AY35=2,MATCHED!$C35,IF(MATCHED!AY35=3,MATCHED!$D35,IF(MATCHED!AY35=4,MATCHED!$E35,IF(MATCHED!AY35=3,MATCHED!$F35,IF(MATCHED!AY35=6,MATCHED!$G35,IF(MATCHED!AY35=7,MATCHED!$H35,"")))))))&amp;IF(MATCHED!AY35=8,MATCHED!$I35,IF(MATCHED!AY35=9,MATCHED!$J35,IF(MATCHED!AY35=10,MATCHED!$K35,IF(MATCHED!AY35=11,MATCHED!$L35,IF(MATCHED!AY35=12,MATCHED!$M35,IF(MATCHED!AY35=13,MATCHED!$N35,IF(MATCHED!AY35=14,MATCHED!$O35,"")))))))&amp;IF(MATCHED!AY35=15,MATCHED!$P35,IF(MATCHED!AY35=16,MATCHED!$Q35,IF(MATCHED!AY35=17,MATCHED!$R35,IF(MATCHED!AY35=18,MATCHED!$S35,IF(MATCHED!AY35=19,MATCHED!$T35,IF(MATCHED!AY35=20,MATCHED!$U35,IF(MATCHED!AY35=21,MATCHED!$V35,)))))))&amp;IF(MATCHED!AY35=22,MATCHED!$W35,IF(MATCHED!AY35=23,MATCHED!$X35,IF(MATCHED!AY35=24,MATCHED!$Y35,IF(MATCHED!AY35=25,MATCHED!$Z35,IF(MATCHED!AY35=26,MATCHED!$AA35,IF(MATCHED!AY35=27,MATCHED!$AB35,"."))))))</f>
        <v>#N/A</v>
      </c>
      <c r="X35" s="370" t="e">
        <f>IF(MATCHED!AZ35=1,MATCHED!$B35,IF(MATCHED!AZ35=2,MATCHED!$C35,IF(MATCHED!AZ35=3,MATCHED!$D35,IF(MATCHED!AZ35=4,MATCHED!$E35,IF(MATCHED!AZ35=3,MATCHED!$F35,IF(MATCHED!AZ35=6,MATCHED!$G35,IF(MATCHED!AZ35=7,MATCHED!$H35,"")))))))&amp;IF(MATCHED!AZ35=8,MATCHED!$I35,IF(MATCHED!AZ35=9,MATCHED!$J35,IF(MATCHED!AZ35=10,MATCHED!$K35,IF(MATCHED!AZ35=11,MATCHED!$L35,IF(MATCHED!AZ35=12,MATCHED!$M35,IF(MATCHED!AZ35=13,MATCHED!$N35,IF(MATCHED!AZ35=14,MATCHED!$O35,"")))))))&amp;IF(MATCHED!AZ35=15,MATCHED!$P35,IF(MATCHED!AZ35=16,MATCHED!$Q35,IF(MATCHED!AZ35=17,MATCHED!$R35,IF(MATCHED!AZ35=18,MATCHED!$S35,IF(MATCHED!AZ35=19,MATCHED!$T35,IF(MATCHED!AZ35=20,MATCHED!$U35,IF(MATCHED!AZ35=21,MATCHED!$V35,)))))))&amp;IF(MATCHED!AZ35=22,MATCHED!$W35,IF(MATCHED!AZ35=23,MATCHED!$X35,IF(MATCHED!AZ35=24,MATCHED!$Y35,IF(MATCHED!AZ35=25,MATCHED!$Z35,IF(MATCHED!AZ35=26,MATCHED!$AA35,IF(MATCHED!AZ35=27,MATCHED!$AB35,"."))))))</f>
        <v>#N/A</v>
      </c>
      <c r="Y35" s="370" t="e">
        <f>IF(MATCHED!BA35=1,MATCHED!$B35,IF(MATCHED!BA35=2,MATCHED!$C35,IF(MATCHED!BA35=3,MATCHED!$D35,IF(MATCHED!BA35=4,MATCHED!$E35,IF(MATCHED!BA35=3,MATCHED!$F35,IF(MATCHED!BA35=6,MATCHED!$G35,IF(MATCHED!BA35=7,MATCHED!$H35,"")))))))&amp;IF(MATCHED!BA35=8,MATCHED!$I35,IF(MATCHED!BA35=9,MATCHED!$J35,IF(MATCHED!BA35=10,MATCHED!$K35,IF(MATCHED!BA35=11,MATCHED!$L35,IF(MATCHED!BA35=12,MATCHED!$M35,IF(MATCHED!BA35=13,MATCHED!$N35,IF(MATCHED!BA35=14,MATCHED!$O35,"")))))))&amp;IF(MATCHED!BA35=15,MATCHED!$P35,IF(MATCHED!BA35=16,MATCHED!$Q35,IF(MATCHED!BA35=17,MATCHED!$R35,IF(MATCHED!BA35=18,MATCHED!$S35,IF(MATCHED!BA35=19,MATCHED!$T35,IF(MATCHED!BA35=20,MATCHED!$U35,IF(MATCHED!BA35=21,MATCHED!$V35,)))))))&amp;IF(MATCHED!BA35=22,MATCHED!$W35,IF(MATCHED!BA35=23,MATCHED!$X35,IF(MATCHED!BA35=24,MATCHED!$Y35,IF(MATCHED!BA35=25,MATCHED!$Z35,IF(MATCHED!BA35=26,MATCHED!$AA35,IF(MATCHED!BA35=27,MATCHED!$AB35,"."))))))</f>
        <v>#N/A</v>
      </c>
      <c r="Z35" s="370" t="e">
        <f>IF(MATCHED!BB35=1,MATCHED!$B35,IF(MATCHED!BB35=2,MATCHED!$C35,IF(MATCHED!BB35=3,MATCHED!$D35,IF(MATCHED!BB35=4,MATCHED!$E35,IF(MATCHED!BB35=3,MATCHED!$F35,IF(MATCHED!BB35=6,MATCHED!$G35,IF(MATCHED!BB35=7,MATCHED!$H35,"")))))))&amp;IF(MATCHED!BB35=8,MATCHED!$I35,IF(MATCHED!BB35=9,MATCHED!$J35,IF(MATCHED!BB35=10,MATCHED!$K35,IF(MATCHED!BB35=11,MATCHED!$L35,IF(MATCHED!BB35=12,MATCHED!$M35,IF(MATCHED!BB35=13,MATCHED!$N35,IF(MATCHED!BB35=14,MATCHED!$O35,"")))))))&amp;IF(MATCHED!BB35=15,MATCHED!$P35,IF(MATCHED!BB35=16,MATCHED!$Q35,IF(MATCHED!BB35=17,MATCHED!$R35,IF(MATCHED!BB35=18,MATCHED!$S35,IF(MATCHED!BB35=19,MATCHED!$T35,IF(MATCHED!BB35=20,MATCHED!$U35,IF(MATCHED!BB35=21,MATCHED!$V35,)))))))&amp;IF(MATCHED!BB35=22,MATCHED!$W35,IF(MATCHED!BB35=23,MATCHED!$X35,IF(MATCHED!BB35=24,MATCHED!$Y35,IF(MATCHED!BB35=25,MATCHED!$Z35,IF(MATCHED!BB35=26,MATCHED!$AA35,IF(MATCHED!BB35=27,MATCHED!$AB35,"."))))))</f>
        <v>#N/A</v>
      </c>
      <c r="AA35" s="370" t="e">
        <f>IF(MATCHED!BC35=1,MATCHED!$B35,IF(MATCHED!BC35=2,MATCHED!$C35,IF(MATCHED!BC35=3,MATCHED!$D35,IF(MATCHED!BC35=4,MATCHED!$E35,IF(MATCHED!BC35=3,MATCHED!$F35,IF(MATCHED!BC35=6,MATCHED!$G35,IF(MATCHED!BC35=7,MATCHED!$H35,"")))))))&amp;IF(MATCHED!BC35=8,MATCHED!$I35,IF(MATCHED!BC35=9,MATCHED!$J35,IF(MATCHED!BC35=10,MATCHED!$K35,IF(MATCHED!BC35=11,MATCHED!$L35,IF(MATCHED!BC35=12,MATCHED!$M35,IF(MATCHED!BC35=13,MATCHED!$N35,IF(MATCHED!BC35=14,MATCHED!$O35,"")))))))&amp;IF(MATCHED!BC35=15,MATCHED!$P35,IF(MATCHED!BC35=16,MATCHED!$Q35,IF(MATCHED!BC35=17,MATCHED!$R35,IF(MATCHED!BC35=18,MATCHED!$S35,IF(MATCHED!BC35=19,MATCHED!$T35,IF(MATCHED!BC35=20,MATCHED!$U35,IF(MATCHED!BC35=21,MATCHED!$V35,)))))))&amp;IF(MATCHED!BC35=22,MATCHED!$W35,IF(MATCHED!BC35=23,MATCHED!$X35,IF(MATCHED!BC35=24,MATCHED!$Y35,IF(MATCHED!BC35=25,MATCHED!$Z35,IF(MATCHED!BC35=26,MATCHED!$AA35,IF(MATCHED!BC35=27,MATCHED!$AB35,"."))))))</f>
        <v>#N/A</v>
      </c>
      <c r="AB35" s="370" t="e">
        <f>IF(MATCHED!BD35=1,MATCHED!$B35,IF(MATCHED!BD35=2,MATCHED!$C35,IF(MATCHED!BD35=3,MATCHED!$D35,IF(MATCHED!BD35=4,MATCHED!$E35,IF(MATCHED!BD35=3,MATCHED!$F35,IF(MATCHED!BD35=6,MATCHED!$G35,IF(MATCHED!BD35=7,MATCHED!$H35,"")))))))&amp;IF(MATCHED!BD35=8,MATCHED!$I35,IF(MATCHED!BD35=9,MATCHED!$J35,IF(MATCHED!BD35=10,MATCHED!$K35,IF(MATCHED!BD35=11,MATCHED!$L35,IF(MATCHED!BD35=12,MATCHED!$M35,IF(MATCHED!BD35=13,MATCHED!$N35,IF(MATCHED!BD35=14,MATCHED!$O35,"")))))))&amp;IF(MATCHED!BD35=15,MATCHED!$P35,IF(MATCHED!BD35=16,MATCHED!$Q35,IF(MATCHED!BD35=17,MATCHED!$R35,IF(MATCHED!BD35=18,MATCHED!$S35,IF(MATCHED!BD35=19,MATCHED!$T35,IF(MATCHED!BD35=20,MATCHED!$U35,IF(MATCHED!BD35=21,MATCHED!$V35,)))))))&amp;IF(MATCHED!BD35=22,MATCHED!$W35,IF(MATCHED!BD35=23,MATCHED!$X35,IF(MATCHED!BD35=24,MATCHED!$Y35,IF(MATCHED!BD35=25,MATCHED!$Z35,IF(MATCHED!BD35=26,MATCHED!$AA35,IF(MATCHED!BD35=27,MATCHED!$AB35,"."))))))</f>
        <v>#N/A</v>
      </c>
      <c r="AC35" s="370" t="e">
        <f>IF(MATCHED!BE35=1,MATCHED!$B35,IF(MATCHED!BE35=2,MATCHED!$C35,IF(MATCHED!BE35=3,MATCHED!$D35,IF(MATCHED!BE35=4,MATCHED!$E35,IF(MATCHED!BE35=3,MATCHED!$F35,IF(MATCHED!BE35=6,MATCHED!$G35,IF(MATCHED!BE35=7,MATCHED!$H35,"")))))))&amp;IF(MATCHED!BE35=8,MATCHED!$I35,IF(MATCHED!BE35=9,MATCHED!$J35,IF(MATCHED!BE35=10,MATCHED!$K35,IF(MATCHED!BE35=11,MATCHED!$L35,IF(MATCHED!BE35=12,MATCHED!$M35,IF(MATCHED!BE35=13,MATCHED!$N35,IF(MATCHED!BE35=14,MATCHED!$O35,"")))))))&amp;IF(MATCHED!BE35=15,MATCHED!$P35,IF(MATCHED!BE35=16,MATCHED!$Q35,IF(MATCHED!BE35=17,MATCHED!$R35,IF(MATCHED!BE35=18,MATCHED!$S35,IF(MATCHED!BE35=19,MATCHED!$T35,IF(MATCHED!BE35=20,MATCHED!$U35,IF(MATCHED!BE35=21,MATCHED!$V35,)))))))&amp;IF(MATCHED!BE35=22,MATCHED!$W35,IF(MATCHED!BE35=23,MATCHED!$X35,IF(MATCHED!BE35=24,MATCHED!$Y35,IF(MATCHED!BE35=25,MATCHED!$Z35,IF(MATCHED!BE35=26,MATCHED!$AA35,IF(MATCHED!BE35=27,MATCHED!$AB35,"."))))))</f>
        <v>#N/A</v>
      </c>
      <c r="AD35" s="370" t="e">
        <f>IF(MATCHED!BF35=1,MATCHED!$B35,IF(MATCHED!BF35=2,MATCHED!$C35,IF(MATCHED!BF35=3,MATCHED!$D35,IF(MATCHED!BF35=4,MATCHED!$E35,IF(MATCHED!BF35=3,MATCHED!$F35,IF(MATCHED!BF35=6,MATCHED!$G35,IF(MATCHED!BF35=7,MATCHED!$H35,"")))))))&amp;IF(MATCHED!BF35=8,MATCHED!$I35,IF(MATCHED!BF35=9,MATCHED!$J35,IF(MATCHED!BF35=10,MATCHED!$K35,IF(MATCHED!BF35=11,MATCHED!$L35,IF(MATCHED!BF35=12,MATCHED!$M35,IF(MATCHED!BF35=13,MATCHED!$N35,IF(MATCHED!BF35=14,MATCHED!$O35,"")))))))&amp;IF(MATCHED!BF35=15,MATCHED!$P35,IF(MATCHED!BF35=16,MATCHED!$Q35,IF(MATCHED!BF35=17,MATCHED!$R35,IF(MATCHED!BF35=18,MATCHED!$S35,IF(MATCHED!BF35=19,MATCHED!$T35,IF(MATCHED!BF35=20,MATCHED!$U35,IF(MATCHED!BF35=21,MATCHED!$V35,)))))))&amp;IF(MATCHED!BF35=22,MATCHED!$W35,IF(MATCHED!BF35=23,MATCHED!$X35,IF(MATCHED!BF35=24,MATCHED!$Y35,IF(MATCHED!BF35=25,MATCHED!$Z35,IF(MATCHED!BF35=26,MATCHED!$AA35,IF(MATCHED!BF35=27,MATCHED!$AB35,"."))))))</f>
        <v>#N/A</v>
      </c>
      <c r="AE35" s="370" t="e">
        <f>IF(MATCHED!BG35=1,MATCHED!$B35,IF(MATCHED!BG35=2,MATCHED!$C35,IF(MATCHED!BG35=3,MATCHED!$D35,IF(MATCHED!BG35=4,MATCHED!$E35,IF(MATCHED!BG35=3,MATCHED!$F35,IF(MATCHED!BG35=6,MATCHED!$G35,IF(MATCHED!BG35=7,MATCHED!$H35,"")))))))&amp;IF(MATCHED!BG35=8,MATCHED!$I35,IF(MATCHED!BG35=9,MATCHED!$J35,IF(MATCHED!BG35=10,MATCHED!$K35,IF(MATCHED!BG35=11,MATCHED!$L35,IF(MATCHED!BG35=12,MATCHED!$M35,IF(MATCHED!BG35=13,MATCHED!$N35,IF(MATCHED!BG35=14,MATCHED!$O35,"")))))))&amp;IF(MATCHED!BG35=15,MATCHED!$P35,IF(MATCHED!BG35=16,MATCHED!$Q35,IF(MATCHED!BG35=17,MATCHED!$R35,IF(MATCHED!BG35=18,MATCHED!$S35,IF(MATCHED!BG35=19,MATCHED!$T35,IF(MATCHED!BG35=20,MATCHED!$U35,IF(MATCHED!BG35=21,MATCHED!$V35,)))))))&amp;IF(MATCHED!BG35=22,MATCHED!$W35,IF(MATCHED!BG35=23,MATCHED!$X35,IF(MATCHED!BG35=24,MATCHED!$Y35,IF(MATCHED!BG35=25,MATCHED!$Z35,IF(MATCHED!BG35=26,MATCHED!$AA35,IF(MATCHED!BG35=27,MATCHED!$AB35,"."))))))</f>
        <v>#N/A</v>
      </c>
      <c r="AF35" s="370" t="e">
        <f>IF(MATCHED!BH35=1,MATCHED!$B35,IF(MATCHED!BH35=2,MATCHED!$C35,IF(MATCHED!BH35=3,MATCHED!$D35,IF(MATCHED!BH35=4,MATCHED!$E35,IF(MATCHED!BH35=3,MATCHED!$F35,IF(MATCHED!BH35=6,MATCHED!$G35,IF(MATCHED!BH35=7,MATCHED!$H35,"")))))))&amp;IF(MATCHED!BH35=8,MATCHED!$I35,IF(MATCHED!BH35=9,MATCHED!$J35,IF(MATCHED!BH35=10,MATCHED!$K35,IF(MATCHED!BH35=11,MATCHED!$L35,IF(MATCHED!BH35=12,MATCHED!$M35,IF(MATCHED!BH35=13,MATCHED!$N35,IF(MATCHED!BH35=14,MATCHED!$O35,"")))))))&amp;IF(MATCHED!BH35=15,MATCHED!$P35,IF(MATCHED!BH35=16,MATCHED!$Q35,IF(MATCHED!BH35=17,MATCHED!$R35,IF(MATCHED!BH35=18,MATCHED!$S35,IF(MATCHED!BH35=19,MATCHED!$T35,IF(MATCHED!BH35=20,MATCHED!$U35,IF(MATCHED!BH35=21,MATCHED!$V35,)))))))&amp;IF(MATCHED!BH35=22,MATCHED!$W35,IF(MATCHED!BH35=23,MATCHED!$X35,IF(MATCHED!BH35=24,MATCHED!$Y35,IF(MATCHED!BH35=25,MATCHED!$Z35,IF(MATCHED!BH35=26,MATCHED!$AA35,IF(MATCHED!BH35=27,MATCHED!$AB35,"."))))))</f>
        <v>#N/A</v>
      </c>
      <c r="AG35" s="370" t="e">
        <f>IF(MATCHED!BI35=1,MATCHED!$B35,IF(MATCHED!BI35=2,MATCHED!$C35,IF(MATCHED!BI35=3,MATCHED!$D35,IF(MATCHED!BI35=4,MATCHED!$E35,IF(MATCHED!BI35=3,MATCHED!$F35,IF(MATCHED!BI35=6,MATCHED!$G35,IF(MATCHED!BI35=7,MATCHED!$H35,"")))))))&amp;IF(MATCHED!BI35=8,MATCHED!$I35,IF(MATCHED!BI35=9,MATCHED!$J35,IF(MATCHED!BI35=10,MATCHED!$K35,IF(MATCHED!BI35=11,MATCHED!$L35,IF(MATCHED!BI35=12,MATCHED!$M35,IF(MATCHED!BI35=13,MATCHED!$N35,IF(MATCHED!BI35=14,MATCHED!$O35,"")))))))&amp;IF(MATCHED!BI35=15,MATCHED!$P35,IF(MATCHED!BI35=16,MATCHED!$Q35,IF(MATCHED!BI35=17,MATCHED!$R35,IF(MATCHED!BI35=18,MATCHED!$S35,IF(MATCHED!BI35=19,MATCHED!$T35,IF(MATCHED!BI35=20,MATCHED!$U35,IF(MATCHED!BI35=21,MATCHED!$V35,)))))))&amp;IF(MATCHED!BI35=22,MATCHED!$W35,IF(MATCHED!BI35=23,MATCHED!$X35,IF(MATCHED!BI35=24,MATCHED!$Y35,IF(MATCHED!BI35=25,MATCHED!$Z35,IF(MATCHED!BI35=26,MATCHED!$AA35,IF(MATCHED!BI35=27,MATCHED!$AB35,"."))))))</f>
        <v>#N/A</v>
      </c>
      <c r="AH35" s="370" t="e">
        <f>IF(MATCHED!BJ35=1,MATCHED!$B35,IF(MATCHED!BJ35=2,MATCHED!$C35,IF(MATCHED!BJ35=3,MATCHED!$D35,IF(MATCHED!BJ35=4,MATCHED!$E35,IF(MATCHED!BJ35=3,MATCHED!$F35,IF(MATCHED!BJ35=6,MATCHED!$G35,IF(MATCHED!BJ35=7,MATCHED!$H35,"")))))))&amp;IF(MATCHED!BJ35=8,MATCHED!$I35,IF(MATCHED!BJ35=9,MATCHED!$J35,IF(MATCHED!BJ35=10,MATCHED!$K35,IF(MATCHED!BJ35=11,MATCHED!$L35,IF(MATCHED!BJ35=12,MATCHED!$M35,IF(MATCHED!BJ35=13,MATCHED!$N35,IF(MATCHED!BJ35=14,MATCHED!$O35,"")))))))&amp;IF(MATCHED!BJ35=15,MATCHED!$P35,IF(MATCHED!BJ35=16,MATCHED!$Q35,IF(MATCHED!BJ35=17,MATCHED!$R35,IF(MATCHED!BJ35=18,MATCHED!$S35,IF(MATCHED!BJ35=19,MATCHED!$T35,IF(MATCHED!BJ35=20,MATCHED!$U35,IF(MATCHED!BJ35=21,MATCHED!$V35,)))))))&amp;IF(MATCHED!BJ35=22,MATCHED!$W35,IF(MATCHED!BJ35=23,MATCHED!$X35,IF(MATCHED!BJ35=24,MATCHED!$Y35,IF(MATCHED!BJ35=25,MATCHED!$Z35,IF(MATCHED!BJ35=26,MATCHED!$AA35,IF(MATCHED!BJ35=27,MATCHED!$AB35,"."))))))</f>
        <v>#N/A</v>
      </c>
      <c r="AI35" s="370" t="e">
        <f>IF(MATCHED!BK35=1,MATCHED!$B35,IF(MATCHED!BK35=2,MATCHED!$C35,IF(MATCHED!BK35=3,MATCHED!$D35,IF(MATCHED!BK35=4,MATCHED!$E35,IF(MATCHED!BK35=3,MATCHED!$F35,IF(MATCHED!BK35=6,MATCHED!$G35,IF(MATCHED!BK35=7,MATCHED!$H35,"")))))))&amp;IF(MATCHED!BK35=8,MATCHED!$I35,IF(MATCHED!BK35=9,MATCHED!$J35,IF(MATCHED!BK35=10,MATCHED!$K35,IF(MATCHED!BK35=11,MATCHED!$L35,IF(MATCHED!BK35=12,MATCHED!$M35,IF(MATCHED!BK35=13,MATCHED!$N35,IF(MATCHED!BK35=14,MATCHED!$O35,"")))))))&amp;IF(MATCHED!BK35=15,MATCHED!$P35,IF(MATCHED!BK35=16,MATCHED!$Q35,IF(MATCHED!BK35=17,MATCHED!$R35,IF(MATCHED!BK35=18,MATCHED!$S35,IF(MATCHED!BK35=19,MATCHED!$T35,IF(MATCHED!BK35=20,MATCHED!$U35,IF(MATCHED!BK35=21,MATCHED!$V35,)))))))&amp;IF(MATCHED!BK35=22,MATCHED!$W35,IF(MATCHED!BK35=23,MATCHED!$X35,IF(MATCHED!BK35=24,MATCHED!$Y35,IF(MATCHED!BK35=25,MATCHED!$Z35,IF(MATCHED!BK35=26,MATCHED!$AA35,IF(MATCHED!BK35=27,MATCHED!$AB35,"."))))))</f>
        <v>#N/A</v>
      </c>
      <c r="AJ35" s="535"/>
    </row>
    <row r="36" spans="1:36" s="338" customFormat="1" x14ac:dyDescent="0.25">
      <c r="A36" s="535"/>
      <c r="B36" s="369" t="e">
        <f>IF(MATCHED!AD36=1,MATCHED!$B36,IF(MATCHED!AD36=2,MATCHED!$C36,IF(MATCHED!AD36=3,MATCHED!$D36,IF(MATCHED!AD36=4,MATCHED!$E36,IF(MATCHED!AD36=3,MATCHED!$F36,IF(MATCHED!AD36=6,MATCHED!$G36,IF(MATCHED!AD36=7,MATCHED!$H36,"")))))))&amp;IF(MATCHED!AD36=8,MATCHED!$I36,IF(MATCHED!AD36=9,MATCHED!$J36,IF(MATCHED!AD36=10,MATCHED!$K36,IF(MATCHED!AD36=11,MATCHED!$L36,IF(MATCHED!AD36=12,MATCHED!$M36,IF(MATCHED!AD36=13,MATCHED!$N36,IF(MATCHED!AD36=14,MATCHED!$O36,"")))))))&amp;IF(MATCHED!AD36=15,MATCHED!$P36,IF(MATCHED!AD36=16,MATCHED!$Q36,IF(MATCHED!AD36=17,MATCHED!$R36,IF(MATCHED!AD36=18,MATCHED!$S36,IF(MATCHED!AD36=19,MATCHED!$T36,IF(MATCHED!AD36=20,MATCHED!$U36,IF(MATCHED!AD36=21,MATCHED!$V36,)))))))&amp;IF(MATCHED!AD36=22,MATCHED!$W36,IF(MATCHED!AD36=23,MATCHED!$X36,IF(MATCHED!AD36=24,MATCHED!$Y36,IF(MATCHED!AD36=25,MATCHED!$Z36,IF(MATCHED!AD36=26,MATCHED!$AA36,IF(MATCHED!AD36=27,MATCHED!$AB36,"."))))))</f>
        <v>#N/A</v>
      </c>
      <c r="C36" s="370" t="e">
        <f>IF(MATCHED!AE36=1,MATCHED!$B36,IF(MATCHED!AE36=2,MATCHED!$C36,IF(MATCHED!AE36=3,MATCHED!$D36,IF(MATCHED!AE36=4,MATCHED!$E36,IF(MATCHED!AE36=3,MATCHED!$F36,IF(MATCHED!AE36=6,MATCHED!$G36,IF(MATCHED!AE36=7,MATCHED!$H36,"")))))))&amp;IF(MATCHED!AE36=8,MATCHED!$I36,IF(MATCHED!AE36=9,MATCHED!$J36,IF(MATCHED!AE36=10,MATCHED!$K36,IF(MATCHED!AE36=11,MATCHED!$L36,IF(MATCHED!AE36=12,MATCHED!$M36,IF(MATCHED!AE36=13,MATCHED!$N36,IF(MATCHED!AE36=14,MATCHED!$O36,"")))))))&amp;IF(MATCHED!AE36=15,MATCHED!$P36,IF(MATCHED!AE36=16,MATCHED!$Q36,IF(MATCHED!AE36=17,MATCHED!$R36,IF(MATCHED!AE36=18,MATCHED!$S36,IF(MATCHED!AE36=19,MATCHED!$T36,IF(MATCHED!AE36=20,MATCHED!$U36,IF(MATCHED!AE36=21,MATCHED!$V36,)))))))&amp;IF(MATCHED!AE36=22,MATCHED!$W36,IF(MATCHED!AE36=23,MATCHED!$X36,IF(MATCHED!AE36=24,MATCHED!$Y36,IF(MATCHED!AE36=25,MATCHED!$Z36,IF(MATCHED!AE36=26,MATCHED!$AA36,IF(MATCHED!AE36=27,MATCHED!$AB36,"."))))))</f>
        <v>#N/A</v>
      </c>
      <c r="D36" s="370" t="e">
        <f>IF(MATCHED!AF36=1,MATCHED!$B36,IF(MATCHED!AF36=2,MATCHED!$C36,IF(MATCHED!AF36=3,MATCHED!$D36,IF(MATCHED!AF36=4,MATCHED!$E36,IF(MATCHED!AF36=3,MATCHED!$F36,IF(MATCHED!AF36=6,MATCHED!$G36,IF(MATCHED!AF36=7,MATCHED!$H36,"")))))))&amp;IF(MATCHED!AF36=8,MATCHED!$I36,IF(MATCHED!AF36=9,MATCHED!$J36,IF(MATCHED!AF36=10,MATCHED!$K36,IF(MATCHED!AF36=11,MATCHED!$L36,IF(MATCHED!AF36=12,MATCHED!$M36,IF(MATCHED!AF36=13,MATCHED!$N36,IF(MATCHED!AF36=14,MATCHED!$O36,"")))))))&amp;IF(MATCHED!AF36=15,MATCHED!$P36,IF(MATCHED!AF36=16,MATCHED!$Q36,IF(MATCHED!AF36=17,MATCHED!$R36,IF(MATCHED!AF36=18,MATCHED!$S36,IF(MATCHED!AF36=19,MATCHED!$T36,IF(MATCHED!AF36=20,MATCHED!$U36,IF(MATCHED!AF36=21,MATCHED!$V36,)))))))&amp;IF(MATCHED!AF36=22,MATCHED!$W36,IF(MATCHED!AF36=23,MATCHED!$X36,IF(MATCHED!AF36=24,MATCHED!$Y36,IF(MATCHED!AF36=25,MATCHED!$Z36,IF(MATCHED!AF36=26,MATCHED!$AA36,IF(MATCHED!AF36=27,MATCHED!$AB36,"."))))))</f>
        <v>#N/A</v>
      </c>
      <c r="E36" s="370" t="e">
        <f>IF(MATCHED!AG36=1,MATCHED!$B36,IF(MATCHED!AG36=2,MATCHED!$C36,IF(MATCHED!AG36=3,MATCHED!$D36,IF(MATCHED!AG36=4,MATCHED!$E36,IF(MATCHED!AG36=3,MATCHED!$F36,IF(MATCHED!AG36=6,MATCHED!$G36,IF(MATCHED!AG36=7,MATCHED!$H36,"")))))))&amp;IF(MATCHED!AG36=8,MATCHED!$I36,IF(MATCHED!AG36=9,MATCHED!$J36,IF(MATCHED!AG36=10,MATCHED!$K36,IF(MATCHED!AG36=11,MATCHED!$L36,IF(MATCHED!AG36=12,MATCHED!$M36,IF(MATCHED!AG36=13,MATCHED!$N36,IF(MATCHED!AG36=14,MATCHED!$O36,"")))))))&amp;IF(MATCHED!AG36=15,MATCHED!$P36,IF(MATCHED!AG36=16,MATCHED!$Q36,IF(MATCHED!AG36=17,MATCHED!$R36,IF(MATCHED!AG36=18,MATCHED!$S36,IF(MATCHED!AG36=19,MATCHED!$T36,IF(MATCHED!AG36=20,MATCHED!$U36,IF(MATCHED!AG36=21,MATCHED!$V36,)))))))&amp;IF(MATCHED!AG36=22,MATCHED!$W36,IF(MATCHED!AG36=23,MATCHED!$X36,IF(MATCHED!AG36=24,MATCHED!$Y36,IF(MATCHED!AG36=25,MATCHED!$Z36,IF(MATCHED!AG36=26,MATCHED!$AA36,IF(MATCHED!AG36=27,MATCHED!$AB36,"."))))))</f>
        <v>#N/A</v>
      </c>
      <c r="F36" s="370" t="e">
        <f>IF(MATCHED!AH36=1,MATCHED!$B36,IF(MATCHED!AH36=2,MATCHED!$C36,IF(MATCHED!AH36=3,MATCHED!$D36,IF(MATCHED!AH36=4,MATCHED!$E36,IF(MATCHED!AH36=3,MATCHED!$F36,IF(MATCHED!AH36=6,MATCHED!$G36,IF(MATCHED!AH36=7,MATCHED!$H36,"")))))))&amp;IF(MATCHED!AH36=8,MATCHED!$I36,IF(MATCHED!AH36=9,MATCHED!$J36,IF(MATCHED!AH36=10,MATCHED!$K36,IF(MATCHED!AH36=11,MATCHED!$L36,IF(MATCHED!AH36=12,MATCHED!$M36,IF(MATCHED!AH36=13,MATCHED!$N36,IF(MATCHED!AH36=14,MATCHED!$O36,"")))))))&amp;IF(MATCHED!AH36=15,MATCHED!$P36,IF(MATCHED!AH36=16,MATCHED!$Q36,IF(MATCHED!AH36=17,MATCHED!$R36,IF(MATCHED!AH36=18,MATCHED!$S36,IF(MATCHED!AH36=19,MATCHED!$T36,IF(MATCHED!AH36=20,MATCHED!$U36,IF(MATCHED!AH36=21,MATCHED!$V36,)))))))&amp;IF(MATCHED!AH36=22,MATCHED!$W36,IF(MATCHED!AH36=23,MATCHED!$X36,IF(MATCHED!AH36=24,MATCHED!$Y36,IF(MATCHED!AH36=25,MATCHED!$Z36,IF(MATCHED!AH36=26,MATCHED!$AA36,IF(MATCHED!AH36=27,MATCHED!$AB36,"."))))))</f>
        <v>#N/A</v>
      </c>
      <c r="G36" s="370" t="e">
        <f>IF(MATCHED!AI36=1,MATCHED!$B36,IF(MATCHED!AI36=2,MATCHED!$C36,IF(MATCHED!AI36=3,MATCHED!$D36,IF(MATCHED!AI36=4,MATCHED!$E36,IF(MATCHED!AI36=3,MATCHED!$F36,IF(MATCHED!AI36=6,MATCHED!$G36,IF(MATCHED!AI36=7,MATCHED!$H36,"")))))))&amp;IF(MATCHED!AI36=8,MATCHED!$I36,IF(MATCHED!AI36=9,MATCHED!$J36,IF(MATCHED!AI36=10,MATCHED!$K36,IF(MATCHED!AI36=11,MATCHED!$L36,IF(MATCHED!AI36=12,MATCHED!$M36,IF(MATCHED!AI36=13,MATCHED!$N36,IF(MATCHED!AI36=14,MATCHED!$O36,"")))))))&amp;IF(MATCHED!AI36=15,MATCHED!$P36,IF(MATCHED!AI36=16,MATCHED!$Q36,IF(MATCHED!AI36=17,MATCHED!$R36,IF(MATCHED!AI36=18,MATCHED!$S36,IF(MATCHED!AI36=19,MATCHED!$T36,IF(MATCHED!AI36=20,MATCHED!$U36,IF(MATCHED!AI36=21,MATCHED!$V36,)))))))&amp;IF(MATCHED!AI36=22,MATCHED!$W36,IF(MATCHED!AI36=23,MATCHED!$X36,IF(MATCHED!AI36=24,MATCHED!$Y36,IF(MATCHED!AI36=25,MATCHED!$Z36,IF(MATCHED!AI36=26,MATCHED!$AA36,IF(MATCHED!AI36=27,MATCHED!$AB36,"."))))))</f>
        <v>#N/A</v>
      </c>
      <c r="H36" s="370" t="e">
        <f>IF(MATCHED!AJ36=1,MATCHED!$B36,IF(MATCHED!AJ36=2,MATCHED!$C36,IF(MATCHED!AJ36=3,MATCHED!$D36,IF(MATCHED!AJ36=4,MATCHED!$E36,IF(MATCHED!AJ36=3,MATCHED!$F36,IF(MATCHED!AJ36=6,MATCHED!$G36,IF(MATCHED!AJ36=7,MATCHED!$H36,"")))))))&amp;IF(MATCHED!AJ36=8,MATCHED!$I36,IF(MATCHED!AJ36=9,MATCHED!$J36,IF(MATCHED!AJ36=10,MATCHED!$K36,IF(MATCHED!AJ36=11,MATCHED!$L36,IF(MATCHED!AJ36=12,MATCHED!$M36,IF(MATCHED!AJ36=13,MATCHED!$N36,IF(MATCHED!AJ36=14,MATCHED!$O36,"")))))))&amp;IF(MATCHED!AJ36=15,MATCHED!$P36,IF(MATCHED!AJ36=16,MATCHED!$Q36,IF(MATCHED!AJ36=17,MATCHED!$R36,IF(MATCHED!AJ36=18,MATCHED!$S36,IF(MATCHED!AJ36=19,MATCHED!$T36,IF(MATCHED!AJ36=20,MATCHED!$U36,IF(MATCHED!AJ36=21,MATCHED!$V36,)))))))&amp;IF(MATCHED!AJ36=22,MATCHED!$W36,IF(MATCHED!AJ36=23,MATCHED!$X36,IF(MATCHED!AJ36=24,MATCHED!$Y36,IF(MATCHED!AJ36=25,MATCHED!$Z36,IF(MATCHED!AJ36=26,MATCHED!$AA36,IF(MATCHED!AJ36=27,MATCHED!$AB36,"."))))))</f>
        <v>#N/A</v>
      </c>
      <c r="I36" s="370" t="e">
        <f>IF(MATCHED!AK36=1,MATCHED!$B36,IF(MATCHED!AK36=2,MATCHED!$C36,IF(MATCHED!AK36=3,MATCHED!$D36,IF(MATCHED!AK36=4,MATCHED!$E36,IF(MATCHED!AK36=3,MATCHED!$F36,IF(MATCHED!AK36=6,MATCHED!$G36,IF(MATCHED!AK36=7,MATCHED!$H36,"")))))))&amp;IF(MATCHED!AK36=8,MATCHED!$I36,IF(MATCHED!AK36=9,MATCHED!$J36,IF(MATCHED!AK36=10,MATCHED!$K36,IF(MATCHED!AK36=11,MATCHED!$L36,IF(MATCHED!AK36=12,MATCHED!$M36,IF(MATCHED!AK36=13,MATCHED!$N36,IF(MATCHED!AK36=14,MATCHED!$O36,"")))))))&amp;IF(MATCHED!AK36=15,MATCHED!$P36,IF(MATCHED!AK36=16,MATCHED!$Q36,IF(MATCHED!AK36=17,MATCHED!$R36,IF(MATCHED!AK36=18,MATCHED!$S36,IF(MATCHED!AK36=19,MATCHED!$T36,IF(MATCHED!AK36=20,MATCHED!$U36,IF(MATCHED!AK36=21,MATCHED!$V36,)))))))&amp;IF(MATCHED!AK36=22,MATCHED!$W36,IF(MATCHED!AK36=23,MATCHED!$X36,IF(MATCHED!AK36=24,MATCHED!$Y36,IF(MATCHED!AK36=25,MATCHED!$Z36,IF(MATCHED!AK36=26,MATCHED!$AA36,IF(MATCHED!AK36=27,MATCHED!$AB36,"."))))))</f>
        <v>#N/A</v>
      </c>
      <c r="J36" s="370" t="e">
        <f>IF(MATCHED!AL36=1,MATCHED!$B36,IF(MATCHED!AL36=2,MATCHED!$C36,IF(MATCHED!AL36=3,MATCHED!$D36,IF(MATCHED!AL36=4,MATCHED!$E36,IF(MATCHED!AL36=3,MATCHED!$F36,IF(MATCHED!AL36=6,MATCHED!$G36,IF(MATCHED!AL36=7,MATCHED!$H36,"")))))))&amp;IF(MATCHED!AL36=8,MATCHED!$I36,IF(MATCHED!AL36=9,MATCHED!$J36,IF(MATCHED!AL36=10,MATCHED!$K36,IF(MATCHED!AL36=11,MATCHED!$L36,IF(MATCHED!AL36=12,MATCHED!$M36,IF(MATCHED!AL36=13,MATCHED!$N36,IF(MATCHED!AL36=14,MATCHED!$O36,"")))))))&amp;IF(MATCHED!AL36=15,MATCHED!$P36,IF(MATCHED!AL36=16,MATCHED!$Q36,IF(MATCHED!AL36=17,MATCHED!$R36,IF(MATCHED!AL36=18,MATCHED!$S36,IF(MATCHED!AL36=19,MATCHED!$T36,IF(MATCHED!AL36=20,MATCHED!$U36,IF(MATCHED!AL36=21,MATCHED!$V36,)))))))&amp;IF(MATCHED!AL36=22,MATCHED!$W36,IF(MATCHED!AL36=23,MATCHED!$X36,IF(MATCHED!AL36=24,MATCHED!$Y36,IF(MATCHED!AL36=25,MATCHED!$Z36,IF(MATCHED!AL36=26,MATCHED!$AA36,IF(MATCHED!AL36=27,MATCHED!$AB36,"."))))))</f>
        <v>#N/A</v>
      </c>
      <c r="K36" s="370" t="e">
        <f>IF(MATCHED!AM36=1,MATCHED!$B36,IF(MATCHED!AM36=2,MATCHED!$C36,IF(MATCHED!AM36=3,MATCHED!$D36,IF(MATCHED!AM36=4,MATCHED!$E36,IF(MATCHED!AM36=3,MATCHED!$F36,IF(MATCHED!AM36=6,MATCHED!$G36,IF(MATCHED!AM36=7,MATCHED!$H36,"")))))))&amp;IF(MATCHED!AM36=8,MATCHED!$I36,IF(MATCHED!AM36=9,MATCHED!$J36,IF(MATCHED!AM36=10,MATCHED!$K36,IF(MATCHED!AM36=11,MATCHED!$L36,IF(MATCHED!AM36=12,MATCHED!$M36,IF(MATCHED!AM36=13,MATCHED!$N36,IF(MATCHED!AM36=14,MATCHED!$O36,"")))))))&amp;IF(MATCHED!AM36=15,MATCHED!$P36,IF(MATCHED!AM36=16,MATCHED!$Q36,IF(MATCHED!AM36=17,MATCHED!$R36,IF(MATCHED!AM36=18,MATCHED!$S36,IF(MATCHED!AM36=19,MATCHED!$T36,IF(MATCHED!AM36=20,MATCHED!$U36,IF(MATCHED!AM36=21,MATCHED!$V36,)))))))&amp;IF(MATCHED!AM36=22,MATCHED!$W36,IF(MATCHED!AM36=23,MATCHED!$X36,IF(MATCHED!AM36=24,MATCHED!$Y36,IF(MATCHED!AM36=25,MATCHED!$Z36,IF(MATCHED!AM36=26,MATCHED!$AA36,IF(MATCHED!AM36=27,MATCHED!$AB36,"."))))))</f>
        <v>#N/A</v>
      </c>
      <c r="L36" s="370" t="e">
        <f>IF(MATCHED!AN36=1,MATCHED!$B36,IF(MATCHED!AN36=2,MATCHED!$C36,IF(MATCHED!AN36=3,MATCHED!$D36,IF(MATCHED!AN36=4,MATCHED!$E36,IF(MATCHED!AN36=3,MATCHED!$F36,IF(MATCHED!AN36=6,MATCHED!$G36,IF(MATCHED!AN36=7,MATCHED!$H36,"")))))))&amp;IF(MATCHED!AN36=8,MATCHED!$I36,IF(MATCHED!AN36=9,MATCHED!$J36,IF(MATCHED!AN36=10,MATCHED!$K36,IF(MATCHED!AN36=11,MATCHED!$L36,IF(MATCHED!AN36=12,MATCHED!$M36,IF(MATCHED!AN36=13,MATCHED!$N36,IF(MATCHED!AN36=14,MATCHED!$O36,"")))))))&amp;IF(MATCHED!AN36=15,MATCHED!$P36,IF(MATCHED!AN36=16,MATCHED!$Q36,IF(MATCHED!AN36=17,MATCHED!$R36,IF(MATCHED!AN36=18,MATCHED!$S36,IF(MATCHED!AN36=19,MATCHED!$T36,IF(MATCHED!AN36=20,MATCHED!$U36,IF(MATCHED!AN36=21,MATCHED!$V36,)))))))&amp;IF(MATCHED!AN36=22,MATCHED!$W36,IF(MATCHED!AN36=23,MATCHED!$X36,IF(MATCHED!AN36=24,MATCHED!$Y36,IF(MATCHED!AN36=25,MATCHED!$Z36,IF(MATCHED!AN36=26,MATCHED!$AA36,IF(MATCHED!AN36=27,MATCHED!$AB36,"."))))))</f>
        <v>#N/A</v>
      </c>
      <c r="M36" s="370" t="e">
        <f>IF(MATCHED!AO36=1,MATCHED!$B36,IF(MATCHED!AO36=2,MATCHED!$C36,IF(MATCHED!AO36=3,MATCHED!$D36,IF(MATCHED!AO36=4,MATCHED!$E36,IF(MATCHED!AO36=3,MATCHED!$F36,IF(MATCHED!AO36=6,MATCHED!$G36,IF(MATCHED!AO36=7,MATCHED!$H36,"")))))))&amp;IF(MATCHED!AO36=8,MATCHED!$I36,IF(MATCHED!AO36=9,MATCHED!$J36,IF(MATCHED!AO36=10,MATCHED!$K36,IF(MATCHED!AO36=11,MATCHED!$L36,IF(MATCHED!AO36=12,MATCHED!$M36,IF(MATCHED!AO36=13,MATCHED!$N36,IF(MATCHED!AO36=14,MATCHED!$O36,"")))))))&amp;IF(MATCHED!AO36=15,MATCHED!$P36,IF(MATCHED!AO36=16,MATCHED!$Q36,IF(MATCHED!AO36=17,MATCHED!$R36,IF(MATCHED!AO36=18,MATCHED!$S36,IF(MATCHED!AO36=19,MATCHED!$T36,IF(MATCHED!AO36=20,MATCHED!$U36,IF(MATCHED!AO36=21,MATCHED!$V36,)))))))&amp;IF(MATCHED!AO36=22,MATCHED!$W36,IF(MATCHED!AO36=23,MATCHED!$X36,IF(MATCHED!AO36=24,MATCHED!$Y36,IF(MATCHED!AO36=25,MATCHED!$Z36,IF(MATCHED!AO36=26,MATCHED!$AA36,IF(MATCHED!AO36=27,MATCHED!$AB36,"."))))))</f>
        <v>#N/A</v>
      </c>
      <c r="N36" s="370" t="e">
        <f>IF(MATCHED!AP36=1,MATCHED!$B36,IF(MATCHED!AP36=2,MATCHED!$C36,IF(MATCHED!AP36=3,MATCHED!$D36,IF(MATCHED!AP36=4,MATCHED!$E36,IF(MATCHED!AP36=3,MATCHED!$F36,IF(MATCHED!AP36=6,MATCHED!$G36,IF(MATCHED!AP36=7,MATCHED!$H36,"")))))))&amp;IF(MATCHED!AP36=8,MATCHED!$I36,IF(MATCHED!AP36=9,MATCHED!$J36,IF(MATCHED!AP36=10,MATCHED!$K36,IF(MATCHED!AP36=11,MATCHED!$L36,IF(MATCHED!AP36=12,MATCHED!$M36,IF(MATCHED!AP36=13,MATCHED!$N36,IF(MATCHED!AP36=14,MATCHED!$O36,"")))))))&amp;IF(MATCHED!AP36=15,MATCHED!$P36,IF(MATCHED!AP36=16,MATCHED!$Q36,IF(MATCHED!AP36=17,MATCHED!$R36,IF(MATCHED!AP36=18,MATCHED!$S36,IF(MATCHED!AP36=19,MATCHED!$T36,IF(MATCHED!AP36=20,MATCHED!$U36,IF(MATCHED!AP36=21,MATCHED!$V36,)))))))&amp;IF(MATCHED!AP36=22,MATCHED!$W36,IF(MATCHED!AP36=23,MATCHED!$X36,IF(MATCHED!AP36=24,MATCHED!$Y36,IF(MATCHED!AP36=25,MATCHED!$Z36,IF(MATCHED!AP36=26,MATCHED!$AA36,IF(MATCHED!AP36=27,MATCHED!$AB36,"."))))))</f>
        <v>#N/A</v>
      </c>
      <c r="O36" s="370" t="e">
        <f>IF(MATCHED!AQ36=1,MATCHED!$B36,IF(MATCHED!AQ36=2,MATCHED!$C36,IF(MATCHED!AQ36=3,MATCHED!$D36,IF(MATCHED!AQ36=4,MATCHED!$E36,IF(MATCHED!AQ36=3,MATCHED!$F36,IF(MATCHED!AQ36=6,MATCHED!$G36,IF(MATCHED!AQ36=7,MATCHED!$H36,"")))))))&amp;IF(MATCHED!AQ36=8,MATCHED!$I36,IF(MATCHED!AQ36=9,MATCHED!$J36,IF(MATCHED!AQ36=10,MATCHED!$K36,IF(MATCHED!AQ36=11,MATCHED!$L36,IF(MATCHED!AQ36=12,MATCHED!$M36,IF(MATCHED!AQ36=13,MATCHED!$N36,IF(MATCHED!AQ36=14,MATCHED!$O36,"")))))))&amp;IF(MATCHED!AQ36=15,MATCHED!$P36,IF(MATCHED!AQ36=16,MATCHED!$Q36,IF(MATCHED!AQ36=17,MATCHED!$R36,IF(MATCHED!AQ36=18,MATCHED!$S36,IF(MATCHED!AQ36=19,MATCHED!$T36,IF(MATCHED!AQ36=20,MATCHED!$U36,IF(MATCHED!AQ36=21,MATCHED!$V36,)))))))&amp;IF(MATCHED!AQ36=22,MATCHED!$W36,IF(MATCHED!AQ36=23,MATCHED!$X36,IF(MATCHED!AQ36=24,MATCHED!$Y36,IF(MATCHED!AQ36=25,MATCHED!$Z36,IF(MATCHED!AQ36=26,MATCHED!$AA36,IF(MATCHED!AQ36=27,MATCHED!$AB36,"."))))))</f>
        <v>#N/A</v>
      </c>
      <c r="P36" s="370" t="e">
        <f>IF(MATCHED!AR36=1,MATCHED!$B36,IF(MATCHED!AR36=2,MATCHED!$C36,IF(MATCHED!AR36=3,MATCHED!$D36,IF(MATCHED!AR36=4,MATCHED!$E36,IF(MATCHED!AR36=3,MATCHED!$F36,IF(MATCHED!AR36=6,MATCHED!$G36,IF(MATCHED!AR36=7,MATCHED!$H36,"")))))))&amp;IF(MATCHED!AR36=8,MATCHED!$I36,IF(MATCHED!AR36=9,MATCHED!$J36,IF(MATCHED!AR36=10,MATCHED!$K36,IF(MATCHED!AR36=11,MATCHED!$L36,IF(MATCHED!AR36=12,MATCHED!$M36,IF(MATCHED!AR36=13,MATCHED!$N36,IF(MATCHED!AR36=14,MATCHED!$O36,"")))))))&amp;IF(MATCHED!AR36=15,MATCHED!$P36,IF(MATCHED!AR36=16,MATCHED!$Q36,IF(MATCHED!AR36=17,MATCHED!$R36,IF(MATCHED!AR36=18,MATCHED!$S36,IF(MATCHED!AR36=19,MATCHED!$T36,IF(MATCHED!AR36=20,MATCHED!$U36,IF(MATCHED!AR36=21,MATCHED!$V36,)))))))&amp;IF(MATCHED!AR36=22,MATCHED!$W36,IF(MATCHED!AR36=23,MATCHED!$X36,IF(MATCHED!AR36=24,MATCHED!$Y36,IF(MATCHED!AR36=25,MATCHED!$Z36,IF(MATCHED!AR36=26,MATCHED!$AA36,IF(MATCHED!AR36=27,MATCHED!$AB36,"."))))))</f>
        <v>#N/A</v>
      </c>
      <c r="Q36" s="371" t="e">
        <f>IF(MATCHED!AS36=1,MATCHED!$B36,IF(MATCHED!AS36=2,MATCHED!$C36,IF(MATCHED!AS36=3,MATCHED!$D36,IF(MATCHED!AS36=4,MATCHED!$E36,IF(MATCHED!AS36=3,MATCHED!$F36,IF(MATCHED!AS36=6,MATCHED!$G36,IF(MATCHED!AS36=7,MATCHED!$H36,"")))))))&amp;IF(MATCHED!AS36=8,MATCHED!$I36,IF(MATCHED!AS36=9,MATCHED!$J36,IF(MATCHED!AS36=10,MATCHED!$K36,IF(MATCHED!AS36=11,MATCHED!$L36,IF(MATCHED!AS36=12,MATCHED!$M36,IF(MATCHED!AS36=13,MATCHED!$N36,IF(MATCHED!AS36=14,MATCHED!$O36,"")))))))&amp;IF(MATCHED!AS36=15,MATCHED!$P36,IF(MATCHED!AS36=16,MATCHED!$Q36,IF(MATCHED!AS36=17,MATCHED!$R36,IF(MATCHED!AS36=18,MATCHED!$S36,IF(MATCHED!AS36=19,MATCHED!$T36,IF(MATCHED!AS36=20,MATCHED!$U36,IF(MATCHED!AS36=21,MATCHED!$V36,)))))))&amp;IF(MATCHED!AS36=22,MATCHED!$W36,IF(MATCHED!AS36=23,MATCHED!$X36,IF(MATCHED!AS36=24,MATCHED!$Y36,IF(MATCHED!AS36=25,MATCHED!$Z36,IF(MATCHED!AS36=26,MATCHED!$AA36,IF(MATCHED!AS36=27,MATCHED!$AB36,"."))))))</f>
        <v>#N/A</v>
      </c>
      <c r="R36" s="370" t="e">
        <f>IF(MATCHED!AT36=1,MATCHED!$B36,IF(MATCHED!AT36=2,MATCHED!$C36,IF(MATCHED!AT36=3,MATCHED!$D36,IF(MATCHED!AT36=4,MATCHED!$E36,IF(MATCHED!AT36=3,MATCHED!$F36,IF(MATCHED!AT36=6,MATCHED!$G36,IF(MATCHED!AT36=7,MATCHED!$H36,"")))))))&amp;IF(MATCHED!AT36=8,MATCHED!$I36,IF(MATCHED!AT36=9,MATCHED!$J36,IF(MATCHED!AT36=10,MATCHED!$K36,IF(MATCHED!AT36=11,MATCHED!$L36,IF(MATCHED!AT36=12,MATCHED!$M36,IF(MATCHED!AT36=13,MATCHED!$N36,IF(MATCHED!AT36=14,MATCHED!$O36,"")))))))&amp;IF(MATCHED!AT36=15,MATCHED!$P36,IF(MATCHED!AT36=16,MATCHED!$Q36,IF(MATCHED!AT36=17,MATCHED!$R36,IF(MATCHED!AT36=18,MATCHED!$S36,IF(MATCHED!AT36=19,MATCHED!$T36,IF(MATCHED!AT36=20,MATCHED!$U36,IF(MATCHED!AT36=21,MATCHED!$V36,)))))))&amp;IF(MATCHED!AT36=22,MATCHED!$W36,IF(MATCHED!AT36=23,MATCHED!$X36,IF(MATCHED!AT36=24,MATCHED!$Y36,IF(MATCHED!AT36=25,MATCHED!$Z36,IF(MATCHED!AT36=26,MATCHED!$AA36,IF(MATCHED!AT36=27,MATCHED!$AB36,"."))))))</f>
        <v>#N/A</v>
      </c>
      <c r="S36" s="370" t="e">
        <f>IF(MATCHED!AU36=1,MATCHED!$B36,IF(MATCHED!AU36=2,MATCHED!$C36,IF(MATCHED!AU36=3,MATCHED!$D36,IF(MATCHED!AU36=4,MATCHED!$E36,IF(MATCHED!AU36=3,MATCHED!$F36,IF(MATCHED!AU36=6,MATCHED!$G36,IF(MATCHED!AU36=7,MATCHED!$H36,"")))))))&amp;IF(MATCHED!AU36=8,MATCHED!$I36,IF(MATCHED!AU36=9,MATCHED!$J36,IF(MATCHED!AU36=10,MATCHED!$K36,IF(MATCHED!AU36=11,MATCHED!$L36,IF(MATCHED!AU36=12,MATCHED!$M36,IF(MATCHED!AU36=13,MATCHED!$N36,IF(MATCHED!AU36=14,MATCHED!$O36,"")))))))&amp;IF(MATCHED!AU36=15,MATCHED!$P36,IF(MATCHED!AU36=16,MATCHED!$Q36,IF(MATCHED!AU36=17,MATCHED!$R36,IF(MATCHED!AU36=18,MATCHED!$S36,IF(MATCHED!AU36=19,MATCHED!$T36,IF(MATCHED!AU36=20,MATCHED!$U36,IF(MATCHED!AU36=21,MATCHED!$V36,)))))))&amp;IF(MATCHED!AU36=22,MATCHED!$W36,IF(MATCHED!AU36=23,MATCHED!$X36,IF(MATCHED!AU36=24,MATCHED!$Y36,IF(MATCHED!AU36=25,MATCHED!$Z36,IF(MATCHED!AU36=26,MATCHED!$AA36,IF(MATCHED!AU36=27,MATCHED!$AB36,"."))))))</f>
        <v>#N/A</v>
      </c>
      <c r="T36" s="370" t="e">
        <f>IF(MATCHED!AV36=1,MATCHED!$B36,IF(MATCHED!AV36=2,MATCHED!$C36,IF(MATCHED!AV36=3,MATCHED!$D36,IF(MATCHED!AV36=4,MATCHED!$E36,IF(MATCHED!AV36=3,MATCHED!$F36,IF(MATCHED!AV36=6,MATCHED!$G36,IF(MATCHED!AV36=7,MATCHED!$H36,"")))))))&amp;IF(MATCHED!AV36=8,MATCHED!$I36,IF(MATCHED!AV36=9,MATCHED!$J36,IF(MATCHED!AV36=10,MATCHED!$K36,IF(MATCHED!AV36=11,MATCHED!$L36,IF(MATCHED!AV36=12,MATCHED!$M36,IF(MATCHED!AV36=13,MATCHED!$N36,IF(MATCHED!AV36=14,MATCHED!$O36,"")))))))&amp;IF(MATCHED!AV36=15,MATCHED!$P36,IF(MATCHED!AV36=16,MATCHED!$Q36,IF(MATCHED!AV36=17,MATCHED!$R36,IF(MATCHED!AV36=18,MATCHED!$S36,IF(MATCHED!AV36=19,MATCHED!$T36,IF(MATCHED!AV36=20,MATCHED!$U36,IF(MATCHED!AV36=21,MATCHED!$V36,)))))))&amp;IF(MATCHED!AV36=22,MATCHED!$W36,IF(MATCHED!AV36=23,MATCHED!$X36,IF(MATCHED!AV36=24,MATCHED!$Y36,IF(MATCHED!AV36=25,MATCHED!$Z36,IF(MATCHED!AV36=26,MATCHED!$AA36,IF(MATCHED!AV36=27,MATCHED!$AB36,"."))))))</f>
        <v>#N/A</v>
      </c>
      <c r="U36" s="370" t="e">
        <f>IF(MATCHED!AW36=1,MATCHED!$B36,IF(MATCHED!AW36=2,MATCHED!$C36,IF(MATCHED!AW36=3,MATCHED!$D36,IF(MATCHED!AW36=4,MATCHED!$E36,IF(MATCHED!AW36=3,MATCHED!$F36,IF(MATCHED!AW36=6,MATCHED!$G36,IF(MATCHED!AW36=7,MATCHED!$H36,"")))))))&amp;IF(MATCHED!AW36=8,MATCHED!$I36,IF(MATCHED!AW36=9,MATCHED!$J36,IF(MATCHED!AW36=10,MATCHED!$K36,IF(MATCHED!AW36=11,MATCHED!$L36,IF(MATCHED!AW36=12,MATCHED!$M36,IF(MATCHED!AW36=13,MATCHED!$N36,IF(MATCHED!AW36=14,MATCHED!$O36,"")))))))&amp;IF(MATCHED!AW36=15,MATCHED!$P36,IF(MATCHED!AW36=16,MATCHED!$Q36,IF(MATCHED!AW36=17,MATCHED!$R36,IF(MATCHED!AW36=18,MATCHED!$S36,IF(MATCHED!AW36=19,MATCHED!$T36,IF(MATCHED!AW36=20,MATCHED!$U36,IF(MATCHED!AW36=21,MATCHED!$V36,)))))))&amp;IF(MATCHED!AW36=22,MATCHED!$W36,IF(MATCHED!AW36=23,MATCHED!$X36,IF(MATCHED!AW36=24,MATCHED!$Y36,IF(MATCHED!AW36=25,MATCHED!$Z36,IF(MATCHED!AW36=26,MATCHED!$AA36,IF(MATCHED!AW36=27,MATCHED!$AB36,"."))))))</f>
        <v>#N/A</v>
      </c>
      <c r="V36" s="370" t="e">
        <f>IF(MATCHED!AX36=1,MATCHED!$B36,IF(MATCHED!AX36=2,MATCHED!$C36,IF(MATCHED!AX36=3,MATCHED!$D36,IF(MATCHED!AX36=4,MATCHED!$E36,IF(MATCHED!AX36=3,MATCHED!$F36,IF(MATCHED!AX36=6,MATCHED!$G36,IF(MATCHED!AX36=7,MATCHED!$H36,"")))))))&amp;IF(MATCHED!AX36=8,MATCHED!$I36,IF(MATCHED!AX36=9,MATCHED!$J36,IF(MATCHED!AX36=10,MATCHED!$K36,IF(MATCHED!AX36=11,MATCHED!$L36,IF(MATCHED!AX36=12,MATCHED!$M36,IF(MATCHED!AX36=13,MATCHED!$N36,IF(MATCHED!AX36=14,MATCHED!$O36,"")))))))&amp;IF(MATCHED!AX36=15,MATCHED!$P36,IF(MATCHED!AX36=16,MATCHED!$Q36,IF(MATCHED!AX36=17,MATCHED!$R36,IF(MATCHED!AX36=18,MATCHED!$S36,IF(MATCHED!AX36=19,MATCHED!$T36,IF(MATCHED!AX36=20,MATCHED!$U36,IF(MATCHED!AX36=21,MATCHED!$V36,)))))))&amp;IF(MATCHED!AX36=22,MATCHED!$W36,IF(MATCHED!AX36=23,MATCHED!$X36,IF(MATCHED!AX36=24,MATCHED!$Y36,IF(MATCHED!AX36=25,MATCHED!$Z36,IF(MATCHED!AX36=26,MATCHED!$AA36,IF(MATCHED!AX36=27,MATCHED!$AB36,"."))))))</f>
        <v>#N/A</v>
      </c>
      <c r="W36" s="370" t="e">
        <f>IF(MATCHED!AY36=1,MATCHED!$B36,IF(MATCHED!AY36=2,MATCHED!$C36,IF(MATCHED!AY36=3,MATCHED!$D36,IF(MATCHED!AY36=4,MATCHED!$E36,IF(MATCHED!AY36=3,MATCHED!$F36,IF(MATCHED!AY36=6,MATCHED!$G36,IF(MATCHED!AY36=7,MATCHED!$H36,"")))))))&amp;IF(MATCHED!AY36=8,MATCHED!$I36,IF(MATCHED!AY36=9,MATCHED!$J36,IF(MATCHED!AY36=10,MATCHED!$K36,IF(MATCHED!AY36=11,MATCHED!$L36,IF(MATCHED!AY36=12,MATCHED!$M36,IF(MATCHED!AY36=13,MATCHED!$N36,IF(MATCHED!AY36=14,MATCHED!$O36,"")))))))&amp;IF(MATCHED!AY36=15,MATCHED!$P36,IF(MATCHED!AY36=16,MATCHED!$Q36,IF(MATCHED!AY36=17,MATCHED!$R36,IF(MATCHED!AY36=18,MATCHED!$S36,IF(MATCHED!AY36=19,MATCHED!$T36,IF(MATCHED!AY36=20,MATCHED!$U36,IF(MATCHED!AY36=21,MATCHED!$V36,)))))))&amp;IF(MATCHED!AY36=22,MATCHED!$W36,IF(MATCHED!AY36=23,MATCHED!$X36,IF(MATCHED!AY36=24,MATCHED!$Y36,IF(MATCHED!AY36=25,MATCHED!$Z36,IF(MATCHED!AY36=26,MATCHED!$AA36,IF(MATCHED!AY36=27,MATCHED!$AB36,"."))))))</f>
        <v>#N/A</v>
      </c>
      <c r="X36" s="370" t="e">
        <f>IF(MATCHED!AZ36=1,MATCHED!$B36,IF(MATCHED!AZ36=2,MATCHED!$C36,IF(MATCHED!AZ36=3,MATCHED!$D36,IF(MATCHED!AZ36=4,MATCHED!$E36,IF(MATCHED!AZ36=3,MATCHED!$F36,IF(MATCHED!AZ36=6,MATCHED!$G36,IF(MATCHED!AZ36=7,MATCHED!$H36,"")))))))&amp;IF(MATCHED!AZ36=8,MATCHED!$I36,IF(MATCHED!AZ36=9,MATCHED!$J36,IF(MATCHED!AZ36=10,MATCHED!$K36,IF(MATCHED!AZ36=11,MATCHED!$L36,IF(MATCHED!AZ36=12,MATCHED!$M36,IF(MATCHED!AZ36=13,MATCHED!$N36,IF(MATCHED!AZ36=14,MATCHED!$O36,"")))))))&amp;IF(MATCHED!AZ36=15,MATCHED!$P36,IF(MATCHED!AZ36=16,MATCHED!$Q36,IF(MATCHED!AZ36=17,MATCHED!$R36,IF(MATCHED!AZ36=18,MATCHED!$S36,IF(MATCHED!AZ36=19,MATCHED!$T36,IF(MATCHED!AZ36=20,MATCHED!$U36,IF(MATCHED!AZ36=21,MATCHED!$V36,)))))))&amp;IF(MATCHED!AZ36=22,MATCHED!$W36,IF(MATCHED!AZ36=23,MATCHED!$X36,IF(MATCHED!AZ36=24,MATCHED!$Y36,IF(MATCHED!AZ36=25,MATCHED!$Z36,IF(MATCHED!AZ36=26,MATCHED!$AA36,IF(MATCHED!AZ36=27,MATCHED!$AB36,"."))))))</f>
        <v>#N/A</v>
      </c>
      <c r="Y36" s="370" t="e">
        <f>IF(MATCHED!BA36=1,MATCHED!$B36,IF(MATCHED!BA36=2,MATCHED!$C36,IF(MATCHED!BA36=3,MATCHED!$D36,IF(MATCHED!BA36=4,MATCHED!$E36,IF(MATCHED!BA36=3,MATCHED!$F36,IF(MATCHED!BA36=6,MATCHED!$G36,IF(MATCHED!BA36=7,MATCHED!$H36,"")))))))&amp;IF(MATCHED!BA36=8,MATCHED!$I36,IF(MATCHED!BA36=9,MATCHED!$J36,IF(MATCHED!BA36=10,MATCHED!$K36,IF(MATCHED!BA36=11,MATCHED!$L36,IF(MATCHED!BA36=12,MATCHED!$M36,IF(MATCHED!BA36=13,MATCHED!$N36,IF(MATCHED!BA36=14,MATCHED!$O36,"")))))))&amp;IF(MATCHED!BA36=15,MATCHED!$P36,IF(MATCHED!BA36=16,MATCHED!$Q36,IF(MATCHED!BA36=17,MATCHED!$R36,IF(MATCHED!BA36=18,MATCHED!$S36,IF(MATCHED!BA36=19,MATCHED!$T36,IF(MATCHED!BA36=20,MATCHED!$U36,IF(MATCHED!BA36=21,MATCHED!$V36,)))))))&amp;IF(MATCHED!BA36=22,MATCHED!$W36,IF(MATCHED!BA36=23,MATCHED!$X36,IF(MATCHED!BA36=24,MATCHED!$Y36,IF(MATCHED!BA36=25,MATCHED!$Z36,IF(MATCHED!BA36=26,MATCHED!$AA36,IF(MATCHED!BA36=27,MATCHED!$AB36,"."))))))</f>
        <v>#N/A</v>
      </c>
      <c r="Z36" s="370" t="e">
        <f>IF(MATCHED!BB36=1,MATCHED!$B36,IF(MATCHED!BB36=2,MATCHED!$C36,IF(MATCHED!BB36=3,MATCHED!$D36,IF(MATCHED!BB36=4,MATCHED!$E36,IF(MATCHED!BB36=3,MATCHED!$F36,IF(MATCHED!BB36=6,MATCHED!$G36,IF(MATCHED!BB36=7,MATCHED!$H36,"")))))))&amp;IF(MATCHED!BB36=8,MATCHED!$I36,IF(MATCHED!BB36=9,MATCHED!$J36,IF(MATCHED!BB36=10,MATCHED!$K36,IF(MATCHED!BB36=11,MATCHED!$L36,IF(MATCHED!BB36=12,MATCHED!$M36,IF(MATCHED!BB36=13,MATCHED!$N36,IF(MATCHED!BB36=14,MATCHED!$O36,"")))))))&amp;IF(MATCHED!BB36=15,MATCHED!$P36,IF(MATCHED!BB36=16,MATCHED!$Q36,IF(MATCHED!BB36=17,MATCHED!$R36,IF(MATCHED!BB36=18,MATCHED!$S36,IF(MATCHED!BB36=19,MATCHED!$T36,IF(MATCHED!BB36=20,MATCHED!$U36,IF(MATCHED!BB36=21,MATCHED!$V36,)))))))&amp;IF(MATCHED!BB36=22,MATCHED!$W36,IF(MATCHED!BB36=23,MATCHED!$X36,IF(MATCHED!BB36=24,MATCHED!$Y36,IF(MATCHED!BB36=25,MATCHED!$Z36,IF(MATCHED!BB36=26,MATCHED!$AA36,IF(MATCHED!BB36=27,MATCHED!$AB36,"."))))))</f>
        <v>#N/A</v>
      </c>
      <c r="AA36" s="370" t="e">
        <f>IF(MATCHED!BC36=1,MATCHED!$B36,IF(MATCHED!BC36=2,MATCHED!$C36,IF(MATCHED!BC36=3,MATCHED!$D36,IF(MATCHED!BC36=4,MATCHED!$E36,IF(MATCHED!BC36=3,MATCHED!$F36,IF(MATCHED!BC36=6,MATCHED!$G36,IF(MATCHED!BC36=7,MATCHED!$H36,"")))))))&amp;IF(MATCHED!BC36=8,MATCHED!$I36,IF(MATCHED!BC36=9,MATCHED!$J36,IF(MATCHED!BC36=10,MATCHED!$K36,IF(MATCHED!BC36=11,MATCHED!$L36,IF(MATCHED!BC36=12,MATCHED!$M36,IF(MATCHED!BC36=13,MATCHED!$N36,IF(MATCHED!BC36=14,MATCHED!$O36,"")))))))&amp;IF(MATCHED!BC36=15,MATCHED!$P36,IF(MATCHED!BC36=16,MATCHED!$Q36,IF(MATCHED!BC36=17,MATCHED!$R36,IF(MATCHED!BC36=18,MATCHED!$S36,IF(MATCHED!BC36=19,MATCHED!$T36,IF(MATCHED!BC36=20,MATCHED!$U36,IF(MATCHED!BC36=21,MATCHED!$V36,)))))))&amp;IF(MATCHED!BC36=22,MATCHED!$W36,IF(MATCHED!BC36=23,MATCHED!$X36,IF(MATCHED!BC36=24,MATCHED!$Y36,IF(MATCHED!BC36=25,MATCHED!$Z36,IF(MATCHED!BC36=26,MATCHED!$AA36,IF(MATCHED!BC36=27,MATCHED!$AB36,"."))))))</f>
        <v>#N/A</v>
      </c>
      <c r="AB36" s="370" t="e">
        <f>IF(MATCHED!BD36=1,MATCHED!$B36,IF(MATCHED!BD36=2,MATCHED!$C36,IF(MATCHED!BD36=3,MATCHED!$D36,IF(MATCHED!BD36=4,MATCHED!$E36,IF(MATCHED!BD36=3,MATCHED!$F36,IF(MATCHED!BD36=6,MATCHED!$G36,IF(MATCHED!BD36=7,MATCHED!$H36,"")))))))&amp;IF(MATCHED!BD36=8,MATCHED!$I36,IF(MATCHED!BD36=9,MATCHED!$J36,IF(MATCHED!BD36=10,MATCHED!$K36,IF(MATCHED!BD36=11,MATCHED!$L36,IF(MATCHED!BD36=12,MATCHED!$M36,IF(MATCHED!BD36=13,MATCHED!$N36,IF(MATCHED!BD36=14,MATCHED!$O36,"")))))))&amp;IF(MATCHED!BD36=15,MATCHED!$P36,IF(MATCHED!BD36=16,MATCHED!$Q36,IF(MATCHED!BD36=17,MATCHED!$R36,IF(MATCHED!BD36=18,MATCHED!$S36,IF(MATCHED!BD36=19,MATCHED!$T36,IF(MATCHED!BD36=20,MATCHED!$U36,IF(MATCHED!BD36=21,MATCHED!$V36,)))))))&amp;IF(MATCHED!BD36=22,MATCHED!$W36,IF(MATCHED!BD36=23,MATCHED!$X36,IF(MATCHED!BD36=24,MATCHED!$Y36,IF(MATCHED!BD36=25,MATCHED!$Z36,IF(MATCHED!BD36=26,MATCHED!$AA36,IF(MATCHED!BD36=27,MATCHED!$AB36,"."))))))</f>
        <v>#N/A</v>
      </c>
      <c r="AC36" s="370" t="e">
        <f>IF(MATCHED!BE36=1,MATCHED!$B36,IF(MATCHED!BE36=2,MATCHED!$C36,IF(MATCHED!BE36=3,MATCHED!$D36,IF(MATCHED!BE36=4,MATCHED!$E36,IF(MATCHED!BE36=3,MATCHED!$F36,IF(MATCHED!BE36=6,MATCHED!$G36,IF(MATCHED!BE36=7,MATCHED!$H36,"")))))))&amp;IF(MATCHED!BE36=8,MATCHED!$I36,IF(MATCHED!BE36=9,MATCHED!$J36,IF(MATCHED!BE36=10,MATCHED!$K36,IF(MATCHED!BE36=11,MATCHED!$L36,IF(MATCHED!BE36=12,MATCHED!$M36,IF(MATCHED!BE36=13,MATCHED!$N36,IF(MATCHED!BE36=14,MATCHED!$O36,"")))))))&amp;IF(MATCHED!BE36=15,MATCHED!$P36,IF(MATCHED!BE36=16,MATCHED!$Q36,IF(MATCHED!BE36=17,MATCHED!$R36,IF(MATCHED!BE36=18,MATCHED!$S36,IF(MATCHED!BE36=19,MATCHED!$T36,IF(MATCHED!BE36=20,MATCHED!$U36,IF(MATCHED!BE36=21,MATCHED!$V36,)))))))&amp;IF(MATCHED!BE36=22,MATCHED!$W36,IF(MATCHED!BE36=23,MATCHED!$X36,IF(MATCHED!BE36=24,MATCHED!$Y36,IF(MATCHED!BE36=25,MATCHED!$Z36,IF(MATCHED!BE36=26,MATCHED!$AA36,IF(MATCHED!BE36=27,MATCHED!$AB36,"."))))))</f>
        <v>#N/A</v>
      </c>
      <c r="AD36" s="370" t="e">
        <f>IF(MATCHED!BF36=1,MATCHED!$B36,IF(MATCHED!BF36=2,MATCHED!$C36,IF(MATCHED!BF36=3,MATCHED!$D36,IF(MATCHED!BF36=4,MATCHED!$E36,IF(MATCHED!BF36=3,MATCHED!$F36,IF(MATCHED!BF36=6,MATCHED!$G36,IF(MATCHED!BF36=7,MATCHED!$H36,"")))))))&amp;IF(MATCHED!BF36=8,MATCHED!$I36,IF(MATCHED!BF36=9,MATCHED!$J36,IF(MATCHED!BF36=10,MATCHED!$K36,IF(MATCHED!BF36=11,MATCHED!$L36,IF(MATCHED!BF36=12,MATCHED!$M36,IF(MATCHED!BF36=13,MATCHED!$N36,IF(MATCHED!BF36=14,MATCHED!$O36,"")))))))&amp;IF(MATCHED!BF36=15,MATCHED!$P36,IF(MATCHED!BF36=16,MATCHED!$Q36,IF(MATCHED!BF36=17,MATCHED!$R36,IF(MATCHED!BF36=18,MATCHED!$S36,IF(MATCHED!BF36=19,MATCHED!$T36,IF(MATCHED!BF36=20,MATCHED!$U36,IF(MATCHED!BF36=21,MATCHED!$V36,)))))))&amp;IF(MATCHED!BF36=22,MATCHED!$W36,IF(MATCHED!BF36=23,MATCHED!$X36,IF(MATCHED!BF36=24,MATCHED!$Y36,IF(MATCHED!BF36=25,MATCHED!$Z36,IF(MATCHED!BF36=26,MATCHED!$AA36,IF(MATCHED!BF36=27,MATCHED!$AB36,"."))))))</f>
        <v>#N/A</v>
      </c>
      <c r="AE36" s="370" t="e">
        <f>IF(MATCHED!BG36=1,MATCHED!$B36,IF(MATCHED!BG36=2,MATCHED!$C36,IF(MATCHED!BG36=3,MATCHED!$D36,IF(MATCHED!BG36=4,MATCHED!$E36,IF(MATCHED!BG36=3,MATCHED!$F36,IF(MATCHED!BG36=6,MATCHED!$G36,IF(MATCHED!BG36=7,MATCHED!$H36,"")))))))&amp;IF(MATCHED!BG36=8,MATCHED!$I36,IF(MATCHED!BG36=9,MATCHED!$J36,IF(MATCHED!BG36=10,MATCHED!$K36,IF(MATCHED!BG36=11,MATCHED!$L36,IF(MATCHED!BG36=12,MATCHED!$M36,IF(MATCHED!BG36=13,MATCHED!$N36,IF(MATCHED!BG36=14,MATCHED!$O36,"")))))))&amp;IF(MATCHED!BG36=15,MATCHED!$P36,IF(MATCHED!BG36=16,MATCHED!$Q36,IF(MATCHED!BG36=17,MATCHED!$R36,IF(MATCHED!BG36=18,MATCHED!$S36,IF(MATCHED!BG36=19,MATCHED!$T36,IF(MATCHED!BG36=20,MATCHED!$U36,IF(MATCHED!BG36=21,MATCHED!$V36,)))))))&amp;IF(MATCHED!BG36=22,MATCHED!$W36,IF(MATCHED!BG36=23,MATCHED!$X36,IF(MATCHED!BG36=24,MATCHED!$Y36,IF(MATCHED!BG36=25,MATCHED!$Z36,IF(MATCHED!BG36=26,MATCHED!$AA36,IF(MATCHED!BG36=27,MATCHED!$AB36,"."))))))</f>
        <v>#N/A</v>
      </c>
      <c r="AF36" s="370" t="e">
        <f>IF(MATCHED!BH36=1,MATCHED!$B36,IF(MATCHED!BH36=2,MATCHED!$C36,IF(MATCHED!BH36=3,MATCHED!$D36,IF(MATCHED!BH36=4,MATCHED!$E36,IF(MATCHED!BH36=3,MATCHED!$F36,IF(MATCHED!BH36=6,MATCHED!$G36,IF(MATCHED!BH36=7,MATCHED!$H36,"")))))))&amp;IF(MATCHED!BH36=8,MATCHED!$I36,IF(MATCHED!BH36=9,MATCHED!$J36,IF(MATCHED!BH36=10,MATCHED!$K36,IF(MATCHED!BH36=11,MATCHED!$L36,IF(MATCHED!BH36=12,MATCHED!$M36,IF(MATCHED!BH36=13,MATCHED!$N36,IF(MATCHED!BH36=14,MATCHED!$O36,"")))))))&amp;IF(MATCHED!BH36=15,MATCHED!$P36,IF(MATCHED!BH36=16,MATCHED!$Q36,IF(MATCHED!BH36=17,MATCHED!$R36,IF(MATCHED!BH36=18,MATCHED!$S36,IF(MATCHED!BH36=19,MATCHED!$T36,IF(MATCHED!BH36=20,MATCHED!$U36,IF(MATCHED!BH36=21,MATCHED!$V36,)))))))&amp;IF(MATCHED!BH36=22,MATCHED!$W36,IF(MATCHED!BH36=23,MATCHED!$X36,IF(MATCHED!BH36=24,MATCHED!$Y36,IF(MATCHED!BH36=25,MATCHED!$Z36,IF(MATCHED!BH36=26,MATCHED!$AA36,IF(MATCHED!BH36=27,MATCHED!$AB36,"."))))))</f>
        <v>#N/A</v>
      </c>
      <c r="AG36" s="370" t="e">
        <f>IF(MATCHED!BI36=1,MATCHED!$B36,IF(MATCHED!BI36=2,MATCHED!$C36,IF(MATCHED!BI36=3,MATCHED!$D36,IF(MATCHED!BI36=4,MATCHED!$E36,IF(MATCHED!BI36=3,MATCHED!$F36,IF(MATCHED!BI36=6,MATCHED!$G36,IF(MATCHED!BI36=7,MATCHED!$H36,"")))))))&amp;IF(MATCHED!BI36=8,MATCHED!$I36,IF(MATCHED!BI36=9,MATCHED!$J36,IF(MATCHED!BI36=10,MATCHED!$K36,IF(MATCHED!BI36=11,MATCHED!$L36,IF(MATCHED!BI36=12,MATCHED!$M36,IF(MATCHED!BI36=13,MATCHED!$N36,IF(MATCHED!BI36=14,MATCHED!$O36,"")))))))&amp;IF(MATCHED!BI36=15,MATCHED!$P36,IF(MATCHED!BI36=16,MATCHED!$Q36,IF(MATCHED!BI36=17,MATCHED!$R36,IF(MATCHED!BI36=18,MATCHED!$S36,IF(MATCHED!BI36=19,MATCHED!$T36,IF(MATCHED!BI36=20,MATCHED!$U36,IF(MATCHED!BI36=21,MATCHED!$V36,)))))))&amp;IF(MATCHED!BI36=22,MATCHED!$W36,IF(MATCHED!BI36=23,MATCHED!$X36,IF(MATCHED!BI36=24,MATCHED!$Y36,IF(MATCHED!BI36=25,MATCHED!$Z36,IF(MATCHED!BI36=26,MATCHED!$AA36,IF(MATCHED!BI36=27,MATCHED!$AB36,"."))))))</f>
        <v>#N/A</v>
      </c>
      <c r="AH36" s="370" t="e">
        <f>IF(MATCHED!BJ36=1,MATCHED!$B36,IF(MATCHED!BJ36=2,MATCHED!$C36,IF(MATCHED!BJ36=3,MATCHED!$D36,IF(MATCHED!BJ36=4,MATCHED!$E36,IF(MATCHED!BJ36=3,MATCHED!$F36,IF(MATCHED!BJ36=6,MATCHED!$G36,IF(MATCHED!BJ36=7,MATCHED!$H36,"")))))))&amp;IF(MATCHED!BJ36=8,MATCHED!$I36,IF(MATCHED!BJ36=9,MATCHED!$J36,IF(MATCHED!BJ36=10,MATCHED!$K36,IF(MATCHED!BJ36=11,MATCHED!$L36,IF(MATCHED!BJ36=12,MATCHED!$M36,IF(MATCHED!BJ36=13,MATCHED!$N36,IF(MATCHED!BJ36=14,MATCHED!$O36,"")))))))&amp;IF(MATCHED!BJ36=15,MATCHED!$P36,IF(MATCHED!BJ36=16,MATCHED!$Q36,IF(MATCHED!BJ36=17,MATCHED!$R36,IF(MATCHED!BJ36=18,MATCHED!$S36,IF(MATCHED!BJ36=19,MATCHED!$T36,IF(MATCHED!BJ36=20,MATCHED!$U36,IF(MATCHED!BJ36=21,MATCHED!$V36,)))))))&amp;IF(MATCHED!BJ36=22,MATCHED!$W36,IF(MATCHED!BJ36=23,MATCHED!$X36,IF(MATCHED!BJ36=24,MATCHED!$Y36,IF(MATCHED!BJ36=25,MATCHED!$Z36,IF(MATCHED!BJ36=26,MATCHED!$AA36,IF(MATCHED!BJ36=27,MATCHED!$AB36,"."))))))</f>
        <v>#N/A</v>
      </c>
      <c r="AI36" s="370" t="e">
        <f>IF(MATCHED!BK36=1,MATCHED!$B36,IF(MATCHED!BK36=2,MATCHED!$C36,IF(MATCHED!BK36=3,MATCHED!$D36,IF(MATCHED!BK36=4,MATCHED!$E36,IF(MATCHED!BK36=3,MATCHED!$F36,IF(MATCHED!BK36=6,MATCHED!$G36,IF(MATCHED!BK36=7,MATCHED!$H36,"")))))))&amp;IF(MATCHED!BK36=8,MATCHED!$I36,IF(MATCHED!BK36=9,MATCHED!$J36,IF(MATCHED!BK36=10,MATCHED!$K36,IF(MATCHED!BK36=11,MATCHED!$L36,IF(MATCHED!BK36=12,MATCHED!$M36,IF(MATCHED!BK36=13,MATCHED!$N36,IF(MATCHED!BK36=14,MATCHED!$O36,"")))))))&amp;IF(MATCHED!BK36=15,MATCHED!$P36,IF(MATCHED!BK36=16,MATCHED!$Q36,IF(MATCHED!BK36=17,MATCHED!$R36,IF(MATCHED!BK36=18,MATCHED!$S36,IF(MATCHED!BK36=19,MATCHED!$T36,IF(MATCHED!BK36=20,MATCHED!$U36,IF(MATCHED!BK36=21,MATCHED!$V36,)))))))&amp;IF(MATCHED!BK36=22,MATCHED!$W36,IF(MATCHED!BK36=23,MATCHED!$X36,IF(MATCHED!BK36=24,MATCHED!$Y36,IF(MATCHED!BK36=25,MATCHED!$Z36,IF(MATCHED!BK36=26,MATCHED!$AA36,IF(MATCHED!BK36=27,MATCHED!$AB36,"."))))))</f>
        <v>#N/A</v>
      </c>
      <c r="AJ36" s="535"/>
    </row>
    <row r="37" spans="1:36" s="338" customFormat="1" ht="15.6" thickBot="1" x14ac:dyDescent="0.3">
      <c r="A37" s="535"/>
      <c r="B37" s="372" t="e">
        <f>IF(MATCHED!AD37=1,MATCHED!$B37,IF(MATCHED!AD37=2,MATCHED!$C37,IF(MATCHED!AD37=3,MATCHED!$D37,IF(MATCHED!AD37=4,MATCHED!$E37,IF(MATCHED!AD37=3,MATCHED!$F37,IF(MATCHED!AD37=6,MATCHED!$G37,IF(MATCHED!AD37=7,MATCHED!$H37,"")))))))&amp;IF(MATCHED!AD37=8,MATCHED!$I37,IF(MATCHED!AD37=9,MATCHED!$J37,IF(MATCHED!AD37=10,MATCHED!$K37,IF(MATCHED!AD37=11,MATCHED!$L37,IF(MATCHED!AD37=12,MATCHED!$M37,IF(MATCHED!AD37=13,MATCHED!$N37,IF(MATCHED!AD37=14,MATCHED!$O37,"")))))))&amp;IF(MATCHED!AD37=15,MATCHED!$P37,IF(MATCHED!AD37=16,MATCHED!$Q37,IF(MATCHED!AD37=17,MATCHED!$R37,IF(MATCHED!AD37=18,MATCHED!$S37,IF(MATCHED!AD37=19,MATCHED!$T37,IF(MATCHED!AD37=20,MATCHED!$U37,IF(MATCHED!AD37=21,MATCHED!$V37,)))))))&amp;IF(MATCHED!AD37=22,MATCHED!$W37,IF(MATCHED!AD37=23,MATCHED!$X37,IF(MATCHED!AD37=24,MATCHED!$Y37,IF(MATCHED!AD37=25,MATCHED!$Z37,IF(MATCHED!AD37=26,MATCHED!$AA37,IF(MATCHED!AD37=27,MATCHED!$AB37,"."))))))</f>
        <v>#N/A</v>
      </c>
      <c r="C37" s="373" t="e">
        <f>IF(MATCHED!AE37=1,MATCHED!$B37,IF(MATCHED!AE37=2,MATCHED!$C37,IF(MATCHED!AE37=3,MATCHED!$D37,IF(MATCHED!AE37=4,MATCHED!$E37,IF(MATCHED!AE37=3,MATCHED!$F37,IF(MATCHED!AE37=6,MATCHED!$G37,IF(MATCHED!AE37=7,MATCHED!$H37,"")))))))&amp;IF(MATCHED!AE37=8,MATCHED!$I37,IF(MATCHED!AE37=9,MATCHED!$J37,IF(MATCHED!AE37=10,MATCHED!$K37,IF(MATCHED!AE37=11,MATCHED!$L37,IF(MATCHED!AE37=12,MATCHED!$M37,IF(MATCHED!AE37=13,MATCHED!$N37,IF(MATCHED!AE37=14,MATCHED!$O37,"")))))))&amp;IF(MATCHED!AE37=15,MATCHED!$P37,IF(MATCHED!AE37=16,MATCHED!$Q37,IF(MATCHED!AE37=17,MATCHED!$R37,IF(MATCHED!AE37=18,MATCHED!$S37,IF(MATCHED!AE37=19,MATCHED!$T37,IF(MATCHED!AE37=20,MATCHED!$U37,IF(MATCHED!AE37=21,MATCHED!$V37,)))))))&amp;IF(MATCHED!AE37=22,MATCHED!$W37,IF(MATCHED!AE37=23,MATCHED!$X37,IF(MATCHED!AE37=24,MATCHED!$Y37,IF(MATCHED!AE37=25,MATCHED!$Z37,IF(MATCHED!AE37=26,MATCHED!$AA37,IF(MATCHED!AE37=27,MATCHED!$AB37,"."))))))</f>
        <v>#N/A</v>
      </c>
      <c r="D37" s="373" t="e">
        <f>IF(MATCHED!AF37=1,MATCHED!$B37,IF(MATCHED!AF37=2,MATCHED!$C37,IF(MATCHED!AF37=3,MATCHED!$D37,IF(MATCHED!AF37=4,MATCHED!$E37,IF(MATCHED!AF37=3,MATCHED!$F37,IF(MATCHED!AF37=6,MATCHED!$G37,IF(MATCHED!AF37=7,MATCHED!$H37,"")))))))&amp;IF(MATCHED!AF37=8,MATCHED!$I37,IF(MATCHED!AF37=9,MATCHED!$J37,IF(MATCHED!AF37=10,MATCHED!$K37,IF(MATCHED!AF37=11,MATCHED!$L37,IF(MATCHED!AF37=12,MATCHED!$M37,IF(MATCHED!AF37=13,MATCHED!$N37,IF(MATCHED!AF37=14,MATCHED!$O37,"")))))))&amp;IF(MATCHED!AF37=15,MATCHED!$P37,IF(MATCHED!AF37=16,MATCHED!$Q37,IF(MATCHED!AF37=17,MATCHED!$R37,IF(MATCHED!AF37=18,MATCHED!$S37,IF(MATCHED!AF37=19,MATCHED!$T37,IF(MATCHED!AF37=20,MATCHED!$U37,IF(MATCHED!AF37=21,MATCHED!$V37,)))))))&amp;IF(MATCHED!AF37=22,MATCHED!$W37,IF(MATCHED!AF37=23,MATCHED!$X37,IF(MATCHED!AF37=24,MATCHED!$Y37,IF(MATCHED!AF37=25,MATCHED!$Z37,IF(MATCHED!AF37=26,MATCHED!$AA37,IF(MATCHED!AF37=27,MATCHED!$AB37,"."))))))</f>
        <v>#N/A</v>
      </c>
      <c r="E37" s="373" t="e">
        <f>IF(MATCHED!AG37=1,MATCHED!$B37,IF(MATCHED!AG37=2,MATCHED!$C37,IF(MATCHED!AG37=3,MATCHED!$D37,IF(MATCHED!AG37=4,MATCHED!$E37,IF(MATCHED!AG37=3,MATCHED!$F37,IF(MATCHED!AG37=6,MATCHED!$G37,IF(MATCHED!AG37=7,MATCHED!$H37,"")))))))&amp;IF(MATCHED!AG37=8,MATCHED!$I37,IF(MATCHED!AG37=9,MATCHED!$J37,IF(MATCHED!AG37=10,MATCHED!$K37,IF(MATCHED!AG37=11,MATCHED!$L37,IF(MATCHED!AG37=12,MATCHED!$M37,IF(MATCHED!AG37=13,MATCHED!$N37,IF(MATCHED!AG37=14,MATCHED!$O37,"")))))))&amp;IF(MATCHED!AG37=15,MATCHED!$P37,IF(MATCHED!AG37=16,MATCHED!$Q37,IF(MATCHED!AG37=17,MATCHED!$R37,IF(MATCHED!AG37=18,MATCHED!$S37,IF(MATCHED!AG37=19,MATCHED!$T37,IF(MATCHED!AG37=20,MATCHED!$U37,IF(MATCHED!AG37=21,MATCHED!$V37,)))))))&amp;IF(MATCHED!AG37=22,MATCHED!$W37,IF(MATCHED!AG37=23,MATCHED!$X37,IF(MATCHED!AG37=24,MATCHED!$Y37,IF(MATCHED!AG37=25,MATCHED!$Z37,IF(MATCHED!AG37=26,MATCHED!$AA37,IF(MATCHED!AG37=27,MATCHED!$AB37,"."))))))</f>
        <v>#N/A</v>
      </c>
      <c r="F37" s="373" t="e">
        <f>IF(MATCHED!AH37=1,MATCHED!$B37,IF(MATCHED!AH37=2,MATCHED!$C37,IF(MATCHED!AH37=3,MATCHED!$D37,IF(MATCHED!AH37=4,MATCHED!$E37,IF(MATCHED!AH37=3,MATCHED!$F37,IF(MATCHED!AH37=6,MATCHED!$G37,IF(MATCHED!AH37=7,MATCHED!$H37,"")))))))&amp;IF(MATCHED!AH37=8,MATCHED!$I37,IF(MATCHED!AH37=9,MATCHED!$J37,IF(MATCHED!AH37=10,MATCHED!$K37,IF(MATCHED!AH37=11,MATCHED!$L37,IF(MATCHED!AH37=12,MATCHED!$M37,IF(MATCHED!AH37=13,MATCHED!$N37,IF(MATCHED!AH37=14,MATCHED!$O37,"")))))))&amp;IF(MATCHED!AH37=15,MATCHED!$P37,IF(MATCHED!AH37=16,MATCHED!$Q37,IF(MATCHED!AH37=17,MATCHED!$R37,IF(MATCHED!AH37=18,MATCHED!$S37,IF(MATCHED!AH37=19,MATCHED!$T37,IF(MATCHED!AH37=20,MATCHED!$U37,IF(MATCHED!AH37=21,MATCHED!$V37,)))))))&amp;IF(MATCHED!AH37=22,MATCHED!$W37,IF(MATCHED!AH37=23,MATCHED!$X37,IF(MATCHED!AH37=24,MATCHED!$Y37,IF(MATCHED!AH37=25,MATCHED!$Z37,IF(MATCHED!AH37=26,MATCHED!$AA37,IF(MATCHED!AH37=27,MATCHED!$AB37,"."))))))</f>
        <v>#N/A</v>
      </c>
      <c r="G37" s="373" t="e">
        <f>IF(MATCHED!AI37=1,MATCHED!$B37,IF(MATCHED!AI37=2,MATCHED!$C37,IF(MATCHED!AI37=3,MATCHED!$D37,IF(MATCHED!AI37=4,MATCHED!$E37,IF(MATCHED!AI37=3,MATCHED!$F37,IF(MATCHED!AI37=6,MATCHED!$G37,IF(MATCHED!AI37=7,MATCHED!$H37,"")))))))&amp;IF(MATCHED!AI37=8,MATCHED!$I37,IF(MATCHED!AI37=9,MATCHED!$J37,IF(MATCHED!AI37=10,MATCHED!$K37,IF(MATCHED!AI37=11,MATCHED!$L37,IF(MATCHED!AI37=12,MATCHED!$M37,IF(MATCHED!AI37=13,MATCHED!$N37,IF(MATCHED!AI37=14,MATCHED!$O37,"")))))))&amp;IF(MATCHED!AI37=15,MATCHED!$P37,IF(MATCHED!AI37=16,MATCHED!$Q37,IF(MATCHED!AI37=17,MATCHED!$R37,IF(MATCHED!AI37=18,MATCHED!$S37,IF(MATCHED!AI37=19,MATCHED!$T37,IF(MATCHED!AI37=20,MATCHED!$U37,IF(MATCHED!AI37=21,MATCHED!$V37,)))))))&amp;IF(MATCHED!AI37=22,MATCHED!$W37,IF(MATCHED!AI37=23,MATCHED!$X37,IF(MATCHED!AI37=24,MATCHED!$Y37,IF(MATCHED!AI37=25,MATCHED!$Z37,IF(MATCHED!AI37=26,MATCHED!$AA37,IF(MATCHED!AI37=27,MATCHED!$AB37,"."))))))</f>
        <v>#N/A</v>
      </c>
      <c r="H37" s="373" t="e">
        <f>IF(MATCHED!AJ37=1,MATCHED!$B37,IF(MATCHED!AJ37=2,MATCHED!$C37,IF(MATCHED!AJ37=3,MATCHED!$D37,IF(MATCHED!AJ37=4,MATCHED!$E37,IF(MATCHED!AJ37=3,MATCHED!$F37,IF(MATCHED!AJ37=6,MATCHED!$G37,IF(MATCHED!AJ37=7,MATCHED!$H37,"")))))))&amp;IF(MATCHED!AJ37=8,MATCHED!$I37,IF(MATCHED!AJ37=9,MATCHED!$J37,IF(MATCHED!AJ37=10,MATCHED!$K37,IF(MATCHED!AJ37=11,MATCHED!$L37,IF(MATCHED!AJ37=12,MATCHED!$M37,IF(MATCHED!AJ37=13,MATCHED!$N37,IF(MATCHED!AJ37=14,MATCHED!$O37,"")))))))&amp;IF(MATCHED!AJ37=15,MATCHED!$P37,IF(MATCHED!AJ37=16,MATCHED!$Q37,IF(MATCHED!AJ37=17,MATCHED!$R37,IF(MATCHED!AJ37=18,MATCHED!$S37,IF(MATCHED!AJ37=19,MATCHED!$T37,IF(MATCHED!AJ37=20,MATCHED!$U37,IF(MATCHED!AJ37=21,MATCHED!$V37,)))))))&amp;IF(MATCHED!AJ37=22,MATCHED!$W37,IF(MATCHED!AJ37=23,MATCHED!$X37,IF(MATCHED!AJ37=24,MATCHED!$Y37,IF(MATCHED!AJ37=25,MATCHED!$Z37,IF(MATCHED!AJ37=26,MATCHED!$AA37,IF(MATCHED!AJ37=27,MATCHED!$AB37,"."))))))</f>
        <v>#N/A</v>
      </c>
      <c r="I37" s="373" t="e">
        <f>IF(MATCHED!AK37=1,MATCHED!$B37,IF(MATCHED!AK37=2,MATCHED!$C37,IF(MATCHED!AK37=3,MATCHED!$D37,IF(MATCHED!AK37=4,MATCHED!$E37,IF(MATCHED!AK37=3,MATCHED!$F37,IF(MATCHED!AK37=6,MATCHED!$G37,IF(MATCHED!AK37=7,MATCHED!$H37,"")))))))&amp;IF(MATCHED!AK37=8,MATCHED!$I37,IF(MATCHED!AK37=9,MATCHED!$J37,IF(MATCHED!AK37=10,MATCHED!$K37,IF(MATCHED!AK37=11,MATCHED!$L37,IF(MATCHED!AK37=12,MATCHED!$M37,IF(MATCHED!AK37=13,MATCHED!$N37,IF(MATCHED!AK37=14,MATCHED!$O37,"")))))))&amp;IF(MATCHED!AK37=15,MATCHED!$P37,IF(MATCHED!AK37=16,MATCHED!$Q37,IF(MATCHED!AK37=17,MATCHED!$R37,IF(MATCHED!AK37=18,MATCHED!$S37,IF(MATCHED!AK37=19,MATCHED!$T37,IF(MATCHED!AK37=20,MATCHED!$U37,IF(MATCHED!AK37=21,MATCHED!$V37,)))))))&amp;IF(MATCHED!AK37=22,MATCHED!$W37,IF(MATCHED!AK37=23,MATCHED!$X37,IF(MATCHED!AK37=24,MATCHED!$Y37,IF(MATCHED!AK37=25,MATCHED!$Z37,IF(MATCHED!AK37=26,MATCHED!$AA37,IF(MATCHED!AK37=27,MATCHED!$AB37,"."))))))</f>
        <v>#N/A</v>
      </c>
      <c r="J37" s="373" t="e">
        <f>IF(MATCHED!AL37=1,MATCHED!$B37,IF(MATCHED!AL37=2,MATCHED!$C37,IF(MATCHED!AL37=3,MATCHED!$D37,IF(MATCHED!AL37=4,MATCHED!$E37,IF(MATCHED!AL37=3,MATCHED!$F37,IF(MATCHED!AL37=6,MATCHED!$G37,IF(MATCHED!AL37=7,MATCHED!$H37,"")))))))&amp;IF(MATCHED!AL37=8,MATCHED!$I37,IF(MATCHED!AL37=9,MATCHED!$J37,IF(MATCHED!AL37=10,MATCHED!$K37,IF(MATCHED!AL37=11,MATCHED!$L37,IF(MATCHED!AL37=12,MATCHED!$M37,IF(MATCHED!AL37=13,MATCHED!$N37,IF(MATCHED!AL37=14,MATCHED!$O37,"")))))))&amp;IF(MATCHED!AL37=15,MATCHED!$P37,IF(MATCHED!AL37=16,MATCHED!$Q37,IF(MATCHED!AL37=17,MATCHED!$R37,IF(MATCHED!AL37=18,MATCHED!$S37,IF(MATCHED!AL37=19,MATCHED!$T37,IF(MATCHED!AL37=20,MATCHED!$U37,IF(MATCHED!AL37=21,MATCHED!$V37,)))))))&amp;IF(MATCHED!AL37=22,MATCHED!$W37,IF(MATCHED!AL37=23,MATCHED!$X37,IF(MATCHED!AL37=24,MATCHED!$Y37,IF(MATCHED!AL37=25,MATCHED!$Z37,IF(MATCHED!AL37=26,MATCHED!$AA37,IF(MATCHED!AL37=27,MATCHED!$AB37,"."))))))</f>
        <v>#N/A</v>
      </c>
      <c r="K37" s="373" t="e">
        <f>IF(MATCHED!AM37=1,MATCHED!$B37,IF(MATCHED!AM37=2,MATCHED!$C37,IF(MATCHED!AM37=3,MATCHED!$D37,IF(MATCHED!AM37=4,MATCHED!$E37,IF(MATCHED!AM37=3,MATCHED!$F37,IF(MATCHED!AM37=6,MATCHED!$G37,IF(MATCHED!AM37=7,MATCHED!$H37,"")))))))&amp;IF(MATCHED!AM37=8,MATCHED!$I37,IF(MATCHED!AM37=9,MATCHED!$J37,IF(MATCHED!AM37=10,MATCHED!$K37,IF(MATCHED!AM37=11,MATCHED!$L37,IF(MATCHED!AM37=12,MATCHED!$M37,IF(MATCHED!AM37=13,MATCHED!$N37,IF(MATCHED!AM37=14,MATCHED!$O37,"")))))))&amp;IF(MATCHED!AM37=15,MATCHED!$P37,IF(MATCHED!AM37=16,MATCHED!$Q37,IF(MATCHED!AM37=17,MATCHED!$R37,IF(MATCHED!AM37=18,MATCHED!$S37,IF(MATCHED!AM37=19,MATCHED!$T37,IF(MATCHED!AM37=20,MATCHED!$U37,IF(MATCHED!AM37=21,MATCHED!$V37,)))))))&amp;IF(MATCHED!AM37=22,MATCHED!$W37,IF(MATCHED!AM37=23,MATCHED!$X37,IF(MATCHED!AM37=24,MATCHED!$Y37,IF(MATCHED!AM37=25,MATCHED!$Z37,IF(MATCHED!AM37=26,MATCHED!$AA37,IF(MATCHED!AM37=27,MATCHED!$AB37,"."))))))</f>
        <v>#N/A</v>
      </c>
      <c r="L37" s="373" t="e">
        <f>IF(MATCHED!AN37=1,MATCHED!$B37,IF(MATCHED!AN37=2,MATCHED!$C37,IF(MATCHED!AN37=3,MATCHED!$D37,IF(MATCHED!AN37=4,MATCHED!$E37,IF(MATCHED!AN37=3,MATCHED!$F37,IF(MATCHED!AN37=6,MATCHED!$G37,IF(MATCHED!AN37=7,MATCHED!$H37,"")))))))&amp;IF(MATCHED!AN37=8,MATCHED!$I37,IF(MATCHED!AN37=9,MATCHED!$J37,IF(MATCHED!AN37=10,MATCHED!$K37,IF(MATCHED!AN37=11,MATCHED!$L37,IF(MATCHED!AN37=12,MATCHED!$M37,IF(MATCHED!AN37=13,MATCHED!$N37,IF(MATCHED!AN37=14,MATCHED!$O37,"")))))))&amp;IF(MATCHED!AN37=15,MATCHED!$P37,IF(MATCHED!AN37=16,MATCHED!$Q37,IF(MATCHED!AN37=17,MATCHED!$R37,IF(MATCHED!AN37=18,MATCHED!$S37,IF(MATCHED!AN37=19,MATCHED!$T37,IF(MATCHED!AN37=20,MATCHED!$U37,IF(MATCHED!AN37=21,MATCHED!$V37,)))))))&amp;IF(MATCHED!AN37=22,MATCHED!$W37,IF(MATCHED!AN37=23,MATCHED!$X37,IF(MATCHED!AN37=24,MATCHED!$Y37,IF(MATCHED!AN37=25,MATCHED!$Z37,IF(MATCHED!AN37=26,MATCHED!$AA37,IF(MATCHED!AN37=27,MATCHED!$AB37,"."))))))</f>
        <v>#N/A</v>
      </c>
      <c r="M37" s="373" t="e">
        <f>IF(MATCHED!AO37=1,MATCHED!$B37,IF(MATCHED!AO37=2,MATCHED!$C37,IF(MATCHED!AO37=3,MATCHED!$D37,IF(MATCHED!AO37=4,MATCHED!$E37,IF(MATCHED!AO37=3,MATCHED!$F37,IF(MATCHED!AO37=6,MATCHED!$G37,IF(MATCHED!AO37=7,MATCHED!$H37,"")))))))&amp;IF(MATCHED!AO37=8,MATCHED!$I37,IF(MATCHED!AO37=9,MATCHED!$J37,IF(MATCHED!AO37=10,MATCHED!$K37,IF(MATCHED!AO37=11,MATCHED!$L37,IF(MATCHED!AO37=12,MATCHED!$M37,IF(MATCHED!AO37=13,MATCHED!$N37,IF(MATCHED!AO37=14,MATCHED!$O37,"")))))))&amp;IF(MATCHED!AO37=15,MATCHED!$P37,IF(MATCHED!AO37=16,MATCHED!$Q37,IF(MATCHED!AO37=17,MATCHED!$R37,IF(MATCHED!AO37=18,MATCHED!$S37,IF(MATCHED!AO37=19,MATCHED!$T37,IF(MATCHED!AO37=20,MATCHED!$U37,IF(MATCHED!AO37=21,MATCHED!$V37,)))))))&amp;IF(MATCHED!AO37=22,MATCHED!$W37,IF(MATCHED!AO37=23,MATCHED!$X37,IF(MATCHED!AO37=24,MATCHED!$Y37,IF(MATCHED!AO37=25,MATCHED!$Z37,IF(MATCHED!AO37=26,MATCHED!$AA37,IF(MATCHED!AO37=27,MATCHED!$AB37,"."))))))</f>
        <v>#N/A</v>
      </c>
      <c r="N37" s="373" t="e">
        <f>IF(MATCHED!AP37=1,MATCHED!$B37,IF(MATCHED!AP37=2,MATCHED!$C37,IF(MATCHED!AP37=3,MATCHED!$D37,IF(MATCHED!AP37=4,MATCHED!$E37,IF(MATCHED!AP37=3,MATCHED!$F37,IF(MATCHED!AP37=6,MATCHED!$G37,IF(MATCHED!AP37=7,MATCHED!$H37,"")))))))&amp;IF(MATCHED!AP37=8,MATCHED!$I37,IF(MATCHED!AP37=9,MATCHED!$J37,IF(MATCHED!AP37=10,MATCHED!$K37,IF(MATCHED!AP37=11,MATCHED!$L37,IF(MATCHED!AP37=12,MATCHED!$M37,IF(MATCHED!AP37=13,MATCHED!$N37,IF(MATCHED!AP37=14,MATCHED!$O37,"")))))))&amp;IF(MATCHED!AP37=15,MATCHED!$P37,IF(MATCHED!AP37=16,MATCHED!$Q37,IF(MATCHED!AP37=17,MATCHED!$R37,IF(MATCHED!AP37=18,MATCHED!$S37,IF(MATCHED!AP37=19,MATCHED!$T37,IF(MATCHED!AP37=20,MATCHED!$U37,IF(MATCHED!AP37=21,MATCHED!$V37,)))))))&amp;IF(MATCHED!AP37=22,MATCHED!$W37,IF(MATCHED!AP37=23,MATCHED!$X37,IF(MATCHED!AP37=24,MATCHED!$Y37,IF(MATCHED!AP37=25,MATCHED!$Z37,IF(MATCHED!AP37=26,MATCHED!$AA37,IF(MATCHED!AP37=27,MATCHED!$AB37,"."))))))</f>
        <v>#N/A</v>
      </c>
      <c r="O37" s="373" t="e">
        <f>IF(MATCHED!AQ37=1,MATCHED!$B37,IF(MATCHED!AQ37=2,MATCHED!$C37,IF(MATCHED!AQ37=3,MATCHED!$D37,IF(MATCHED!AQ37=4,MATCHED!$E37,IF(MATCHED!AQ37=3,MATCHED!$F37,IF(MATCHED!AQ37=6,MATCHED!$G37,IF(MATCHED!AQ37=7,MATCHED!$H37,"")))))))&amp;IF(MATCHED!AQ37=8,MATCHED!$I37,IF(MATCHED!AQ37=9,MATCHED!$J37,IF(MATCHED!AQ37=10,MATCHED!$K37,IF(MATCHED!AQ37=11,MATCHED!$L37,IF(MATCHED!AQ37=12,MATCHED!$M37,IF(MATCHED!AQ37=13,MATCHED!$N37,IF(MATCHED!AQ37=14,MATCHED!$O37,"")))))))&amp;IF(MATCHED!AQ37=15,MATCHED!$P37,IF(MATCHED!AQ37=16,MATCHED!$Q37,IF(MATCHED!AQ37=17,MATCHED!$R37,IF(MATCHED!AQ37=18,MATCHED!$S37,IF(MATCHED!AQ37=19,MATCHED!$T37,IF(MATCHED!AQ37=20,MATCHED!$U37,IF(MATCHED!AQ37=21,MATCHED!$V37,)))))))&amp;IF(MATCHED!AQ37=22,MATCHED!$W37,IF(MATCHED!AQ37=23,MATCHED!$X37,IF(MATCHED!AQ37=24,MATCHED!$Y37,IF(MATCHED!AQ37=25,MATCHED!$Z37,IF(MATCHED!AQ37=26,MATCHED!$AA37,IF(MATCHED!AQ37=27,MATCHED!$AB37,"."))))))</f>
        <v>#N/A</v>
      </c>
      <c r="P37" s="373" t="e">
        <f>IF(MATCHED!AR37=1,MATCHED!$B37,IF(MATCHED!AR37=2,MATCHED!$C37,IF(MATCHED!AR37=3,MATCHED!$D37,IF(MATCHED!AR37=4,MATCHED!$E37,IF(MATCHED!AR37=3,MATCHED!$F37,IF(MATCHED!AR37=6,MATCHED!$G37,IF(MATCHED!AR37=7,MATCHED!$H37,"")))))))&amp;IF(MATCHED!AR37=8,MATCHED!$I37,IF(MATCHED!AR37=9,MATCHED!$J37,IF(MATCHED!AR37=10,MATCHED!$K37,IF(MATCHED!AR37=11,MATCHED!$L37,IF(MATCHED!AR37=12,MATCHED!$M37,IF(MATCHED!AR37=13,MATCHED!$N37,IF(MATCHED!AR37=14,MATCHED!$O37,"")))))))&amp;IF(MATCHED!AR37=15,MATCHED!$P37,IF(MATCHED!AR37=16,MATCHED!$Q37,IF(MATCHED!AR37=17,MATCHED!$R37,IF(MATCHED!AR37=18,MATCHED!$S37,IF(MATCHED!AR37=19,MATCHED!$T37,IF(MATCHED!AR37=20,MATCHED!$U37,IF(MATCHED!AR37=21,MATCHED!$V37,)))))))&amp;IF(MATCHED!AR37=22,MATCHED!$W37,IF(MATCHED!AR37=23,MATCHED!$X37,IF(MATCHED!AR37=24,MATCHED!$Y37,IF(MATCHED!AR37=25,MATCHED!$Z37,IF(MATCHED!AR37=26,MATCHED!$AA37,IF(MATCHED!AR37=27,MATCHED!$AB37,"."))))))</f>
        <v>#N/A</v>
      </c>
      <c r="Q37" s="374" t="e">
        <f>IF(MATCHED!AS37=1,MATCHED!$B37,IF(MATCHED!AS37=2,MATCHED!$C37,IF(MATCHED!AS37=3,MATCHED!$D37,IF(MATCHED!AS37=4,MATCHED!$E37,IF(MATCHED!AS37=3,MATCHED!$F37,IF(MATCHED!AS37=6,MATCHED!$G37,IF(MATCHED!AS37=7,MATCHED!$H37,"")))))))&amp;IF(MATCHED!AS37=8,MATCHED!$I37,IF(MATCHED!AS37=9,MATCHED!$J37,IF(MATCHED!AS37=10,MATCHED!$K37,IF(MATCHED!AS37=11,MATCHED!$L37,IF(MATCHED!AS37=12,MATCHED!$M37,IF(MATCHED!AS37=13,MATCHED!$N37,IF(MATCHED!AS37=14,MATCHED!$O37,"")))))))&amp;IF(MATCHED!AS37=15,MATCHED!$P37,IF(MATCHED!AS37=16,MATCHED!$Q37,IF(MATCHED!AS37=17,MATCHED!$R37,IF(MATCHED!AS37=18,MATCHED!$S37,IF(MATCHED!AS37=19,MATCHED!$T37,IF(MATCHED!AS37=20,MATCHED!$U37,IF(MATCHED!AS37=21,MATCHED!$V37,)))))))&amp;IF(MATCHED!AS37=22,MATCHED!$W37,IF(MATCHED!AS37=23,MATCHED!$X37,IF(MATCHED!AS37=24,MATCHED!$Y37,IF(MATCHED!AS37=25,MATCHED!$Z37,IF(MATCHED!AS37=26,MATCHED!$AA37,IF(MATCHED!AS37=27,MATCHED!$AB37,"."))))))</f>
        <v>#N/A</v>
      </c>
      <c r="R37" s="373" t="e">
        <f>IF(MATCHED!AT37=1,MATCHED!$B37,IF(MATCHED!AT37=2,MATCHED!$C37,IF(MATCHED!AT37=3,MATCHED!$D37,IF(MATCHED!AT37=4,MATCHED!$E37,IF(MATCHED!AT37=3,MATCHED!$F37,IF(MATCHED!AT37=6,MATCHED!$G37,IF(MATCHED!AT37=7,MATCHED!$H37,"")))))))&amp;IF(MATCHED!AT37=8,MATCHED!$I37,IF(MATCHED!AT37=9,MATCHED!$J37,IF(MATCHED!AT37=10,MATCHED!$K37,IF(MATCHED!AT37=11,MATCHED!$L37,IF(MATCHED!AT37=12,MATCHED!$M37,IF(MATCHED!AT37=13,MATCHED!$N37,IF(MATCHED!AT37=14,MATCHED!$O37,"")))))))&amp;IF(MATCHED!AT37=15,MATCHED!$P37,IF(MATCHED!AT37=16,MATCHED!$Q37,IF(MATCHED!AT37=17,MATCHED!$R37,IF(MATCHED!AT37=18,MATCHED!$S37,IF(MATCHED!AT37=19,MATCHED!$T37,IF(MATCHED!AT37=20,MATCHED!$U37,IF(MATCHED!AT37=21,MATCHED!$V37,)))))))&amp;IF(MATCHED!AT37=22,MATCHED!$W37,IF(MATCHED!AT37=23,MATCHED!$X37,IF(MATCHED!AT37=24,MATCHED!$Y37,IF(MATCHED!AT37=25,MATCHED!$Z37,IF(MATCHED!AT37=26,MATCHED!$AA37,IF(MATCHED!AT37=27,MATCHED!$AB37,"."))))))</f>
        <v>#N/A</v>
      </c>
      <c r="S37" s="373" t="e">
        <f>IF(MATCHED!AU37=1,MATCHED!$B37,IF(MATCHED!AU37=2,MATCHED!$C37,IF(MATCHED!AU37=3,MATCHED!$D37,IF(MATCHED!AU37=4,MATCHED!$E37,IF(MATCHED!AU37=3,MATCHED!$F37,IF(MATCHED!AU37=6,MATCHED!$G37,IF(MATCHED!AU37=7,MATCHED!$H37,"")))))))&amp;IF(MATCHED!AU37=8,MATCHED!$I37,IF(MATCHED!AU37=9,MATCHED!$J37,IF(MATCHED!AU37=10,MATCHED!$K37,IF(MATCHED!AU37=11,MATCHED!$L37,IF(MATCHED!AU37=12,MATCHED!$M37,IF(MATCHED!AU37=13,MATCHED!$N37,IF(MATCHED!AU37=14,MATCHED!$O37,"")))))))&amp;IF(MATCHED!AU37=15,MATCHED!$P37,IF(MATCHED!AU37=16,MATCHED!$Q37,IF(MATCHED!AU37=17,MATCHED!$R37,IF(MATCHED!AU37=18,MATCHED!$S37,IF(MATCHED!AU37=19,MATCHED!$T37,IF(MATCHED!AU37=20,MATCHED!$U37,IF(MATCHED!AU37=21,MATCHED!$V37,)))))))&amp;IF(MATCHED!AU37=22,MATCHED!$W37,IF(MATCHED!AU37=23,MATCHED!$X37,IF(MATCHED!AU37=24,MATCHED!$Y37,IF(MATCHED!AU37=25,MATCHED!$Z37,IF(MATCHED!AU37=26,MATCHED!$AA37,IF(MATCHED!AU37=27,MATCHED!$AB37,"."))))))</f>
        <v>#N/A</v>
      </c>
      <c r="T37" s="373" t="e">
        <f>IF(MATCHED!AV37=1,MATCHED!$B37,IF(MATCHED!AV37=2,MATCHED!$C37,IF(MATCHED!AV37=3,MATCHED!$D37,IF(MATCHED!AV37=4,MATCHED!$E37,IF(MATCHED!AV37=3,MATCHED!$F37,IF(MATCHED!AV37=6,MATCHED!$G37,IF(MATCHED!AV37=7,MATCHED!$H37,"")))))))&amp;IF(MATCHED!AV37=8,MATCHED!$I37,IF(MATCHED!AV37=9,MATCHED!$J37,IF(MATCHED!AV37=10,MATCHED!$K37,IF(MATCHED!AV37=11,MATCHED!$L37,IF(MATCHED!AV37=12,MATCHED!$M37,IF(MATCHED!AV37=13,MATCHED!$N37,IF(MATCHED!AV37=14,MATCHED!$O37,"")))))))&amp;IF(MATCHED!AV37=15,MATCHED!$P37,IF(MATCHED!AV37=16,MATCHED!$Q37,IF(MATCHED!AV37=17,MATCHED!$R37,IF(MATCHED!AV37=18,MATCHED!$S37,IF(MATCHED!AV37=19,MATCHED!$T37,IF(MATCHED!AV37=20,MATCHED!$U37,IF(MATCHED!AV37=21,MATCHED!$V37,)))))))&amp;IF(MATCHED!AV37=22,MATCHED!$W37,IF(MATCHED!AV37=23,MATCHED!$X37,IF(MATCHED!AV37=24,MATCHED!$Y37,IF(MATCHED!AV37=25,MATCHED!$Z37,IF(MATCHED!AV37=26,MATCHED!$AA37,IF(MATCHED!AV37=27,MATCHED!$AB37,"."))))))</f>
        <v>#N/A</v>
      </c>
      <c r="U37" s="373" t="e">
        <f>IF(MATCHED!AW37=1,MATCHED!$B37,IF(MATCHED!AW37=2,MATCHED!$C37,IF(MATCHED!AW37=3,MATCHED!$D37,IF(MATCHED!AW37=4,MATCHED!$E37,IF(MATCHED!AW37=3,MATCHED!$F37,IF(MATCHED!AW37=6,MATCHED!$G37,IF(MATCHED!AW37=7,MATCHED!$H37,"")))))))&amp;IF(MATCHED!AW37=8,MATCHED!$I37,IF(MATCHED!AW37=9,MATCHED!$J37,IF(MATCHED!AW37=10,MATCHED!$K37,IF(MATCHED!AW37=11,MATCHED!$L37,IF(MATCHED!AW37=12,MATCHED!$M37,IF(MATCHED!AW37=13,MATCHED!$N37,IF(MATCHED!AW37=14,MATCHED!$O37,"")))))))&amp;IF(MATCHED!AW37=15,MATCHED!$P37,IF(MATCHED!AW37=16,MATCHED!$Q37,IF(MATCHED!AW37=17,MATCHED!$R37,IF(MATCHED!AW37=18,MATCHED!$S37,IF(MATCHED!AW37=19,MATCHED!$T37,IF(MATCHED!AW37=20,MATCHED!$U37,IF(MATCHED!AW37=21,MATCHED!$V37,)))))))&amp;IF(MATCHED!AW37=22,MATCHED!$W37,IF(MATCHED!AW37=23,MATCHED!$X37,IF(MATCHED!AW37=24,MATCHED!$Y37,IF(MATCHED!AW37=25,MATCHED!$Z37,IF(MATCHED!AW37=26,MATCHED!$AA37,IF(MATCHED!AW37=27,MATCHED!$AB37,"."))))))</f>
        <v>#N/A</v>
      </c>
      <c r="V37" s="373" t="e">
        <f>IF(MATCHED!AX37=1,MATCHED!$B37,IF(MATCHED!AX37=2,MATCHED!$C37,IF(MATCHED!AX37=3,MATCHED!$D37,IF(MATCHED!AX37=4,MATCHED!$E37,IF(MATCHED!AX37=3,MATCHED!$F37,IF(MATCHED!AX37=6,MATCHED!$G37,IF(MATCHED!AX37=7,MATCHED!$H37,"")))))))&amp;IF(MATCHED!AX37=8,MATCHED!$I37,IF(MATCHED!AX37=9,MATCHED!$J37,IF(MATCHED!AX37=10,MATCHED!$K37,IF(MATCHED!AX37=11,MATCHED!$L37,IF(MATCHED!AX37=12,MATCHED!$M37,IF(MATCHED!AX37=13,MATCHED!$N37,IF(MATCHED!AX37=14,MATCHED!$O37,"")))))))&amp;IF(MATCHED!AX37=15,MATCHED!$P37,IF(MATCHED!AX37=16,MATCHED!$Q37,IF(MATCHED!AX37=17,MATCHED!$R37,IF(MATCHED!AX37=18,MATCHED!$S37,IF(MATCHED!AX37=19,MATCHED!$T37,IF(MATCHED!AX37=20,MATCHED!$U37,IF(MATCHED!AX37=21,MATCHED!$V37,)))))))&amp;IF(MATCHED!AX37=22,MATCHED!$W37,IF(MATCHED!AX37=23,MATCHED!$X37,IF(MATCHED!AX37=24,MATCHED!$Y37,IF(MATCHED!AX37=25,MATCHED!$Z37,IF(MATCHED!AX37=26,MATCHED!$AA37,IF(MATCHED!AX37=27,MATCHED!$AB37,"."))))))</f>
        <v>#N/A</v>
      </c>
      <c r="W37" s="373" t="e">
        <f>IF(MATCHED!AY37=1,MATCHED!$B37,IF(MATCHED!AY37=2,MATCHED!$C37,IF(MATCHED!AY37=3,MATCHED!$D37,IF(MATCHED!AY37=4,MATCHED!$E37,IF(MATCHED!AY37=3,MATCHED!$F37,IF(MATCHED!AY37=6,MATCHED!$G37,IF(MATCHED!AY37=7,MATCHED!$H37,"")))))))&amp;IF(MATCHED!AY37=8,MATCHED!$I37,IF(MATCHED!AY37=9,MATCHED!$J37,IF(MATCHED!AY37=10,MATCHED!$K37,IF(MATCHED!AY37=11,MATCHED!$L37,IF(MATCHED!AY37=12,MATCHED!$M37,IF(MATCHED!AY37=13,MATCHED!$N37,IF(MATCHED!AY37=14,MATCHED!$O37,"")))))))&amp;IF(MATCHED!AY37=15,MATCHED!$P37,IF(MATCHED!AY37=16,MATCHED!$Q37,IF(MATCHED!AY37=17,MATCHED!$R37,IF(MATCHED!AY37=18,MATCHED!$S37,IF(MATCHED!AY37=19,MATCHED!$T37,IF(MATCHED!AY37=20,MATCHED!$U37,IF(MATCHED!AY37=21,MATCHED!$V37,)))))))&amp;IF(MATCHED!AY37=22,MATCHED!$W37,IF(MATCHED!AY37=23,MATCHED!$X37,IF(MATCHED!AY37=24,MATCHED!$Y37,IF(MATCHED!AY37=25,MATCHED!$Z37,IF(MATCHED!AY37=26,MATCHED!$AA37,IF(MATCHED!AY37=27,MATCHED!$AB37,"."))))))</f>
        <v>#N/A</v>
      </c>
      <c r="X37" s="373" t="e">
        <f>IF(MATCHED!AZ37=1,MATCHED!$B37,IF(MATCHED!AZ37=2,MATCHED!$C37,IF(MATCHED!AZ37=3,MATCHED!$D37,IF(MATCHED!AZ37=4,MATCHED!$E37,IF(MATCHED!AZ37=3,MATCHED!$F37,IF(MATCHED!AZ37=6,MATCHED!$G37,IF(MATCHED!AZ37=7,MATCHED!$H37,"")))))))&amp;IF(MATCHED!AZ37=8,MATCHED!$I37,IF(MATCHED!AZ37=9,MATCHED!$J37,IF(MATCHED!AZ37=10,MATCHED!$K37,IF(MATCHED!AZ37=11,MATCHED!$L37,IF(MATCHED!AZ37=12,MATCHED!$M37,IF(MATCHED!AZ37=13,MATCHED!$N37,IF(MATCHED!AZ37=14,MATCHED!$O37,"")))))))&amp;IF(MATCHED!AZ37=15,MATCHED!$P37,IF(MATCHED!AZ37=16,MATCHED!$Q37,IF(MATCHED!AZ37=17,MATCHED!$R37,IF(MATCHED!AZ37=18,MATCHED!$S37,IF(MATCHED!AZ37=19,MATCHED!$T37,IF(MATCHED!AZ37=20,MATCHED!$U37,IF(MATCHED!AZ37=21,MATCHED!$V37,)))))))&amp;IF(MATCHED!AZ37=22,MATCHED!$W37,IF(MATCHED!AZ37=23,MATCHED!$X37,IF(MATCHED!AZ37=24,MATCHED!$Y37,IF(MATCHED!AZ37=25,MATCHED!$Z37,IF(MATCHED!AZ37=26,MATCHED!$AA37,IF(MATCHED!AZ37=27,MATCHED!$AB37,"."))))))</f>
        <v>#N/A</v>
      </c>
      <c r="Y37" s="373" t="e">
        <f>IF(MATCHED!BA37=1,MATCHED!$B37,IF(MATCHED!BA37=2,MATCHED!$C37,IF(MATCHED!BA37=3,MATCHED!$D37,IF(MATCHED!BA37=4,MATCHED!$E37,IF(MATCHED!BA37=3,MATCHED!$F37,IF(MATCHED!BA37=6,MATCHED!$G37,IF(MATCHED!BA37=7,MATCHED!$H37,"")))))))&amp;IF(MATCHED!BA37=8,MATCHED!$I37,IF(MATCHED!BA37=9,MATCHED!$J37,IF(MATCHED!BA37=10,MATCHED!$K37,IF(MATCHED!BA37=11,MATCHED!$L37,IF(MATCHED!BA37=12,MATCHED!$M37,IF(MATCHED!BA37=13,MATCHED!$N37,IF(MATCHED!BA37=14,MATCHED!$O37,"")))))))&amp;IF(MATCHED!BA37=15,MATCHED!$P37,IF(MATCHED!BA37=16,MATCHED!$Q37,IF(MATCHED!BA37=17,MATCHED!$R37,IF(MATCHED!BA37=18,MATCHED!$S37,IF(MATCHED!BA37=19,MATCHED!$T37,IF(MATCHED!BA37=20,MATCHED!$U37,IF(MATCHED!BA37=21,MATCHED!$V37,)))))))&amp;IF(MATCHED!BA37=22,MATCHED!$W37,IF(MATCHED!BA37=23,MATCHED!$X37,IF(MATCHED!BA37=24,MATCHED!$Y37,IF(MATCHED!BA37=25,MATCHED!$Z37,IF(MATCHED!BA37=26,MATCHED!$AA37,IF(MATCHED!BA37=27,MATCHED!$AB37,"."))))))</f>
        <v>#N/A</v>
      </c>
      <c r="Z37" s="373" t="e">
        <f>IF(MATCHED!BB37=1,MATCHED!$B37,IF(MATCHED!BB37=2,MATCHED!$C37,IF(MATCHED!BB37=3,MATCHED!$D37,IF(MATCHED!BB37=4,MATCHED!$E37,IF(MATCHED!BB37=3,MATCHED!$F37,IF(MATCHED!BB37=6,MATCHED!$G37,IF(MATCHED!BB37=7,MATCHED!$H37,"")))))))&amp;IF(MATCHED!BB37=8,MATCHED!$I37,IF(MATCHED!BB37=9,MATCHED!$J37,IF(MATCHED!BB37=10,MATCHED!$K37,IF(MATCHED!BB37=11,MATCHED!$L37,IF(MATCHED!BB37=12,MATCHED!$M37,IF(MATCHED!BB37=13,MATCHED!$N37,IF(MATCHED!BB37=14,MATCHED!$O37,"")))))))&amp;IF(MATCHED!BB37=15,MATCHED!$P37,IF(MATCHED!BB37=16,MATCHED!$Q37,IF(MATCHED!BB37=17,MATCHED!$R37,IF(MATCHED!BB37=18,MATCHED!$S37,IF(MATCHED!BB37=19,MATCHED!$T37,IF(MATCHED!BB37=20,MATCHED!$U37,IF(MATCHED!BB37=21,MATCHED!$V37,)))))))&amp;IF(MATCHED!BB37=22,MATCHED!$W37,IF(MATCHED!BB37=23,MATCHED!$X37,IF(MATCHED!BB37=24,MATCHED!$Y37,IF(MATCHED!BB37=25,MATCHED!$Z37,IF(MATCHED!BB37=26,MATCHED!$AA37,IF(MATCHED!BB37=27,MATCHED!$AB37,"."))))))</f>
        <v>#N/A</v>
      </c>
      <c r="AA37" s="373" t="e">
        <f>IF(MATCHED!BC37=1,MATCHED!$B37,IF(MATCHED!BC37=2,MATCHED!$C37,IF(MATCHED!BC37=3,MATCHED!$D37,IF(MATCHED!BC37=4,MATCHED!$E37,IF(MATCHED!BC37=3,MATCHED!$F37,IF(MATCHED!BC37=6,MATCHED!$G37,IF(MATCHED!BC37=7,MATCHED!$H37,"")))))))&amp;IF(MATCHED!BC37=8,MATCHED!$I37,IF(MATCHED!BC37=9,MATCHED!$J37,IF(MATCHED!BC37=10,MATCHED!$K37,IF(MATCHED!BC37=11,MATCHED!$L37,IF(MATCHED!BC37=12,MATCHED!$M37,IF(MATCHED!BC37=13,MATCHED!$N37,IF(MATCHED!BC37=14,MATCHED!$O37,"")))))))&amp;IF(MATCHED!BC37=15,MATCHED!$P37,IF(MATCHED!BC37=16,MATCHED!$Q37,IF(MATCHED!BC37=17,MATCHED!$R37,IF(MATCHED!BC37=18,MATCHED!$S37,IF(MATCHED!BC37=19,MATCHED!$T37,IF(MATCHED!BC37=20,MATCHED!$U37,IF(MATCHED!BC37=21,MATCHED!$V37,)))))))&amp;IF(MATCHED!BC37=22,MATCHED!$W37,IF(MATCHED!BC37=23,MATCHED!$X37,IF(MATCHED!BC37=24,MATCHED!$Y37,IF(MATCHED!BC37=25,MATCHED!$Z37,IF(MATCHED!BC37=26,MATCHED!$AA37,IF(MATCHED!BC37=27,MATCHED!$AB37,"."))))))</f>
        <v>#N/A</v>
      </c>
      <c r="AB37" s="373" t="e">
        <f>IF(MATCHED!BD37=1,MATCHED!$B37,IF(MATCHED!BD37=2,MATCHED!$C37,IF(MATCHED!BD37=3,MATCHED!$D37,IF(MATCHED!BD37=4,MATCHED!$E37,IF(MATCHED!BD37=3,MATCHED!$F37,IF(MATCHED!BD37=6,MATCHED!$G37,IF(MATCHED!BD37=7,MATCHED!$H37,"")))))))&amp;IF(MATCHED!BD37=8,MATCHED!$I37,IF(MATCHED!BD37=9,MATCHED!$J37,IF(MATCHED!BD37=10,MATCHED!$K37,IF(MATCHED!BD37=11,MATCHED!$L37,IF(MATCHED!BD37=12,MATCHED!$M37,IF(MATCHED!BD37=13,MATCHED!$N37,IF(MATCHED!BD37=14,MATCHED!$O37,"")))))))&amp;IF(MATCHED!BD37=15,MATCHED!$P37,IF(MATCHED!BD37=16,MATCHED!$Q37,IF(MATCHED!BD37=17,MATCHED!$R37,IF(MATCHED!BD37=18,MATCHED!$S37,IF(MATCHED!BD37=19,MATCHED!$T37,IF(MATCHED!BD37=20,MATCHED!$U37,IF(MATCHED!BD37=21,MATCHED!$V37,)))))))&amp;IF(MATCHED!BD37=22,MATCHED!$W37,IF(MATCHED!BD37=23,MATCHED!$X37,IF(MATCHED!BD37=24,MATCHED!$Y37,IF(MATCHED!BD37=25,MATCHED!$Z37,IF(MATCHED!BD37=26,MATCHED!$AA37,IF(MATCHED!BD37=27,MATCHED!$AB37,"."))))))</f>
        <v>#N/A</v>
      </c>
      <c r="AC37" s="373" t="e">
        <f>IF(MATCHED!BE37=1,MATCHED!$B37,IF(MATCHED!BE37=2,MATCHED!$C37,IF(MATCHED!BE37=3,MATCHED!$D37,IF(MATCHED!BE37=4,MATCHED!$E37,IF(MATCHED!BE37=3,MATCHED!$F37,IF(MATCHED!BE37=6,MATCHED!$G37,IF(MATCHED!BE37=7,MATCHED!$H37,"")))))))&amp;IF(MATCHED!BE37=8,MATCHED!$I37,IF(MATCHED!BE37=9,MATCHED!$J37,IF(MATCHED!BE37=10,MATCHED!$K37,IF(MATCHED!BE37=11,MATCHED!$L37,IF(MATCHED!BE37=12,MATCHED!$M37,IF(MATCHED!BE37=13,MATCHED!$N37,IF(MATCHED!BE37=14,MATCHED!$O37,"")))))))&amp;IF(MATCHED!BE37=15,MATCHED!$P37,IF(MATCHED!BE37=16,MATCHED!$Q37,IF(MATCHED!BE37=17,MATCHED!$R37,IF(MATCHED!BE37=18,MATCHED!$S37,IF(MATCHED!BE37=19,MATCHED!$T37,IF(MATCHED!BE37=20,MATCHED!$U37,IF(MATCHED!BE37=21,MATCHED!$V37,)))))))&amp;IF(MATCHED!BE37=22,MATCHED!$W37,IF(MATCHED!BE37=23,MATCHED!$X37,IF(MATCHED!BE37=24,MATCHED!$Y37,IF(MATCHED!BE37=25,MATCHED!$Z37,IF(MATCHED!BE37=26,MATCHED!$AA37,IF(MATCHED!BE37=27,MATCHED!$AB37,"."))))))</f>
        <v>#N/A</v>
      </c>
      <c r="AD37" s="373" t="e">
        <f>IF(MATCHED!BF37=1,MATCHED!$B37,IF(MATCHED!BF37=2,MATCHED!$C37,IF(MATCHED!BF37=3,MATCHED!$D37,IF(MATCHED!BF37=4,MATCHED!$E37,IF(MATCHED!BF37=3,MATCHED!$F37,IF(MATCHED!BF37=6,MATCHED!$G37,IF(MATCHED!BF37=7,MATCHED!$H37,"")))))))&amp;IF(MATCHED!BF37=8,MATCHED!$I37,IF(MATCHED!BF37=9,MATCHED!$J37,IF(MATCHED!BF37=10,MATCHED!$K37,IF(MATCHED!BF37=11,MATCHED!$L37,IF(MATCHED!BF37=12,MATCHED!$M37,IF(MATCHED!BF37=13,MATCHED!$N37,IF(MATCHED!BF37=14,MATCHED!$O37,"")))))))&amp;IF(MATCHED!BF37=15,MATCHED!$P37,IF(MATCHED!BF37=16,MATCHED!$Q37,IF(MATCHED!BF37=17,MATCHED!$R37,IF(MATCHED!BF37=18,MATCHED!$S37,IF(MATCHED!BF37=19,MATCHED!$T37,IF(MATCHED!BF37=20,MATCHED!$U37,IF(MATCHED!BF37=21,MATCHED!$V37,)))))))&amp;IF(MATCHED!BF37=22,MATCHED!$W37,IF(MATCHED!BF37=23,MATCHED!$X37,IF(MATCHED!BF37=24,MATCHED!$Y37,IF(MATCHED!BF37=25,MATCHED!$Z37,IF(MATCHED!BF37=26,MATCHED!$AA37,IF(MATCHED!BF37=27,MATCHED!$AB37,"."))))))</f>
        <v>#N/A</v>
      </c>
      <c r="AE37" s="373" t="e">
        <f>IF(MATCHED!BG37=1,MATCHED!$B37,IF(MATCHED!BG37=2,MATCHED!$C37,IF(MATCHED!BG37=3,MATCHED!$D37,IF(MATCHED!BG37=4,MATCHED!$E37,IF(MATCHED!BG37=3,MATCHED!$F37,IF(MATCHED!BG37=6,MATCHED!$G37,IF(MATCHED!BG37=7,MATCHED!$H37,"")))))))&amp;IF(MATCHED!BG37=8,MATCHED!$I37,IF(MATCHED!BG37=9,MATCHED!$J37,IF(MATCHED!BG37=10,MATCHED!$K37,IF(MATCHED!BG37=11,MATCHED!$L37,IF(MATCHED!BG37=12,MATCHED!$M37,IF(MATCHED!BG37=13,MATCHED!$N37,IF(MATCHED!BG37=14,MATCHED!$O37,"")))))))&amp;IF(MATCHED!BG37=15,MATCHED!$P37,IF(MATCHED!BG37=16,MATCHED!$Q37,IF(MATCHED!BG37=17,MATCHED!$R37,IF(MATCHED!BG37=18,MATCHED!$S37,IF(MATCHED!BG37=19,MATCHED!$T37,IF(MATCHED!BG37=20,MATCHED!$U37,IF(MATCHED!BG37=21,MATCHED!$V37,)))))))&amp;IF(MATCHED!BG37=22,MATCHED!$W37,IF(MATCHED!BG37=23,MATCHED!$X37,IF(MATCHED!BG37=24,MATCHED!$Y37,IF(MATCHED!BG37=25,MATCHED!$Z37,IF(MATCHED!BG37=26,MATCHED!$AA37,IF(MATCHED!BG37=27,MATCHED!$AB37,"."))))))</f>
        <v>#N/A</v>
      </c>
      <c r="AF37" s="373" t="e">
        <f>IF(MATCHED!BH37=1,MATCHED!$B37,IF(MATCHED!BH37=2,MATCHED!$C37,IF(MATCHED!BH37=3,MATCHED!$D37,IF(MATCHED!BH37=4,MATCHED!$E37,IF(MATCHED!BH37=3,MATCHED!$F37,IF(MATCHED!BH37=6,MATCHED!$G37,IF(MATCHED!BH37=7,MATCHED!$H37,"")))))))&amp;IF(MATCHED!BH37=8,MATCHED!$I37,IF(MATCHED!BH37=9,MATCHED!$J37,IF(MATCHED!BH37=10,MATCHED!$K37,IF(MATCHED!BH37=11,MATCHED!$L37,IF(MATCHED!BH37=12,MATCHED!$M37,IF(MATCHED!BH37=13,MATCHED!$N37,IF(MATCHED!BH37=14,MATCHED!$O37,"")))))))&amp;IF(MATCHED!BH37=15,MATCHED!$P37,IF(MATCHED!BH37=16,MATCHED!$Q37,IF(MATCHED!BH37=17,MATCHED!$R37,IF(MATCHED!BH37=18,MATCHED!$S37,IF(MATCHED!BH37=19,MATCHED!$T37,IF(MATCHED!BH37=20,MATCHED!$U37,IF(MATCHED!BH37=21,MATCHED!$V37,)))))))&amp;IF(MATCHED!BH37=22,MATCHED!$W37,IF(MATCHED!BH37=23,MATCHED!$X37,IF(MATCHED!BH37=24,MATCHED!$Y37,IF(MATCHED!BH37=25,MATCHED!$Z37,IF(MATCHED!BH37=26,MATCHED!$AA37,IF(MATCHED!BH37=27,MATCHED!$AB37,"."))))))</f>
        <v>#N/A</v>
      </c>
      <c r="AG37" s="373" t="e">
        <f>IF(MATCHED!BI37=1,MATCHED!$B37,IF(MATCHED!BI37=2,MATCHED!$C37,IF(MATCHED!BI37=3,MATCHED!$D37,IF(MATCHED!BI37=4,MATCHED!$E37,IF(MATCHED!BI37=3,MATCHED!$F37,IF(MATCHED!BI37=6,MATCHED!$G37,IF(MATCHED!BI37=7,MATCHED!$H37,"")))))))&amp;IF(MATCHED!BI37=8,MATCHED!$I37,IF(MATCHED!BI37=9,MATCHED!$J37,IF(MATCHED!BI37=10,MATCHED!$K37,IF(MATCHED!BI37=11,MATCHED!$L37,IF(MATCHED!BI37=12,MATCHED!$M37,IF(MATCHED!BI37=13,MATCHED!$N37,IF(MATCHED!BI37=14,MATCHED!$O37,"")))))))&amp;IF(MATCHED!BI37=15,MATCHED!$P37,IF(MATCHED!BI37=16,MATCHED!$Q37,IF(MATCHED!BI37=17,MATCHED!$R37,IF(MATCHED!BI37=18,MATCHED!$S37,IF(MATCHED!BI37=19,MATCHED!$T37,IF(MATCHED!BI37=20,MATCHED!$U37,IF(MATCHED!BI37=21,MATCHED!$V37,)))))))&amp;IF(MATCHED!BI37=22,MATCHED!$W37,IF(MATCHED!BI37=23,MATCHED!$X37,IF(MATCHED!BI37=24,MATCHED!$Y37,IF(MATCHED!BI37=25,MATCHED!$Z37,IF(MATCHED!BI37=26,MATCHED!$AA37,IF(MATCHED!BI37=27,MATCHED!$AB37,"."))))))</f>
        <v>#N/A</v>
      </c>
      <c r="AH37" s="373" t="e">
        <f>IF(MATCHED!BJ37=1,MATCHED!$B37,IF(MATCHED!BJ37=2,MATCHED!$C37,IF(MATCHED!BJ37=3,MATCHED!$D37,IF(MATCHED!BJ37=4,MATCHED!$E37,IF(MATCHED!BJ37=3,MATCHED!$F37,IF(MATCHED!BJ37=6,MATCHED!$G37,IF(MATCHED!BJ37=7,MATCHED!$H37,"")))))))&amp;IF(MATCHED!BJ37=8,MATCHED!$I37,IF(MATCHED!BJ37=9,MATCHED!$J37,IF(MATCHED!BJ37=10,MATCHED!$K37,IF(MATCHED!BJ37=11,MATCHED!$L37,IF(MATCHED!BJ37=12,MATCHED!$M37,IF(MATCHED!BJ37=13,MATCHED!$N37,IF(MATCHED!BJ37=14,MATCHED!$O37,"")))))))&amp;IF(MATCHED!BJ37=15,MATCHED!$P37,IF(MATCHED!BJ37=16,MATCHED!$Q37,IF(MATCHED!BJ37=17,MATCHED!$R37,IF(MATCHED!BJ37=18,MATCHED!$S37,IF(MATCHED!BJ37=19,MATCHED!$T37,IF(MATCHED!BJ37=20,MATCHED!$U37,IF(MATCHED!BJ37=21,MATCHED!$V37,)))))))&amp;IF(MATCHED!BJ37=22,MATCHED!$W37,IF(MATCHED!BJ37=23,MATCHED!$X37,IF(MATCHED!BJ37=24,MATCHED!$Y37,IF(MATCHED!BJ37=25,MATCHED!$Z37,IF(MATCHED!BJ37=26,MATCHED!$AA37,IF(MATCHED!BJ37=27,MATCHED!$AB37,"."))))))</f>
        <v>#N/A</v>
      </c>
      <c r="AI37" s="373" t="e">
        <f>IF(MATCHED!BK37=1,MATCHED!$B37,IF(MATCHED!BK37=2,MATCHED!$C37,IF(MATCHED!BK37=3,MATCHED!$D37,IF(MATCHED!BK37=4,MATCHED!$E37,IF(MATCHED!BK37=3,MATCHED!$F37,IF(MATCHED!BK37=6,MATCHED!$G37,IF(MATCHED!BK37=7,MATCHED!$H37,"")))))))&amp;IF(MATCHED!BK37=8,MATCHED!$I37,IF(MATCHED!BK37=9,MATCHED!$J37,IF(MATCHED!BK37=10,MATCHED!$K37,IF(MATCHED!BK37=11,MATCHED!$L37,IF(MATCHED!BK37=12,MATCHED!$M37,IF(MATCHED!BK37=13,MATCHED!$N37,IF(MATCHED!BK37=14,MATCHED!$O37,"")))))))&amp;IF(MATCHED!BK37=15,MATCHED!$P37,IF(MATCHED!BK37=16,MATCHED!$Q37,IF(MATCHED!BK37=17,MATCHED!$R37,IF(MATCHED!BK37=18,MATCHED!$S37,IF(MATCHED!BK37=19,MATCHED!$T37,IF(MATCHED!BK37=20,MATCHED!$U37,IF(MATCHED!BK37=21,MATCHED!$V37,)))))))&amp;IF(MATCHED!BK37=22,MATCHED!$W37,IF(MATCHED!BK37=23,MATCHED!$X37,IF(MATCHED!BK37=24,MATCHED!$Y37,IF(MATCHED!BK37=25,MATCHED!$Z37,IF(MATCHED!BK37=26,MATCHED!$AA37,IF(MATCHED!BK37=27,MATCHED!$AB37,"."))))))</f>
        <v>#N/A</v>
      </c>
      <c r="AJ37" s="535"/>
    </row>
    <row r="38" spans="1:36" s="338" customFormat="1" ht="27" thickBot="1" x14ac:dyDescent="0.3">
      <c r="A38" s="534"/>
      <c r="B38" s="339" t="e">
        <f>IF(MATCHED!AD38=1,MATCHED!$B38,IF(MATCHED!AD38=2,MATCHED!$C38,IF(MATCHED!AD38=3,MATCHED!$D38,IF(MATCHED!AD38=4,MATCHED!$E38,IF(MATCHED!AD38=3,MATCHED!$F38,IF(MATCHED!AD38=6,MATCHED!$G38,IF(MATCHED!AD38=7,MATCHED!$H38,"")))))))&amp;IF(MATCHED!AD38=8,MATCHED!$I38,IF(MATCHED!AD38=9,MATCHED!$J38,IF(MATCHED!AD38=10,MATCHED!$K38,IF(MATCHED!AD38=11,MATCHED!$L38,IF(MATCHED!AD38=12,MATCHED!$M38,IF(MATCHED!AD38=13,MATCHED!$N38,IF(MATCHED!AD38=14,MATCHED!$O38,"")))))))&amp;IF(MATCHED!AD38=15,MATCHED!$P38,IF(MATCHED!AD38=16,MATCHED!$Q38,IF(MATCHED!AD38=17,MATCHED!$R38,IF(MATCHED!AD38=18,MATCHED!$S38,IF(MATCHED!AD38=19,MATCHED!$T38,IF(MATCHED!AD38=20,MATCHED!$U38,IF(MATCHED!AD38=21,MATCHED!$V38,)))))))&amp;IF(MATCHED!AD38=22,MATCHED!$W38,IF(MATCHED!AD38=23,MATCHED!$X38,IF(MATCHED!AD38=24,MATCHED!$Y38,IF(MATCHED!AD38=25,MATCHED!$Z38,IF(MATCHED!AD38=26,MATCHED!$AA38,IF(MATCHED!AD38=27,MATCHED!$AB38,"."))))))</f>
        <v>#N/A</v>
      </c>
      <c r="C38" s="339" t="e">
        <f>IF(MATCHED!AE38=1,MATCHED!$B38,IF(MATCHED!AE38=2,MATCHED!$C38,IF(MATCHED!AE38=3,MATCHED!$D38,IF(MATCHED!AE38=4,MATCHED!$E38,IF(MATCHED!AE38=3,MATCHED!$F38,IF(MATCHED!AE38=6,MATCHED!$G38,IF(MATCHED!AE38=7,MATCHED!$H38,"")))))))&amp;IF(MATCHED!AE38=8,MATCHED!$I38,IF(MATCHED!AE38=9,MATCHED!$J38,IF(MATCHED!AE38=10,MATCHED!$K38,IF(MATCHED!AE38=11,MATCHED!$L38,IF(MATCHED!AE38=12,MATCHED!$M38,IF(MATCHED!AE38=13,MATCHED!$N38,IF(MATCHED!AE38=14,MATCHED!$O38,"")))))))&amp;IF(MATCHED!AE38=15,MATCHED!$P38,IF(MATCHED!AE38=16,MATCHED!$Q38,IF(MATCHED!AE38=17,MATCHED!$R38,IF(MATCHED!AE38=18,MATCHED!$S38,IF(MATCHED!AE38=19,MATCHED!$T38,IF(MATCHED!AE38=20,MATCHED!$U38,IF(MATCHED!AE38=21,MATCHED!$V38,)))))))&amp;IF(MATCHED!AE38=22,MATCHED!$W38,IF(MATCHED!AE38=23,MATCHED!$X38,IF(MATCHED!AE38=24,MATCHED!$Y38,IF(MATCHED!AE38=25,MATCHED!$Z38,IF(MATCHED!AE38=26,MATCHED!$AA38,IF(MATCHED!AE38=27,MATCHED!$AB38,"."))))))</f>
        <v>#N/A</v>
      </c>
      <c r="D38" s="339" t="e">
        <f>IF(MATCHED!AF38=1,MATCHED!$B38,IF(MATCHED!AF38=2,MATCHED!$C38,IF(MATCHED!AF38=3,MATCHED!$D38,IF(MATCHED!AF38=4,MATCHED!$E38,IF(MATCHED!AF38=3,MATCHED!$F38,IF(MATCHED!AF38=6,MATCHED!$G38,IF(MATCHED!AF38=7,MATCHED!$H38,"")))))))&amp;IF(MATCHED!AF38=8,MATCHED!$I38,IF(MATCHED!AF38=9,MATCHED!$J38,IF(MATCHED!AF38=10,MATCHED!$K38,IF(MATCHED!AF38=11,MATCHED!$L38,IF(MATCHED!AF38=12,MATCHED!$M38,IF(MATCHED!AF38=13,MATCHED!$N38,IF(MATCHED!AF38=14,MATCHED!$O38,"")))))))&amp;IF(MATCHED!AF38=15,MATCHED!$P38,IF(MATCHED!AF38=16,MATCHED!$Q38,IF(MATCHED!AF38=17,MATCHED!$R38,IF(MATCHED!AF38=18,MATCHED!$S38,IF(MATCHED!AF38=19,MATCHED!$T38,IF(MATCHED!AF38=20,MATCHED!$U38,IF(MATCHED!AF38=21,MATCHED!$V38,)))))))&amp;IF(MATCHED!AF38=22,MATCHED!$W38,IF(MATCHED!AF38=23,MATCHED!$X38,IF(MATCHED!AF38=24,MATCHED!$Y38,IF(MATCHED!AF38=25,MATCHED!$Z38,IF(MATCHED!AF38=26,MATCHED!$AA38,IF(MATCHED!AF38=27,MATCHED!$AB38,"."))))))</f>
        <v>#N/A</v>
      </c>
      <c r="E38" s="339" t="e">
        <f>IF(MATCHED!AG38=1,MATCHED!$B38,IF(MATCHED!AG38=2,MATCHED!$C38,IF(MATCHED!AG38=3,MATCHED!$D38,IF(MATCHED!AG38=4,MATCHED!$E38,IF(MATCHED!AG38=3,MATCHED!$F38,IF(MATCHED!AG38=6,MATCHED!$G38,IF(MATCHED!AG38=7,MATCHED!$H38,"")))))))&amp;IF(MATCHED!AG38=8,MATCHED!$I38,IF(MATCHED!AG38=9,MATCHED!$J38,IF(MATCHED!AG38=10,MATCHED!$K38,IF(MATCHED!AG38=11,MATCHED!$L38,IF(MATCHED!AG38=12,MATCHED!$M38,IF(MATCHED!AG38=13,MATCHED!$N38,IF(MATCHED!AG38=14,MATCHED!$O38,"")))))))&amp;IF(MATCHED!AG38=15,MATCHED!$P38,IF(MATCHED!AG38=16,MATCHED!$Q38,IF(MATCHED!AG38=17,MATCHED!$R38,IF(MATCHED!AG38=18,MATCHED!$S38,IF(MATCHED!AG38=19,MATCHED!$T38,IF(MATCHED!AG38=20,MATCHED!$U38,IF(MATCHED!AG38=21,MATCHED!$V38,)))))))&amp;IF(MATCHED!AG38=22,MATCHED!$W38,IF(MATCHED!AG38=23,MATCHED!$X38,IF(MATCHED!AG38=24,MATCHED!$Y38,IF(MATCHED!AG38=25,MATCHED!$Z38,IF(MATCHED!AG38=26,MATCHED!$AA38,IF(MATCHED!AG38=27,MATCHED!$AB38,"."))))))</f>
        <v>#N/A</v>
      </c>
      <c r="F38" s="339" t="e">
        <f>IF(MATCHED!AH38=1,MATCHED!$B38,IF(MATCHED!AH38=2,MATCHED!$C38,IF(MATCHED!AH38=3,MATCHED!$D38,IF(MATCHED!AH38=4,MATCHED!$E38,IF(MATCHED!AH38=3,MATCHED!$F38,IF(MATCHED!AH38=6,MATCHED!$G38,IF(MATCHED!AH38=7,MATCHED!$H38,"")))))))&amp;IF(MATCHED!AH38=8,MATCHED!$I38,IF(MATCHED!AH38=9,MATCHED!$J38,IF(MATCHED!AH38=10,MATCHED!$K38,IF(MATCHED!AH38=11,MATCHED!$L38,IF(MATCHED!AH38=12,MATCHED!$M38,IF(MATCHED!AH38=13,MATCHED!$N38,IF(MATCHED!AH38=14,MATCHED!$O38,"")))))))&amp;IF(MATCHED!AH38=15,MATCHED!$P38,IF(MATCHED!AH38=16,MATCHED!$Q38,IF(MATCHED!AH38=17,MATCHED!$R38,IF(MATCHED!AH38=18,MATCHED!$S38,IF(MATCHED!AH38=19,MATCHED!$T38,IF(MATCHED!AH38=20,MATCHED!$U38,IF(MATCHED!AH38=21,MATCHED!$V38,)))))))&amp;IF(MATCHED!AH38=22,MATCHED!$W38,IF(MATCHED!AH38=23,MATCHED!$X38,IF(MATCHED!AH38=24,MATCHED!$Y38,IF(MATCHED!AH38=25,MATCHED!$Z38,IF(MATCHED!AH38=26,MATCHED!$AA38,IF(MATCHED!AH38=27,MATCHED!$AB38,"."))))))</f>
        <v>#N/A</v>
      </c>
      <c r="G38" s="339" t="e">
        <f>IF(MATCHED!AI38=1,MATCHED!$B38,IF(MATCHED!AI38=2,MATCHED!$C38,IF(MATCHED!AI38=3,MATCHED!$D38,IF(MATCHED!AI38=4,MATCHED!$E38,IF(MATCHED!AI38=3,MATCHED!$F38,IF(MATCHED!AI38=6,MATCHED!$G38,IF(MATCHED!AI38=7,MATCHED!$H38,"")))))))&amp;IF(MATCHED!AI38=8,MATCHED!$I38,IF(MATCHED!AI38=9,MATCHED!$J38,IF(MATCHED!AI38=10,MATCHED!$K38,IF(MATCHED!AI38=11,MATCHED!$L38,IF(MATCHED!AI38=12,MATCHED!$M38,IF(MATCHED!AI38=13,MATCHED!$N38,IF(MATCHED!AI38=14,MATCHED!$O38,"")))))))&amp;IF(MATCHED!AI38=15,MATCHED!$P38,IF(MATCHED!AI38=16,MATCHED!$Q38,IF(MATCHED!AI38=17,MATCHED!$R38,IF(MATCHED!AI38=18,MATCHED!$S38,IF(MATCHED!AI38=19,MATCHED!$T38,IF(MATCHED!AI38=20,MATCHED!$U38,IF(MATCHED!AI38=21,MATCHED!$V38,)))))))&amp;IF(MATCHED!AI38=22,MATCHED!$W38,IF(MATCHED!AI38=23,MATCHED!$X38,IF(MATCHED!AI38=24,MATCHED!$Y38,IF(MATCHED!AI38=25,MATCHED!$Z38,IF(MATCHED!AI38=26,MATCHED!$AA38,IF(MATCHED!AI38=27,MATCHED!$AB38,"."))))))</f>
        <v>#N/A</v>
      </c>
      <c r="H38" s="339" t="e">
        <f>IF(MATCHED!AJ38=1,MATCHED!$B38,IF(MATCHED!AJ38=2,MATCHED!$C38,IF(MATCHED!AJ38=3,MATCHED!$D38,IF(MATCHED!AJ38=4,MATCHED!$E38,IF(MATCHED!AJ38=3,MATCHED!$F38,IF(MATCHED!AJ38=6,MATCHED!$G38,IF(MATCHED!AJ38=7,MATCHED!$H38,"")))))))&amp;IF(MATCHED!AJ38=8,MATCHED!$I38,IF(MATCHED!AJ38=9,MATCHED!$J38,IF(MATCHED!AJ38=10,MATCHED!$K38,IF(MATCHED!AJ38=11,MATCHED!$L38,IF(MATCHED!AJ38=12,MATCHED!$M38,IF(MATCHED!AJ38=13,MATCHED!$N38,IF(MATCHED!AJ38=14,MATCHED!$O38,"")))))))&amp;IF(MATCHED!AJ38=15,MATCHED!$P38,IF(MATCHED!AJ38=16,MATCHED!$Q38,IF(MATCHED!AJ38=17,MATCHED!$R38,IF(MATCHED!AJ38=18,MATCHED!$S38,IF(MATCHED!AJ38=19,MATCHED!$T38,IF(MATCHED!AJ38=20,MATCHED!$U38,IF(MATCHED!AJ38=21,MATCHED!$V38,)))))))&amp;IF(MATCHED!AJ38=22,MATCHED!$W38,IF(MATCHED!AJ38=23,MATCHED!$X38,IF(MATCHED!AJ38=24,MATCHED!$Y38,IF(MATCHED!AJ38=25,MATCHED!$Z38,IF(MATCHED!AJ38=26,MATCHED!$AA38,IF(MATCHED!AJ38=27,MATCHED!$AB38,"."))))))</f>
        <v>#N/A</v>
      </c>
      <c r="I38" s="339" t="e">
        <f>IF(MATCHED!AK38=1,MATCHED!$B38,IF(MATCHED!AK38=2,MATCHED!$C38,IF(MATCHED!AK38=3,MATCHED!$D38,IF(MATCHED!AK38=4,MATCHED!$E38,IF(MATCHED!AK38=3,MATCHED!$F38,IF(MATCHED!AK38=6,MATCHED!$G38,IF(MATCHED!AK38=7,MATCHED!$H38,"")))))))&amp;IF(MATCHED!AK38=8,MATCHED!$I38,IF(MATCHED!AK38=9,MATCHED!$J38,IF(MATCHED!AK38=10,MATCHED!$K38,IF(MATCHED!AK38=11,MATCHED!$L38,IF(MATCHED!AK38=12,MATCHED!$M38,IF(MATCHED!AK38=13,MATCHED!$N38,IF(MATCHED!AK38=14,MATCHED!$O38,"")))))))&amp;IF(MATCHED!AK38=15,MATCHED!$P38,IF(MATCHED!AK38=16,MATCHED!$Q38,IF(MATCHED!AK38=17,MATCHED!$R38,IF(MATCHED!AK38=18,MATCHED!$S38,IF(MATCHED!AK38=19,MATCHED!$T38,IF(MATCHED!AK38=20,MATCHED!$U38,IF(MATCHED!AK38=21,MATCHED!$V38,)))))))&amp;IF(MATCHED!AK38=22,MATCHED!$W38,IF(MATCHED!AK38=23,MATCHED!$X38,IF(MATCHED!AK38=24,MATCHED!$Y38,IF(MATCHED!AK38=25,MATCHED!$Z38,IF(MATCHED!AK38=26,MATCHED!$AA38,IF(MATCHED!AK38=27,MATCHED!$AB38,"."))))))</f>
        <v>#N/A</v>
      </c>
      <c r="J38" s="339" t="e">
        <f>IF(MATCHED!AL38=1,MATCHED!$B38,IF(MATCHED!AL38=2,MATCHED!$C38,IF(MATCHED!AL38=3,MATCHED!$D38,IF(MATCHED!AL38=4,MATCHED!$E38,IF(MATCHED!AL38=3,MATCHED!$F38,IF(MATCHED!AL38=6,MATCHED!$G38,IF(MATCHED!AL38=7,MATCHED!$H38,"")))))))&amp;IF(MATCHED!AL38=8,MATCHED!$I38,IF(MATCHED!AL38=9,MATCHED!$J38,IF(MATCHED!AL38=10,MATCHED!$K38,IF(MATCHED!AL38=11,MATCHED!$L38,IF(MATCHED!AL38=12,MATCHED!$M38,IF(MATCHED!AL38=13,MATCHED!$N38,IF(MATCHED!AL38=14,MATCHED!$O38,"")))))))&amp;IF(MATCHED!AL38=15,MATCHED!$P38,IF(MATCHED!AL38=16,MATCHED!$Q38,IF(MATCHED!AL38=17,MATCHED!$R38,IF(MATCHED!AL38=18,MATCHED!$S38,IF(MATCHED!AL38=19,MATCHED!$T38,IF(MATCHED!AL38=20,MATCHED!$U38,IF(MATCHED!AL38=21,MATCHED!$V38,)))))))&amp;IF(MATCHED!AL38=22,MATCHED!$W38,IF(MATCHED!AL38=23,MATCHED!$X38,IF(MATCHED!AL38=24,MATCHED!$Y38,IF(MATCHED!AL38=25,MATCHED!$Z38,IF(MATCHED!AL38=26,MATCHED!$AA38,IF(MATCHED!AL38=27,MATCHED!$AB38,"."))))))</f>
        <v>#N/A</v>
      </c>
      <c r="K38" s="339" t="e">
        <f>IF(MATCHED!AM38=1,MATCHED!$B38,IF(MATCHED!AM38=2,MATCHED!$C38,IF(MATCHED!AM38=3,MATCHED!$D38,IF(MATCHED!AM38=4,MATCHED!$E38,IF(MATCHED!AM38=3,MATCHED!$F38,IF(MATCHED!AM38=6,MATCHED!$G38,IF(MATCHED!AM38=7,MATCHED!$H38,"")))))))&amp;IF(MATCHED!AM38=8,MATCHED!$I38,IF(MATCHED!AM38=9,MATCHED!$J38,IF(MATCHED!AM38=10,MATCHED!$K38,IF(MATCHED!AM38=11,MATCHED!$L38,IF(MATCHED!AM38=12,MATCHED!$M38,IF(MATCHED!AM38=13,MATCHED!$N38,IF(MATCHED!AM38=14,MATCHED!$O38,"")))))))&amp;IF(MATCHED!AM38=15,MATCHED!$P38,IF(MATCHED!AM38=16,MATCHED!$Q38,IF(MATCHED!AM38=17,MATCHED!$R38,IF(MATCHED!AM38=18,MATCHED!$S38,IF(MATCHED!AM38=19,MATCHED!$T38,IF(MATCHED!AM38=20,MATCHED!$U38,IF(MATCHED!AM38=21,MATCHED!$V38,)))))))&amp;IF(MATCHED!AM38=22,MATCHED!$W38,IF(MATCHED!AM38=23,MATCHED!$X38,IF(MATCHED!AM38=24,MATCHED!$Y38,IF(MATCHED!AM38=25,MATCHED!$Z38,IF(MATCHED!AM38=26,MATCHED!$AA38,IF(MATCHED!AM38=27,MATCHED!$AB38,"."))))))</f>
        <v>#N/A</v>
      </c>
      <c r="L38" s="339" t="e">
        <f>IF(MATCHED!AN38=1,MATCHED!$B38,IF(MATCHED!AN38=2,MATCHED!$C38,IF(MATCHED!AN38=3,MATCHED!$D38,IF(MATCHED!AN38=4,MATCHED!$E38,IF(MATCHED!AN38=3,MATCHED!$F38,IF(MATCHED!AN38=6,MATCHED!$G38,IF(MATCHED!AN38=7,MATCHED!$H38,"")))))))&amp;IF(MATCHED!AN38=8,MATCHED!$I38,IF(MATCHED!AN38=9,MATCHED!$J38,IF(MATCHED!AN38=10,MATCHED!$K38,IF(MATCHED!AN38=11,MATCHED!$L38,IF(MATCHED!AN38=12,MATCHED!$M38,IF(MATCHED!AN38=13,MATCHED!$N38,IF(MATCHED!AN38=14,MATCHED!$O38,"")))))))&amp;IF(MATCHED!AN38=15,MATCHED!$P38,IF(MATCHED!AN38=16,MATCHED!$Q38,IF(MATCHED!AN38=17,MATCHED!$R38,IF(MATCHED!AN38=18,MATCHED!$S38,IF(MATCHED!AN38=19,MATCHED!$T38,IF(MATCHED!AN38=20,MATCHED!$U38,IF(MATCHED!AN38=21,MATCHED!$V38,)))))))&amp;IF(MATCHED!AN38=22,MATCHED!$W38,IF(MATCHED!AN38=23,MATCHED!$X38,IF(MATCHED!AN38=24,MATCHED!$Y38,IF(MATCHED!AN38=25,MATCHED!$Z38,IF(MATCHED!AN38=26,MATCHED!$AA38,IF(MATCHED!AN38=27,MATCHED!$AB38,"."))))))</f>
        <v>#N/A</v>
      </c>
      <c r="M38" s="339" t="e">
        <f>IF(MATCHED!AO38=1,MATCHED!$B38,IF(MATCHED!AO38=2,MATCHED!$C38,IF(MATCHED!AO38=3,MATCHED!$D38,IF(MATCHED!AO38=4,MATCHED!$E38,IF(MATCHED!AO38=3,MATCHED!$F38,IF(MATCHED!AO38=6,MATCHED!$G38,IF(MATCHED!AO38=7,MATCHED!$H38,"")))))))&amp;IF(MATCHED!AO38=8,MATCHED!$I38,IF(MATCHED!AO38=9,MATCHED!$J38,IF(MATCHED!AO38=10,MATCHED!$K38,IF(MATCHED!AO38=11,MATCHED!$L38,IF(MATCHED!AO38=12,MATCHED!$M38,IF(MATCHED!AO38=13,MATCHED!$N38,IF(MATCHED!AO38=14,MATCHED!$O38,"")))))))&amp;IF(MATCHED!AO38=15,MATCHED!$P38,IF(MATCHED!AO38=16,MATCHED!$Q38,IF(MATCHED!AO38=17,MATCHED!$R38,IF(MATCHED!AO38=18,MATCHED!$S38,IF(MATCHED!AO38=19,MATCHED!$T38,IF(MATCHED!AO38=20,MATCHED!$U38,IF(MATCHED!AO38=21,MATCHED!$V38,)))))))&amp;IF(MATCHED!AO38=22,MATCHED!$W38,IF(MATCHED!AO38=23,MATCHED!$X38,IF(MATCHED!AO38=24,MATCHED!$Y38,IF(MATCHED!AO38=25,MATCHED!$Z38,IF(MATCHED!AO38=26,MATCHED!$AA38,IF(MATCHED!AO38=27,MATCHED!$AB38,"."))))))</f>
        <v>#N/A</v>
      </c>
      <c r="N38" s="339" t="e">
        <f>IF(MATCHED!AP38=1,MATCHED!$B38,IF(MATCHED!AP38=2,MATCHED!$C38,IF(MATCHED!AP38=3,MATCHED!$D38,IF(MATCHED!AP38=4,MATCHED!$E38,IF(MATCHED!AP38=3,MATCHED!$F38,IF(MATCHED!AP38=6,MATCHED!$G38,IF(MATCHED!AP38=7,MATCHED!$H38,"")))))))&amp;IF(MATCHED!AP38=8,MATCHED!$I38,IF(MATCHED!AP38=9,MATCHED!$J38,IF(MATCHED!AP38=10,MATCHED!$K38,IF(MATCHED!AP38=11,MATCHED!$L38,IF(MATCHED!AP38=12,MATCHED!$M38,IF(MATCHED!AP38=13,MATCHED!$N38,IF(MATCHED!AP38=14,MATCHED!$O38,"")))))))&amp;IF(MATCHED!AP38=15,MATCHED!$P38,IF(MATCHED!AP38=16,MATCHED!$Q38,IF(MATCHED!AP38=17,MATCHED!$R38,IF(MATCHED!AP38=18,MATCHED!$S38,IF(MATCHED!AP38=19,MATCHED!$T38,IF(MATCHED!AP38=20,MATCHED!$U38,IF(MATCHED!AP38=21,MATCHED!$V38,)))))))&amp;IF(MATCHED!AP38=22,MATCHED!$W38,IF(MATCHED!AP38=23,MATCHED!$X38,IF(MATCHED!AP38=24,MATCHED!$Y38,IF(MATCHED!AP38=25,MATCHED!$Z38,IF(MATCHED!AP38=26,MATCHED!$AA38,IF(MATCHED!AP38=27,MATCHED!$AB38,"."))))))</f>
        <v>#N/A</v>
      </c>
      <c r="O38" s="339" t="e">
        <f>IF(MATCHED!AQ38=1,MATCHED!$B38,IF(MATCHED!AQ38=2,MATCHED!$C38,IF(MATCHED!AQ38=3,MATCHED!$D38,IF(MATCHED!AQ38=4,MATCHED!$E38,IF(MATCHED!AQ38=3,MATCHED!$F38,IF(MATCHED!AQ38=6,MATCHED!$G38,IF(MATCHED!AQ38=7,MATCHED!$H38,"")))))))&amp;IF(MATCHED!AQ38=8,MATCHED!$I38,IF(MATCHED!AQ38=9,MATCHED!$J38,IF(MATCHED!AQ38=10,MATCHED!$K38,IF(MATCHED!AQ38=11,MATCHED!$L38,IF(MATCHED!AQ38=12,MATCHED!$M38,IF(MATCHED!AQ38=13,MATCHED!$N38,IF(MATCHED!AQ38=14,MATCHED!$O38,"")))))))&amp;IF(MATCHED!AQ38=15,MATCHED!$P38,IF(MATCHED!AQ38=16,MATCHED!$Q38,IF(MATCHED!AQ38=17,MATCHED!$R38,IF(MATCHED!AQ38=18,MATCHED!$S38,IF(MATCHED!AQ38=19,MATCHED!$T38,IF(MATCHED!AQ38=20,MATCHED!$U38,IF(MATCHED!AQ38=21,MATCHED!$V38,)))))))&amp;IF(MATCHED!AQ38=22,MATCHED!$W38,IF(MATCHED!AQ38=23,MATCHED!$X38,IF(MATCHED!AQ38=24,MATCHED!$Y38,IF(MATCHED!AQ38=25,MATCHED!$Z38,IF(MATCHED!AQ38=26,MATCHED!$AA38,IF(MATCHED!AQ38=27,MATCHED!$AB38,"."))))))</f>
        <v>#N/A</v>
      </c>
      <c r="P38" s="339" t="e">
        <f>IF(MATCHED!AR38=1,MATCHED!$B38,IF(MATCHED!AR38=2,MATCHED!$C38,IF(MATCHED!AR38=3,MATCHED!$D38,IF(MATCHED!AR38=4,MATCHED!$E38,IF(MATCHED!AR38=3,MATCHED!$F38,IF(MATCHED!AR38=6,MATCHED!$G38,IF(MATCHED!AR38=7,MATCHED!$H38,"")))))))&amp;IF(MATCHED!AR38=8,MATCHED!$I38,IF(MATCHED!AR38=9,MATCHED!$J38,IF(MATCHED!AR38=10,MATCHED!$K38,IF(MATCHED!AR38=11,MATCHED!$L38,IF(MATCHED!AR38=12,MATCHED!$M38,IF(MATCHED!AR38=13,MATCHED!$N38,IF(MATCHED!AR38=14,MATCHED!$O38,"")))))))&amp;IF(MATCHED!AR38=15,MATCHED!$P38,IF(MATCHED!AR38=16,MATCHED!$Q38,IF(MATCHED!AR38=17,MATCHED!$R38,IF(MATCHED!AR38=18,MATCHED!$S38,IF(MATCHED!AR38=19,MATCHED!$T38,IF(MATCHED!AR38=20,MATCHED!$U38,IF(MATCHED!AR38=21,MATCHED!$V38,)))))))&amp;IF(MATCHED!AR38=22,MATCHED!$W38,IF(MATCHED!AR38=23,MATCHED!$X38,IF(MATCHED!AR38=24,MATCHED!$Y38,IF(MATCHED!AR38=25,MATCHED!$Z38,IF(MATCHED!AR38=26,MATCHED!$AA38,IF(MATCHED!AR38=27,MATCHED!$AB38,"."))))))</f>
        <v>#N/A</v>
      </c>
      <c r="Q38" s="339" t="e">
        <f>IF(MATCHED!AS38=1,MATCHED!$B38,IF(MATCHED!AS38=2,MATCHED!$C38,IF(MATCHED!AS38=3,MATCHED!$D38,IF(MATCHED!AS38=4,MATCHED!$E38,IF(MATCHED!AS38=3,MATCHED!$F38,IF(MATCHED!AS38=6,MATCHED!$G38,IF(MATCHED!AS38=7,MATCHED!$H38,"")))))))&amp;IF(MATCHED!AS38=8,MATCHED!$I38,IF(MATCHED!AS38=9,MATCHED!$J38,IF(MATCHED!AS38=10,MATCHED!$K38,IF(MATCHED!AS38=11,MATCHED!$L38,IF(MATCHED!AS38=12,MATCHED!$M38,IF(MATCHED!AS38=13,MATCHED!$N38,IF(MATCHED!AS38=14,MATCHED!$O38,"")))))))&amp;IF(MATCHED!AS38=15,MATCHED!$P38,IF(MATCHED!AS38=16,MATCHED!$Q38,IF(MATCHED!AS38=17,MATCHED!$R38,IF(MATCHED!AS38=18,MATCHED!$S38,IF(MATCHED!AS38=19,MATCHED!$T38,IF(MATCHED!AS38=20,MATCHED!$U38,IF(MATCHED!AS38=21,MATCHED!$V38,)))))))&amp;IF(MATCHED!AS38=22,MATCHED!$W38,IF(MATCHED!AS38=23,MATCHED!$X38,IF(MATCHED!AS38=24,MATCHED!$Y38,IF(MATCHED!AS38=25,MATCHED!$Z38,IF(MATCHED!AS38=26,MATCHED!$AA38,IF(MATCHED!AS38=27,MATCHED!$AB38,"."))))))</f>
        <v>#N/A</v>
      </c>
      <c r="R38" s="339" t="e">
        <f>IF(MATCHED!AT38=1,MATCHED!$B38,IF(MATCHED!AT38=2,MATCHED!$C38,IF(MATCHED!AT38=3,MATCHED!$D38,IF(MATCHED!AT38=4,MATCHED!$E38,IF(MATCHED!AT38=3,MATCHED!$F38,IF(MATCHED!AT38=6,MATCHED!$G38,IF(MATCHED!AT38=7,MATCHED!$H38,"")))))))&amp;IF(MATCHED!AT38=8,MATCHED!$I38,IF(MATCHED!AT38=9,MATCHED!$J38,IF(MATCHED!AT38=10,MATCHED!$K38,IF(MATCHED!AT38=11,MATCHED!$L38,IF(MATCHED!AT38=12,MATCHED!$M38,IF(MATCHED!AT38=13,MATCHED!$N38,IF(MATCHED!AT38=14,MATCHED!$O38,"")))))))&amp;IF(MATCHED!AT38=15,MATCHED!$P38,IF(MATCHED!AT38=16,MATCHED!$Q38,IF(MATCHED!AT38=17,MATCHED!$R38,IF(MATCHED!AT38=18,MATCHED!$S38,IF(MATCHED!AT38=19,MATCHED!$T38,IF(MATCHED!AT38=20,MATCHED!$U38,IF(MATCHED!AT38=21,MATCHED!$V38,)))))))&amp;IF(MATCHED!AT38=22,MATCHED!$W38,IF(MATCHED!AT38=23,MATCHED!$X38,IF(MATCHED!AT38=24,MATCHED!$Y38,IF(MATCHED!AT38=25,MATCHED!$Z38,IF(MATCHED!AT38=26,MATCHED!$AA38,IF(MATCHED!AT38=27,MATCHED!$AB38,"."))))))</f>
        <v>#N/A</v>
      </c>
      <c r="S38" s="339" t="e">
        <f>IF(MATCHED!AU38=1,MATCHED!$B38,IF(MATCHED!AU38=2,MATCHED!$C38,IF(MATCHED!AU38=3,MATCHED!$D38,IF(MATCHED!AU38=4,MATCHED!$E38,IF(MATCHED!AU38=3,MATCHED!$F38,IF(MATCHED!AU38=6,MATCHED!$G38,IF(MATCHED!AU38=7,MATCHED!$H38,"")))))))&amp;IF(MATCHED!AU38=8,MATCHED!$I38,IF(MATCHED!AU38=9,MATCHED!$J38,IF(MATCHED!AU38=10,MATCHED!$K38,IF(MATCHED!AU38=11,MATCHED!$L38,IF(MATCHED!AU38=12,MATCHED!$M38,IF(MATCHED!AU38=13,MATCHED!$N38,IF(MATCHED!AU38=14,MATCHED!$O38,"")))))))&amp;IF(MATCHED!AU38=15,MATCHED!$P38,IF(MATCHED!AU38=16,MATCHED!$Q38,IF(MATCHED!AU38=17,MATCHED!$R38,IF(MATCHED!AU38=18,MATCHED!$S38,IF(MATCHED!AU38=19,MATCHED!$T38,IF(MATCHED!AU38=20,MATCHED!$U38,IF(MATCHED!AU38=21,MATCHED!$V38,)))))))&amp;IF(MATCHED!AU38=22,MATCHED!$W38,IF(MATCHED!AU38=23,MATCHED!$X38,IF(MATCHED!AU38=24,MATCHED!$Y38,IF(MATCHED!AU38=25,MATCHED!$Z38,IF(MATCHED!AU38=26,MATCHED!$AA38,IF(MATCHED!AU38=27,MATCHED!$AB38,"."))))))</f>
        <v>#N/A</v>
      </c>
      <c r="T38" s="339" t="e">
        <f>IF(MATCHED!AV38=1,MATCHED!$B38,IF(MATCHED!AV38=2,MATCHED!$C38,IF(MATCHED!AV38=3,MATCHED!$D38,IF(MATCHED!AV38=4,MATCHED!$E38,IF(MATCHED!AV38=3,MATCHED!$F38,IF(MATCHED!AV38=6,MATCHED!$G38,IF(MATCHED!AV38=7,MATCHED!$H38,"")))))))&amp;IF(MATCHED!AV38=8,MATCHED!$I38,IF(MATCHED!AV38=9,MATCHED!$J38,IF(MATCHED!AV38=10,MATCHED!$K38,IF(MATCHED!AV38=11,MATCHED!$L38,IF(MATCHED!AV38=12,MATCHED!$M38,IF(MATCHED!AV38=13,MATCHED!$N38,IF(MATCHED!AV38=14,MATCHED!$O38,"")))))))&amp;IF(MATCHED!AV38=15,MATCHED!$P38,IF(MATCHED!AV38=16,MATCHED!$Q38,IF(MATCHED!AV38=17,MATCHED!$R38,IF(MATCHED!AV38=18,MATCHED!$S38,IF(MATCHED!AV38=19,MATCHED!$T38,IF(MATCHED!AV38=20,MATCHED!$U38,IF(MATCHED!AV38=21,MATCHED!$V38,)))))))&amp;IF(MATCHED!AV38=22,MATCHED!$W38,IF(MATCHED!AV38=23,MATCHED!$X38,IF(MATCHED!AV38=24,MATCHED!$Y38,IF(MATCHED!AV38=25,MATCHED!$Z38,IF(MATCHED!AV38=26,MATCHED!$AA38,IF(MATCHED!AV38=27,MATCHED!$AB38,"."))))))</f>
        <v>#N/A</v>
      </c>
      <c r="U38" s="339" t="e">
        <f>IF(MATCHED!AW38=1,MATCHED!$B38,IF(MATCHED!AW38=2,MATCHED!$C38,IF(MATCHED!AW38=3,MATCHED!$D38,IF(MATCHED!AW38=4,MATCHED!$E38,IF(MATCHED!AW38=3,MATCHED!$F38,IF(MATCHED!AW38=6,MATCHED!$G38,IF(MATCHED!AW38=7,MATCHED!$H38,"")))))))&amp;IF(MATCHED!AW38=8,MATCHED!$I38,IF(MATCHED!AW38=9,MATCHED!$J38,IF(MATCHED!AW38=10,MATCHED!$K38,IF(MATCHED!AW38=11,MATCHED!$L38,IF(MATCHED!AW38=12,MATCHED!$M38,IF(MATCHED!AW38=13,MATCHED!$N38,IF(MATCHED!AW38=14,MATCHED!$O38,"")))))))&amp;IF(MATCHED!AW38=15,MATCHED!$P38,IF(MATCHED!AW38=16,MATCHED!$Q38,IF(MATCHED!AW38=17,MATCHED!$R38,IF(MATCHED!AW38=18,MATCHED!$S38,IF(MATCHED!AW38=19,MATCHED!$T38,IF(MATCHED!AW38=20,MATCHED!$U38,IF(MATCHED!AW38=21,MATCHED!$V38,)))))))&amp;IF(MATCHED!AW38=22,MATCHED!$W38,IF(MATCHED!AW38=23,MATCHED!$X38,IF(MATCHED!AW38=24,MATCHED!$Y38,IF(MATCHED!AW38=25,MATCHED!$Z38,IF(MATCHED!AW38=26,MATCHED!$AA38,IF(MATCHED!AW38=27,MATCHED!$AB38,"."))))))</f>
        <v>#N/A</v>
      </c>
      <c r="V38" s="339" t="e">
        <f>IF(MATCHED!AX38=1,MATCHED!$B38,IF(MATCHED!AX38=2,MATCHED!$C38,IF(MATCHED!AX38=3,MATCHED!$D38,IF(MATCHED!AX38=4,MATCHED!$E38,IF(MATCHED!AX38=3,MATCHED!$F38,IF(MATCHED!AX38=6,MATCHED!$G38,IF(MATCHED!AX38=7,MATCHED!$H38,"")))))))&amp;IF(MATCHED!AX38=8,MATCHED!$I38,IF(MATCHED!AX38=9,MATCHED!$J38,IF(MATCHED!AX38=10,MATCHED!$K38,IF(MATCHED!AX38=11,MATCHED!$L38,IF(MATCHED!AX38=12,MATCHED!$M38,IF(MATCHED!AX38=13,MATCHED!$N38,IF(MATCHED!AX38=14,MATCHED!$O38,"")))))))&amp;IF(MATCHED!AX38=15,MATCHED!$P38,IF(MATCHED!AX38=16,MATCHED!$Q38,IF(MATCHED!AX38=17,MATCHED!$R38,IF(MATCHED!AX38=18,MATCHED!$S38,IF(MATCHED!AX38=19,MATCHED!$T38,IF(MATCHED!AX38=20,MATCHED!$U38,IF(MATCHED!AX38=21,MATCHED!$V38,)))))))&amp;IF(MATCHED!AX38=22,MATCHED!$W38,IF(MATCHED!AX38=23,MATCHED!$X38,IF(MATCHED!AX38=24,MATCHED!$Y38,IF(MATCHED!AX38=25,MATCHED!$Z38,IF(MATCHED!AX38=26,MATCHED!$AA38,IF(MATCHED!AX38=27,MATCHED!$AB38,"."))))))</f>
        <v>#N/A</v>
      </c>
      <c r="W38" s="339" t="e">
        <f>IF(MATCHED!AY38=1,MATCHED!$B38,IF(MATCHED!AY38=2,MATCHED!$C38,IF(MATCHED!AY38=3,MATCHED!$D38,IF(MATCHED!AY38=4,MATCHED!$E38,IF(MATCHED!AY38=3,MATCHED!$F38,IF(MATCHED!AY38=6,MATCHED!$G38,IF(MATCHED!AY38=7,MATCHED!$H38,"")))))))&amp;IF(MATCHED!AY38=8,MATCHED!$I38,IF(MATCHED!AY38=9,MATCHED!$J38,IF(MATCHED!AY38=10,MATCHED!$K38,IF(MATCHED!AY38=11,MATCHED!$L38,IF(MATCHED!AY38=12,MATCHED!$M38,IF(MATCHED!AY38=13,MATCHED!$N38,IF(MATCHED!AY38=14,MATCHED!$O38,"")))))))&amp;IF(MATCHED!AY38=15,MATCHED!$P38,IF(MATCHED!AY38=16,MATCHED!$Q38,IF(MATCHED!AY38=17,MATCHED!$R38,IF(MATCHED!AY38=18,MATCHED!$S38,IF(MATCHED!AY38=19,MATCHED!$T38,IF(MATCHED!AY38=20,MATCHED!$U38,IF(MATCHED!AY38=21,MATCHED!$V38,)))))))&amp;IF(MATCHED!AY38=22,MATCHED!$W38,IF(MATCHED!AY38=23,MATCHED!$X38,IF(MATCHED!AY38=24,MATCHED!$Y38,IF(MATCHED!AY38=25,MATCHED!$Z38,IF(MATCHED!AY38=26,MATCHED!$AA38,IF(MATCHED!AY38=27,MATCHED!$AB38,"."))))))</f>
        <v>#N/A</v>
      </c>
      <c r="X38" s="339" t="e">
        <f>IF(MATCHED!AZ38=1,MATCHED!$B38,IF(MATCHED!AZ38=2,MATCHED!$C38,IF(MATCHED!AZ38=3,MATCHED!$D38,IF(MATCHED!AZ38=4,MATCHED!$E38,IF(MATCHED!AZ38=3,MATCHED!$F38,IF(MATCHED!AZ38=6,MATCHED!$G38,IF(MATCHED!AZ38=7,MATCHED!$H38,"")))))))&amp;IF(MATCHED!AZ38=8,MATCHED!$I38,IF(MATCHED!AZ38=9,MATCHED!$J38,IF(MATCHED!AZ38=10,MATCHED!$K38,IF(MATCHED!AZ38=11,MATCHED!$L38,IF(MATCHED!AZ38=12,MATCHED!$M38,IF(MATCHED!AZ38=13,MATCHED!$N38,IF(MATCHED!AZ38=14,MATCHED!$O38,"")))))))&amp;IF(MATCHED!AZ38=15,MATCHED!$P38,IF(MATCHED!AZ38=16,MATCHED!$Q38,IF(MATCHED!AZ38=17,MATCHED!$R38,IF(MATCHED!AZ38=18,MATCHED!$S38,IF(MATCHED!AZ38=19,MATCHED!$T38,IF(MATCHED!AZ38=20,MATCHED!$U38,IF(MATCHED!AZ38=21,MATCHED!$V38,)))))))&amp;IF(MATCHED!AZ38=22,MATCHED!$W38,IF(MATCHED!AZ38=23,MATCHED!$X38,IF(MATCHED!AZ38=24,MATCHED!$Y38,IF(MATCHED!AZ38=25,MATCHED!$Z38,IF(MATCHED!AZ38=26,MATCHED!$AA38,IF(MATCHED!AZ38=27,MATCHED!$AB38,"."))))))</f>
        <v>#N/A</v>
      </c>
      <c r="Y38" s="339" t="e">
        <f>IF(MATCHED!BA38=1,MATCHED!$B38,IF(MATCHED!BA38=2,MATCHED!$C38,IF(MATCHED!BA38=3,MATCHED!$D38,IF(MATCHED!BA38=4,MATCHED!$E38,IF(MATCHED!BA38=3,MATCHED!$F38,IF(MATCHED!BA38=6,MATCHED!$G38,IF(MATCHED!BA38=7,MATCHED!$H38,"")))))))&amp;IF(MATCHED!BA38=8,MATCHED!$I38,IF(MATCHED!BA38=9,MATCHED!$J38,IF(MATCHED!BA38=10,MATCHED!$K38,IF(MATCHED!BA38=11,MATCHED!$L38,IF(MATCHED!BA38=12,MATCHED!$M38,IF(MATCHED!BA38=13,MATCHED!$N38,IF(MATCHED!BA38=14,MATCHED!$O38,"")))))))&amp;IF(MATCHED!BA38=15,MATCHED!$P38,IF(MATCHED!BA38=16,MATCHED!$Q38,IF(MATCHED!BA38=17,MATCHED!$R38,IF(MATCHED!BA38=18,MATCHED!$S38,IF(MATCHED!BA38=19,MATCHED!$T38,IF(MATCHED!BA38=20,MATCHED!$U38,IF(MATCHED!BA38=21,MATCHED!$V38,)))))))&amp;IF(MATCHED!BA38=22,MATCHED!$W38,IF(MATCHED!BA38=23,MATCHED!$X38,IF(MATCHED!BA38=24,MATCHED!$Y38,IF(MATCHED!BA38=25,MATCHED!$Z38,IF(MATCHED!BA38=26,MATCHED!$AA38,IF(MATCHED!BA38=27,MATCHED!$AB38,"."))))))</f>
        <v>#N/A</v>
      </c>
      <c r="Z38" s="339" t="e">
        <f>IF(MATCHED!BB38=1,MATCHED!$B38,IF(MATCHED!BB38=2,MATCHED!$C38,IF(MATCHED!BB38=3,MATCHED!$D38,IF(MATCHED!BB38=4,MATCHED!$E38,IF(MATCHED!BB38=3,MATCHED!$F38,IF(MATCHED!BB38=6,MATCHED!$G38,IF(MATCHED!BB38=7,MATCHED!$H38,"")))))))&amp;IF(MATCHED!BB38=8,MATCHED!$I38,IF(MATCHED!BB38=9,MATCHED!$J38,IF(MATCHED!BB38=10,MATCHED!$K38,IF(MATCHED!BB38=11,MATCHED!$L38,IF(MATCHED!BB38=12,MATCHED!$M38,IF(MATCHED!BB38=13,MATCHED!$N38,IF(MATCHED!BB38=14,MATCHED!$O38,"")))))))&amp;IF(MATCHED!BB38=15,MATCHED!$P38,IF(MATCHED!BB38=16,MATCHED!$Q38,IF(MATCHED!BB38=17,MATCHED!$R38,IF(MATCHED!BB38=18,MATCHED!$S38,IF(MATCHED!BB38=19,MATCHED!$T38,IF(MATCHED!BB38=20,MATCHED!$U38,IF(MATCHED!BB38=21,MATCHED!$V38,)))))))&amp;IF(MATCHED!BB38=22,MATCHED!$W38,IF(MATCHED!BB38=23,MATCHED!$X38,IF(MATCHED!BB38=24,MATCHED!$Y38,IF(MATCHED!BB38=25,MATCHED!$Z38,IF(MATCHED!BB38=26,MATCHED!$AA38,IF(MATCHED!BB38=27,MATCHED!$AB38,"."))))))</f>
        <v>#N/A</v>
      </c>
      <c r="AA38" s="339" t="e">
        <f>IF(MATCHED!BC38=1,MATCHED!$B38,IF(MATCHED!BC38=2,MATCHED!$C38,IF(MATCHED!BC38=3,MATCHED!$D38,IF(MATCHED!BC38=4,MATCHED!$E38,IF(MATCHED!BC38=3,MATCHED!$F38,IF(MATCHED!BC38=6,MATCHED!$G38,IF(MATCHED!BC38=7,MATCHED!$H38,"")))))))&amp;IF(MATCHED!BC38=8,MATCHED!$I38,IF(MATCHED!BC38=9,MATCHED!$J38,IF(MATCHED!BC38=10,MATCHED!$K38,IF(MATCHED!BC38=11,MATCHED!$L38,IF(MATCHED!BC38=12,MATCHED!$M38,IF(MATCHED!BC38=13,MATCHED!$N38,IF(MATCHED!BC38=14,MATCHED!$O38,"")))))))&amp;IF(MATCHED!BC38=15,MATCHED!$P38,IF(MATCHED!BC38=16,MATCHED!$Q38,IF(MATCHED!BC38=17,MATCHED!$R38,IF(MATCHED!BC38=18,MATCHED!$S38,IF(MATCHED!BC38=19,MATCHED!$T38,IF(MATCHED!BC38=20,MATCHED!$U38,IF(MATCHED!BC38=21,MATCHED!$V38,)))))))&amp;IF(MATCHED!BC38=22,MATCHED!$W38,IF(MATCHED!BC38=23,MATCHED!$X38,IF(MATCHED!BC38=24,MATCHED!$Y38,IF(MATCHED!BC38=25,MATCHED!$Z38,IF(MATCHED!BC38=26,MATCHED!$AA38,IF(MATCHED!BC38=27,MATCHED!$AB38,"."))))))</f>
        <v>#N/A</v>
      </c>
      <c r="AB38" s="339" t="e">
        <f>IF(MATCHED!BD38=1,MATCHED!$B38,IF(MATCHED!BD38=2,MATCHED!$C38,IF(MATCHED!BD38=3,MATCHED!$D38,IF(MATCHED!BD38=4,MATCHED!$E38,IF(MATCHED!BD38=3,MATCHED!$F38,IF(MATCHED!BD38=6,MATCHED!$G38,IF(MATCHED!BD38=7,MATCHED!$H38,"")))))))&amp;IF(MATCHED!BD38=8,MATCHED!$I38,IF(MATCHED!BD38=9,MATCHED!$J38,IF(MATCHED!BD38=10,MATCHED!$K38,IF(MATCHED!BD38=11,MATCHED!$L38,IF(MATCHED!BD38=12,MATCHED!$M38,IF(MATCHED!BD38=13,MATCHED!$N38,IF(MATCHED!BD38=14,MATCHED!$O38,"")))))))&amp;IF(MATCHED!BD38=15,MATCHED!$P38,IF(MATCHED!BD38=16,MATCHED!$Q38,IF(MATCHED!BD38=17,MATCHED!$R38,IF(MATCHED!BD38=18,MATCHED!$S38,IF(MATCHED!BD38=19,MATCHED!$T38,IF(MATCHED!BD38=20,MATCHED!$U38,IF(MATCHED!BD38=21,MATCHED!$V38,)))))))&amp;IF(MATCHED!BD38=22,MATCHED!$W38,IF(MATCHED!BD38=23,MATCHED!$X38,IF(MATCHED!BD38=24,MATCHED!$Y38,IF(MATCHED!BD38=25,MATCHED!$Z38,IF(MATCHED!BD38=26,MATCHED!$AA38,IF(MATCHED!BD38=27,MATCHED!$AB38,"."))))))</f>
        <v>#N/A</v>
      </c>
      <c r="AC38" s="339" t="e">
        <f>IF(MATCHED!BE38=1,MATCHED!$B38,IF(MATCHED!BE38=2,MATCHED!$C38,IF(MATCHED!BE38=3,MATCHED!$D38,IF(MATCHED!BE38=4,MATCHED!$E38,IF(MATCHED!BE38=3,MATCHED!$F38,IF(MATCHED!BE38=6,MATCHED!$G38,IF(MATCHED!BE38=7,MATCHED!$H38,"")))))))&amp;IF(MATCHED!BE38=8,MATCHED!$I38,IF(MATCHED!BE38=9,MATCHED!$J38,IF(MATCHED!BE38=10,MATCHED!$K38,IF(MATCHED!BE38=11,MATCHED!$L38,IF(MATCHED!BE38=12,MATCHED!$M38,IF(MATCHED!BE38=13,MATCHED!$N38,IF(MATCHED!BE38=14,MATCHED!$O38,"")))))))&amp;IF(MATCHED!BE38=15,MATCHED!$P38,IF(MATCHED!BE38=16,MATCHED!$Q38,IF(MATCHED!BE38=17,MATCHED!$R38,IF(MATCHED!BE38=18,MATCHED!$S38,IF(MATCHED!BE38=19,MATCHED!$T38,IF(MATCHED!BE38=20,MATCHED!$U38,IF(MATCHED!BE38=21,MATCHED!$V38,)))))))&amp;IF(MATCHED!BE38=22,MATCHED!$W38,IF(MATCHED!BE38=23,MATCHED!$X38,IF(MATCHED!BE38=24,MATCHED!$Y38,IF(MATCHED!BE38=25,MATCHED!$Z38,IF(MATCHED!BE38=26,MATCHED!$AA38,IF(MATCHED!BE38=27,MATCHED!$AB38,"."))))))</f>
        <v>#N/A</v>
      </c>
      <c r="AD38" s="339" t="e">
        <f>IF(MATCHED!BF38=1,MATCHED!$B38,IF(MATCHED!BF38=2,MATCHED!$C38,IF(MATCHED!BF38=3,MATCHED!$D38,IF(MATCHED!BF38=4,MATCHED!$E38,IF(MATCHED!BF38=3,MATCHED!$F38,IF(MATCHED!BF38=6,MATCHED!$G38,IF(MATCHED!BF38=7,MATCHED!$H38,"")))))))&amp;IF(MATCHED!BF38=8,MATCHED!$I38,IF(MATCHED!BF38=9,MATCHED!$J38,IF(MATCHED!BF38=10,MATCHED!$K38,IF(MATCHED!BF38=11,MATCHED!$L38,IF(MATCHED!BF38=12,MATCHED!$M38,IF(MATCHED!BF38=13,MATCHED!$N38,IF(MATCHED!BF38=14,MATCHED!$O38,"")))))))&amp;IF(MATCHED!BF38=15,MATCHED!$P38,IF(MATCHED!BF38=16,MATCHED!$Q38,IF(MATCHED!BF38=17,MATCHED!$R38,IF(MATCHED!BF38=18,MATCHED!$S38,IF(MATCHED!BF38=19,MATCHED!$T38,IF(MATCHED!BF38=20,MATCHED!$U38,IF(MATCHED!BF38=21,MATCHED!$V38,)))))))&amp;IF(MATCHED!BF38=22,MATCHED!$W38,IF(MATCHED!BF38=23,MATCHED!$X38,IF(MATCHED!BF38=24,MATCHED!$Y38,IF(MATCHED!BF38=25,MATCHED!$Z38,IF(MATCHED!BF38=26,MATCHED!$AA38,IF(MATCHED!BF38=27,MATCHED!$AB38,"."))))))</f>
        <v>#N/A</v>
      </c>
      <c r="AE38" s="339" t="e">
        <f>IF(MATCHED!BG38=1,MATCHED!$B38,IF(MATCHED!BG38=2,MATCHED!$C38,IF(MATCHED!BG38=3,MATCHED!$D38,IF(MATCHED!BG38=4,MATCHED!$E38,IF(MATCHED!BG38=3,MATCHED!$F38,IF(MATCHED!BG38=6,MATCHED!$G38,IF(MATCHED!BG38=7,MATCHED!$H38,"")))))))&amp;IF(MATCHED!BG38=8,MATCHED!$I38,IF(MATCHED!BG38=9,MATCHED!$J38,IF(MATCHED!BG38=10,MATCHED!$K38,IF(MATCHED!BG38=11,MATCHED!$L38,IF(MATCHED!BG38=12,MATCHED!$M38,IF(MATCHED!BG38=13,MATCHED!$N38,IF(MATCHED!BG38=14,MATCHED!$O38,"")))))))&amp;IF(MATCHED!BG38=15,MATCHED!$P38,IF(MATCHED!BG38=16,MATCHED!$Q38,IF(MATCHED!BG38=17,MATCHED!$R38,IF(MATCHED!BG38=18,MATCHED!$S38,IF(MATCHED!BG38=19,MATCHED!$T38,IF(MATCHED!BG38=20,MATCHED!$U38,IF(MATCHED!BG38=21,MATCHED!$V38,)))))))&amp;IF(MATCHED!BG38=22,MATCHED!$W38,IF(MATCHED!BG38=23,MATCHED!$X38,IF(MATCHED!BG38=24,MATCHED!$Y38,IF(MATCHED!BG38=25,MATCHED!$Z38,IF(MATCHED!BG38=26,MATCHED!$AA38,IF(MATCHED!BG38=27,MATCHED!$AB38,"."))))))</f>
        <v>#N/A</v>
      </c>
      <c r="AF38" s="339" t="e">
        <f>IF(MATCHED!BH38=1,MATCHED!$B38,IF(MATCHED!BH38=2,MATCHED!$C38,IF(MATCHED!BH38=3,MATCHED!$D38,IF(MATCHED!BH38=4,MATCHED!$E38,IF(MATCHED!BH38=3,MATCHED!$F38,IF(MATCHED!BH38=6,MATCHED!$G38,IF(MATCHED!BH38=7,MATCHED!$H38,"")))))))&amp;IF(MATCHED!BH38=8,MATCHED!$I38,IF(MATCHED!BH38=9,MATCHED!$J38,IF(MATCHED!BH38=10,MATCHED!$K38,IF(MATCHED!BH38=11,MATCHED!$L38,IF(MATCHED!BH38=12,MATCHED!$M38,IF(MATCHED!BH38=13,MATCHED!$N38,IF(MATCHED!BH38=14,MATCHED!$O38,"")))))))&amp;IF(MATCHED!BH38=15,MATCHED!$P38,IF(MATCHED!BH38=16,MATCHED!$Q38,IF(MATCHED!BH38=17,MATCHED!$R38,IF(MATCHED!BH38=18,MATCHED!$S38,IF(MATCHED!BH38=19,MATCHED!$T38,IF(MATCHED!BH38=20,MATCHED!$U38,IF(MATCHED!BH38=21,MATCHED!$V38,)))))))&amp;IF(MATCHED!BH38=22,MATCHED!$W38,IF(MATCHED!BH38=23,MATCHED!$X38,IF(MATCHED!BH38=24,MATCHED!$Y38,IF(MATCHED!BH38=25,MATCHED!$Z38,IF(MATCHED!BH38=26,MATCHED!$AA38,IF(MATCHED!BH38=27,MATCHED!$AB38,"."))))))</f>
        <v>#N/A</v>
      </c>
      <c r="AG38" s="339" t="e">
        <f>IF(MATCHED!BI38=1,MATCHED!$B38,IF(MATCHED!BI38=2,MATCHED!$C38,IF(MATCHED!BI38=3,MATCHED!$D38,IF(MATCHED!BI38=4,MATCHED!$E38,IF(MATCHED!BI38=3,MATCHED!$F38,IF(MATCHED!BI38=6,MATCHED!$G38,IF(MATCHED!BI38=7,MATCHED!$H38,"")))))))&amp;IF(MATCHED!BI38=8,MATCHED!$I38,IF(MATCHED!BI38=9,MATCHED!$J38,IF(MATCHED!BI38=10,MATCHED!$K38,IF(MATCHED!BI38=11,MATCHED!$L38,IF(MATCHED!BI38=12,MATCHED!$M38,IF(MATCHED!BI38=13,MATCHED!$N38,IF(MATCHED!BI38=14,MATCHED!$O38,"")))))))&amp;IF(MATCHED!BI38=15,MATCHED!$P38,IF(MATCHED!BI38=16,MATCHED!$Q38,IF(MATCHED!BI38=17,MATCHED!$R38,IF(MATCHED!BI38=18,MATCHED!$S38,IF(MATCHED!BI38=19,MATCHED!$T38,IF(MATCHED!BI38=20,MATCHED!$U38,IF(MATCHED!BI38=21,MATCHED!$V38,)))))))&amp;IF(MATCHED!BI38=22,MATCHED!$W38,IF(MATCHED!BI38=23,MATCHED!$X38,IF(MATCHED!BI38=24,MATCHED!$Y38,IF(MATCHED!BI38=25,MATCHED!$Z38,IF(MATCHED!BI38=26,MATCHED!$AA38,IF(MATCHED!BI38=27,MATCHED!$AB38,"."))))))</f>
        <v>#N/A</v>
      </c>
      <c r="AH38" s="339" t="e">
        <f>IF(MATCHED!BJ38=1,MATCHED!$B38,IF(MATCHED!BJ38=2,MATCHED!$C38,IF(MATCHED!BJ38=3,MATCHED!$D38,IF(MATCHED!BJ38=4,MATCHED!$E38,IF(MATCHED!BJ38=3,MATCHED!$F38,IF(MATCHED!BJ38=6,MATCHED!$G38,IF(MATCHED!BJ38=7,MATCHED!$H38,"")))))))&amp;IF(MATCHED!BJ38=8,MATCHED!$I38,IF(MATCHED!BJ38=9,MATCHED!$J38,IF(MATCHED!BJ38=10,MATCHED!$K38,IF(MATCHED!BJ38=11,MATCHED!$L38,IF(MATCHED!BJ38=12,MATCHED!$M38,IF(MATCHED!BJ38=13,MATCHED!$N38,IF(MATCHED!BJ38=14,MATCHED!$O38,"")))))))&amp;IF(MATCHED!BJ38=15,MATCHED!$P38,IF(MATCHED!BJ38=16,MATCHED!$Q38,IF(MATCHED!BJ38=17,MATCHED!$R38,IF(MATCHED!BJ38=18,MATCHED!$S38,IF(MATCHED!BJ38=19,MATCHED!$T38,IF(MATCHED!BJ38=20,MATCHED!$U38,IF(MATCHED!BJ38=21,MATCHED!$V38,)))))))&amp;IF(MATCHED!BJ38=22,MATCHED!$W38,IF(MATCHED!BJ38=23,MATCHED!$X38,IF(MATCHED!BJ38=24,MATCHED!$Y38,IF(MATCHED!BJ38=25,MATCHED!$Z38,IF(MATCHED!BJ38=26,MATCHED!$AA38,IF(MATCHED!BJ38=27,MATCHED!$AB38,"."))))))</f>
        <v>#N/A</v>
      </c>
      <c r="AI38" s="339" t="e">
        <f>IF(MATCHED!BK38=1,MATCHED!$B38,IF(MATCHED!BK38=2,MATCHED!$C38,IF(MATCHED!BK38=3,MATCHED!$D38,IF(MATCHED!BK38=4,MATCHED!$E38,IF(MATCHED!BK38=3,MATCHED!$F38,IF(MATCHED!BK38=6,MATCHED!$G38,IF(MATCHED!BK38=7,MATCHED!$H38,"")))))))&amp;IF(MATCHED!BK38=8,MATCHED!$I38,IF(MATCHED!BK38=9,MATCHED!$J38,IF(MATCHED!BK38=10,MATCHED!$K38,IF(MATCHED!BK38=11,MATCHED!$L38,IF(MATCHED!BK38=12,MATCHED!$M38,IF(MATCHED!BK38=13,MATCHED!$N38,IF(MATCHED!BK38=14,MATCHED!$O38,"")))))))&amp;IF(MATCHED!BK38=15,MATCHED!$P38,IF(MATCHED!BK38=16,MATCHED!$Q38,IF(MATCHED!BK38=17,MATCHED!$R38,IF(MATCHED!BK38=18,MATCHED!$S38,IF(MATCHED!BK38=19,MATCHED!$T38,IF(MATCHED!BK38=20,MATCHED!$U38,IF(MATCHED!BK38=21,MATCHED!$V38,)))))))&amp;IF(MATCHED!BK38=22,MATCHED!$W38,IF(MATCHED!BK38=23,MATCHED!$X38,IF(MATCHED!BK38=24,MATCHED!$Y38,IF(MATCHED!BK38=25,MATCHED!$Z38,IF(MATCHED!BK38=26,MATCHED!$AA38,IF(MATCHED!BK38=27,MATCHED!$AB38,"."))))))</f>
        <v>#N/A</v>
      </c>
      <c r="AJ38" s="534"/>
    </row>
    <row r="39" spans="1:36" s="338" customFormat="1" x14ac:dyDescent="0.25">
      <c r="A39" s="535"/>
      <c r="B39" s="366" t="e">
        <f>IF(MATCHED!AD39=1,MATCHED!$B39,IF(MATCHED!AD39=2,MATCHED!$C39,IF(MATCHED!AD39=3,MATCHED!$D39,IF(MATCHED!AD39=4,MATCHED!$E39,IF(MATCHED!AD39=3,MATCHED!$F39,IF(MATCHED!AD39=6,MATCHED!$G39,IF(MATCHED!AD39=7,MATCHED!$H39,"")))))))&amp;IF(MATCHED!AD39=8,MATCHED!$I39,IF(MATCHED!AD39=9,MATCHED!$J39,IF(MATCHED!AD39=10,MATCHED!$K39,IF(MATCHED!AD39=11,MATCHED!$L39,IF(MATCHED!AD39=12,MATCHED!$M39,IF(MATCHED!AD39=13,MATCHED!$N39,IF(MATCHED!AD39=14,MATCHED!$O39,"")))))))&amp;IF(MATCHED!AD39=15,MATCHED!$P39,IF(MATCHED!AD39=16,MATCHED!$Q39,IF(MATCHED!AD39=17,MATCHED!$R39,IF(MATCHED!AD39=18,MATCHED!$S39,IF(MATCHED!AD39=19,MATCHED!$T39,IF(MATCHED!AD39=20,MATCHED!$U39,IF(MATCHED!AD39=21,MATCHED!$V39,)))))))&amp;IF(MATCHED!AD39=22,MATCHED!$W39,IF(MATCHED!AD39=23,MATCHED!$X39,IF(MATCHED!AD39=24,MATCHED!$Y39,IF(MATCHED!AD39=25,MATCHED!$Z39,IF(MATCHED!AD39=26,MATCHED!$AA39,IF(MATCHED!AD39=27,MATCHED!$AB39,"."))))))</f>
        <v>#N/A</v>
      </c>
      <c r="C39" s="367" t="e">
        <f>IF(MATCHED!AE39=1,MATCHED!$B39,IF(MATCHED!AE39=2,MATCHED!$C39,IF(MATCHED!AE39=3,MATCHED!$D39,IF(MATCHED!AE39=4,MATCHED!$E39,IF(MATCHED!AE39=3,MATCHED!$F39,IF(MATCHED!AE39=6,MATCHED!$G39,IF(MATCHED!AE39=7,MATCHED!$H39,"")))))))&amp;IF(MATCHED!AE39=8,MATCHED!$I39,IF(MATCHED!AE39=9,MATCHED!$J39,IF(MATCHED!AE39=10,MATCHED!$K39,IF(MATCHED!AE39=11,MATCHED!$L39,IF(MATCHED!AE39=12,MATCHED!$M39,IF(MATCHED!AE39=13,MATCHED!$N39,IF(MATCHED!AE39=14,MATCHED!$O39,"")))))))&amp;IF(MATCHED!AE39=15,MATCHED!$P39,IF(MATCHED!AE39=16,MATCHED!$Q39,IF(MATCHED!AE39=17,MATCHED!$R39,IF(MATCHED!AE39=18,MATCHED!$S39,IF(MATCHED!AE39=19,MATCHED!$T39,IF(MATCHED!AE39=20,MATCHED!$U39,IF(MATCHED!AE39=21,MATCHED!$V39,)))))))&amp;IF(MATCHED!AE39=22,MATCHED!$W39,IF(MATCHED!AE39=23,MATCHED!$X39,IF(MATCHED!AE39=24,MATCHED!$Y39,IF(MATCHED!AE39=25,MATCHED!$Z39,IF(MATCHED!AE39=26,MATCHED!$AA39,IF(MATCHED!AE39=27,MATCHED!$AB39,"."))))))</f>
        <v>#N/A</v>
      </c>
      <c r="D39" s="367" t="e">
        <f>IF(MATCHED!AF39=1,MATCHED!$B39,IF(MATCHED!AF39=2,MATCHED!$C39,IF(MATCHED!AF39=3,MATCHED!$D39,IF(MATCHED!AF39=4,MATCHED!$E39,IF(MATCHED!AF39=3,MATCHED!$F39,IF(MATCHED!AF39=6,MATCHED!$G39,IF(MATCHED!AF39=7,MATCHED!$H39,"")))))))&amp;IF(MATCHED!AF39=8,MATCHED!$I39,IF(MATCHED!AF39=9,MATCHED!$J39,IF(MATCHED!AF39=10,MATCHED!$K39,IF(MATCHED!AF39=11,MATCHED!$L39,IF(MATCHED!AF39=12,MATCHED!$M39,IF(MATCHED!AF39=13,MATCHED!$N39,IF(MATCHED!AF39=14,MATCHED!$O39,"")))))))&amp;IF(MATCHED!AF39=15,MATCHED!$P39,IF(MATCHED!AF39=16,MATCHED!$Q39,IF(MATCHED!AF39=17,MATCHED!$R39,IF(MATCHED!AF39=18,MATCHED!$S39,IF(MATCHED!AF39=19,MATCHED!$T39,IF(MATCHED!AF39=20,MATCHED!$U39,IF(MATCHED!AF39=21,MATCHED!$V39,)))))))&amp;IF(MATCHED!AF39=22,MATCHED!$W39,IF(MATCHED!AF39=23,MATCHED!$X39,IF(MATCHED!AF39=24,MATCHED!$Y39,IF(MATCHED!AF39=25,MATCHED!$Z39,IF(MATCHED!AF39=26,MATCHED!$AA39,IF(MATCHED!AF39=27,MATCHED!$AB39,"."))))))</f>
        <v>#N/A</v>
      </c>
      <c r="E39" s="367" t="e">
        <f>IF(MATCHED!AG39=1,MATCHED!$B39,IF(MATCHED!AG39=2,MATCHED!$C39,IF(MATCHED!AG39=3,MATCHED!$D39,IF(MATCHED!AG39=4,MATCHED!$E39,IF(MATCHED!AG39=3,MATCHED!$F39,IF(MATCHED!AG39=6,MATCHED!$G39,IF(MATCHED!AG39=7,MATCHED!$H39,"")))))))&amp;IF(MATCHED!AG39=8,MATCHED!$I39,IF(MATCHED!AG39=9,MATCHED!$J39,IF(MATCHED!AG39=10,MATCHED!$K39,IF(MATCHED!AG39=11,MATCHED!$L39,IF(MATCHED!AG39=12,MATCHED!$M39,IF(MATCHED!AG39=13,MATCHED!$N39,IF(MATCHED!AG39=14,MATCHED!$O39,"")))))))&amp;IF(MATCHED!AG39=15,MATCHED!$P39,IF(MATCHED!AG39=16,MATCHED!$Q39,IF(MATCHED!AG39=17,MATCHED!$R39,IF(MATCHED!AG39=18,MATCHED!$S39,IF(MATCHED!AG39=19,MATCHED!$T39,IF(MATCHED!AG39=20,MATCHED!$U39,IF(MATCHED!AG39=21,MATCHED!$V39,)))))))&amp;IF(MATCHED!AG39=22,MATCHED!$W39,IF(MATCHED!AG39=23,MATCHED!$X39,IF(MATCHED!AG39=24,MATCHED!$Y39,IF(MATCHED!AG39=25,MATCHED!$Z39,IF(MATCHED!AG39=26,MATCHED!$AA39,IF(MATCHED!AG39=27,MATCHED!$AB39,"."))))))</f>
        <v>#N/A</v>
      </c>
      <c r="F39" s="367" t="e">
        <f>IF(MATCHED!AH39=1,MATCHED!$B39,IF(MATCHED!AH39=2,MATCHED!$C39,IF(MATCHED!AH39=3,MATCHED!$D39,IF(MATCHED!AH39=4,MATCHED!$E39,IF(MATCHED!AH39=3,MATCHED!$F39,IF(MATCHED!AH39=6,MATCHED!$G39,IF(MATCHED!AH39=7,MATCHED!$H39,"")))))))&amp;IF(MATCHED!AH39=8,MATCHED!$I39,IF(MATCHED!AH39=9,MATCHED!$J39,IF(MATCHED!AH39=10,MATCHED!$K39,IF(MATCHED!AH39=11,MATCHED!$L39,IF(MATCHED!AH39=12,MATCHED!$M39,IF(MATCHED!AH39=13,MATCHED!$N39,IF(MATCHED!AH39=14,MATCHED!$O39,"")))))))&amp;IF(MATCHED!AH39=15,MATCHED!$P39,IF(MATCHED!AH39=16,MATCHED!$Q39,IF(MATCHED!AH39=17,MATCHED!$R39,IF(MATCHED!AH39=18,MATCHED!$S39,IF(MATCHED!AH39=19,MATCHED!$T39,IF(MATCHED!AH39=20,MATCHED!$U39,IF(MATCHED!AH39=21,MATCHED!$V39,)))))))&amp;IF(MATCHED!AH39=22,MATCHED!$W39,IF(MATCHED!AH39=23,MATCHED!$X39,IF(MATCHED!AH39=24,MATCHED!$Y39,IF(MATCHED!AH39=25,MATCHED!$Z39,IF(MATCHED!AH39=26,MATCHED!$AA39,IF(MATCHED!AH39=27,MATCHED!$AB39,"."))))))</f>
        <v>#N/A</v>
      </c>
      <c r="G39" s="367" t="e">
        <f>IF(MATCHED!AI39=1,MATCHED!$B39,IF(MATCHED!AI39=2,MATCHED!$C39,IF(MATCHED!AI39=3,MATCHED!$D39,IF(MATCHED!AI39=4,MATCHED!$E39,IF(MATCHED!AI39=3,MATCHED!$F39,IF(MATCHED!AI39=6,MATCHED!$G39,IF(MATCHED!AI39=7,MATCHED!$H39,"")))))))&amp;IF(MATCHED!AI39=8,MATCHED!$I39,IF(MATCHED!AI39=9,MATCHED!$J39,IF(MATCHED!AI39=10,MATCHED!$K39,IF(MATCHED!AI39=11,MATCHED!$L39,IF(MATCHED!AI39=12,MATCHED!$M39,IF(MATCHED!AI39=13,MATCHED!$N39,IF(MATCHED!AI39=14,MATCHED!$O39,"")))))))&amp;IF(MATCHED!AI39=15,MATCHED!$P39,IF(MATCHED!AI39=16,MATCHED!$Q39,IF(MATCHED!AI39=17,MATCHED!$R39,IF(MATCHED!AI39=18,MATCHED!$S39,IF(MATCHED!AI39=19,MATCHED!$T39,IF(MATCHED!AI39=20,MATCHED!$U39,IF(MATCHED!AI39=21,MATCHED!$V39,)))))))&amp;IF(MATCHED!AI39=22,MATCHED!$W39,IF(MATCHED!AI39=23,MATCHED!$X39,IF(MATCHED!AI39=24,MATCHED!$Y39,IF(MATCHED!AI39=25,MATCHED!$Z39,IF(MATCHED!AI39=26,MATCHED!$AA39,IF(MATCHED!AI39=27,MATCHED!$AB39,"."))))))</f>
        <v>#N/A</v>
      </c>
      <c r="H39" s="367" t="e">
        <f>IF(MATCHED!AJ39=1,MATCHED!$B39,IF(MATCHED!AJ39=2,MATCHED!$C39,IF(MATCHED!AJ39=3,MATCHED!$D39,IF(MATCHED!AJ39=4,MATCHED!$E39,IF(MATCHED!AJ39=3,MATCHED!$F39,IF(MATCHED!AJ39=6,MATCHED!$G39,IF(MATCHED!AJ39=7,MATCHED!$H39,"")))))))&amp;IF(MATCHED!AJ39=8,MATCHED!$I39,IF(MATCHED!AJ39=9,MATCHED!$J39,IF(MATCHED!AJ39=10,MATCHED!$K39,IF(MATCHED!AJ39=11,MATCHED!$L39,IF(MATCHED!AJ39=12,MATCHED!$M39,IF(MATCHED!AJ39=13,MATCHED!$N39,IF(MATCHED!AJ39=14,MATCHED!$O39,"")))))))&amp;IF(MATCHED!AJ39=15,MATCHED!$P39,IF(MATCHED!AJ39=16,MATCHED!$Q39,IF(MATCHED!AJ39=17,MATCHED!$R39,IF(MATCHED!AJ39=18,MATCHED!$S39,IF(MATCHED!AJ39=19,MATCHED!$T39,IF(MATCHED!AJ39=20,MATCHED!$U39,IF(MATCHED!AJ39=21,MATCHED!$V39,)))))))&amp;IF(MATCHED!AJ39=22,MATCHED!$W39,IF(MATCHED!AJ39=23,MATCHED!$X39,IF(MATCHED!AJ39=24,MATCHED!$Y39,IF(MATCHED!AJ39=25,MATCHED!$Z39,IF(MATCHED!AJ39=26,MATCHED!$AA39,IF(MATCHED!AJ39=27,MATCHED!$AB39,"."))))))</f>
        <v>#N/A</v>
      </c>
      <c r="I39" s="367" t="e">
        <f>IF(MATCHED!AK39=1,MATCHED!$B39,IF(MATCHED!AK39=2,MATCHED!$C39,IF(MATCHED!AK39=3,MATCHED!$D39,IF(MATCHED!AK39=4,MATCHED!$E39,IF(MATCHED!AK39=3,MATCHED!$F39,IF(MATCHED!AK39=6,MATCHED!$G39,IF(MATCHED!AK39=7,MATCHED!$H39,"")))))))&amp;IF(MATCHED!AK39=8,MATCHED!$I39,IF(MATCHED!AK39=9,MATCHED!$J39,IF(MATCHED!AK39=10,MATCHED!$K39,IF(MATCHED!AK39=11,MATCHED!$L39,IF(MATCHED!AK39=12,MATCHED!$M39,IF(MATCHED!AK39=13,MATCHED!$N39,IF(MATCHED!AK39=14,MATCHED!$O39,"")))))))&amp;IF(MATCHED!AK39=15,MATCHED!$P39,IF(MATCHED!AK39=16,MATCHED!$Q39,IF(MATCHED!AK39=17,MATCHED!$R39,IF(MATCHED!AK39=18,MATCHED!$S39,IF(MATCHED!AK39=19,MATCHED!$T39,IF(MATCHED!AK39=20,MATCHED!$U39,IF(MATCHED!AK39=21,MATCHED!$V39,)))))))&amp;IF(MATCHED!AK39=22,MATCHED!$W39,IF(MATCHED!AK39=23,MATCHED!$X39,IF(MATCHED!AK39=24,MATCHED!$Y39,IF(MATCHED!AK39=25,MATCHED!$Z39,IF(MATCHED!AK39=26,MATCHED!$AA39,IF(MATCHED!AK39=27,MATCHED!$AB39,"."))))))</f>
        <v>#N/A</v>
      </c>
      <c r="J39" s="367" t="e">
        <f>IF(MATCHED!AL39=1,MATCHED!$B39,IF(MATCHED!AL39=2,MATCHED!$C39,IF(MATCHED!AL39=3,MATCHED!$D39,IF(MATCHED!AL39=4,MATCHED!$E39,IF(MATCHED!AL39=3,MATCHED!$F39,IF(MATCHED!AL39=6,MATCHED!$G39,IF(MATCHED!AL39=7,MATCHED!$H39,"")))))))&amp;IF(MATCHED!AL39=8,MATCHED!$I39,IF(MATCHED!AL39=9,MATCHED!$J39,IF(MATCHED!AL39=10,MATCHED!$K39,IF(MATCHED!AL39=11,MATCHED!$L39,IF(MATCHED!AL39=12,MATCHED!$M39,IF(MATCHED!AL39=13,MATCHED!$N39,IF(MATCHED!AL39=14,MATCHED!$O39,"")))))))&amp;IF(MATCHED!AL39=15,MATCHED!$P39,IF(MATCHED!AL39=16,MATCHED!$Q39,IF(MATCHED!AL39=17,MATCHED!$R39,IF(MATCHED!AL39=18,MATCHED!$S39,IF(MATCHED!AL39=19,MATCHED!$T39,IF(MATCHED!AL39=20,MATCHED!$U39,IF(MATCHED!AL39=21,MATCHED!$V39,)))))))&amp;IF(MATCHED!AL39=22,MATCHED!$W39,IF(MATCHED!AL39=23,MATCHED!$X39,IF(MATCHED!AL39=24,MATCHED!$Y39,IF(MATCHED!AL39=25,MATCHED!$Z39,IF(MATCHED!AL39=26,MATCHED!$AA39,IF(MATCHED!AL39=27,MATCHED!$AB39,"."))))))</f>
        <v>#N/A</v>
      </c>
      <c r="K39" s="367" t="e">
        <f>IF(MATCHED!AM39=1,MATCHED!$B39,IF(MATCHED!AM39=2,MATCHED!$C39,IF(MATCHED!AM39=3,MATCHED!$D39,IF(MATCHED!AM39=4,MATCHED!$E39,IF(MATCHED!AM39=3,MATCHED!$F39,IF(MATCHED!AM39=6,MATCHED!$G39,IF(MATCHED!AM39=7,MATCHED!$H39,"")))))))&amp;IF(MATCHED!AM39=8,MATCHED!$I39,IF(MATCHED!AM39=9,MATCHED!$J39,IF(MATCHED!AM39=10,MATCHED!$K39,IF(MATCHED!AM39=11,MATCHED!$L39,IF(MATCHED!AM39=12,MATCHED!$M39,IF(MATCHED!AM39=13,MATCHED!$N39,IF(MATCHED!AM39=14,MATCHED!$O39,"")))))))&amp;IF(MATCHED!AM39=15,MATCHED!$P39,IF(MATCHED!AM39=16,MATCHED!$Q39,IF(MATCHED!AM39=17,MATCHED!$R39,IF(MATCHED!AM39=18,MATCHED!$S39,IF(MATCHED!AM39=19,MATCHED!$T39,IF(MATCHED!AM39=20,MATCHED!$U39,IF(MATCHED!AM39=21,MATCHED!$V39,)))))))&amp;IF(MATCHED!AM39=22,MATCHED!$W39,IF(MATCHED!AM39=23,MATCHED!$X39,IF(MATCHED!AM39=24,MATCHED!$Y39,IF(MATCHED!AM39=25,MATCHED!$Z39,IF(MATCHED!AM39=26,MATCHED!$AA39,IF(MATCHED!AM39=27,MATCHED!$AB39,"."))))))</f>
        <v>#N/A</v>
      </c>
      <c r="L39" s="367" t="e">
        <f>IF(MATCHED!AN39=1,MATCHED!$B39,IF(MATCHED!AN39=2,MATCHED!$C39,IF(MATCHED!AN39=3,MATCHED!$D39,IF(MATCHED!AN39=4,MATCHED!$E39,IF(MATCHED!AN39=3,MATCHED!$F39,IF(MATCHED!AN39=6,MATCHED!$G39,IF(MATCHED!AN39=7,MATCHED!$H39,"")))))))&amp;IF(MATCHED!AN39=8,MATCHED!$I39,IF(MATCHED!AN39=9,MATCHED!$J39,IF(MATCHED!AN39=10,MATCHED!$K39,IF(MATCHED!AN39=11,MATCHED!$L39,IF(MATCHED!AN39=12,MATCHED!$M39,IF(MATCHED!AN39=13,MATCHED!$N39,IF(MATCHED!AN39=14,MATCHED!$O39,"")))))))&amp;IF(MATCHED!AN39=15,MATCHED!$P39,IF(MATCHED!AN39=16,MATCHED!$Q39,IF(MATCHED!AN39=17,MATCHED!$R39,IF(MATCHED!AN39=18,MATCHED!$S39,IF(MATCHED!AN39=19,MATCHED!$T39,IF(MATCHED!AN39=20,MATCHED!$U39,IF(MATCHED!AN39=21,MATCHED!$V39,)))))))&amp;IF(MATCHED!AN39=22,MATCHED!$W39,IF(MATCHED!AN39=23,MATCHED!$X39,IF(MATCHED!AN39=24,MATCHED!$Y39,IF(MATCHED!AN39=25,MATCHED!$Z39,IF(MATCHED!AN39=26,MATCHED!$AA39,IF(MATCHED!AN39=27,MATCHED!$AB39,"."))))))</f>
        <v>#N/A</v>
      </c>
      <c r="M39" s="367" t="e">
        <f>IF(MATCHED!AO39=1,MATCHED!$B39,IF(MATCHED!AO39=2,MATCHED!$C39,IF(MATCHED!AO39=3,MATCHED!$D39,IF(MATCHED!AO39=4,MATCHED!$E39,IF(MATCHED!AO39=3,MATCHED!$F39,IF(MATCHED!AO39=6,MATCHED!$G39,IF(MATCHED!AO39=7,MATCHED!$H39,"")))))))&amp;IF(MATCHED!AO39=8,MATCHED!$I39,IF(MATCHED!AO39=9,MATCHED!$J39,IF(MATCHED!AO39=10,MATCHED!$K39,IF(MATCHED!AO39=11,MATCHED!$L39,IF(MATCHED!AO39=12,MATCHED!$M39,IF(MATCHED!AO39=13,MATCHED!$N39,IF(MATCHED!AO39=14,MATCHED!$O39,"")))))))&amp;IF(MATCHED!AO39=15,MATCHED!$P39,IF(MATCHED!AO39=16,MATCHED!$Q39,IF(MATCHED!AO39=17,MATCHED!$R39,IF(MATCHED!AO39=18,MATCHED!$S39,IF(MATCHED!AO39=19,MATCHED!$T39,IF(MATCHED!AO39=20,MATCHED!$U39,IF(MATCHED!AO39=21,MATCHED!$V39,)))))))&amp;IF(MATCHED!AO39=22,MATCHED!$W39,IF(MATCHED!AO39=23,MATCHED!$X39,IF(MATCHED!AO39=24,MATCHED!$Y39,IF(MATCHED!AO39=25,MATCHED!$Z39,IF(MATCHED!AO39=26,MATCHED!$AA39,IF(MATCHED!AO39=27,MATCHED!$AB39,"."))))))</f>
        <v>#N/A</v>
      </c>
      <c r="N39" s="367" t="e">
        <f>IF(MATCHED!AP39=1,MATCHED!$B39,IF(MATCHED!AP39=2,MATCHED!$C39,IF(MATCHED!AP39=3,MATCHED!$D39,IF(MATCHED!AP39=4,MATCHED!$E39,IF(MATCHED!AP39=3,MATCHED!$F39,IF(MATCHED!AP39=6,MATCHED!$G39,IF(MATCHED!AP39=7,MATCHED!$H39,"")))))))&amp;IF(MATCHED!AP39=8,MATCHED!$I39,IF(MATCHED!AP39=9,MATCHED!$J39,IF(MATCHED!AP39=10,MATCHED!$K39,IF(MATCHED!AP39=11,MATCHED!$L39,IF(MATCHED!AP39=12,MATCHED!$M39,IF(MATCHED!AP39=13,MATCHED!$N39,IF(MATCHED!AP39=14,MATCHED!$O39,"")))))))&amp;IF(MATCHED!AP39=15,MATCHED!$P39,IF(MATCHED!AP39=16,MATCHED!$Q39,IF(MATCHED!AP39=17,MATCHED!$R39,IF(MATCHED!AP39=18,MATCHED!$S39,IF(MATCHED!AP39=19,MATCHED!$T39,IF(MATCHED!AP39=20,MATCHED!$U39,IF(MATCHED!AP39=21,MATCHED!$V39,)))))))&amp;IF(MATCHED!AP39=22,MATCHED!$W39,IF(MATCHED!AP39=23,MATCHED!$X39,IF(MATCHED!AP39=24,MATCHED!$Y39,IF(MATCHED!AP39=25,MATCHED!$Z39,IF(MATCHED!AP39=26,MATCHED!$AA39,IF(MATCHED!AP39=27,MATCHED!$AB39,"."))))))</f>
        <v>#N/A</v>
      </c>
      <c r="O39" s="367" t="e">
        <f>IF(MATCHED!AQ39=1,MATCHED!$B39,IF(MATCHED!AQ39=2,MATCHED!$C39,IF(MATCHED!AQ39=3,MATCHED!$D39,IF(MATCHED!AQ39=4,MATCHED!$E39,IF(MATCHED!AQ39=3,MATCHED!$F39,IF(MATCHED!AQ39=6,MATCHED!$G39,IF(MATCHED!AQ39=7,MATCHED!$H39,"")))))))&amp;IF(MATCHED!AQ39=8,MATCHED!$I39,IF(MATCHED!AQ39=9,MATCHED!$J39,IF(MATCHED!AQ39=10,MATCHED!$K39,IF(MATCHED!AQ39=11,MATCHED!$L39,IF(MATCHED!AQ39=12,MATCHED!$M39,IF(MATCHED!AQ39=13,MATCHED!$N39,IF(MATCHED!AQ39=14,MATCHED!$O39,"")))))))&amp;IF(MATCHED!AQ39=15,MATCHED!$P39,IF(MATCHED!AQ39=16,MATCHED!$Q39,IF(MATCHED!AQ39=17,MATCHED!$R39,IF(MATCHED!AQ39=18,MATCHED!$S39,IF(MATCHED!AQ39=19,MATCHED!$T39,IF(MATCHED!AQ39=20,MATCHED!$U39,IF(MATCHED!AQ39=21,MATCHED!$V39,)))))))&amp;IF(MATCHED!AQ39=22,MATCHED!$W39,IF(MATCHED!AQ39=23,MATCHED!$X39,IF(MATCHED!AQ39=24,MATCHED!$Y39,IF(MATCHED!AQ39=25,MATCHED!$Z39,IF(MATCHED!AQ39=26,MATCHED!$AA39,IF(MATCHED!AQ39=27,MATCHED!$AB39,"."))))))</f>
        <v>#N/A</v>
      </c>
      <c r="P39" s="367" t="e">
        <f>IF(MATCHED!AR39=1,MATCHED!$B39,IF(MATCHED!AR39=2,MATCHED!$C39,IF(MATCHED!AR39=3,MATCHED!$D39,IF(MATCHED!AR39=4,MATCHED!$E39,IF(MATCHED!AR39=3,MATCHED!$F39,IF(MATCHED!AR39=6,MATCHED!$G39,IF(MATCHED!AR39=7,MATCHED!$H39,"")))))))&amp;IF(MATCHED!AR39=8,MATCHED!$I39,IF(MATCHED!AR39=9,MATCHED!$J39,IF(MATCHED!AR39=10,MATCHED!$K39,IF(MATCHED!AR39=11,MATCHED!$L39,IF(MATCHED!AR39=12,MATCHED!$M39,IF(MATCHED!AR39=13,MATCHED!$N39,IF(MATCHED!AR39=14,MATCHED!$O39,"")))))))&amp;IF(MATCHED!AR39=15,MATCHED!$P39,IF(MATCHED!AR39=16,MATCHED!$Q39,IF(MATCHED!AR39=17,MATCHED!$R39,IF(MATCHED!AR39=18,MATCHED!$S39,IF(MATCHED!AR39=19,MATCHED!$T39,IF(MATCHED!AR39=20,MATCHED!$U39,IF(MATCHED!AR39=21,MATCHED!$V39,)))))))&amp;IF(MATCHED!AR39=22,MATCHED!$W39,IF(MATCHED!AR39=23,MATCHED!$X39,IF(MATCHED!AR39=24,MATCHED!$Y39,IF(MATCHED!AR39=25,MATCHED!$Z39,IF(MATCHED!AR39=26,MATCHED!$AA39,IF(MATCHED!AR39=27,MATCHED!$AB39,"."))))))</f>
        <v>#N/A</v>
      </c>
      <c r="Q39" s="368" t="e">
        <f>IF(MATCHED!AS39=1,MATCHED!$B39,IF(MATCHED!AS39=2,MATCHED!$C39,IF(MATCHED!AS39=3,MATCHED!$D39,IF(MATCHED!AS39=4,MATCHED!$E39,IF(MATCHED!AS39=3,MATCHED!$F39,IF(MATCHED!AS39=6,MATCHED!$G39,IF(MATCHED!AS39=7,MATCHED!$H39,"")))))))&amp;IF(MATCHED!AS39=8,MATCHED!$I39,IF(MATCHED!AS39=9,MATCHED!$J39,IF(MATCHED!AS39=10,MATCHED!$K39,IF(MATCHED!AS39=11,MATCHED!$L39,IF(MATCHED!AS39=12,MATCHED!$M39,IF(MATCHED!AS39=13,MATCHED!$N39,IF(MATCHED!AS39=14,MATCHED!$O39,"")))))))&amp;IF(MATCHED!AS39=15,MATCHED!$P39,IF(MATCHED!AS39=16,MATCHED!$Q39,IF(MATCHED!AS39=17,MATCHED!$R39,IF(MATCHED!AS39=18,MATCHED!$S39,IF(MATCHED!AS39=19,MATCHED!$T39,IF(MATCHED!AS39=20,MATCHED!$U39,IF(MATCHED!AS39=21,MATCHED!$V39,)))))))&amp;IF(MATCHED!AS39=22,MATCHED!$W39,IF(MATCHED!AS39=23,MATCHED!$X39,IF(MATCHED!AS39=24,MATCHED!$Y39,IF(MATCHED!AS39=25,MATCHED!$Z39,IF(MATCHED!AS39=26,MATCHED!$AA39,IF(MATCHED!AS39=27,MATCHED!$AB39,"."))))))</f>
        <v>#N/A</v>
      </c>
      <c r="R39" s="367" t="e">
        <f>IF(MATCHED!AT39=1,MATCHED!$B39,IF(MATCHED!AT39=2,MATCHED!$C39,IF(MATCHED!AT39=3,MATCHED!$D39,IF(MATCHED!AT39=4,MATCHED!$E39,IF(MATCHED!AT39=3,MATCHED!$F39,IF(MATCHED!AT39=6,MATCHED!$G39,IF(MATCHED!AT39=7,MATCHED!$H39,"")))))))&amp;IF(MATCHED!AT39=8,MATCHED!$I39,IF(MATCHED!AT39=9,MATCHED!$J39,IF(MATCHED!AT39=10,MATCHED!$K39,IF(MATCHED!AT39=11,MATCHED!$L39,IF(MATCHED!AT39=12,MATCHED!$M39,IF(MATCHED!AT39=13,MATCHED!$N39,IF(MATCHED!AT39=14,MATCHED!$O39,"")))))))&amp;IF(MATCHED!AT39=15,MATCHED!$P39,IF(MATCHED!AT39=16,MATCHED!$Q39,IF(MATCHED!AT39=17,MATCHED!$R39,IF(MATCHED!AT39=18,MATCHED!$S39,IF(MATCHED!AT39=19,MATCHED!$T39,IF(MATCHED!AT39=20,MATCHED!$U39,IF(MATCHED!AT39=21,MATCHED!$V39,)))))))&amp;IF(MATCHED!AT39=22,MATCHED!$W39,IF(MATCHED!AT39=23,MATCHED!$X39,IF(MATCHED!AT39=24,MATCHED!$Y39,IF(MATCHED!AT39=25,MATCHED!$Z39,IF(MATCHED!AT39=26,MATCHED!$AA39,IF(MATCHED!AT39=27,MATCHED!$AB39,"."))))))</f>
        <v>#N/A</v>
      </c>
      <c r="S39" s="367" t="e">
        <f>IF(MATCHED!AU39=1,MATCHED!$B39,IF(MATCHED!AU39=2,MATCHED!$C39,IF(MATCHED!AU39=3,MATCHED!$D39,IF(MATCHED!AU39=4,MATCHED!$E39,IF(MATCHED!AU39=3,MATCHED!$F39,IF(MATCHED!AU39=6,MATCHED!$G39,IF(MATCHED!AU39=7,MATCHED!$H39,"")))))))&amp;IF(MATCHED!AU39=8,MATCHED!$I39,IF(MATCHED!AU39=9,MATCHED!$J39,IF(MATCHED!AU39=10,MATCHED!$K39,IF(MATCHED!AU39=11,MATCHED!$L39,IF(MATCHED!AU39=12,MATCHED!$M39,IF(MATCHED!AU39=13,MATCHED!$N39,IF(MATCHED!AU39=14,MATCHED!$O39,"")))))))&amp;IF(MATCHED!AU39=15,MATCHED!$P39,IF(MATCHED!AU39=16,MATCHED!$Q39,IF(MATCHED!AU39=17,MATCHED!$R39,IF(MATCHED!AU39=18,MATCHED!$S39,IF(MATCHED!AU39=19,MATCHED!$T39,IF(MATCHED!AU39=20,MATCHED!$U39,IF(MATCHED!AU39=21,MATCHED!$V39,)))))))&amp;IF(MATCHED!AU39=22,MATCHED!$W39,IF(MATCHED!AU39=23,MATCHED!$X39,IF(MATCHED!AU39=24,MATCHED!$Y39,IF(MATCHED!AU39=25,MATCHED!$Z39,IF(MATCHED!AU39=26,MATCHED!$AA39,IF(MATCHED!AU39=27,MATCHED!$AB39,"."))))))</f>
        <v>#N/A</v>
      </c>
      <c r="T39" s="367" t="e">
        <f>IF(MATCHED!AV39=1,MATCHED!$B39,IF(MATCHED!AV39=2,MATCHED!$C39,IF(MATCHED!AV39=3,MATCHED!$D39,IF(MATCHED!AV39=4,MATCHED!$E39,IF(MATCHED!AV39=3,MATCHED!$F39,IF(MATCHED!AV39=6,MATCHED!$G39,IF(MATCHED!AV39=7,MATCHED!$H39,"")))))))&amp;IF(MATCHED!AV39=8,MATCHED!$I39,IF(MATCHED!AV39=9,MATCHED!$J39,IF(MATCHED!AV39=10,MATCHED!$K39,IF(MATCHED!AV39=11,MATCHED!$L39,IF(MATCHED!AV39=12,MATCHED!$M39,IF(MATCHED!AV39=13,MATCHED!$N39,IF(MATCHED!AV39=14,MATCHED!$O39,"")))))))&amp;IF(MATCHED!AV39=15,MATCHED!$P39,IF(MATCHED!AV39=16,MATCHED!$Q39,IF(MATCHED!AV39=17,MATCHED!$R39,IF(MATCHED!AV39=18,MATCHED!$S39,IF(MATCHED!AV39=19,MATCHED!$T39,IF(MATCHED!AV39=20,MATCHED!$U39,IF(MATCHED!AV39=21,MATCHED!$V39,)))))))&amp;IF(MATCHED!AV39=22,MATCHED!$W39,IF(MATCHED!AV39=23,MATCHED!$X39,IF(MATCHED!AV39=24,MATCHED!$Y39,IF(MATCHED!AV39=25,MATCHED!$Z39,IF(MATCHED!AV39=26,MATCHED!$AA39,IF(MATCHED!AV39=27,MATCHED!$AB39,"."))))))</f>
        <v>#N/A</v>
      </c>
      <c r="U39" s="367" t="e">
        <f>IF(MATCHED!AW39=1,MATCHED!$B39,IF(MATCHED!AW39=2,MATCHED!$C39,IF(MATCHED!AW39=3,MATCHED!$D39,IF(MATCHED!AW39=4,MATCHED!$E39,IF(MATCHED!AW39=3,MATCHED!$F39,IF(MATCHED!AW39=6,MATCHED!$G39,IF(MATCHED!AW39=7,MATCHED!$H39,"")))))))&amp;IF(MATCHED!AW39=8,MATCHED!$I39,IF(MATCHED!AW39=9,MATCHED!$J39,IF(MATCHED!AW39=10,MATCHED!$K39,IF(MATCHED!AW39=11,MATCHED!$L39,IF(MATCHED!AW39=12,MATCHED!$M39,IF(MATCHED!AW39=13,MATCHED!$N39,IF(MATCHED!AW39=14,MATCHED!$O39,"")))))))&amp;IF(MATCHED!AW39=15,MATCHED!$P39,IF(MATCHED!AW39=16,MATCHED!$Q39,IF(MATCHED!AW39=17,MATCHED!$R39,IF(MATCHED!AW39=18,MATCHED!$S39,IF(MATCHED!AW39=19,MATCHED!$T39,IF(MATCHED!AW39=20,MATCHED!$U39,IF(MATCHED!AW39=21,MATCHED!$V39,)))))))&amp;IF(MATCHED!AW39=22,MATCHED!$W39,IF(MATCHED!AW39=23,MATCHED!$X39,IF(MATCHED!AW39=24,MATCHED!$Y39,IF(MATCHED!AW39=25,MATCHED!$Z39,IF(MATCHED!AW39=26,MATCHED!$AA39,IF(MATCHED!AW39=27,MATCHED!$AB39,"."))))))</f>
        <v>#N/A</v>
      </c>
      <c r="V39" s="367" t="e">
        <f>IF(MATCHED!AX39=1,MATCHED!$B39,IF(MATCHED!AX39=2,MATCHED!$C39,IF(MATCHED!AX39=3,MATCHED!$D39,IF(MATCHED!AX39=4,MATCHED!$E39,IF(MATCHED!AX39=3,MATCHED!$F39,IF(MATCHED!AX39=6,MATCHED!$G39,IF(MATCHED!AX39=7,MATCHED!$H39,"")))))))&amp;IF(MATCHED!AX39=8,MATCHED!$I39,IF(MATCHED!AX39=9,MATCHED!$J39,IF(MATCHED!AX39=10,MATCHED!$K39,IF(MATCHED!AX39=11,MATCHED!$L39,IF(MATCHED!AX39=12,MATCHED!$M39,IF(MATCHED!AX39=13,MATCHED!$N39,IF(MATCHED!AX39=14,MATCHED!$O39,"")))))))&amp;IF(MATCHED!AX39=15,MATCHED!$P39,IF(MATCHED!AX39=16,MATCHED!$Q39,IF(MATCHED!AX39=17,MATCHED!$R39,IF(MATCHED!AX39=18,MATCHED!$S39,IF(MATCHED!AX39=19,MATCHED!$T39,IF(MATCHED!AX39=20,MATCHED!$U39,IF(MATCHED!AX39=21,MATCHED!$V39,)))))))&amp;IF(MATCHED!AX39=22,MATCHED!$W39,IF(MATCHED!AX39=23,MATCHED!$X39,IF(MATCHED!AX39=24,MATCHED!$Y39,IF(MATCHED!AX39=25,MATCHED!$Z39,IF(MATCHED!AX39=26,MATCHED!$AA39,IF(MATCHED!AX39=27,MATCHED!$AB39,"."))))))</f>
        <v>#N/A</v>
      </c>
      <c r="W39" s="367" t="e">
        <f>IF(MATCHED!AY39=1,MATCHED!$B39,IF(MATCHED!AY39=2,MATCHED!$C39,IF(MATCHED!AY39=3,MATCHED!$D39,IF(MATCHED!AY39=4,MATCHED!$E39,IF(MATCHED!AY39=3,MATCHED!$F39,IF(MATCHED!AY39=6,MATCHED!$G39,IF(MATCHED!AY39=7,MATCHED!$H39,"")))))))&amp;IF(MATCHED!AY39=8,MATCHED!$I39,IF(MATCHED!AY39=9,MATCHED!$J39,IF(MATCHED!AY39=10,MATCHED!$K39,IF(MATCHED!AY39=11,MATCHED!$L39,IF(MATCHED!AY39=12,MATCHED!$M39,IF(MATCHED!AY39=13,MATCHED!$N39,IF(MATCHED!AY39=14,MATCHED!$O39,"")))))))&amp;IF(MATCHED!AY39=15,MATCHED!$P39,IF(MATCHED!AY39=16,MATCHED!$Q39,IF(MATCHED!AY39=17,MATCHED!$R39,IF(MATCHED!AY39=18,MATCHED!$S39,IF(MATCHED!AY39=19,MATCHED!$T39,IF(MATCHED!AY39=20,MATCHED!$U39,IF(MATCHED!AY39=21,MATCHED!$V39,)))))))&amp;IF(MATCHED!AY39=22,MATCHED!$W39,IF(MATCHED!AY39=23,MATCHED!$X39,IF(MATCHED!AY39=24,MATCHED!$Y39,IF(MATCHED!AY39=25,MATCHED!$Z39,IF(MATCHED!AY39=26,MATCHED!$AA39,IF(MATCHED!AY39=27,MATCHED!$AB39,"."))))))</f>
        <v>#N/A</v>
      </c>
      <c r="X39" s="367" t="e">
        <f>IF(MATCHED!AZ39=1,MATCHED!$B39,IF(MATCHED!AZ39=2,MATCHED!$C39,IF(MATCHED!AZ39=3,MATCHED!$D39,IF(MATCHED!AZ39=4,MATCHED!$E39,IF(MATCHED!AZ39=3,MATCHED!$F39,IF(MATCHED!AZ39=6,MATCHED!$G39,IF(MATCHED!AZ39=7,MATCHED!$H39,"")))))))&amp;IF(MATCHED!AZ39=8,MATCHED!$I39,IF(MATCHED!AZ39=9,MATCHED!$J39,IF(MATCHED!AZ39=10,MATCHED!$K39,IF(MATCHED!AZ39=11,MATCHED!$L39,IF(MATCHED!AZ39=12,MATCHED!$M39,IF(MATCHED!AZ39=13,MATCHED!$N39,IF(MATCHED!AZ39=14,MATCHED!$O39,"")))))))&amp;IF(MATCHED!AZ39=15,MATCHED!$P39,IF(MATCHED!AZ39=16,MATCHED!$Q39,IF(MATCHED!AZ39=17,MATCHED!$R39,IF(MATCHED!AZ39=18,MATCHED!$S39,IF(MATCHED!AZ39=19,MATCHED!$T39,IF(MATCHED!AZ39=20,MATCHED!$U39,IF(MATCHED!AZ39=21,MATCHED!$V39,)))))))&amp;IF(MATCHED!AZ39=22,MATCHED!$W39,IF(MATCHED!AZ39=23,MATCHED!$X39,IF(MATCHED!AZ39=24,MATCHED!$Y39,IF(MATCHED!AZ39=25,MATCHED!$Z39,IF(MATCHED!AZ39=26,MATCHED!$AA39,IF(MATCHED!AZ39=27,MATCHED!$AB39,"."))))))</f>
        <v>#N/A</v>
      </c>
      <c r="Y39" s="367" t="e">
        <f>IF(MATCHED!BA39=1,MATCHED!$B39,IF(MATCHED!BA39=2,MATCHED!$C39,IF(MATCHED!BA39=3,MATCHED!$D39,IF(MATCHED!BA39=4,MATCHED!$E39,IF(MATCHED!BA39=3,MATCHED!$F39,IF(MATCHED!BA39=6,MATCHED!$G39,IF(MATCHED!BA39=7,MATCHED!$H39,"")))))))&amp;IF(MATCHED!BA39=8,MATCHED!$I39,IF(MATCHED!BA39=9,MATCHED!$J39,IF(MATCHED!BA39=10,MATCHED!$K39,IF(MATCHED!BA39=11,MATCHED!$L39,IF(MATCHED!BA39=12,MATCHED!$M39,IF(MATCHED!BA39=13,MATCHED!$N39,IF(MATCHED!BA39=14,MATCHED!$O39,"")))))))&amp;IF(MATCHED!BA39=15,MATCHED!$P39,IF(MATCHED!BA39=16,MATCHED!$Q39,IF(MATCHED!BA39=17,MATCHED!$R39,IF(MATCHED!BA39=18,MATCHED!$S39,IF(MATCHED!BA39=19,MATCHED!$T39,IF(MATCHED!BA39=20,MATCHED!$U39,IF(MATCHED!BA39=21,MATCHED!$V39,)))))))&amp;IF(MATCHED!BA39=22,MATCHED!$W39,IF(MATCHED!BA39=23,MATCHED!$X39,IF(MATCHED!BA39=24,MATCHED!$Y39,IF(MATCHED!BA39=25,MATCHED!$Z39,IF(MATCHED!BA39=26,MATCHED!$AA39,IF(MATCHED!BA39=27,MATCHED!$AB39,"."))))))</f>
        <v>#N/A</v>
      </c>
      <c r="Z39" s="367" t="e">
        <f>IF(MATCHED!BB39=1,MATCHED!$B39,IF(MATCHED!BB39=2,MATCHED!$C39,IF(MATCHED!BB39=3,MATCHED!$D39,IF(MATCHED!BB39=4,MATCHED!$E39,IF(MATCHED!BB39=3,MATCHED!$F39,IF(MATCHED!BB39=6,MATCHED!$G39,IF(MATCHED!BB39=7,MATCHED!$H39,"")))))))&amp;IF(MATCHED!BB39=8,MATCHED!$I39,IF(MATCHED!BB39=9,MATCHED!$J39,IF(MATCHED!BB39=10,MATCHED!$K39,IF(MATCHED!BB39=11,MATCHED!$L39,IF(MATCHED!BB39=12,MATCHED!$M39,IF(MATCHED!BB39=13,MATCHED!$N39,IF(MATCHED!BB39=14,MATCHED!$O39,"")))))))&amp;IF(MATCHED!BB39=15,MATCHED!$P39,IF(MATCHED!BB39=16,MATCHED!$Q39,IF(MATCHED!BB39=17,MATCHED!$R39,IF(MATCHED!BB39=18,MATCHED!$S39,IF(MATCHED!BB39=19,MATCHED!$T39,IF(MATCHED!BB39=20,MATCHED!$U39,IF(MATCHED!BB39=21,MATCHED!$V39,)))))))&amp;IF(MATCHED!BB39=22,MATCHED!$W39,IF(MATCHED!BB39=23,MATCHED!$X39,IF(MATCHED!BB39=24,MATCHED!$Y39,IF(MATCHED!BB39=25,MATCHED!$Z39,IF(MATCHED!BB39=26,MATCHED!$AA39,IF(MATCHED!BB39=27,MATCHED!$AB39,"."))))))</f>
        <v>#N/A</v>
      </c>
      <c r="AA39" s="367" t="e">
        <f>IF(MATCHED!BC39=1,MATCHED!$B39,IF(MATCHED!BC39=2,MATCHED!$C39,IF(MATCHED!BC39=3,MATCHED!$D39,IF(MATCHED!BC39=4,MATCHED!$E39,IF(MATCHED!BC39=3,MATCHED!$F39,IF(MATCHED!BC39=6,MATCHED!$G39,IF(MATCHED!BC39=7,MATCHED!$H39,"")))))))&amp;IF(MATCHED!BC39=8,MATCHED!$I39,IF(MATCHED!BC39=9,MATCHED!$J39,IF(MATCHED!BC39=10,MATCHED!$K39,IF(MATCHED!BC39=11,MATCHED!$L39,IF(MATCHED!BC39=12,MATCHED!$M39,IF(MATCHED!BC39=13,MATCHED!$N39,IF(MATCHED!BC39=14,MATCHED!$O39,"")))))))&amp;IF(MATCHED!BC39=15,MATCHED!$P39,IF(MATCHED!BC39=16,MATCHED!$Q39,IF(MATCHED!BC39=17,MATCHED!$R39,IF(MATCHED!BC39=18,MATCHED!$S39,IF(MATCHED!BC39=19,MATCHED!$T39,IF(MATCHED!BC39=20,MATCHED!$U39,IF(MATCHED!BC39=21,MATCHED!$V39,)))))))&amp;IF(MATCHED!BC39=22,MATCHED!$W39,IF(MATCHED!BC39=23,MATCHED!$X39,IF(MATCHED!BC39=24,MATCHED!$Y39,IF(MATCHED!BC39=25,MATCHED!$Z39,IF(MATCHED!BC39=26,MATCHED!$AA39,IF(MATCHED!BC39=27,MATCHED!$AB39,"."))))))</f>
        <v>#N/A</v>
      </c>
      <c r="AB39" s="367" t="e">
        <f>IF(MATCHED!BD39=1,MATCHED!$B39,IF(MATCHED!BD39=2,MATCHED!$C39,IF(MATCHED!BD39=3,MATCHED!$D39,IF(MATCHED!BD39=4,MATCHED!$E39,IF(MATCHED!BD39=3,MATCHED!$F39,IF(MATCHED!BD39=6,MATCHED!$G39,IF(MATCHED!BD39=7,MATCHED!$H39,"")))))))&amp;IF(MATCHED!BD39=8,MATCHED!$I39,IF(MATCHED!BD39=9,MATCHED!$J39,IF(MATCHED!BD39=10,MATCHED!$K39,IF(MATCHED!BD39=11,MATCHED!$L39,IF(MATCHED!BD39=12,MATCHED!$M39,IF(MATCHED!BD39=13,MATCHED!$N39,IF(MATCHED!BD39=14,MATCHED!$O39,"")))))))&amp;IF(MATCHED!BD39=15,MATCHED!$P39,IF(MATCHED!BD39=16,MATCHED!$Q39,IF(MATCHED!BD39=17,MATCHED!$R39,IF(MATCHED!BD39=18,MATCHED!$S39,IF(MATCHED!BD39=19,MATCHED!$T39,IF(MATCHED!BD39=20,MATCHED!$U39,IF(MATCHED!BD39=21,MATCHED!$V39,)))))))&amp;IF(MATCHED!BD39=22,MATCHED!$W39,IF(MATCHED!BD39=23,MATCHED!$X39,IF(MATCHED!BD39=24,MATCHED!$Y39,IF(MATCHED!BD39=25,MATCHED!$Z39,IF(MATCHED!BD39=26,MATCHED!$AA39,IF(MATCHED!BD39=27,MATCHED!$AB39,"."))))))</f>
        <v>#N/A</v>
      </c>
      <c r="AC39" s="367" t="e">
        <f>IF(MATCHED!BE39=1,MATCHED!$B39,IF(MATCHED!BE39=2,MATCHED!$C39,IF(MATCHED!BE39=3,MATCHED!$D39,IF(MATCHED!BE39=4,MATCHED!$E39,IF(MATCHED!BE39=3,MATCHED!$F39,IF(MATCHED!BE39=6,MATCHED!$G39,IF(MATCHED!BE39=7,MATCHED!$H39,"")))))))&amp;IF(MATCHED!BE39=8,MATCHED!$I39,IF(MATCHED!BE39=9,MATCHED!$J39,IF(MATCHED!BE39=10,MATCHED!$K39,IF(MATCHED!BE39=11,MATCHED!$L39,IF(MATCHED!BE39=12,MATCHED!$M39,IF(MATCHED!BE39=13,MATCHED!$N39,IF(MATCHED!BE39=14,MATCHED!$O39,"")))))))&amp;IF(MATCHED!BE39=15,MATCHED!$P39,IF(MATCHED!BE39=16,MATCHED!$Q39,IF(MATCHED!BE39=17,MATCHED!$R39,IF(MATCHED!BE39=18,MATCHED!$S39,IF(MATCHED!BE39=19,MATCHED!$T39,IF(MATCHED!BE39=20,MATCHED!$U39,IF(MATCHED!BE39=21,MATCHED!$V39,)))))))&amp;IF(MATCHED!BE39=22,MATCHED!$W39,IF(MATCHED!BE39=23,MATCHED!$X39,IF(MATCHED!BE39=24,MATCHED!$Y39,IF(MATCHED!BE39=25,MATCHED!$Z39,IF(MATCHED!BE39=26,MATCHED!$AA39,IF(MATCHED!BE39=27,MATCHED!$AB39,"."))))))</f>
        <v>#N/A</v>
      </c>
      <c r="AD39" s="367" t="e">
        <f>IF(MATCHED!BF39=1,MATCHED!$B39,IF(MATCHED!BF39=2,MATCHED!$C39,IF(MATCHED!BF39=3,MATCHED!$D39,IF(MATCHED!BF39=4,MATCHED!$E39,IF(MATCHED!BF39=3,MATCHED!$F39,IF(MATCHED!BF39=6,MATCHED!$G39,IF(MATCHED!BF39=7,MATCHED!$H39,"")))))))&amp;IF(MATCHED!BF39=8,MATCHED!$I39,IF(MATCHED!BF39=9,MATCHED!$J39,IF(MATCHED!BF39=10,MATCHED!$K39,IF(MATCHED!BF39=11,MATCHED!$L39,IF(MATCHED!BF39=12,MATCHED!$M39,IF(MATCHED!BF39=13,MATCHED!$N39,IF(MATCHED!BF39=14,MATCHED!$O39,"")))))))&amp;IF(MATCHED!BF39=15,MATCHED!$P39,IF(MATCHED!BF39=16,MATCHED!$Q39,IF(MATCHED!BF39=17,MATCHED!$R39,IF(MATCHED!BF39=18,MATCHED!$S39,IF(MATCHED!BF39=19,MATCHED!$T39,IF(MATCHED!BF39=20,MATCHED!$U39,IF(MATCHED!BF39=21,MATCHED!$V39,)))))))&amp;IF(MATCHED!BF39=22,MATCHED!$W39,IF(MATCHED!BF39=23,MATCHED!$X39,IF(MATCHED!BF39=24,MATCHED!$Y39,IF(MATCHED!BF39=25,MATCHED!$Z39,IF(MATCHED!BF39=26,MATCHED!$AA39,IF(MATCHED!BF39=27,MATCHED!$AB39,"."))))))</f>
        <v>#N/A</v>
      </c>
      <c r="AE39" s="367" t="e">
        <f>IF(MATCHED!BG39=1,MATCHED!$B39,IF(MATCHED!BG39=2,MATCHED!$C39,IF(MATCHED!BG39=3,MATCHED!$D39,IF(MATCHED!BG39=4,MATCHED!$E39,IF(MATCHED!BG39=3,MATCHED!$F39,IF(MATCHED!BG39=6,MATCHED!$G39,IF(MATCHED!BG39=7,MATCHED!$H39,"")))))))&amp;IF(MATCHED!BG39=8,MATCHED!$I39,IF(MATCHED!BG39=9,MATCHED!$J39,IF(MATCHED!BG39=10,MATCHED!$K39,IF(MATCHED!BG39=11,MATCHED!$L39,IF(MATCHED!BG39=12,MATCHED!$M39,IF(MATCHED!BG39=13,MATCHED!$N39,IF(MATCHED!BG39=14,MATCHED!$O39,"")))))))&amp;IF(MATCHED!BG39=15,MATCHED!$P39,IF(MATCHED!BG39=16,MATCHED!$Q39,IF(MATCHED!BG39=17,MATCHED!$R39,IF(MATCHED!BG39=18,MATCHED!$S39,IF(MATCHED!BG39=19,MATCHED!$T39,IF(MATCHED!BG39=20,MATCHED!$U39,IF(MATCHED!BG39=21,MATCHED!$V39,)))))))&amp;IF(MATCHED!BG39=22,MATCHED!$W39,IF(MATCHED!BG39=23,MATCHED!$X39,IF(MATCHED!BG39=24,MATCHED!$Y39,IF(MATCHED!BG39=25,MATCHED!$Z39,IF(MATCHED!BG39=26,MATCHED!$AA39,IF(MATCHED!BG39=27,MATCHED!$AB39,"."))))))</f>
        <v>#N/A</v>
      </c>
      <c r="AF39" s="367" t="e">
        <f>IF(MATCHED!BH39=1,MATCHED!$B39,IF(MATCHED!BH39=2,MATCHED!$C39,IF(MATCHED!BH39=3,MATCHED!$D39,IF(MATCHED!BH39=4,MATCHED!$E39,IF(MATCHED!BH39=3,MATCHED!$F39,IF(MATCHED!BH39=6,MATCHED!$G39,IF(MATCHED!BH39=7,MATCHED!$H39,"")))))))&amp;IF(MATCHED!BH39=8,MATCHED!$I39,IF(MATCHED!BH39=9,MATCHED!$J39,IF(MATCHED!BH39=10,MATCHED!$K39,IF(MATCHED!BH39=11,MATCHED!$L39,IF(MATCHED!BH39=12,MATCHED!$M39,IF(MATCHED!BH39=13,MATCHED!$N39,IF(MATCHED!BH39=14,MATCHED!$O39,"")))))))&amp;IF(MATCHED!BH39=15,MATCHED!$P39,IF(MATCHED!BH39=16,MATCHED!$Q39,IF(MATCHED!BH39=17,MATCHED!$R39,IF(MATCHED!BH39=18,MATCHED!$S39,IF(MATCHED!BH39=19,MATCHED!$T39,IF(MATCHED!BH39=20,MATCHED!$U39,IF(MATCHED!BH39=21,MATCHED!$V39,)))))))&amp;IF(MATCHED!BH39=22,MATCHED!$W39,IF(MATCHED!BH39=23,MATCHED!$X39,IF(MATCHED!BH39=24,MATCHED!$Y39,IF(MATCHED!BH39=25,MATCHED!$Z39,IF(MATCHED!BH39=26,MATCHED!$AA39,IF(MATCHED!BH39=27,MATCHED!$AB39,"."))))))</f>
        <v>#N/A</v>
      </c>
      <c r="AG39" s="367" t="e">
        <f>IF(MATCHED!BI39=1,MATCHED!$B39,IF(MATCHED!BI39=2,MATCHED!$C39,IF(MATCHED!BI39=3,MATCHED!$D39,IF(MATCHED!BI39=4,MATCHED!$E39,IF(MATCHED!BI39=3,MATCHED!$F39,IF(MATCHED!BI39=6,MATCHED!$G39,IF(MATCHED!BI39=7,MATCHED!$H39,"")))))))&amp;IF(MATCHED!BI39=8,MATCHED!$I39,IF(MATCHED!BI39=9,MATCHED!$J39,IF(MATCHED!BI39=10,MATCHED!$K39,IF(MATCHED!BI39=11,MATCHED!$L39,IF(MATCHED!BI39=12,MATCHED!$M39,IF(MATCHED!BI39=13,MATCHED!$N39,IF(MATCHED!BI39=14,MATCHED!$O39,"")))))))&amp;IF(MATCHED!BI39=15,MATCHED!$P39,IF(MATCHED!BI39=16,MATCHED!$Q39,IF(MATCHED!BI39=17,MATCHED!$R39,IF(MATCHED!BI39=18,MATCHED!$S39,IF(MATCHED!BI39=19,MATCHED!$T39,IF(MATCHED!BI39=20,MATCHED!$U39,IF(MATCHED!BI39=21,MATCHED!$V39,)))))))&amp;IF(MATCHED!BI39=22,MATCHED!$W39,IF(MATCHED!BI39=23,MATCHED!$X39,IF(MATCHED!BI39=24,MATCHED!$Y39,IF(MATCHED!BI39=25,MATCHED!$Z39,IF(MATCHED!BI39=26,MATCHED!$AA39,IF(MATCHED!BI39=27,MATCHED!$AB39,"."))))))</f>
        <v>#N/A</v>
      </c>
      <c r="AH39" s="367" t="e">
        <f>IF(MATCHED!BJ39=1,MATCHED!$B39,IF(MATCHED!BJ39=2,MATCHED!$C39,IF(MATCHED!BJ39=3,MATCHED!$D39,IF(MATCHED!BJ39=4,MATCHED!$E39,IF(MATCHED!BJ39=3,MATCHED!$F39,IF(MATCHED!BJ39=6,MATCHED!$G39,IF(MATCHED!BJ39=7,MATCHED!$H39,"")))))))&amp;IF(MATCHED!BJ39=8,MATCHED!$I39,IF(MATCHED!BJ39=9,MATCHED!$J39,IF(MATCHED!BJ39=10,MATCHED!$K39,IF(MATCHED!BJ39=11,MATCHED!$L39,IF(MATCHED!BJ39=12,MATCHED!$M39,IF(MATCHED!BJ39=13,MATCHED!$N39,IF(MATCHED!BJ39=14,MATCHED!$O39,"")))))))&amp;IF(MATCHED!BJ39=15,MATCHED!$P39,IF(MATCHED!BJ39=16,MATCHED!$Q39,IF(MATCHED!BJ39=17,MATCHED!$R39,IF(MATCHED!BJ39=18,MATCHED!$S39,IF(MATCHED!BJ39=19,MATCHED!$T39,IF(MATCHED!BJ39=20,MATCHED!$U39,IF(MATCHED!BJ39=21,MATCHED!$V39,)))))))&amp;IF(MATCHED!BJ39=22,MATCHED!$W39,IF(MATCHED!BJ39=23,MATCHED!$X39,IF(MATCHED!BJ39=24,MATCHED!$Y39,IF(MATCHED!BJ39=25,MATCHED!$Z39,IF(MATCHED!BJ39=26,MATCHED!$AA39,IF(MATCHED!BJ39=27,MATCHED!$AB39,"."))))))</f>
        <v>#N/A</v>
      </c>
      <c r="AI39" s="367" t="e">
        <f>IF(MATCHED!BK39=1,MATCHED!$B39,IF(MATCHED!BK39=2,MATCHED!$C39,IF(MATCHED!BK39=3,MATCHED!$D39,IF(MATCHED!BK39=4,MATCHED!$E39,IF(MATCHED!BK39=3,MATCHED!$F39,IF(MATCHED!BK39=6,MATCHED!$G39,IF(MATCHED!BK39=7,MATCHED!$H39,"")))))))&amp;IF(MATCHED!BK39=8,MATCHED!$I39,IF(MATCHED!BK39=9,MATCHED!$J39,IF(MATCHED!BK39=10,MATCHED!$K39,IF(MATCHED!BK39=11,MATCHED!$L39,IF(MATCHED!BK39=12,MATCHED!$M39,IF(MATCHED!BK39=13,MATCHED!$N39,IF(MATCHED!BK39=14,MATCHED!$O39,"")))))))&amp;IF(MATCHED!BK39=15,MATCHED!$P39,IF(MATCHED!BK39=16,MATCHED!$Q39,IF(MATCHED!BK39=17,MATCHED!$R39,IF(MATCHED!BK39=18,MATCHED!$S39,IF(MATCHED!BK39=19,MATCHED!$T39,IF(MATCHED!BK39=20,MATCHED!$U39,IF(MATCHED!BK39=21,MATCHED!$V39,)))))))&amp;IF(MATCHED!BK39=22,MATCHED!$W39,IF(MATCHED!BK39=23,MATCHED!$X39,IF(MATCHED!BK39=24,MATCHED!$Y39,IF(MATCHED!BK39=25,MATCHED!$Z39,IF(MATCHED!BK39=26,MATCHED!$AA39,IF(MATCHED!BK39=27,MATCHED!$AB39,"."))))))</f>
        <v>#N/A</v>
      </c>
      <c r="AJ39" s="535"/>
    </row>
    <row r="40" spans="1:36" s="338" customFormat="1" x14ac:dyDescent="0.25">
      <c r="A40" s="535"/>
      <c r="B40" s="369" t="e">
        <f>IF(MATCHED!AD40=1,MATCHED!$B40,IF(MATCHED!AD40=2,MATCHED!$C40,IF(MATCHED!AD40=3,MATCHED!$D40,IF(MATCHED!AD40=4,MATCHED!$E40,IF(MATCHED!AD40=3,MATCHED!$F40,IF(MATCHED!AD40=6,MATCHED!$G40,IF(MATCHED!AD40=7,MATCHED!$H40,"")))))))&amp;IF(MATCHED!AD40=8,MATCHED!$I40,IF(MATCHED!AD40=9,MATCHED!$J40,IF(MATCHED!AD40=10,MATCHED!$K40,IF(MATCHED!AD40=11,MATCHED!$L40,IF(MATCHED!AD40=12,MATCHED!$M40,IF(MATCHED!AD40=13,MATCHED!$N40,IF(MATCHED!AD40=14,MATCHED!$O40,"")))))))&amp;IF(MATCHED!AD40=15,MATCHED!$P40,IF(MATCHED!AD40=16,MATCHED!$Q40,IF(MATCHED!AD40=17,MATCHED!$R40,IF(MATCHED!AD40=18,MATCHED!$S40,IF(MATCHED!AD40=19,MATCHED!$T40,IF(MATCHED!AD40=20,MATCHED!$U40,IF(MATCHED!AD40=21,MATCHED!$V40,)))))))&amp;IF(MATCHED!AD40=22,MATCHED!$W40,IF(MATCHED!AD40=23,MATCHED!$X40,IF(MATCHED!AD40=24,MATCHED!$Y40,IF(MATCHED!AD40=25,MATCHED!$Z40,IF(MATCHED!AD40=26,MATCHED!$AA40,IF(MATCHED!AD40=27,MATCHED!$AB40,"."))))))</f>
        <v>#N/A</v>
      </c>
      <c r="C40" s="370" t="e">
        <f>IF(MATCHED!AE40=1,MATCHED!$B40,IF(MATCHED!AE40=2,MATCHED!$C40,IF(MATCHED!AE40=3,MATCHED!$D40,IF(MATCHED!AE40=4,MATCHED!$E40,IF(MATCHED!AE40=3,MATCHED!$F40,IF(MATCHED!AE40=6,MATCHED!$G40,IF(MATCHED!AE40=7,MATCHED!$H40,"")))))))&amp;IF(MATCHED!AE40=8,MATCHED!$I40,IF(MATCHED!AE40=9,MATCHED!$J40,IF(MATCHED!AE40=10,MATCHED!$K40,IF(MATCHED!AE40=11,MATCHED!$L40,IF(MATCHED!AE40=12,MATCHED!$M40,IF(MATCHED!AE40=13,MATCHED!$N40,IF(MATCHED!AE40=14,MATCHED!$O40,"")))))))&amp;IF(MATCHED!AE40=15,MATCHED!$P40,IF(MATCHED!AE40=16,MATCHED!$Q40,IF(MATCHED!AE40=17,MATCHED!$R40,IF(MATCHED!AE40=18,MATCHED!$S40,IF(MATCHED!AE40=19,MATCHED!$T40,IF(MATCHED!AE40=20,MATCHED!$U40,IF(MATCHED!AE40=21,MATCHED!$V40,)))))))&amp;IF(MATCHED!AE40=22,MATCHED!$W40,IF(MATCHED!AE40=23,MATCHED!$X40,IF(MATCHED!AE40=24,MATCHED!$Y40,IF(MATCHED!AE40=25,MATCHED!$Z40,IF(MATCHED!AE40=26,MATCHED!$AA40,IF(MATCHED!AE40=27,MATCHED!$AB40,"."))))))</f>
        <v>#N/A</v>
      </c>
      <c r="D40" s="370" t="e">
        <f>IF(MATCHED!AF40=1,MATCHED!$B40,IF(MATCHED!AF40=2,MATCHED!$C40,IF(MATCHED!AF40=3,MATCHED!$D40,IF(MATCHED!AF40=4,MATCHED!$E40,IF(MATCHED!AF40=3,MATCHED!$F40,IF(MATCHED!AF40=6,MATCHED!$G40,IF(MATCHED!AF40=7,MATCHED!$H40,"")))))))&amp;IF(MATCHED!AF40=8,MATCHED!$I40,IF(MATCHED!AF40=9,MATCHED!$J40,IF(MATCHED!AF40=10,MATCHED!$K40,IF(MATCHED!AF40=11,MATCHED!$L40,IF(MATCHED!AF40=12,MATCHED!$M40,IF(MATCHED!AF40=13,MATCHED!$N40,IF(MATCHED!AF40=14,MATCHED!$O40,"")))))))&amp;IF(MATCHED!AF40=15,MATCHED!$P40,IF(MATCHED!AF40=16,MATCHED!$Q40,IF(MATCHED!AF40=17,MATCHED!$R40,IF(MATCHED!AF40=18,MATCHED!$S40,IF(MATCHED!AF40=19,MATCHED!$T40,IF(MATCHED!AF40=20,MATCHED!$U40,IF(MATCHED!AF40=21,MATCHED!$V40,)))))))&amp;IF(MATCHED!AF40=22,MATCHED!$W40,IF(MATCHED!AF40=23,MATCHED!$X40,IF(MATCHED!AF40=24,MATCHED!$Y40,IF(MATCHED!AF40=25,MATCHED!$Z40,IF(MATCHED!AF40=26,MATCHED!$AA40,IF(MATCHED!AF40=27,MATCHED!$AB40,"."))))))</f>
        <v>#N/A</v>
      </c>
      <c r="E40" s="370" t="e">
        <f>IF(MATCHED!AG40=1,MATCHED!$B40,IF(MATCHED!AG40=2,MATCHED!$C40,IF(MATCHED!AG40=3,MATCHED!$D40,IF(MATCHED!AG40=4,MATCHED!$E40,IF(MATCHED!AG40=3,MATCHED!$F40,IF(MATCHED!AG40=6,MATCHED!$G40,IF(MATCHED!AG40=7,MATCHED!$H40,"")))))))&amp;IF(MATCHED!AG40=8,MATCHED!$I40,IF(MATCHED!AG40=9,MATCHED!$J40,IF(MATCHED!AG40=10,MATCHED!$K40,IF(MATCHED!AG40=11,MATCHED!$L40,IF(MATCHED!AG40=12,MATCHED!$M40,IF(MATCHED!AG40=13,MATCHED!$N40,IF(MATCHED!AG40=14,MATCHED!$O40,"")))))))&amp;IF(MATCHED!AG40=15,MATCHED!$P40,IF(MATCHED!AG40=16,MATCHED!$Q40,IF(MATCHED!AG40=17,MATCHED!$R40,IF(MATCHED!AG40=18,MATCHED!$S40,IF(MATCHED!AG40=19,MATCHED!$T40,IF(MATCHED!AG40=20,MATCHED!$U40,IF(MATCHED!AG40=21,MATCHED!$V40,)))))))&amp;IF(MATCHED!AG40=22,MATCHED!$W40,IF(MATCHED!AG40=23,MATCHED!$X40,IF(MATCHED!AG40=24,MATCHED!$Y40,IF(MATCHED!AG40=25,MATCHED!$Z40,IF(MATCHED!AG40=26,MATCHED!$AA40,IF(MATCHED!AG40=27,MATCHED!$AB40,"."))))))</f>
        <v>#N/A</v>
      </c>
      <c r="F40" s="370" t="e">
        <f>IF(MATCHED!AH40=1,MATCHED!$B40,IF(MATCHED!AH40=2,MATCHED!$C40,IF(MATCHED!AH40=3,MATCHED!$D40,IF(MATCHED!AH40=4,MATCHED!$E40,IF(MATCHED!AH40=3,MATCHED!$F40,IF(MATCHED!AH40=6,MATCHED!$G40,IF(MATCHED!AH40=7,MATCHED!$H40,"")))))))&amp;IF(MATCHED!AH40=8,MATCHED!$I40,IF(MATCHED!AH40=9,MATCHED!$J40,IF(MATCHED!AH40=10,MATCHED!$K40,IF(MATCHED!AH40=11,MATCHED!$L40,IF(MATCHED!AH40=12,MATCHED!$M40,IF(MATCHED!AH40=13,MATCHED!$N40,IF(MATCHED!AH40=14,MATCHED!$O40,"")))))))&amp;IF(MATCHED!AH40=15,MATCHED!$P40,IF(MATCHED!AH40=16,MATCHED!$Q40,IF(MATCHED!AH40=17,MATCHED!$R40,IF(MATCHED!AH40=18,MATCHED!$S40,IF(MATCHED!AH40=19,MATCHED!$T40,IF(MATCHED!AH40=20,MATCHED!$U40,IF(MATCHED!AH40=21,MATCHED!$V40,)))))))&amp;IF(MATCHED!AH40=22,MATCHED!$W40,IF(MATCHED!AH40=23,MATCHED!$X40,IF(MATCHED!AH40=24,MATCHED!$Y40,IF(MATCHED!AH40=25,MATCHED!$Z40,IF(MATCHED!AH40=26,MATCHED!$AA40,IF(MATCHED!AH40=27,MATCHED!$AB40,"."))))))</f>
        <v>#N/A</v>
      </c>
      <c r="G40" s="370" t="e">
        <f>IF(MATCHED!AI40=1,MATCHED!$B40,IF(MATCHED!AI40=2,MATCHED!$C40,IF(MATCHED!AI40=3,MATCHED!$D40,IF(MATCHED!AI40=4,MATCHED!$E40,IF(MATCHED!AI40=3,MATCHED!$F40,IF(MATCHED!AI40=6,MATCHED!$G40,IF(MATCHED!AI40=7,MATCHED!$H40,"")))))))&amp;IF(MATCHED!AI40=8,MATCHED!$I40,IF(MATCHED!AI40=9,MATCHED!$J40,IF(MATCHED!AI40=10,MATCHED!$K40,IF(MATCHED!AI40=11,MATCHED!$L40,IF(MATCHED!AI40=12,MATCHED!$M40,IF(MATCHED!AI40=13,MATCHED!$N40,IF(MATCHED!AI40=14,MATCHED!$O40,"")))))))&amp;IF(MATCHED!AI40=15,MATCHED!$P40,IF(MATCHED!AI40=16,MATCHED!$Q40,IF(MATCHED!AI40=17,MATCHED!$R40,IF(MATCHED!AI40=18,MATCHED!$S40,IF(MATCHED!AI40=19,MATCHED!$T40,IF(MATCHED!AI40=20,MATCHED!$U40,IF(MATCHED!AI40=21,MATCHED!$V40,)))))))&amp;IF(MATCHED!AI40=22,MATCHED!$W40,IF(MATCHED!AI40=23,MATCHED!$X40,IF(MATCHED!AI40=24,MATCHED!$Y40,IF(MATCHED!AI40=25,MATCHED!$Z40,IF(MATCHED!AI40=26,MATCHED!$AA40,IF(MATCHED!AI40=27,MATCHED!$AB40,"."))))))</f>
        <v>#N/A</v>
      </c>
      <c r="H40" s="370" t="e">
        <f>IF(MATCHED!AJ40=1,MATCHED!$B40,IF(MATCHED!AJ40=2,MATCHED!$C40,IF(MATCHED!AJ40=3,MATCHED!$D40,IF(MATCHED!AJ40=4,MATCHED!$E40,IF(MATCHED!AJ40=3,MATCHED!$F40,IF(MATCHED!AJ40=6,MATCHED!$G40,IF(MATCHED!AJ40=7,MATCHED!$H40,"")))))))&amp;IF(MATCHED!AJ40=8,MATCHED!$I40,IF(MATCHED!AJ40=9,MATCHED!$J40,IF(MATCHED!AJ40=10,MATCHED!$K40,IF(MATCHED!AJ40=11,MATCHED!$L40,IF(MATCHED!AJ40=12,MATCHED!$M40,IF(MATCHED!AJ40=13,MATCHED!$N40,IF(MATCHED!AJ40=14,MATCHED!$O40,"")))))))&amp;IF(MATCHED!AJ40=15,MATCHED!$P40,IF(MATCHED!AJ40=16,MATCHED!$Q40,IF(MATCHED!AJ40=17,MATCHED!$R40,IF(MATCHED!AJ40=18,MATCHED!$S40,IF(MATCHED!AJ40=19,MATCHED!$T40,IF(MATCHED!AJ40=20,MATCHED!$U40,IF(MATCHED!AJ40=21,MATCHED!$V40,)))))))&amp;IF(MATCHED!AJ40=22,MATCHED!$W40,IF(MATCHED!AJ40=23,MATCHED!$X40,IF(MATCHED!AJ40=24,MATCHED!$Y40,IF(MATCHED!AJ40=25,MATCHED!$Z40,IF(MATCHED!AJ40=26,MATCHED!$AA40,IF(MATCHED!AJ40=27,MATCHED!$AB40,"."))))))</f>
        <v>#N/A</v>
      </c>
      <c r="I40" s="370" t="e">
        <f>IF(MATCHED!AK40=1,MATCHED!$B40,IF(MATCHED!AK40=2,MATCHED!$C40,IF(MATCHED!AK40=3,MATCHED!$D40,IF(MATCHED!AK40=4,MATCHED!$E40,IF(MATCHED!AK40=3,MATCHED!$F40,IF(MATCHED!AK40=6,MATCHED!$G40,IF(MATCHED!AK40=7,MATCHED!$H40,"")))))))&amp;IF(MATCHED!AK40=8,MATCHED!$I40,IF(MATCHED!AK40=9,MATCHED!$J40,IF(MATCHED!AK40=10,MATCHED!$K40,IF(MATCHED!AK40=11,MATCHED!$L40,IF(MATCHED!AK40=12,MATCHED!$M40,IF(MATCHED!AK40=13,MATCHED!$N40,IF(MATCHED!AK40=14,MATCHED!$O40,"")))))))&amp;IF(MATCHED!AK40=15,MATCHED!$P40,IF(MATCHED!AK40=16,MATCHED!$Q40,IF(MATCHED!AK40=17,MATCHED!$R40,IF(MATCHED!AK40=18,MATCHED!$S40,IF(MATCHED!AK40=19,MATCHED!$T40,IF(MATCHED!AK40=20,MATCHED!$U40,IF(MATCHED!AK40=21,MATCHED!$V40,)))))))&amp;IF(MATCHED!AK40=22,MATCHED!$W40,IF(MATCHED!AK40=23,MATCHED!$X40,IF(MATCHED!AK40=24,MATCHED!$Y40,IF(MATCHED!AK40=25,MATCHED!$Z40,IF(MATCHED!AK40=26,MATCHED!$AA40,IF(MATCHED!AK40=27,MATCHED!$AB40,"."))))))</f>
        <v>#N/A</v>
      </c>
      <c r="J40" s="370" t="e">
        <f>IF(MATCHED!AL40=1,MATCHED!$B40,IF(MATCHED!AL40=2,MATCHED!$C40,IF(MATCHED!AL40=3,MATCHED!$D40,IF(MATCHED!AL40=4,MATCHED!$E40,IF(MATCHED!AL40=3,MATCHED!$F40,IF(MATCHED!AL40=6,MATCHED!$G40,IF(MATCHED!AL40=7,MATCHED!$H40,"")))))))&amp;IF(MATCHED!AL40=8,MATCHED!$I40,IF(MATCHED!AL40=9,MATCHED!$J40,IF(MATCHED!AL40=10,MATCHED!$K40,IF(MATCHED!AL40=11,MATCHED!$L40,IF(MATCHED!AL40=12,MATCHED!$M40,IF(MATCHED!AL40=13,MATCHED!$N40,IF(MATCHED!AL40=14,MATCHED!$O40,"")))))))&amp;IF(MATCHED!AL40=15,MATCHED!$P40,IF(MATCHED!AL40=16,MATCHED!$Q40,IF(MATCHED!AL40=17,MATCHED!$R40,IF(MATCHED!AL40=18,MATCHED!$S40,IF(MATCHED!AL40=19,MATCHED!$T40,IF(MATCHED!AL40=20,MATCHED!$U40,IF(MATCHED!AL40=21,MATCHED!$V40,)))))))&amp;IF(MATCHED!AL40=22,MATCHED!$W40,IF(MATCHED!AL40=23,MATCHED!$X40,IF(MATCHED!AL40=24,MATCHED!$Y40,IF(MATCHED!AL40=25,MATCHED!$Z40,IF(MATCHED!AL40=26,MATCHED!$AA40,IF(MATCHED!AL40=27,MATCHED!$AB40,"."))))))</f>
        <v>#N/A</v>
      </c>
      <c r="K40" s="370" t="e">
        <f>IF(MATCHED!AM40=1,MATCHED!$B40,IF(MATCHED!AM40=2,MATCHED!$C40,IF(MATCHED!AM40=3,MATCHED!$D40,IF(MATCHED!AM40=4,MATCHED!$E40,IF(MATCHED!AM40=3,MATCHED!$F40,IF(MATCHED!AM40=6,MATCHED!$G40,IF(MATCHED!AM40=7,MATCHED!$H40,"")))))))&amp;IF(MATCHED!AM40=8,MATCHED!$I40,IF(MATCHED!AM40=9,MATCHED!$J40,IF(MATCHED!AM40=10,MATCHED!$K40,IF(MATCHED!AM40=11,MATCHED!$L40,IF(MATCHED!AM40=12,MATCHED!$M40,IF(MATCHED!AM40=13,MATCHED!$N40,IF(MATCHED!AM40=14,MATCHED!$O40,"")))))))&amp;IF(MATCHED!AM40=15,MATCHED!$P40,IF(MATCHED!AM40=16,MATCHED!$Q40,IF(MATCHED!AM40=17,MATCHED!$R40,IF(MATCHED!AM40=18,MATCHED!$S40,IF(MATCHED!AM40=19,MATCHED!$T40,IF(MATCHED!AM40=20,MATCHED!$U40,IF(MATCHED!AM40=21,MATCHED!$V40,)))))))&amp;IF(MATCHED!AM40=22,MATCHED!$W40,IF(MATCHED!AM40=23,MATCHED!$X40,IF(MATCHED!AM40=24,MATCHED!$Y40,IF(MATCHED!AM40=25,MATCHED!$Z40,IF(MATCHED!AM40=26,MATCHED!$AA40,IF(MATCHED!AM40=27,MATCHED!$AB40,"."))))))</f>
        <v>#N/A</v>
      </c>
      <c r="L40" s="370" t="e">
        <f>IF(MATCHED!AN40=1,MATCHED!$B40,IF(MATCHED!AN40=2,MATCHED!$C40,IF(MATCHED!AN40=3,MATCHED!$D40,IF(MATCHED!AN40=4,MATCHED!$E40,IF(MATCHED!AN40=3,MATCHED!$F40,IF(MATCHED!AN40=6,MATCHED!$G40,IF(MATCHED!AN40=7,MATCHED!$H40,"")))))))&amp;IF(MATCHED!AN40=8,MATCHED!$I40,IF(MATCHED!AN40=9,MATCHED!$J40,IF(MATCHED!AN40=10,MATCHED!$K40,IF(MATCHED!AN40=11,MATCHED!$L40,IF(MATCHED!AN40=12,MATCHED!$M40,IF(MATCHED!AN40=13,MATCHED!$N40,IF(MATCHED!AN40=14,MATCHED!$O40,"")))))))&amp;IF(MATCHED!AN40=15,MATCHED!$P40,IF(MATCHED!AN40=16,MATCHED!$Q40,IF(MATCHED!AN40=17,MATCHED!$R40,IF(MATCHED!AN40=18,MATCHED!$S40,IF(MATCHED!AN40=19,MATCHED!$T40,IF(MATCHED!AN40=20,MATCHED!$U40,IF(MATCHED!AN40=21,MATCHED!$V40,)))))))&amp;IF(MATCHED!AN40=22,MATCHED!$W40,IF(MATCHED!AN40=23,MATCHED!$X40,IF(MATCHED!AN40=24,MATCHED!$Y40,IF(MATCHED!AN40=25,MATCHED!$Z40,IF(MATCHED!AN40=26,MATCHED!$AA40,IF(MATCHED!AN40=27,MATCHED!$AB40,"."))))))</f>
        <v>#N/A</v>
      </c>
      <c r="M40" s="370" t="e">
        <f>IF(MATCHED!AO40=1,MATCHED!$B40,IF(MATCHED!AO40=2,MATCHED!$C40,IF(MATCHED!AO40=3,MATCHED!$D40,IF(MATCHED!AO40=4,MATCHED!$E40,IF(MATCHED!AO40=3,MATCHED!$F40,IF(MATCHED!AO40=6,MATCHED!$G40,IF(MATCHED!AO40=7,MATCHED!$H40,"")))))))&amp;IF(MATCHED!AO40=8,MATCHED!$I40,IF(MATCHED!AO40=9,MATCHED!$J40,IF(MATCHED!AO40=10,MATCHED!$K40,IF(MATCHED!AO40=11,MATCHED!$L40,IF(MATCHED!AO40=12,MATCHED!$M40,IF(MATCHED!AO40=13,MATCHED!$N40,IF(MATCHED!AO40=14,MATCHED!$O40,"")))))))&amp;IF(MATCHED!AO40=15,MATCHED!$P40,IF(MATCHED!AO40=16,MATCHED!$Q40,IF(MATCHED!AO40=17,MATCHED!$R40,IF(MATCHED!AO40=18,MATCHED!$S40,IF(MATCHED!AO40=19,MATCHED!$T40,IF(MATCHED!AO40=20,MATCHED!$U40,IF(MATCHED!AO40=21,MATCHED!$V40,)))))))&amp;IF(MATCHED!AO40=22,MATCHED!$W40,IF(MATCHED!AO40=23,MATCHED!$X40,IF(MATCHED!AO40=24,MATCHED!$Y40,IF(MATCHED!AO40=25,MATCHED!$Z40,IF(MATCHED!AO40=26,MATCHED!$AA40,IF(MATCHED!AO40=27,MATCHED!$AB40,"."))))))</f>
        <v>#N/A</v>
      </c>
      <c r="N40" s="370" t="e">
        <f>IF(MATCHED!AP40=1,MATCHED!$B40,IF(MATCHED!AP40=2,MATCHED!$C40,IF(MATCHED!AP40=3,MATCHED!$D40,IF(MATCHED!AP40=4,MATCHED!$E40,IF(MATCHED!AP40=3,MATCHED!$F40,IF(MATCHED!AP40=6,MATCHED!$G40,IF(MATCHED!AP40=7,MATCHED!$H40,"")))))))&amp;IF(MATCHED!AP40=8,MATCHED!$I40,IF(MATCHED!AP40=9,MATCHED!$J40,IF(MATCHED!AP40=10,MATCHED!$K40,IF(MATCHED!AP40=11,MATCHED!$L40,IF(MATCHED!AP40=12,MATCHED!$M40,IF(MATCHED!AP40=13,MATCHED!$N40,IF(MATCHED!AP40=14,MATCHED!$O40,"")))))))&amp;IF(MATCHED!AP40=15,MATCHED!$P40,IF(MATCHED!AP40=16,MATCHED!$Q40,IF(MATCHED!AP40=17,MATCHED!$R40,IF(MATCHED!AP40=18,MATCHED!$S40,IF(MATCHED!AP40=19,MATCHED!$T40,IF(MATCHED!AP40=20,MATCHED!$U40,IF(MATCHED!AP40=21,MATCHED!$V40,)))))))&amp;IF(MATCHED!AP40=22,MATCHED!$W40,IF(MATCHED!AP40=23,MATCHED!$X40,IF(MATCHED!AP40=24,MATCHED!$Y40,IF(MATCHED!AP40=25,MATCHED!$Z40,IF(MATCHED!AP40=26,MATCHED!$AA40,IF(MATCHED!AP40=27,MATCHED!$AB40,"."))))))</f>
        <v>#N/A</v>
      </c>
      <c r="O40" s="370" t="e">
        <f>IF(MATCHED!AQ40=1,MATCHED!$B40,IF(MATCHED!AQ40=2,MATCHED!$C40,IF(MATCHED!AQ40=3,MATCHED!$D40,IF(MATCHED!AQ40=4,MATCHED!$E40,IF(MATCHED!AQ40=3,MATCHED!$F40,IF(MATCHED!AQ40=6,MATCHED!$G40,IF(MATCHED!AQ40=7,MATCHED!$H40,"")))))))&amp;IF(MATCHED!AQ40=8,MATCHED!$I40,IF(MATCHED!AQ40=9,MATCHED!$J40,IF(MATCHED!AQ40=10,MATCHED!$K40,IF(MATCHED!AQ40=11,MATCHED!$L40,IF(MATCHED!AQ40=12,MATCHED!$M40,IF(MATCHED!AQ40=13,MATCHED!$N40,IF(MATCHED!AQ40=14,MATCHED!$O40,"")))))))&amp;IF(MATCHED!AQ40=15,MATCHED!$P40,IF(MATCHED!AQ40=16,MATCHED!$Q40,IF(MATCHED!AQ40=17,MATCHED!$R40,IF(MATCHED!AQ40=18,MATCHED!$S40,IF(MATCHED!AQ40=19,MATCHED!$T40,IF(MATCHED!AQ40=20,MATCHED!$U40,IF(MATCHED!AQ40=21,MATCHED!$V40,)))))))&amp;IF(MATCHED!AQ40=22,MATCHED!$W40,IF(MATCHED!AQ40=23,MATCHED!$X40,IF(MATCHED!AQ40=24,MATCHED!$Y40,IF(MATCHED!AQ40=25,MATCHED!$Z40,IF(MATCHED!AQ40=26,MATCHED!$AA40,IF(MATCHED!AQ40=27,MATCHED!$AB40,"."))))))</f>
        <v>#N/A</v>
      </c>
      <c r="P40" s="370" t="e">
        <f>IF(MATCHED!AR40=1,MATCHED!$B40,IF(MATCHED!AR40=2,MATCHED!$C40,IF(MATCHED!AR40=3,MATCHED!$D40,IF(MATCHED!AR40=4,MATCHED!$E40,IF(MATCHED!AR40=3,MATCHED!$F40,IF(MATCHED!AR40=6,MATCHED!$G40,IF(MATCHED!AR40=7,MATCHED!$H40,"")))))))&amp;IF(MATCHED!AR40=8,MATCHED!$I40,IF(MATCHED!AR40=9,MATCHED!$J40,IF(MATCHED!AR40=10,MATCHED!$K40,IF(MATCHED!AR40=11,MATCHED!$L40,IF(MATCHED!AR40=12,MATCHED!$M40,IF(MATCHED!AR40=13,MATCHED!$N40,IF(MATCHED!AR40=14,MATCHED!$O40,"")))))))&amp;IF(MATCHED!AR40=15,MATCHED!$P40,IF(MATCHED!AR40=16,MATCHED!$Q40,IF(MATCHED!AR40=17,MATCHED!$R40,IF(MATCHED!AR40=18,MATCHED!$S40,IF(MATCHED!AR40=19,MATCHED!$T40,IF(MATCHED!AR40=20,MATCHED!$U40,IF(MATCHED!AR40=21,MATCHED!$V40,)))))))&amp;IF(MATCHED!AR40=22,MATCHED!$W40,IF(MATCHED!AR40=23,MATCHED!$X40,IF(MATCHED!AR40=24,MATCHED!$Y40,IF(MATCHED!AR40=25,MATCHED!$Z40,IF(MATCHED!AR40=26,MATCHED!$AA40,IF(MATCHED!AR40=27,MATCHED!$AB40,"."))))))</f>
        <v>#N/A</v>
      </c>
      <c r="Q40" s="371" t="e">
        <f>IF(MATCHED!AS40=1,MATCHED!$B40,IF(MATCHED!AS40=2,MATCHED!$C40,IF(MATCHED!AS40=3,MATCHED!$D40,IF(MATCHED!AS40=4,MATCHED!$E40,IF(MATCHED!AS40=3,MATCHED!$F40,IF(MATCHED!AS40=6,MATCHED!$G40,IF(MATCHED!AS40=7,MATCHED!$H40,"")))))))&amp;IF(MATCHED!AS40=8,MATCHED!$I40,IF(MATCHED!AS40=9,MATCHED!$J40,IF(MATCHED!AS40=10,MATCHED!$K40,IF(MATCHED!AS40=11,MATCHED!$L40,IF(MATCHED!AS40=12,MATCHED!$M40,IF(MATCHED!AS40=13,MATCHED!$N40,IF(MATCHED!AS40=14,MATCHED!$O40,"")))))))&amp;IF(MATCHED!AS40=15,MATCHED!$P40,IF(MATCHED!AS40=16,MATCHED!$Q40,IF(MATCHED!AS40=17,MATCHED!$R40,IF(MATCHED!AS40=18,MATCHED!$S40,IF(MATCHED!AS40=19,MATCHED!$T40,IF(MATCHED!AS40=20,MATCHED!$U40,IF(MATCHED!AS40=21,MATCHED!$V40,)))))))&amp;IF(MATCHED!AS40=22,MATCHED!$W40,IF(MATCHED!AS40=23,MATCHED!$X40,IF(MATCHED!AS40=24,MATCHED!$Y40,IF(MATCHED!AS40=25,MATCHED!$Z40,IF(MATCHED!AS40=26,MATCHED!$AA40,IF(MATCHED!AS40=27,MATCHED!$AB40,"."))))))</f>
        <v>#N/A</v>
      </c>
      <c r="R40" s="370" t="e">
        <f>IF(MATCHED!AT40=1,MATCHED!$B40,IF(MATCHED!AT40=2,MATCHED!$C40,IF(MATCHED!AT40=3,MATCHED!$D40,IF(MATCHED!AT40=4,MATCHED!$E40,IF(MATCHED!AT40=3,MATCHED!$F40,IF(MATCHED!AT40=6,MATCHED!$G40,IF(MATCHED!AT40=7,MATCHED!$H40,"")))))))&amp;IF(MATCHED!AT40=8,MATCHED!$I40,IF(MATCHED!AT40=9,MATCHED!$J40,IF(MATCHED!AT40=10,MATCHED!$K40,IF(MATCHED!AT40=11,MATCHED!$L40,IF(MATCHED!AT40=12,MATCHED!$M40,IF(MATCHED!AT40=13,MATCHED!$N40,IF(MATCHED!AT40=14,MATCHED!$O40,"")))))))&amp;IF(MATCHED!AT40=15,MATCHED!$P40,IF(MATCHED!AT40=16,MATCHED!$Q40,IF(MATCHED!AT40=17,MATCHED!$R40,IF(MATCHED!AT40=18,MATCHED!$S40,IF(MATCHED!AT40=19,MATCHED!$T40,IF(MATCHED!AT40=20,MATCHED!$U40,IF(MATCHED!AT40=21,MATCHED!$V40,)))))))&amp;IF(MATCHED!AT40=22,MATCHED!$W40,IF(MATCHED!AT40=23,MATCHED!$X40,IF(MATCHED!AT40=24,MATCHED!$Y40,IF(MATCHED!AT40=25,MATCHED!$Z40,IF(MATCHED!AT40=26,MATCHED!$AA40,IF(MATCHED!AT40=27,MATCHED!$AB40,"."))))))</f>
        <v>#N/A</v>
      </c>
      <c r="S40" s="370" t="e">
        <f>IF(MATCHED!AU40=1,MATCHED!$B40,IF(MATCHED!AU40=2,MATCHED!$C40,IF(MATCHED!AU40=3,MATCHED!$D40,IF(MATCHED!AU40=4,MATCHED!$E40,IF(MATCHED!AU40=3,MATCHED!$F40,IF(MATCHED!AU40=6,MATCHED!$G40,IF(MATCHED!AU40=7,MATCHED!$H40,"")))))))&amp;IF(MATCHED!AU40=8,MATCHED!$I40,IF(MATCHED!AU40=9,MATCHED!$J40,IF(MATCHED!AU40=10,MATCHED!$K40,IF(MATCHED!AU40=11,MATCHED!$L40,IF(MATCHED!AU40=12,MATCHED!$M40,IF(MATCHED!AU40=13,MATCHED!$N40,IF(MATCHED!AU40=14,MATCHED!$O40,"")))))))&amp;IF(MATCHED!AU40=15,MATCHED!$P40,IF(MATCHED!AU40=16,MATCHED!$Q40,IF(MATCHED!AU40=17,MATCHED!$R40,IF(MATCHED!AU40=18,MATCHED!$S40,IF(MATCHED!AU40=19,MATCHED!$T40,IF(MATCHED!AU40=20,MATCHED!$U40,IF(MATCHED!AU40=21,MATCHED!$V40,)))))))&amp;IF(MATCHED!AU40=22,MATCHED!$W40,IF(MATCHED!AU40=23,MATCHED!$X40,IF(MATCHED!AU40=24,MATCHED!$Y40,IF(MATCHED!AU40=25,MATCHED!$Z40,IF(MATCHED!AU40=26,MATCHED!$AA40,IF(MATCHED!AU40=27,MATCHED!$AB40,"."))))))</f>
        <v>#N/A</v>
      </c>
      <c r="T40" s="370" t="e">
        <f>IF(MATCHED!AV40=1,MATCHED!$B40,IF(MATCHED!AV40=2,MATCHED!$C40,IF(MATCHED!AV40=3,MATCHED!$D40,IF(MATCHED!AV40=4,MATCHED!$E40,IF(MATCHED!AV40=3,MATCHED!$F40,IF(MATCHED!AV40=6,MATCHED!$G40,IF(MATCHED!AV40=7,MATCHED!$H40,"")))))))&amp;IF(MATCHED!AV40=8,MATCHED!$I40,IF(MATCHED!AV40=9,MATCHED!$J40,IF(MATCHED!AV40=10,MATCHED!$K40,IF(MATCHED!AV40=11,MATCHED!$L40,IF(MATCHED!AV40=12,MATCHED!$M40,IF(MATCHED!AV40=13,MATCHED!$N40,IF(MATCHED!AV40=14,MATCHED!$O40,"")))))))&amp;IF(MATCHED!AV40=15,MATCHED!$P40,IF(MATCHED!AV40=16,MATCHED!$Q40,IF(MATCHED!AV40=17,MATCHED!$R40,IF(MATCHED!AV40=18,MATCHED!$S40,IF(MATCHED!AV40=19,MATCHED!$T40,IF(MATCHED!AV40=20,MATCHED!$U40,IF(MATCHED!AV40=21,MATCHED!$V40,)))))))&amp;IF(MATCHED!AV40=22,MATCHED!$W40,IF(MATCHED!AV40=23,MATCHED!$X40,IF(MATCHED!AV40=24,MATCHED!$Y40,IF(MATCHED!AV40=25,MATCHED!$Z40,IF(MATCHED!AV40=26,MATCHED!$AA40,IF(MATCHED!AV40=27,MATCHED!$AB40,"."))))))</f>
        <v>#N/A</v>
      </c>
      <c r="U40" s="370" t="e">
        <f>IF(MATCHED!AW40=1,MATCHED!$B40,IF(MATCHED!AW40=2,MATCHED!$C40,IF(MATCHED!AW40=3,MATCHED!$D40,IF(MATCHED!AW40=4,MATCHED!$E40,IF(MATCHED!AW40=3,MATCHED!$F40,IF(MATCHED!AW40=6,MATCHED!$G40,IF(MATCHED!AW40=7,MATCHED!$H40,"")))))))&amp;IF(MATCHED!AW40=8,MATCHED!$I40,IF(MATCHED!AW40=9,MATCHED!$J40,IF(MATCHED!AW40=10,MATCHED!$K40,IF(MATCHED!AW40=11,MATCHED!$L40,IF(MATCHED!AW40=12,MATCHED!$M40,IF(MATCHED!AW40=13,MATCHED!$N40,IF(MATCHED!AW40=14,MATCHED!$O40,"")))))))&amp;IF(MATCHED!AW40=15,MATCHED!$P40,IF(MATCHED!AW40=16,MATCHED!$Q40,IF(MATCHED!AW40=17,MATCHED!$R40,IF(MATCHED!AW40=18,MATCHED!$S40,IF(MATCHED!AW40=19,MATCHED!$T40,IF(MATCHED!AW40=20,MATCHED!$U40,IF(MATCHED!AW40=21,MATCHED!$V40,)))))))&amp;IF(MATCHED!AW40=22,MATCHED!$W40,IF(MATCHED!AW40=23,MATCHED!$X40,IF(MATCHED!AW40=24,MATCHED!$Y40,IF(MATCHED!AW40=25,MATCHED!$Z40,IF(MATCHED!AW40=26,MATCHED!$AA40,IF(MATCHED!AW40=27,MATCHED!$AB40,"."))))))</f>
        <v>#N/A</v>
      </c>
      <c r="V40" s="370" t="e">
        <f>IF(MATCHED!AX40=1,MATCHED!$B40,IF(MATCHED!AX40=2,MATCHED!$C40,IF(MATCHED!AX40=3,MATCHED!$D40,IF(MATCHED!AX40=4,MATCHED!$E40,IF(MATCHED!AX40=3,MATCHED!$F40,IF(MATCHED!AX40=6,MATCHED!$G40,IF(MATCHED!AX40=7,MATCHED!$H40,"")))))))&amp;IF(MATCHED!AX40=8,MATCHED!$I40,IF(MATCHED!AX40=9,MATCHED!$J40,IF(MATCHED!AX40=10,MATCHED!$K40,IF(MATCHED!AX40=11,MATCHED!$L40,IF(MATCHED!AX40=12,MATCHED!$M40,IF(MATCHED!AX40=13,MATCHED!$N40,IF(MATCHED!AX40=14,MATCHED!$O40,"")))))))&amp;IF(MATCHED!AX40=15,MATCHED!$P40,IF(MATCHED!AX40=16,MATCHED!$Q40,IF(MATCHED!AX40=17,MATCHED!$R40,IF(MATCHED!AX40=18,MATCHED!$S40,IF(MATCHED!AX40=19,MATCHED!$T40,IF(MATCHED!AX40=20,MATCHED!$U40,IF(MATCHED!AX40=21,MATCHED!$V40,)))))))&amp;IF(MATCHED!AX40=22,MATCHED!$W40,IF(MATCHED!AX40=23,MATCHED!$X40,IF(MATCHED!AX40=24,MATCHED!$Y40,IF(MATCHED!AX40=25,MATCHED!$Z40,IF(MATCHED!AX40=26,MATCHED!$AA40,IF(MATCHED!AX40=27,MATCHED!$AB40,"."))))))</f>
        <v>#N/A</v>
      </c>
      <c r="W40" s="370" t="e">
        <f>IF(MATCHED!AY40=1,MATCHED!$B40,IF(MATCHED!AY40=2,MATCHED!$C40,IF(MATCHED!AY40=3,MATCHED!$D40,IF(MATCHED!AY40=4,MATCHED!$E40,IF(MATCHED!AY40=3,MATCHED!$F40,IF(MATCHED!AY40=6,MATCHED!$G40,IF(MATCHED!AY40=7,MATCHED!$H40,"")))))))&amp;IF(MATCHED!AY40=8,MATCHED!$I40,IF(MATCHED!AY40=9,MATCHED!$J40,IF(MATCHED!AY40=10,MATCHED!$K40,IF(MATCHED!AY40=11,MATCHED!$L40,IF(MATCHED!AY40=12,MATCHED!$M40,IF(MATCHED!AY40=13,MATCHED!$N40,IF(MATCHED!AY40=14,MATCHED!$O40,"")))))))&amp;IF(MATCHED!AY40=15,MATCHED!$P40,IF(MATCHED!AY40=16,MATCHED!$Q40,IF(MATCHED!AY40=17,MATCHED!$R40,IF(MATCHED!AY40=18,MATCHED!$S40,IF(MATCHED!AY40=19,MATCHED!$T40,IF(MATCHED!AY40=20,MATCHED!$U40,IF(MATCHED!AY40=21,MATCHED!$V40,)))))))&amp;IF(MATCHED!AY40=22,MATCHED!$W40,IF(MATCHED!AY40=23,MATCHED!$X40,IF(MATCHED!AY40=24,MATCHED!$Y40,IF(MATCHED!AY40=25,MATCHED!$Z40,IF(MATCHED!AY40=26,MATCHED!$AA40,IF(MATCHED!AY40=27,MATCHED!$AB40,"."))))))</f>
        <v>#N/A</v>
      </c>
      <c r="X40" s="370" t="e">
        <f>IF(MATCHED!AZ40=1,MATCHED!$B40,IF(MATCHED!AZ40=2,MATCHED!$C40,IF(MATCHED!AZ40=3,MATCHED!$D40,IF(MATCHED!AZ40=4,MATCHED!$E40,IF(MATCHED!AZ40=3,MATCHED!$F40,IF(MATCHED!AZ40=6,MATCHED!$G40,IF(MATCHED!AZ40=7,MATCHED!$H40,"")))))))&amp;IF(MATCHED!AZ40=8,MATCHED!$I40,IF(MATCHED!AZ40=9,MATCHED!$J40,IF(MATCHED!AZ40=10,MATCHED!$K40,IF(MATCHED!AZ40=11,MATCHED!$L40,IF(MATCHED!AZ40=12,MATCHED!$M40,IF(MATCHED!AZ40=13,MATCHED!$N40,IF(MATCHED!AZ40=14,MATCHED!$O40,"")))))))&amp;IF(MATCHED!AZ40=15,MATCHED!$P40,IF(MATCHED!AZ40=16,MATCHED!$Q40,IF(MATCHED!AZ40=17,MATCHED!$R40,IF(MATCHED!AZ40=18,MATCHED!$S40,IF(MATCHED!AZ40=19,MATCHED!$T40,IF(MATCHED!AZ40=20,MATCHED!$U40,IF(MATCHED!AZ40=21,MATCHED!$V40,)))))))&amp;IF(MATCHED!AZ40=22,MATCHED!$W40,IF(MATCHED!AZ40=23,MATCHED!$X40,IF(MATCHED!AZ40=24,MATCHED!$Y40,IF(MATCHED!AZ40=25,MATCHED!$Z40,IF(MATCHED!AZ40=26,MATCHED!$AA40,IF(MATCHED!AZ40=27,MATCHED!$AB40,"."))))))</f>
        <v>#N/A</v>
      </c>
      <c r="Y40" s="370" t="e">
        <f>IF(MATCHED!BA40=1,MATCHED!$B40,IF(MATCHED!BA40=2,MATCHED!$C40,IF(MATCHED!BA40=3,MATCHED!$D40,IF(MATCHED!BA40=4,MATCHED!$E40,IF(MATCHED!BA40=3,MATCHED!$F40,IF(MATCHED!BA40=6,MATCHED!$G40,IF(MATCHED!BA40=7,MATCHED!$H40,"")))))))&amp;IF(MATCHED!BA40=8,MATCHED!$I40,IF(MATCHED!BA40=9,MATCHED!$J40,IF(MATCHED!BA40=10,MATCHED!$K40,IF(MATCHED!BA40=11,MATCHED!$L40,IF(MATCHED!BA40=12,MATCHED!$M40,IF(MATCHED!BA40=13,MATCHED!$N40,IF(MATCHED!BA40=14,MATCHED!$O40,"")))))))&amp;IF(MATCHED!BA40=15,MATCHED!$P40,IF(MATCHED!BA40=16,MATCHED!$Q40,IF(MATCHED!BA40=17,MATCHED!$R40,IF(MATCHED!BA40=18,MATCHED!$S40,IF(MATCHED!BA40=19,MATCHED!$T40,IF(MATCHED!BA40=20,MATCHED!$U40,IF(MATCHED!BA40=21,MATCHED!$V40,)))))))&amp;IF(MATCHED!BA40=22,MATCHED!$W40,IF(MATCHED!BA40=23,MATCHED!$X40,IF(MATCHED!BA40=24,MATCHED!$Y40,IF(MATCHED!BA40=25,MATCHED!$Z40,IF(MATCHED!BA40=26,MATCHED!$AA40,IF(MATCHED!BA40=27,MATCHED!$AB40,"."))))))</f>
        <v>#N/A</v>
      </c>
      <c r="Z40" s="370" t="e">
        <f>IF(MATCHED!BB40=1,MATCHED!$B40,IF(MATCHED!BB40=2,MATCHED!$C40,IF(MATCHED!BB40=3,MATCHED!$D40,IF(MATCHED!BB40=4,MATCHED!$E40,IF(MATCHED!BB40=3,MATCHED!$F40,IF(MATCHED!BB40=6,MATCHED!$G40,IF(MATCHED!BB40=7,MATCHED!$H40,"")))))))&amp;IF(MATCHED!BB40=8,MATCHED!$I40,IF(MATCHED!BB40=9,MATCHED!$J40,IF(MATCHED!BB40=10,MATCHED!$K40,IF(MATCHED!BB40=11,MATCHED!$L40,IF(MATCHED!BB40=12,MATCHED!$M40,IF(MATCHED!BB40=13,MATCHED!$N40,IF(MATCHED!BB40=14,MATCHED!$O40,"")))))))&amp;IF(MATCHED!BB40=15,MATCHED!$P40,IF(MATCHED!BB40=16,MATCHED!$Q40,IF(MATCHED!BB40=17,MATCHED!$R40,IF(MATCHED!BB40=18,MATCHED!$S40,IF(MATCHED!BB40=19,MATCHED!$T40,IF(MATCHED!BB40=20,MATCHED!$U40,IF(MATCHED!BB40=21,MATCHED!$V40,)))))))&amp;IF(MATCHED!BB40=22,MATCHED!$W40,IF(MATCHED!BB40=23,MATCHED!$X40,IF(MATCHED!BB40=24,MATCHED!$Y40,IF(MATCHED!BB40=25,MATCHED!$Z40,IF(MATCHED!BB40=26,MATCHED!$AA40,IF(MATCHED!BB40=27,MATCHED!$AB40,"."))))))</f>
        <v>#N/A</v>
      </c>
      <c r="AA40" s="370" t="e">
        <f>IF(MATCHED!BC40=1,MATCHED!$B40,IF(MATCHED!BC40=2,MATCHED!$C40,IF(MATCHED!BC40=3,MATCHED!$D40,IF(MATCHED!BC40=4,MATCHED!$E40,IF(MATCHED!BC40=3,MATCHED!$F40,IF(MATCHED!BC40=6,MATCHED!$G40,IF(MATCHED!BC40=7,MATCHED!$H40,"")))))))&amp;IF(MATCHED!BC40=8,MATCHED!$I40,IF(MATCHED!BC40=9,MATCHED!$J40,IF(MATCHED!BC40=10,MATCHED!$K40,IF(MATCHED!BC40=11,MATCHED!$L40,IF(MATCHED!BC40=12,MATCHED!$M40,IF(MATCHED!BC40=13,MATCHED!$N40,IF(MATCHED!BC40=14,MATCHED!$O40,"")))))))&amp;IF(MATCHED!BC40=15,MATCHED!$P40,IF(MATCHED!BC40=16,MATCHED!$Q40,IF(MATCHED!BC40=17,MATCHED!$R40,IF(MATCHED!BC40=18,MATCHED!$S40,IF(MATCHED!BC40=19,MATCHED!$T40,IF(MATCHED!BC40=20,MATCHED!$U40,IF(MATCHED!BC40=21,MATCHED!$V40,)))))))&amp;IF(MATCHED!BC40=22,MATCHED!$W40,IF(MATCHED!BC40=23,MATCHED!$X40,IF(MATCHED!BC40=24,MATCHED!$Y40,IF(MATCHED!BC40=25,MATCHED!$Z40,IF(MATCHED!BC40=26,MATCHED!$AA40,IF(MATCHED!BC40=27,MATCHED!$AB40,"."))))))</f>
        <v>#N/A</v>
      </c>
      <c r="AB40" s="370" t="e">
        <f>IF(MATCHED!BD40=1,MATCHED!$B40,IF(MATCHED!BD40=2,MATCHED!$C40,IF(MATCHED!BD40=3,MATCHED!$D40,IF(MATCHED!BD40=4,MATCHED!$E40,IF(MATCHED!BD40=3,MATCHED!$F40,IF(MATCHED!BD40=6,MATCHED!$G40,IF(MATCHED!BD40=7,MATCHED!$H40,"")))))))&amp;IF(MATCHED!BD40=8,MATCHED!$I40,IF(MATCHED!BD40=9,MATCHED!$J40,IF(MATCHED!BD40=10,MATCHED!$K40,IF(MATCHED!BD40=11,MATCHED!$L40,IF(MATCHED!BD40=12,MATCHED!$M40,IF(MATCHED!BD40=13,MATCHED!$N40,IF(MATCHED!BD40=14,MATCHED!$O40,"")))))))&amp;IF(MATCHED!BD40=15,MATCHED!$P40,IF(MATCHED!BD40=16,MATCHED!$Q40,IF(MATCHED!BD40=17,MATCHED!$R40,IF(MATCHED!BD40=18,MATCHED!$S40,IF(MATCHED!BD40=19,MATCHED!$T40,IF(MATCHED!BD40=20,MATCHED!$U40,IF(MATCHED!BD40=21,MATCHED!$V40,)))))))&amp;IF(MATCHED!BD40=22,MATCHED!$W40,IF(MATCHED!BD40=23,MATCHED!$X40,IF(MATCHED!BD40=24,MATCHED!$Y40,IF(MATCHED!BD40=25,MATCHED!$Z40,IF(MATCHED!BD40=26,MATCHED!$AA40,IF(MATCHED!BD40=27,MATCHED!$AB40,"."))))))</f>
        <v>#N/A</v>
      </c>
      <c r="AC40" s="370" t="e">
        <f>IF(MATCHED!BE40=1,MATCHED!$B40,IF(MATCHED!BE40=2,MATCHED!$C40,IF(MATCHED!BE40=3,MATCHED!$D40,IF(MATCHED!BE40=4,MATCHED!$E40,IF(MATCHED!BE40=3,MATCHED!$F40,IF(MATCHED!BE40=6,MATCHED!$G40,IF(MATCHED!BE40=7,MATCHED!$H40,"")))))))&amp;IF(MATCHED!BE40=8,MATCHED!$I40,IF(MATCHED!BE40=9,MATCHED!$J40,IF(MATCHED!BE40=10,MATCHED!$K40,IF(MATCHED!BE40=11,MATCHED!$L40,IF(MATCHED!BE40=12,MATCHED!$M40,IF(MATCHED!BE40=13,MATCHED!$N40,IF(MATCHED!BE40=14,MATCHED!$O40,"")))))))&amp;IF(MATCHED!BE40=15,MATCHED!$P40,IF(MATCHED!BE40=16,MATCHED!$Q40,IF(MATCHED!BE40=17,MATCHED!$R40,IF(MATCHED!BE40=18,MATCHED!$S40,IF(MATCHED!BE40=19,MATCHED!$T40,IF(MATCHED!BE40=20,MATCHED!$U40,IF(MATCHED!BE40=21,MATCHED!$V40,)))))))&amp;IF(MATCHED!BE40=22,MATCHED!$W40,IF(MATCHED!BE40=23,MATCHED!$X40,IF(MATCHED!BE40=24,MATCHED!$Y40,IF(MATCHED!BE40=25,MATCHED!$Z40,IF(MATCHED!BE40=26,MATCHED!$AA40,IF(MATCHED!BE40=27,MATCHED!$AB40,"."))))))</f>
        <v>#N/A</v>
      </c>
      <c r="AD40" s="370" t="e">
        <f>IF(MATCHED!BF40=1,MATCHED!$B40,IF(MATCHED!BF40=2,MATCHED!$C40,IF(MATCHED!BF40=3,MATCHED!$D40,IF(MATCHED!BF40=4,MATCHED!$E40,IF(MATCHED!BF40=3,MATCHED!$F40,IF(MATCHED!BF40=6,MATCHED!$G40,IF(MATCHED!BF40=7,MATCHED!$H40,"")))))))&amp;IF(MATCHED!BF40=8,MATCHED!$I40,IF(MATCHED!BF40=9,MATCHED!$J40,IF(MATCHED!BF40=10,MATCHED!$K40,IF(MATCHED!BF40=11,MATCHED!$L40,IF(MATCHED!BF40=12,MATCHED!$M40,IF(MATCHED!BF40=13,MATCHED!$N40,IF(MATCHED!BF40=14,MATCHED!$O40,"")))))))&amp;IF(MATCHED!BF40=15,MATCHED!$P40,IF(MATCHED!BF40=16,MATCHED!$Q40,IF(MATCHED!BF40=17,MATCHED!$R40,IF(MATCHED!BF40=18,MATCHED!$S40,IF(MATCHED!BF40=19,MATCHED!$T40,IF(MATCHED!BF40=20,MATCHED!$U40,IF(MATCHED!BF40=21,MATCHED!$V40,)))))))&amp;IF(MATCHED!BF40=22,MATCHED!$W40,IF(MATCHED!BF40=23,MATCHED!$X40,IF(MATCHED!BF40=24,MATCHED!$Y40,IF(MATCHED!BF40=25,MATCHED!$Z40,IF(MATCHED!BF40=26,MATCHED!$AA40,IF(MATCHED!BF40=27,MATCHED!$AB40,"."))))))</f>
        <v>#N/A</v>
      </c>
      <c r="AE40" s="370" t="e">
        <f>IF(MATCHED!BG40=1,MATCHED!$B40,IF(MATCHED!BG40=2,MATCHED!$C40,IF(MATCHED!BG40=3,MATCHED!$D40,IF(MATCHED!BG40=4,MATCHED!$E40,IF(MATCHED!BG40=3,MATCHED!$F40,IF(MATCHED!BG40=6,MATCHED!$G40,IF(MATCHED!BG40=7,MATCHED!$H40,"")))))))&amp;IF(MATCHED!BG40=8,MATCHED!$I40,IF(MATCHED!BG40=9,MATCHED!$J40,IF(MATCHED!BG40=10,MATCHED!$K40,IF(MATCHED!BG40=11,MATCHED!$L40,IF(MATCHED!BG40=12,MATCHED!$M40,IF(MATCHED!BG40=13,MATCHED!$N40,IF(MATCHED!BG40=14,MATCHED!$O40,"")))))))&amp;IF(MATCHED!BG40=15,MATCHED!$P40,IF(MATCHED!BG40=16,MATCHED!$Q40,IF(MATCHED!BG40=17,MATCHED!$R40,IF(MATCHED!BG40=18,MATCHED!$S40,IF(MATCHED!BG40=19,MATCHED!$T40,IF(MATCHED!BG40=20,MATCHED!$U40,IF(MATCHED!BG40=21,MATCHED!$V40,)))))))&amp;IF(MATCHED!BG40=22,MATCHED!$W40,IF(MATCHED!BG40=23,MATCHED!$X40,IF(MATCHED!BG40=24,MATCHED!$Y40,IF(MATCHED!BG40=25,MATCHED!$Z40,IF(MATCHED!BG40=26,MATCHED!$AA40,IF(MATCHED!BG40=27,MATCHED!$AB40,"."))))))</f>
        <v>#N/A</v>
      </c>
      <c r="AF40" s="370" t="e">
        <f>IF(MATCHED!BH40=1,MATCHED!$B40,IF(MATCHED!BH40=2,MATCHED!$C40,IF(MATCHED!BH40=3,MATCHED!$D40,IF(MATCHED!BH40=4,MATCHED!$E40,IF(MATCHED!BH40=3,MATCHED!$F40,IF(MATCHED!BH40=6,MATCHED!$G40,IF(MATCHED!BH40=7,MATCHED!$H40,"")))))))&amp;IF(MATCHED!BH40=8,MATCHED!$I40,IF(MATCHED!BH40=9,MATCHED!$J40,IF(MATCHED!BH40=10,MATCHED!$K40,IF(MATCHED!BH40=11,MATCHED!$L40,IF(MATCHED!BH40=12,MATCHED!$M40,IF(MATCHED!BH40=13,MATCHED!$N40,IF(MATCHED!BH40=14,MATCHED!$O40,"")))))))&amp;IF(MATCHED!BH40=15,MATCHED!$P40,IF(MATCHED!BH40=16,MATCHED!$Q40,IF(MATCHED!BH40=17,MATCHED!$R40,IF(MATCHED!BH40=18,MATCHED!$S40,IF(MATCHED!BH40=19,MATCHED!$T40,IF(MATCHED!BH40=20,MATCHED!$U40,IF(MATCHED!BH40=21,MATCHED!$V40,)))))))&amp;IF(MATCHED!BH40=22,MATCHED!$W40,IF(MATCHED!BH40=23,MATCHED!$X40,IF(MATCHED!BH40=24,MATCHED!$Y40,IF(MATCHED!BH40=25,MATCHED!$Z40,IF(MATCHED!BH40=26,MATCHED!$AA40,IF(MATCHED!BH40=27,MATCHED!$AB40,"."))))))</f>
        <v>#N/A</v>
      </c>
      <c r="AG40" s="370" t="e">
        <f>IF(MATCHED!BI40=1,MATCHED!$B40,IF(MATCHED!BI40=2,MATCHED!$C40,IF(MATCHED!BI40=3,MATCHED!$D40,IF(MATCHED!BI40=4,MATCHED!$E40,IF(MATCHED!BI40=3,MATCHED!$F40,IF(MATCHED!BI40=6,MATCHED!$G40,IF(MATCHED!BI40=7,MATCHED!$H40,"")))))))&amp;IF(MATCHED!BI40=8,MATCHED!$I40,IF(MATCHED!BI40=9,MATCHED!$J40,IF(MATCHED!BI40=10,MATCHED!$K40,IF(MATCHED!BI40=11,MATCHED!$L40,IF(MATCHED!BI40=12,MATCHED!$M40,IF(MATCHED!BI40=13,MATCHED!$N40,IF(MATCHED!BI40=14,MATCHED!$O40,"")))))))&amp;IF(MATCHED!BI40=15,MATCHED!$P40,IF(MATCHED!BI40=16,MATCHED!$Q40,IF(MATCHED!BI40=17,MATCHED!$R40,IF(MATCHED!BI40=18,MATCHED!$S40,IF(MATCHED!BI40=19,MATCHED!$T40,IF(MATCHED!BI40=20,MATCHED!$U40,IF(MATCHED!BI40=21,MATCHED!$V40,)))))))&amp;IF(MATCHED!BI40=22,MATCHED!$W40,IF(MATCHED!BI40=23,MATCHED!$X40,IF(MATCHED!BI40=24,MATCHED!$Y40,IF(MATCHED!BI40=25,MATCHED!$Z40,IF(MATCHED!BI40=26,MATCHED!$AA40,IF(MATCHED!BI40=27,MATCHED!$AB40,"."))))))</f>
        <v>#N/A</v>
      </c>
      <c r="AH40" s="370" t="e">
        <f>IF(MATCHED!BJ40=1,MATCHED!$B40,IF(MATCHED!BJ40=2,MATCHED!$C40,IF(MATCHED!BJ40=3,MATCHED!$D40,IF(MATCHED!BJ40=4,MATCHED!$E40,IF(MATCHED!BJ40=3,MATCHED!$F40,IF(MATCHED!BJ40=6,MATCHED!$G40,IF(MATCHED!BJ40=7,MATCHED!$H40,"")))))))&amp;IF(MATCHED!BJ40=8,MATCHED!$I40,IF(MATCHED!BJ40=9,MATCHED!$J40,IF(MATCHED!BJ40=10,MATCHED!$K40,IF(MATCHED!BJ40=11,MATCHED!$L40,IF(MATCHED!BJ40=12,MATCHED!$M40,IF(MATCHED!BJ40=13,MATCHED!$N40,IF(MATCHED!BJ40=14,MATCHED!$O40,"")))))))&amp;IF(MATCHED!BJ40=15,MATCHED!$P40,IF(MATCHED!BJ40=16,MATCHED!$Q40,IF(MATCHED!BJ40=17,MATCHED!$R40,IF(MATCHED!BJ40=18,MATCHED!$S40,IF(MATCHED!BJ40=19,MATCHED!$T40,IF(MATCHED!BJ40=20,MATCHED!$U40,IF(MATCHED!BJ40=21,MATCHED!$V40,)))))))&amp;IF(MATCHED!BJ40=22,MATCHED!$W40,IF(MATCHED!BJ40=23,MATCHED!$X40,IF(MATCHED!BJ40=24,MATCHED!$Y40,IF(MATCHED!BJ40=25,MATCHED!$Z40,IF(MATCHED!BJ40=26,MATCHED!$AA40,IF(MATCHED!BJ40=27,MATCHED!$AB40,"."))))))</f>
        <v>#N/A</v>
      </c>
      <c r="AI40" s="370" t="e">
        <f>IF(MATCHED!BK40=1,MATCHED!$B40,IF(MATCHED!BK40=2,MATCHED!$C40,IF(MATCHED!BK40=3,MATCHED!$D40,IF(MATCHED!BK40=4,MATCHED!$E40,IF(MATCHED!BK40=3,MATCHED!$F40,IF(MATCHED!BK40=6,MATCHED!$G40,IF(MATCHED!BK40=7,MATCHED!$H40,"")))))))&amp;IF(MATCHED!BK40=8,MATCHED!$I40,IF(MATCHED!BK40=9,MATCHED!$J40,IF(MATCHED!BK40=10,MATCHED!$K40,IF(MATCHED!BK40=11,MATCHED!$L40,IF(MATCHED!BK40=12,MATCHED!$M40,IF(MATCHED!BK40=13,MATCHED!$N40,IF(MATCHED!BK40=14,MATCHED!$O40,"")))))))&amp;IF(MATCHED!BK40=15,MATCHED!$P40,IF(MATCHED!BK40=16,MATCHED!$Q40,IF(MATCHED!BK40=17,MATCHED!$R40,IF(MATCHED!BK40=18,MATCHED!$S40,IF(MATCHED!BK40=19,MATCHED!$T40,IF(MATCHED!BK40=20,MATCHED!$U40,IF(MATCHED!BK40=21,MATCHED!$V40,)))))))&amp;IF(MATCHED!BK40=22,MATCHED!$W40,IF(MATCHED!BK40=23,MATCHED!$X40,IF(MATCHED!BK40=24,MATCHED!$Y40,IF(MATCHED!BK40=25,MATCHED!$Z40,IF(MATCHED!BK40=26,MATCHED!$AA40,IF(MATCHED!BK40=27,MATCHED!$AB40,"."))))))</f>
        <v>#N/A</v>
      </c>
      <c r="AJ40" s="535"/>
    </row>
    <row r="41" spans="1:36" s="338" customFormat="1" x14ac:dyDescent="0.25">
      <c r="A41" s="535"/>
      <c r="B41" s="369" t="e">
        <f>IF(MATCHED!AD41=1,MATCHED!$B41,IF(MATCHED!AD41=2,MATCHED!$C41,IF(MATCHED!AD41=3,MATCHED!$D41,IF(MATCHED!AD41=4,MATCHED!$E41,IF(MATCHED!AD41=3,MATCHED!$F41,IF(MATCHED!AD41=6,MATCHED!$G41,IF(MATCHED!AD41=7,MATCHED!$H41,"")))))))&amp;IF(MATCHED!AD41=8,MATCHED!$I41,IF(MATCHED!AD41=9,MATCHED!$J41,IF(MATCHED!AD41=10,MATCHED!$K41,IF(MATCHED!AD41=11,MATCHED!$L41,IF(MATCHED!AD41=12,MATCHED!$M41,IF(MATCHED!AD41=13,MATCHED!$N41,IF(MATCHED!AD41=14,MATCHED!$O41,"")))))))&amp;IF(MATCHED!AD41=15,MATCHED!$P41,IF(MATCHED!AD41=16,MATCHED!$Q41,IF(MATCHED!AD41=17,MATCHED!$R41,IF(MATCHED!AD41=18,MATCHED!$S41,IF(MATCHED!AD41=19,MATCHED!$T41,IF(MATCHED!AD41=20,MATCHED!$U41,IF(MATCHED!AD41=21,MATCHED!$V41,)))))))&amp;IF(MATCHED!AD41=22,MATCHED!$W41,IF(MATCHED!AD41=23,MATCHED!$X41,IF(MATCHED!AD41=24,MATCHED!$Y41,IF(MATCHED!AD41=25,MATCHED!$Z41,IF(MATCHED!AD41=26,MATCHED!$AA41,IF(MATCHED!AD41=27,MATCHED!$AB41,"."))))))</f>
        <v>#N/A</v>
      </c>
      <c r="C41" s="370" t="e">
        <f>IF(MATCHED!AE41=1,MATCHED!$B41,IF(MATCHED!AE41=2,MATCHED!$C41,IF(MATCHED!AE41=3,MATCHED!$D41,IF(MATCHED!AE41=4,MATCHED!$E41,IF(MATCHED!AE41=3,MATCHED!$F41,IF(MATCHED!AE41=6,MATCHED!$G41,IF(MATCHED!AE41=7,MATCHED!$H41,"")))))))&amp;IF(MATCHED!AE41=8,MATCHED!$I41,IF(MATCHED!AE41=9,MATCHED!$J41,IF(MATCHED!AE41=10,MATCHED!$K41,IF(MATCHED!AE41=11,MATCHED!$L41,IF(MATCHED!AE41=12,MATCHED!$M41,IF(MATCHED!AE41=13,MATCHED!$N41,IF(MATCHED!AE41=14,MATCHED!$O41,"")))))))&amp;IF(MATCHED!AE41=15,MATCHED!$P41,IF(MATCHED!AE41=16,MATCHED!$Q41,IF(MATCHED!AE41=17,MATCHED!$R41,IF(MATCHED!AE41=18,MATCHED!$S41,IF(MATCHED!AE41=19,MATCHED!$T41,IF(MATCHED!AE41=20,MATCHED!$U41,IF(MATCHED!AE41=21,MATCHED!$V41,)))))))&amp;IF(MATCHED!AE41=22,MATCHED!$W41,IF(MATCHED!AE41=23,MATCHED!$X41,IF(MATCHED!AE41=24,MATCHED!$Y41,IF(MATCHED!AE41=25,MATCHED!$Z41,IF(MATCHED!AE41=26,MATCHED!$AA41,IF(MATCHED!AE41=27,MATCHED!$AB41,"."))))))</f>
        <v>#N/A</v>
      </c>
      <c r="D41" s="370" t="e">
        <f>IF(MATCHED!AF41=1,MATCHED!$B41,IF(MATCHED!AF41=2,MATCHED!$C41,IF(MATCHED!AF41=3,MATCHED!$D41,IF(MATCHED!AF41=4,MATCHED!$E41,IF(MATCHED!AF41=3,MATCHED!$F41,IF(MATCHED!AF41=6,MATCHED!$G41,IF(MATCHED!AF41=7,MATCHED!$H41,"")))))))&amp;IF(MATCHED!AF41=8,MATCHED!$I41,IF(MATCHED!AF41=9,MATCHED!$J41,IF(MATCHED!AF41=10,MATCHED!$K41,IF(MATCHED!AF41=11,MATCHED!$L41,IF(MATCHED!AF41=12,MATCHED!$M41,IF(MATCHED!AF41=13,MATCHED!$N41,IF(MATCHED!AF41=14,MATCHED!$O41,"")))))))&amp;IF(MATCHED!AF41=15,MATCHED!$P41,IF(MATCHED!AF41=16,MATCHED!$Q41,IF(MATCHED!AF41=17,MATCHED!$R41,IF(MATCHED!AF41=18,MATCHED!$S41,IF(MATCHED!AF41=19,MATCHED!$T41,IF(MATCHED!AF41=20,MATCHED!$U41,IF(MATCHED!AF41=21,MATCHED!$V41,)))))))&amp;IF(MATCHED!AF41=22,MATCHED!$W41,IF(MATCHED!AF41=23,MATCHED!$X41,IF(MATCHED!AF41=24,MATCHED!$Y41,IF(MATCHED!AF41=25,MATCHED!$Z41,IF(MATCHED!AF41=26,MATCHED!$AA41,IF(MATCHED!AF41=27,MATCHED!$AB41,"."))))))</f>
        <v>#N/A</v>
      </c>
      <c r="E41" s="370" t="e">
        <f>IF(MATCHED!AG41=1,MATCHED!$B41,IF(MATCHED!AG41=2,MATCHED!$C41,IF(MATCHED!AG41=3,MATCHED!$D41,IF(MATCHED!AG41=4,MATCHED!$E41,IF(MATCHED!AG41=3,MATCHED!$F41,IF(MATCHED!AG41=6,MATCHED!$G41,IF(MATCHED!AG41=7,MATCHED!$H41,"")))))))&amp;IF(MATCHED!AG41=8,MATCHED!$I41,IF(MATCHED!AG41=9,MATCHED!$J41,IF(MATCHED!AG41=10,MATCHED!$K41,IF(MATCHED!AG41=11,MATCHED!$L41,IF(MATCHED!AG41=12,MATCHED!$M41,IF(MATCHED!AG41=13,MATCHED!$N41,IF(MATCHED!AG41=14,MATCHED!$O41,"")))))))&amp;IF(MATCHED!AG41=15,MATCHED!$P41,IF(MATCHED!AG41=16,MATCHED!$Q41,IF(MATCHED!AG41=17,MATCHED!$R41,IF(MATCHED!AG41=18,MATCHED!$S41,IF(MATCHED!AG41=19,MATCHED!$T41,IF(MATCHED!AG41=20,MATCHED!$U41,IF(MATCHED!AG41=21,MATCHED!$V41,)))))))&amp;IF(MATCHED!AG41=22,MATCHED!$W41,IF(MATCHED!AG41=23,MATCHED!$X41,IF(MATCHED!AG41=24,MATCHED!$Y41,IF(MATCHED!AG41=25,MATCHED!$Z41,IF(MATCHED!AG41=26,MATCHED!$AA41,IF(MATCHED!AG41=27,MATCHED!$AB41,"."))))))</f>
        <v>#N/A</v>
      </c>
      <c r="F41" s="370" t="e">
        <f>IF(MATCHED!AH41=1,MATCHED!$B41,IF(MATCHED!AH41=2,MATCHED!$C41,IF(MATCHED!AH41=3,MATCHED!$D41,IF(MATCHED!AH41=4,MATCHED!$E41,IF(MATCHED!AH41=3,MATCHED!$F41,IF(MATCHED!AH41=6,MATCHED!$G41,IF(MATCHED!AH41=7,MATCHED!$H41,"")))))))&amp;IF(MATCHED!AH41=8,MATCHED!$I41,IF(MATCHED!AH41=9,MATCHED!$J41,IF(MATCHED!AH41=10,MATCHED!$K41,IF(MATCHED!AH41=11,MATCHED!$L41,IF(MATCHED!AH41=12,MATCHED!$M41,IF(MATCHED!AH41=13,MATCHED!$N41,IF(MATCHED!AH41=14,MATCHED!$O41,"")))))))&amp;IF(MATCHED!AH41=15,MATCHED!$P41,IF(MATCHED!AH41=16,MATCHED!$Q41,IF(MATCHED!AH41=17,MATCHED!$R41,IF(MATCHED!AH41=18,MATCHED!$S41,IF(MATCHED!AH41=19,MATCHED!$T41,IF(MATCHED!AH41=20,MATCHED!$U41,IF(MATCHED!AH41=21,MATCHED!$V41,)))))))&amp;IF(MATCHED!AH41=22,MATCHED!$W41,IF(MATCHED!AH41=23,MATCHED!$X41,IF(MATCHED!AH41=24,MATCHED!$Y41,IF(MATCHED!AH41=25,MATCHED!$Z41,IF(MATCHED!AH41=26,MATCHED!$AA41,IF(MATCHED!AH41=27,MATCHED!$AB41,"."))))))</f>
        <v>#N/A</v>
      </c>
      <c r="G41" s="370" t="e">
        <f>IF(MATCHED!AI41=1,MATCHED!$B41,IF(MATCHED!AI41=2,MATCHED!$C41,IF(MATCHED!AI41=3,MATCHED!$D41,IF(MATCHED!AI41=4,MATCHED!$E41,IF(MATCHED!AI41=3,MATCHED!$F41,IF(MATCHED!AI41=6,MATCHED!$G41,IF(MATCHED!AI41=7,MATCHED!$H41,"")))))))&amp;IF(MATCHED!AI41=8,MATCHED!$I41,IF(MATCHED!AI41=9,MATCHED!$J41,IF(MATCHED!AI41=10,MATCHED!$K41,IF(MATCHED!AI41=11,MATCHED!$L41,IF(MATCHED!AI41=12,MATCHED!$M41,IF(MATCHED!AI41=13,MATCHED!$N41,IF(MATCHED!AI41=14,MATCHED!$O41,"")))))))&amp;IF(MATCHED!AI41=15,MATCHED!$P41,IF(MATCHED!AI41=16,MATCHED!$Q41,IF(MATCHED!AI41=17,MATCHED!$R41,IF(MATCHED!AI41=18,MATCHED!$S41,IF(MATCHED!AI41=19,MATCHED!$T41,IF(MATCHED!AI41=20,MATCHED!$U41,IF(MATCHED!AI41=21,MATCHED!$V41,)))))))&amp;IF(MATCHED!AI41=22,MATCHED!$W41,IF(MATCHED!AI41=23,MATCHED!$X41,IF(MATCHED!AI41=24,MATCHED!$Y41,IF(MATCHED!AI41=25,MATCHED!$Z41,IF(MATCHED!AI41=26,MATCHED!$AA41,IF(MATCHED!AI41=27,MATCHED!$AB41,"."))))))</f>
        <v>#N/A</v>
      </c>
      <c r="H41" s="370" t="e">
        <f>IF(MATCHED!AJ41=1,MATCHED!$B41,IF(MATCHED!AJ41=2,MATCHED!$C41,IF(MATCHED!AJ41=3,MATCHED!$D41,IF(MATCHED!AJ41=4,MATCHED!$E41,IF(MATCHED!AJ41=3,MATCHED!$F41,IF(MATCHED!AJ41=6,MATCHED!$G41,IF(MATCHED!AJ41=7,MATCHED!$H41,"")))))))&amp;IF(MATCHED!AJ41=8,MATCHED!$I41,IF(MATCHED!AJ41=9,MATCHED!$J41,IF(MATCHED!AJ41=10,MATCHED!$K41,IF(MATCHED!AJ41=11,MATCHED!$L41,IF(MATCHED!AJ41=12,MATCHED!$M41,IF(MATCHED!AJ41=13,MATCHED!$N41,IF(MATCHED!AJ41=14,MATCHED!$O41,"")))))))&amp;IF(MATCHED!AJ41=15,MATCHED!$P41,IF(MATCHED!AJ41=16,MATCHED!$Q41,IF(MATCHED!AJ41=17,MATCHED!$R41,IF(MATCHED!AJ41=18,MATCHED!$S41,IF(MATCHED!AJ41=19,MATCHED!$T41,IF(MATCHED!AJ41=20,MATCHED!$U41,IF(MATCHED!AJ41=21,MATCHED!$V41,)))))))&amp;IF(MATCHED!AJ41=22,MATCHED!$W41,IF(MATCHED!AJ41=23,MATCHED!$X41,IF(MATCHED!AJ41=24,MATCHED!$Y41,IF(MATCHED!AJ41=25,MATCHED!$Z41,IF(MATCHED!AJ41=26,MATCHED!$AA41,IF(MATCHED!AJ41=27,MATCHED!$AB41,"."))))))</f>
        <v>#N/A</v>
      </c>
      <c r="I41" s="370" t="e">
        <f>IF(MATCHED!AK41=1,MATCHED!$B41,IF(MATCHED!AK41=2,MATCHED!$C41,IF(MATCHED!AK41=3,MATCHED!$D41,IF(MATCHED!AK41=4,MATCHED!$E41,IF(MATCHED!AK41=3,MATCHED!$F41,IF(MATCHED!AK41=6,MATCHED!$G41,IF(MATCHED!AK41=7,MATCHED!$H41,"")))))))&amp;IF(MATCHED!AK41=8,MATCHED!$I41,IF(MATCHED!AK41=9,MATCHED!$J41,IF(MATCHED!AK41=10,MATCHED!$K41,IF(MATCHED!AK41=11,MATCHED!$L41,IF(MATCHED!AK41=12,MATCHED!$M41,IF(MATCHED!AK41=13,MATCHED!$N41,IF(MATCHED!AK41=14,MATCHED!$O41,"")))))))&amp;IF(MATCHED!AK41=15,MATCHED!$P41,IF(MATCHED!AK41=16,MATCHED!$Q41,IF(MATCHED!AK41=17,MATCHED!$R41,IF(MATCHED!AK41=18,MATCHED!$S41,IF(MATCHED!AK41=19,MATCHED!$T41,IF(MATCHED!AK41=20,MATCHED!$U41,IF(MATCHED!AK41=21,MATCHED!$V41,)))))))&amp;IF(MATCHED!AK41=22,MATCHED!$W41,IF(MATCHED!AK41=23,MATCHED!$X41,IF(MATCHED!AK41=24,MATCHED!$Y41,IF(MATCHED!AK41=25,MATCHED!$Z41,IF(MATCHED!AK41=26,MATCHED!$AA41,IF(MATCHED!AK41=27,MATCHED!$AB41,"."))))))</f>
        <v>#N/A</v>
      </c>
      <c r="J41" s="370" t="e">
        <f>IF(MATCHED!AL41=1,MATCHED!$B41,IF(MATCHED!AL41=2,MATCHED!$C41,IF(MATCHED!AL41=3,MATCHED!$D41,IF(MATCHED!AL41=4,MATCHED!$E41,IF(MATCHED!AL41=3,MATCHED!$F41,IF(MATCHED!AL41=6,MATCHED!$G41,IF(MATCHED!AL41=7,MATCHED!$H41,"")))))))&amp;IF(MATCHED!AL41=8,MATCHED!$I41,IF(MATCHED!AL41=9,MATCHED!$J41,IF(MATCHED!AL41=10,MATCHED!$K41,IF(MATCHED!AL41=11,MATCHED!$L41,IF(MATCHED!AL41=12,MATCHED!$M41,IF(MATCHED!AL41=13,MATCHED!$N41,IF(MATCHED!AL41=14,MATCHED!$O41,"")))))))&amp;IF(MATCHED!AL41=15,MATCHED!$P41,IF(MATCHED!AL41=16,MATCHED!$Q41,IF(MATCHED!AL41=17,MATCHED!$R41,IF(MATCHED!AL41=18,MATCHED!$S41,IF(MATCHED!AL41=19,MATCHED!$T41,IF(MATCHED!AL41=20,MATCHED!$U41,IF(MATCHED!AL41=21,MATCHED!$V41,)))))))&amp;IF(MATCHED!AL41=22,MATCHED!$W41,IF(MATCHED!AL41=23,MATCHED!$X41,IF(MATCHED!AL41=24,MATCHED!$Y41,IF(MATCHED!AL41=25,MATCHED!$Z41,IF(MATCHED!AL41=26,MATCHED!$AA41,IF(MATCHED!AL41=27,MATCHED!$AB41,"."))))))</f>
        <v>#N/A</v>
      </c>
      <c r="K41" s="370" t="e">
        <f>IF(MATCHED!AM41=1,MATCHED!$B41,IF(MATCHED!AM41=2,MATCHED!$C41,IF(MATCHED!AM41=3,MATCHED!$D41,IF(MATCHED!AM41=4,MATCHED!$E41,IF(MATCHED!AM41=3,MATCHED!$F41,IF(MATCHED!AM41=6,MATCHED!$G41,IF(MATCHED!AM41=7,MATCHED!$H41,"")))))))&amp;IF(MATCHED!AM41=8,MATCHED!$I41,IF(MATCHED!AM41=9,MATCHED!$J41,IF(MATCHED!AM41=10,MATCHED!$K41,IF(MATCHED!AM41=11,MATCHED!$L41,IF(MATCHED!AM41=12,MATCHED!$M41,IF(MATCHED!AM41=13,MATCHED!$N41,IF(MATCHED!AM41=14,MATCHED!$O41,"")))))))&amp;IF(MATCHED!AM41=15,MATCHED!$P41,IF(MATCHED!AM41=16,MATCHED!$Q41,IF(MATCHED!AM41=17,MATCHED!$R41,IF(MATCHED!AM41=18,MATCHED!$S41,IF(MATCHED!AM41=19,MATCHED!$T41,IF(MATCHED!AM41=20,MATCHED!$U41,IF(MATCHED!AM41=21,MATCHED!$V41,)))))))&amp;IF(MATCHED!AM41=22,MATCHED!$W41,IF(MATCHED!AM41=23,MATCHED!$X41,IF(MATCHED!AM41=24,MATCHED!$Y41,IF(MATCHED!AM41=25,MATCHED!$Z41,IF(MATCHED!AM41=26,MATCHED!$AA41,IF(MATCHED!AM41=27,MATCHED!$AB41,"."))))))</f>
        <v>#N/A</v>
      </c>
      <c r="L41" s="370" t="e">
        <f>IF(MATCHED!AN41=1,MATCHED!$B41,IF(MATCHED!AN41=2,MATCHED!$C41,IF(MATCHED!AN41=3,MATCHED!$D41,IF(MATCHED!AN41=4,MATCHED!$E41,IF(MATCHED!AN41=3,MATCHED!$F41,IF(MATCHED!AN41=6,MATCHED!$G41,IF(MATCHED!AN41=7,MATCHED!$H41,"")))))))&amp;IF(MATCHED!AN41=8,MATCHED!$I41,IF(MATCHED!AN41=9,MATCHED!$J41,IF(MATCHED!AN41=10,MATCHED!$K41,IF(MATCHED!AN41=11,MATCHED!$L41,IF(MATCHED!AN41=12,MATCHED!$M41,IF(MATCHED!AN41=13,MATCHED!$N41,IF(MATCHED!AN41=14,MATCHED!$O41,"")))))))&amp;IF(MATCHED!AN41=15,MATCHED!$P41,IF(MATCHED!AN41=16,MATCHED!$Q41,IF(MATCHED!AN41=17,MATCHED!$R41,IF(MATCHED!AN41=18,MATCHED!$S41,IF(MATCHED!AN41=19,MATCHED!$T41,IF(MATCHED!AN41=20,MATCHED!$U41,IF(MATCHED!AN41=21,MATCHED!$V41,)))))))&amp;IF(MATCHED!AN41=22,MATCHED!$W41,IF(MATCHED!AN41=23,MATCHED!$X41,IF(MATCHED!AN41=24,MATCHED!$Y41,IF(MATCHED!AN41=25,MATCHED!$Z41,IF(MATCHED!AN41=26,MATCHED!$AA41,IF(MATCHED!AN41=27,MATCHED!$AB41,"."))))))</f>
        <v>#N/A</v>
      </c>
      <c r="M41" s="370" t="e">
        <f>IF(MATCHED!AO41=1,MATCHED!$B41,IF(MATCHED!AO41=2,MATCHED!$C41,IF(MATCHED!AO41=3,MATCHED!$D41,IF(MATCHED!AO41=4,MATCHED!$E41,IF(MATCHED!AO41=3,MATCHED!$F41,IF(MATCHED!AO41=6,MATCHED!$G41,IF(MATCHED!AO41=7,MATCHED!$H41,"")))))))&amp;IF(MATCHED!AO41=8,MATCHED!$I41,IF(MATCHED!AO41=9,MATCHED!$J41,IF(MATCHED!AO41=10,MATCHED!$K41,IF(MATCHED!AO41=11,MATCHED!$L41,IF(MATCHED!AO41=12,MATCHED!$M41,IF(MATCHED!AO41=13,MATCHED!$N41,IF(MATCHED!AO41=14,MATCHED!$O41,"")))))))&amp;IF(MATCHED!AO41=15,MATCHED!$P41,IF(MATCHED!AO41=16,MATCHED!$Q41,IF(MATCHED!AO41=17,MATCHED!$R41,IF(MATCHED!AO41=18,MATCHED!$S41,IF(MATCHED!AO41=19,MATCHED!$T41,IF(MATCHED!AO41=20,MATCHED!$U41,IF(MATCHED!AO41=21,MATCHED!$V41,)))))))&amp;IF(MATCHED!AO41=22,MATCHED!$W41,IF(MATCHED!AO41=23,MATCHED!$X41,IF(MATCHED!AO41=24,MATCHED!$Y41,IF(MATCHED!AO41=25,MATCHED!$Z41,IF(MATCHED!AO41=26,MATCHED!$AA41,IF(MATCHED!AO41=27,MATCHED!$AB41,"."))))))</f>
        <v>#N/A</v>
      </c>
      <c r="N41" s="370" t="e">
        <f>IF(MATCHED!AP41=1,MATCHED!$B41,IF(MATCHED!AP41=2,MATCHED!$C41,IF(MATCHED!AP41=3,MATCHED!$D41,IF(MATCHED!AP41=4,MATCHED!$E41,IF(MATCHED!AP41=3,MATCHED!$F41,IF(MATCHED!AP41=6,MATCHED!$G41,IF(MATCHED!AP41=7,MATCHED!$H41,"")))))))&amp;IF(MATCHED!AP41=8,MATCHED!$I41,IF(MATCHED!AP41=9,MATCHED!$J41,IF(MATCHED!AP41=10,MATCHED!$K41,IF(MATCHED!AP41=11,MATCHED!$L41,IF(MATCHED!AP41=12,MATCHED!$M41,IF(MATCHED!AP41=13,MATCHED!$N41,IF(MATCHED!AP41=14,MATCHED!$O41,"")))))))&amp;IF(MATCHED!AP41=15,MATCHED!$P41,IF(MATCHED!AP41=16,MATCHED!$Q41,IF(MATCHED!AP41=17,MATCHED!$R41,IF(MATCHED!AP41=18,MATCHED!$S41,IF(MATCHED!AP41=19,MATCHED!$T41,IF(MATCHED!AP41=20,MATCHED!$U41,IF(MATCHED!AP41=21,MATCHED!$V41,)))))))&amp;IF(MATCHED!AP41=22,MATCHED!$W41,IF(MATCHED!AP41=23,MATCHED!$X41,IF(MATCHED!AP41=24,MATCHED!$Y41,IF(MATCHED!AP41=25,MATCHED!$Z41,IF(MATCHED!AP41=26,MATCHED!$AA41,IF(MATCHED!AP41=27,MATCHED!$AB41,"."))))))</f>
        <v>#N/A</v>
      </c>
      <c r="O41" s="370" t="e">
        <f>IF(MATCHED!AQ41=1,MATCHED!$B41,IF(MATCHED!AQ41=2,MATCHED!$C41,IF(MATCHED!AQ41=3,MATCHED!$D41,IF(MATCHED!AQ41=4,MATCHED!$E41,IF(MATCHED!AQ41=3,MATCHED!$F41,IF(MATCHED!AQ41=6,MATCHED!$G41,IF(MATCHED!AQ41=7,MATCHED!$H41,"")))))))&amp;IF(MATCHED!AQ41=8,MATCHED!$I41,IF(MATCHED!AQ41=9,MATCHED!$J41,IF(MATCHED!AQ41=10,MATCHED!$K41,IF(MATCHED!AQ41=11,MATCHED!$L41,IF(MATCHED!AQ41=12,MATCHED!$M41,IF(MATCHED!AQ41=13,MATCHED!$N41,IF(MATCHED!AQ41=14,MATCHED!$O41,"")))))))&amp;IF(MATCHED!AQ41=15,MATCHED!$P41,IF(MATCHED!AQ41=16,MATCHED!$Q41,IF(MATCHED!AQ41=17,MATCHED!$R41,IF(MATCHED!AQ41=18,MATCHED!$S41,IF(MATCHED!AQ41=19,MATCHED!$T41,IF(MATCHED!AQ41=20,MATCHED!$U41,IF(MATCHED!AQ41=21,MATCHED!$V41,)))))))&amp;IF(MATCHED!AQ41=22,MATCHED!$W41,IF(MATCHED!AQ41=23,MATCHED!$X41,IF(MATCHED!AQ41=24,MATCHED!$Y41,IF(MATCHED!AQ41=25,MATCHED!$Z41,IF(MATCHED!AQ41=26,MATCHED!$AA41,IF(MATCHED!AQ41=27,MATCHED!$AB41,"."))))))</f>
        <v>#N/A</v>
      </c>
      <c r="P41" s="370" t="e">
        <f>IF(MATCHED!AR41=1,MATCHED!$B41,IF(MATCHED!AR41=2,MATCHED!$C41,IF(MATCHED!AR41=3,MATCHED!$D41,IF(MATCHED!AR41=4,MATCHED!$E41,IF(MATCHED!AR41=3,MATCHED!$F41,IF(MATCHED!AR41=6,MATCHED!$G41,IF(MATCHED!AR41=7,MATCHED!$H41,"")))))))&amp;IF(MATCHED!AR41=8,MATCHED!$I41,IF(MATCHED!AR41=9,MATCHED!$J41,IF(MATCHED!AR41=10,MATCHED!$K41,IF(MATCHED!AR41=11,MATCHED!$L41,IF(MATCHED!AR41=12,MATCHED!$M41,IF(MATCHED!AR41=13,MATCHED!$N41,IF(MATCHED!AR41=14,MATCHED!$O41,"")))))))&amp;IF(MATCHED!AR41=15,MATCHED!$P41,IF(MATCHED!AR41=16,MATCHED!$Q41,IF(MATCHED!AR41=17,MATCHED!$R41,IF(MATCHED!AR41=18,MATCHED!$S41,IF(MATCHED!AR41=19,MATCHED!$T41,IF(MATCHED!AR41=20,MATCHED!$U41,IF(MATCHED!AR41=21,MATCHED!$V41,)))))))&amp;IF(MATCHED!AR41=22,MATCHED!$W41,IF(MATCHED!AR41=23,MATCHED!$X41,IF(MATCHED!AR41=24,MATCHED!$Y41,IF(MATCHED!AR41=25,MATCHED!$Z41,IF(MATCHED!AR41=26,MATCHED!$AA41,IF(MATCHED!AR41=27,MATCHED!$AB41,"."))))))</f>
        <v>#N/A</v>
      </c>
      <c r="Q41" s="371" t="e">
        <f>IF(MATCHED!AS41=1,MATCHED!$B41,IF(MATCHED!AS41=2,MATCHED!$C41,IF(MATCHED!AS41=3,MATCHED!$D41,IF(MATCHED!AS41=4,MATCHED!$E41,IF(MATCHED!AS41=3,MATCHED!$F41,IF(MATCHED!AS41=6,MATCHED!$G41,IF(MATCHED!AS41=7,MATCHED!$H41,"")))))))&amp;IF(MATCHED!AS41=8,MATCHED!$I41,IF(MATCHED!AS41=9,MATCHED!$J41,IF(MATCHED!AS41=10,MATCHED!$K41,IF(MATCHED!AS41=11,MATCHED!$L41,IF(MATCHED!AS41=12,MATCHED!$M41,IF(MATCHED!AS41=13,MATCHED!$N41,IF(MATCHED!AS41=14,MATCHED!$O41,"")))))))&amp;IF(MATCHED!AS41=15,MATCHED!$P41,IF(MATCHED!AS41=16,MATCHED!$Q41,IF(MATCHED!AS41=17,MATCHED!$R41,IF(MATCHED!AS41=18,MATCHED!$S41,IF(MATCHED!AS41=19,MATCHED!$T41,IF(MATCHED!AS41=20,MATCHED!$U41,IF(MATCHED!AS41=21,MATCHED!$V41,)))))))&amp;IF(MATCHED!AS41=22,MATCHED!$W41,IF(MATCHED!AS41=23,MATCHED!$X41,IF(MATCHED!AS41=24,MATCHED!$Y41,IF(MATCHED!AS41=25,MATCHED!$Z41,IF(MATCHED!AS41=26,MATCHED!$AA41,IF(MATCHED!AS41=27,MATCHED!$AB41,"."))))))</f>
        <v>#N/A</v>
      </c>
      <c r="R41" s="370" t="e">
        <f>IF(MATCHED!AT41=1,MATCHED!$B41,IF(MATCHED!AT41=2,MATCHED!$C41,IF(MATCHED!AT41=3,MATCHED!$D41,IF(MATCHED!AT41=4,MATCHED!$E41,IF(MATCHED!AT41=3,MATCHED!$F41,IF(MATCHED!AT41=6,MATCHED!$G41,IF(MATCHED!AT41=7,MATCHED!$H41,"")))))))&amp;IF(MATCHED!AT41=8,MATCHED!$I41,IF(MATCHED!AT41=9,MATCHED!$J41,IF(MATCHED!AT41=10,MATCHED!$K41,IF(MATCHED!AT41=11,MATCHED!$L41,IF(MATCHED!AT41=12,MATCHED!$M41,IF(MATCHED!AT41=13,MATCHED!$N41,IF(MATCHED!AT41=14,MATCHED!$O41,"")))))))&amp;IF(MATCHED!AT41=15,MATCHED!$P41,IF(MATCHED!AT41=16,MATCHED!$Q41,IF(MATCHED!AT41=17,MATCHED!$R41,IF(MATCHED!AT41=18,MATCHED!$S41,IF(MATCHED!AT41=19,MATCHED!$T41,IF(MATCHED!AT41=20,MATCHED!$U41,IF(MATCHED!AT41=21,MATCHED!$V41,)))))))&amp;IF(MATCHED!AT41=22,MATCHED!$W41,IF(MATCHED!AT41=23,MATCHED!$X41,IF(MATCHED!AT41=24,MATCHED!$Y41,IF(MATCHED!AT41=25,MATCHED!$Z41,IF(MATCHED!AT41=26,MATCHED!$AA41,IF(MATCHED!AT41=27,MATCHED!$AB41,"."))))))</f>
        <v>#N/A</v>
      </c>
      <c r="S41" s="370" t="e">
        <f>IF(MATCHED!AU41=1,MATCHED!$B41,IF(MATCHED!AU41=2,MATCHED!$C41,IF(MATCHED!AU41=3,MATCHED!$D41,IF(MATCHED!AU41=4,MATCHED!$E41,IF(MATCHED!AU41=3,MATCHED!$F41,IF(MATCHED!AU41=6,MATCHED!$G41,IF(MATCHED!AU41=7,MATCHED!$H41,"")))))))&amp;IF(MATCHED!AU41=8,MATCHED!$I41,IF(MATCHED!AU41=9,MATCHED!$J41,IF(MATCHED!AU41=10,MATCHED!$K41,IF(MATCHED!AU41=11,MATCHED!$L41,IF(MATCHED!AU41=12,MATCHED!$M41,IF(MATCHED!AU41=13,MATCHED!$N41,IF(MATCHED!AU41=14,MATCHED!$O41,"")))))))&amp;IF(MATCHED!AU41=15,MATCHED!$P41,IF(MATCHED!AU41=16,MATCHED!$Q41,IF(MATCHED!AU41=17,MATCHED!$R41,IF(MATCHED!AU41=18,MATCHED!$S41,IF(MATCHED!AU41=19,MATCHED!$T41,IF(MATCHED!AU41=20,MATCHED!$U41,IF(MATCHED!AU41=21,MATCHED!$V41,)))))))&amp;IF(MATCHED!AU41=22,MATCHED!$W41,IF(MATCHED!AU41=23,MATCHED!$X41,IF(MATCHED!AU41=24,MATCHED!$Y41,IF(MATCHED!AU41=25,MATCHED!$Z41,IF(MATCHED!AU41=26,MATCHED!$AA41,IF(MATCHED!AU41=27,MATCHED!$AB41,"."))))))</f>
        <v>#N/A</v>
      </c>
      <c r="T41" s="370" t="e">
        <f>IF(MATCHED!AV41=1,MATCHED!$B41,IF(MATCHED!AV41=2,MATCHED!$C41,IF(MATCHED!AV41=3,MATCHED!$D41,IF(MATCHED!AV41=4,MATCHED!$E41,IF(MATCHED!AV41=3,MATCHED!$F41,IF(MATCHED!AV41=6,MATCHED!$G41,IF(MATCHED!AV41=7,MATCHED!$H41,"")))))))&amp;IF(MATCHED!AV41=8,MATCHED!$I41,IF(MATCHED!AV41=9,MATCHED!$J41,IF(MATCHED!AV41=10,MATCHED!$K41,IF(MATCHED!AV41=11,MATCHED!$L41,IF(MATCHED!AV41=12,MATCHED!$M41,IF(MATCHED!AV41=13,MATCHED!$N41,IF(MATCHED!AV41=14,MATCHED!$O41,"")))))))&amp;IF(MATCHED!AV41=15,MATCHED!$P41,IF(MATCHED!AV41=16,MATCHED!$Q41,IF(MATCHED!AV41=17,MATCHED!$R41,IF(MATCHED!AV41=18,MATCHED!$S41,IF(MATCHED!AV41=19,MATCHED!$T41,IF(MATCHED!AV41=20,MATCHED!$U41,IF(MATCHED!AV41=21,MATCHED!$V41,)))))))&amp;IF(MATCHED!AV41=22,MATCHED!$W41,IF(MATCHED!AV41=23,MATCHED!$X41,IF(MATCHED!AV41=24,MATCHED!$Y41,IF(MATCHED!AV41=25,MATCHED!$Z41,IF(MATCHED!AV41=26,MATCHED!$AA41,IF(MATCHED!AV41=27,MATCHED!$AB41,"."))))))</f>
        <v>#N/A</v>
      </c>
      <c r="U41" s="370" t="e">
        <f>IF(MATCHED!AW41=1,MATCHED!$B41,IF(MATCHED!AW41=2,MATCHED!$C41,IF(MATCHED!AW41=3,MATCHED!$D41,IF(MATCHED!AW41=4,MATCHED!$E41,IF(MATCHED!AW41=3,MATCHED!$F41,IF(MATCHED!AW41=6,MATCHED!$G41,IF(MATCHED!AW41=7,MATCHED!$H41,"")))))))&amp;IF(MATCHED!AW41=8,MATCHED!$I41,IF(MATCHED!AW41=9,MATCHED!$J41,IF(MATCHED!AW41=10,MATCHED!$K41,IF(MATCHED!AW41=11,MATCHED!$L41,IF(MATCHED!AW41=12,MATCHED!$M41,IF(MATCHED!AW41=13,MATCHED!$N41,IF(MATCHED!AW41=14,MATCHED!$O41,"")))))))&amp;IF(MATCHED!AW41=15,MATCHED!$P41,IF(MATCHED!AW41=16,MATCHED!$Q41,IF(MATCHED!AW41=17,MATCHED!$R41,IF(MATCHED!AW41=18,MATCHED!$S41,IF(MATCHED!AW41=19,MATCHED!$T41,IF(MATCHED!AW41=20,MATCHED!$U41,IF(MATCHED!AW41=21,MATCHED!$V41,)))))))&amp;IF(MATCHED!AW41=22,MATCHED!$W41,IF(MATCHED!AW41=23,MATCHED!$X41,IF(MATCHED!AW41=24,MATCHED!$Y41,IF(MATCHED!AW41=25,MATCHED!$Z41,IF(MATCHED!AW41=26,MATCHED!$AA41,IF(MATCHED!AW41=27,MATCHED!$AB41,"."))))))</f>
        <v>#N/A</v>
      </c>
      <c r="V41" s="370" t="e">
        <f>IF(MATCHED!AX41=1,MATCHED!$B41,IF(MATCHED!AX41=2,MATCHED!$C41,IF(MATCHED!AX41=3,MATCHED!$D41,IF(MATCHED!AX41=4,MATCHED!$E41,IF(MATCHED!AX41=3,MATCHED!$F41,IF(MATCHED!AX41=6,MATCHED!$G41,IF(MATCHED!AX41=7,MATCHED!$H41,"")))))))&amp;IF(MATCHED!AX41=8,MATCHED!$I41,IF(MATCHED!AX41=9,MATCHED!$J41,IF(MATCHED!AX41=10,MATCHED!$K41,IF(MATCHED!AX41=11,MATCHED!$L41,IF(MATCHED!AX41=12,MATCHED!$M41,IF(MATCHED!AX41=13,MATCHED!$N41,IF(MATCHED!AX41=14,MATCHED!$O41,"")))))))&amp;IF(MATCHED!AX41=15,MATCHED!$P41,IF(MATCHED!AX41=16,MATCHED!$Q41,IF(MATCHED!AX41=17,MATCHED!$R41,IF(MATCHED!AX41=18,MATCHED!$S41,IF(MATCHED!AX41=19,MATCHED!$T41,IF(MATCHED!AX41=20,MATCHED!$U41,IF(MATCHED!AX41=21,MATCHED!$V41,)))))))&amp;IF(MATCHED!AX41=22,MATCHED!$W41,IF(MATCHED!AX41=23,MATCHED!$X41,IF(MATCHED!AX41=24,MATCHED!$Y41,IF(MATCHED!AX41=25,MATCHED!$Z41,IF(MATCHED!AX41=26,MATCHED!$AA41,IF(MATCHED!AX41=27,MATCHED!$AB41,"."))))))</f>
        <v>#N/A</v>
      </c>
      <c r="W41" s="370" t="e">
        <f>IF(MATCHED!AY41=1,MATCHED!$B41,IF(MATCHED!AY41=2,MATCHED!$C41,IF(MATCHED!AY41=3,MATCHED!$D41,IF(MATCHED!AY41=4,MATCHED!$E41,IF(MATCHED!AY41=3,MATCHED!$F41,IF(MATCHED!AY41=6,MATCHED!$G41,IF(MATCHED!AY41=7,MATCHED!$H41,"")))))))&amp;IF(MATCHED!AY41=8,MATCHED!$I41,IF(MATCHED!AY41=9,MATCHED!$J41,IF(MATCHED!AY41=10,MATCHED!$K41,IF(MATCHED!AY41=11,MATCHED!$L41,IF(MATCHED!AY41=12,MATCHED!$M41,IF(MATCHED!AY41=13,MATCHED!$N41,IF(MATCHED!AY41=14,MATCHED!$O41,"")))))))&amp;IF(MATCHED!AY41=15,MATCHED!$P41,IF(MATCHED!AY41=16,MATCHED!$Q41,IF(MATCHED!AY41=17,MATCHED!$R41,IF(MATCHED!AY41=18,MATCHED!$S41,IF(MATCHED!AY41=19,MATCHED!$T41,IF(MATCHED!AY41=20,MATCHED!$U41,IF(MATCHED!AY41=21,MATCHED!$V41,)))))))&amp;IF(MATCHED!AY41=22,MATCHED!$W41,IF(MATCHED!AY41=23,MATCHED!$X41,IF(MATCHED!AY41=24,MATCHED!$Y41,IF(MATCHED!AY41=25,MATCHED!$Z41,IF(MATCHED!AY41=26,MATCHED!$AA41,IF(MATCHED!AY41=27,MATCHED!$AB41,"."))))))</f>
        <v>#N/A</v>
      </c>
      <c r="X41" s="370" t="e">
        <f>IF(MATCHED!AZ41=1,MATCHED!$B41,IF(MATCHED!AZ41=2,MATCHED!$C41,IF(MATCHED!AZ41=3,MATCHED!$D41,IF(MATCHED!AZ41=4,MATCHED!$E41,IF(MATCHED!AZ41=3,MATCHED!$F41,IF(MATCHED!AZ41=6,MATCHED!$G41,IF(MATCHED!AZ41=7,MATCHED!$H41,"")))))))&amp;IF(MATCHED!AZ41=8,MATCHED!$I41,IF(MATCHED!AZ41=9,MATCHED!$J41,IF(MATCHED!AZ41=10,MATCHED!$K41,IF(MATCHED!AZ41=11,MATCHED!$L41,IF(MATCHED!AZ41=12,MATCHED!$M41,IF(MATCHED!AZ41=13,MATCHED!$N41,IF(MATCHED!AZ41=14,MATCHED!$O41,"")))))))&amp;IF(MATCHED!AZ41=15,MATCHED!$P41,IF(MATCHED!AZ41=16,MATCHED!$Q41,IF(MATCHED!AZ41=17,MATCHED!$R41,IF(MATCHED!AZ41=18,MATCHED!$S41,IF(MATCHED!AZ41=19,MATCHED!$T41,IF(MATCHED!AZ41=20,MATCHED!$U41,IF(MATCHED!AZ41=21,MATCHED!$V41,)))))))&amp;IF(MATCHED!AZ41=22,MATCHED!$W41,IF(MATCHED!AZ41=23,MATCHED!$X41,IF(MATCHED!AZ41=24,MATCHED!$Y41,IF(MATCHED!AZ41=25,MATCHED!$Z41,IF(MATCHED!AZ41=26,MATCHED!$AA41,IF(MATCHED!AZ41=27,MATCHED!$AB41,"."))))))</f>
        <v>#N/A</v>
      </c>
      <c r="Y41" s="370" t="e">
        <f>IF(MATCHED!BA41=1,MATCHED!$B41,IF(MATCHED!BA41=2,MATCHED!$C41,IF(MATCHED!BA41=3,MATCHED!$D41,IF(MATCHED!BA41=4,MATCHED!$E41,IF(MATCHED!BA41=3,MATCHED!$F41,IF(MATCHED!BA41=6,MATCHED!$G41,IF(MATCHED!BA41=7,MATCHED!$H41,"")))))))&amp;IF(MATCHED!BA41=8,MATCHED!$I41,IF(MATCHED!BA41=9,MATCHED!$J41,IF(MATCHED!BA41=10,MATCHED!$K41,IF(MATCHED!BA41=11,MATCHED!$L41,IF(MATCHED!BA41=12,MATCHED!$M41,IF(MATCHED!BA41=13,MATCHED!$N41,IF(MATCHED!BA41=14,MATCHED!$O41,"")))))))&amp;IF(MATCHED!BA41=15,MATCHED!$P41,IF(MATCHED!BA41=16,MATCHED!$Q41,IF(MATCHED!BA41=17,MATCHED!$R41,IF(MATCHED!BA41=18,MATCHED!$S41,IF(MATCHED!BA41=19,MATCHED!$T41,IF(MATCHED!BA41=20,MATCHED!$U41,IF(MATCHED!BA41=21,MATCHED!$V41,)))))))&amp;IF(MATCHED!BA41=22,MATCHED!$W41,IF(MATCHED!BA41=23,MATCHED!$X41,IF(MATCHED!BA41=24,MATCHED!$Y41,IF(MATCHED!BA41=25,MATCHED!$Z41,IF(MATCHED!BA41=26,MATCHED!$AA41,IF(MATCHED!BA41=27,MATCHED!$AB41,"."))))))</f>
        <v>#N/A</v>
      </c>
      <c r="Z41" s="370" t="e">
        <f>IF(MATCHED!BB41=1,MATCHED!$B41,IF(MATCHED!BB41=2,MATCHED!$C41,IF(MATCHED!BB41=3,MATCHED!$D41,IF(MATCHED!BB41=4,MATCHED!$E41,IF(MATCHED!BB41=3,MATCHED!$F41,IF(MATCHED!BB41=6,MATCHED!$G41,IF(MATCHED!BB41=7,MATCHED!$H41,"")))))))&amp;IF(MATCHED!BB41=8,MATCHED!$I41,IF(MATCHED!BB41=9,MATCHED!$J41,IF(MATCHED!BB41=10,MATCHED!$K41,IF(MATCHED!BB41=11,MATCHED!$L41,IF(MATCHED!BB41=12,MATCHED!$M41,IF(MATCHED!BB41=13,MATCHED!$N41,IF(MATCHED!BB41=14,MATCHED!$O41,"")))))))&amp;IF(MATCHED!BB41=15,MATCHED!$P41,IF(MATCHED!BB41=16,MATCHED!$Q41,IF(MATCHED!BB41=17,MATCHED!$R41,IF(MATCHED!BB41=18,MATCHED!$S41,IF(MATCHED!BB41=19,MATCHED!$T41,IF(MATCHED!BB41=20,MATCHED!$U41,IF(MATCHED!BB41=21,MATCHED!$V41,)))))))&amp;IF(MATCHED!BB41=22,MATCHED!$W41,IF(MATCHED!BB41=23,MATCHED!$X41,IF(MATCHED!BB41=24,MATCHED!$Y41,IF(MATCHED!BB41=25,MATCHED!$Z41,IF(MATCHED!BB41=26,MATCHED!$AA41,IF(MATCHED!BB41=27,MATCHED!$AB41,"."))))))</f>
        <v>#N/A</v>
      </c>
      <c r="AA41" s="370" t="e">
        <f>IF(MATCHED!BC41=1,MATCHED!$B41,IF(MATCHED!BC41=2,MATCHED!$C41,IF(MATCHED!BC41=3,MATCHED!$D41,IF(MATCHED!BC41=4,MATCHED!$E41,IF(MATCHED!BC41=3,MATCHED!$F41,IF(MATCHED!BC41=6,MATCHED!$G41,IF(MATCHED!BC41=7,MATCHED!$H41,"")))))))&amp;IF(MATCHED!BC41=8,MATCHED!$I41,IF(MATCHED!BC41=9,MATCHED!$J41,IF(MATCHED!BC41=10,MATCHED!$K41,IF(MATCHED!BC41=11,MATCHED!$L41,IF(MATCHED!BC41=12,MATCHED!$M41,IF(MATCHED!BC41=13,MATCHED!$N41,IF(MATCHED!BC41=14,MATCHED!$O41,"")))))))&amp;IF(MATCHED!BC41=15,MATCHED!$P41,IF(MATCHED!BC41=16,MATCHED!$Q41,IF(MATCHED!BC41=17,MATCHED!$R41,IF(MATCHED!BC41=18,MATCHED!$S41,IF(MATCHED!BC41=19,MATCHED!$T41,IF(MATCHED!BC41=20,MATCHED!$U41,IF(MATCHED!BC41=21,MATCHED!$V41,)))))))&amp;IF(MATCHED!BC41=22,MATCHED!$W41,IF(MATCHED!BC41=23,MATCHED!$X41,IF(MATCHED!BC41=24,MATCHED!$Y41,IF(MATCHED!BC41=25,MATCHED!$Z41,IF(MATCHED!BC41=26,MATCHED!$AA41,IF(MATCHED!BC41=27,MATCHED!$AB41,"."))))))</f>
        <v>#N/A</v>
      </c>
      <c r="AB41" s="370" t="e">
        <f>IF(MATCHED!BD41=1,MATCHED!$B41,IF(MATCHED!BD41=2,MATCHED!$C41,IF(MATCHED!BD41=3,MATCHED!$D41,IF(MATCHED!BD41=4,MATCHED!$E41,IF(MATCHED!BD41=3,MATCHED!$F41,IF(MATCHED!BD41=6,MATCHED!$G41,IF(MATCHED!BD41=7,MATCHED!$H41,"")))))))&amp;IF(MATCHED!BD41=8,MATCHED!$I41,IF(MATCHED!BD41=9,MATCHED!$J41,IF(MATCHED!BD41=10,MATCHED!$K41,IF(MATCHED!BD41=11,MATCHED!$L41,IF(MATCHED!BD41=12,MATCHED!$M41,IF(MATCHED!BD41=13,MATCHED!$N41,IF(MATCHED!BD41=14,MATCHED!$O41,"")))))))&amp;IF(MATCHED!BD41=15,MATCHED!$P41,IF(MATCHED!BD41=16,MATCHED!$Q41,IF(MATCHED!BD41=17,MATCHED!$R41,IF(MATCHED!BD41=18,MATCHED!$S41,IF(MATCHED!BD41=19,MATCHED!$T41,IF(MATCHED!BD41=20,MATCHED!$U41,IF(MATCHED!BD41=21,MATCHED!$V41,)))))))&amp;IF(MATCHED!BD41=22,MATCHED!$W41,IF(MATCHED!BD41=23,MATCHED!$X41,IF(MATCHED!BD41=24,MATCHED!$Y41,IF(MATCHED!BD41=25,MATCHED!$Z41,IF(MATCHED!BD41=26,MATCHED!$AA41,IF(MATCHED!BD41=27,MATCHED!$AB41,"."))))))</f>
        <v>#N/A</v>
      </c>
      <c r="AC41" s="370" t="e">
        <f>IF(MATCHED!BE41=1,MATCHED!$B41,IF(MATCHED!BE41=2,MATCHED!$C41,IF(MATCHED!BE41=3,MATCHED!$D41,IF(MATCHED!BE41=4,MATCHED!$E41,IF(MATCHED!BE41=3,MATCHED!$F41,IF(MATCHED!BE41=6,MATCHED!$G41,IF(MATCHED!BE41=7,MATCHED!$H41,"")))))))&amp;IF(MATCHED!BE41=8,MATCHED!$I41,IF(MATCHED!BE41=9,MATCHED!$J41,IF(MATCHED!BE41=10,MATCHED!$K41,IF(MATCHED!BE41=11,MATCHED!$L41,IF(MATCHED!BE41=12,MATCHED!$M41,IF(MATCHED!BE41=13,MATCHED!$N41,IF(MATCHED!BE41=14,MATCHED!$O41,"")))))))&amp;IF(MATCHED!BE41=15,MATCHED!$P41,IF(MATCHED!BE41=16,MATCHED!$Q41,IF(MATCHED!BE41=17,MATCHED!$R41,IF(MATCHED!BE41=18,MATCHED!$S41,IF(MATCHED!BE41=19,MATCHED!$T41,IF(MATCHED!BE41=20,MATCHED!$U41,IF(MATCHED!BE41=21,MATCHED!$V41,)))))))&amp;IF(MATCHED!BE41=22,MATCHED!$W41,IF(MATCHED!BE41=23,MATCHED!$X41,IF(MATCHED!BE41=24,MATCHED!$Y41,IF(MATCHED!BE41=25,MATCHED!$Z41,IF(MATCHED!BE41=26,MATCHED!$AA41,IF(MATCHED!BE41=27,MATCHED!$AB41,"."))))))</f>
        <v>#N/A</v>
      </c>
      <c r="AD41" s="370" t="e">
        <f>IF(MATCHED!BF41=1,MATCHED!$B41,IF(MATCHED!BF41=2,MATCHED!$C41,IF(MATCHED!BF41=3,MATCHED!$D41,IF(MATCHED!BF41=4,MATCHED!$E41,IF(MATCHED!BF41=3,MATCHED!$F41,IF(MATCHED!BF41=6,MATCHED!$G41,IF(MATCHED!BF41=7,MATCHED!$H41,"")))))))&amp;IF(MATCHED!BF41=8,MATCHED!$I41,IF(MATCHED!BF41=9,MATCHED!$J41,IF(MATCHED!BF41=10,MATCHED!$K41,IF(MATCHED!BF41=11,MATCHED!$L41,IF(MATCHED!BF41=12,MATCHED!$M41,IF(MATCHED!BF41=13,MATCHED!$N41,IF(MATCHED!BF41=14,MATCHED!$O41,"")))))))&amp;IF(MATCHED!BF41=15,MATCHED!$P41,IF(MATCHED!BF41=16,MATCHED!$Q41,IF(MATCHED!BF41=17,MATCHED!$R41,IF(MATCHED!BF41=18,MATCHED!$S41,IF(MATCHED!BF41=19,MATCHED!$T41,IF(MATCHED!BF41=20,MATCHED!$U41,IF(MATCHED!BF41=21,MATCHED!$V41,)))))))&amp;IF(MATCHED!BF41=22,MATCHED!$W41,IF(MATCHED!BF41=23,MATCHED!$X41,IF(MATCHED!BF41=24,MATCHED!$Y41,IF(MATCHED!BF41=25,MATCHED!$Z41,IF(MATCHED!BF41=26,MATCHED!$AA41,IF(MATCHED!BF41=27,MATCHED!$AB41,"."))))))</f>
        <v>#N/A</v>
      </c>
      <c r="AE41" s="370" t="e">
        <f>IF(MATCHED!BG41=1,MATCHED!$B41,IF(MATCHED!BG41=2,MATCHED!$C41,IF(MATCHED!BG41=3,MATCHED!$D41,IF(MATCHED!BG41=4,MATCHED!$E41,IF(MATCHED!BG41=3,MATCHED!$F41,IF(MATCHED!BG41=6,MATCHED!$G41,IF(MATCHED!BG41=7,MATCHED!$H41,"")))))))&amp;IF(MATCHED!BG41=8,MATCHED!$I41,IF(MATCHED!BG41=9,MATCHED!$J41,IF(MATCHED!BG41=10,MATCHED!$K41,IF(MATCHED!BG41=11,MATCHED!$L41,IF(MATCHED!BG41=12,MATCHED!$M41,IF(MATCHED!BG41=13,MATCHED!$N41,IF(MATCHED!BG41=14,MATCHED!$O41,"")))))))&amp;IF(MATCHED!BG41=15,MATCHED!$P41,IF(MATCHED!BG41=16,MATCHED!$Q41,IF(MATCHED!BG41=17,MATCHED!$R41,IF(MATCHED!BG41=18,MATCHED!$S41,IF(MATCHED!BG41=19,MATCHED!$T41,IF(MATCHED!BG41=20,MATCHED!$U41,IF(MATCHED!BG41=21,MATCHED!$V41,)))))))&amp;IF(MATCHED!BG41=22,MATCHED!$W41,IF(MATCHED!BG41=23,MATCHED!$X41,IF(MATCHED!BG41=24,MATCHED!$Y41,IF(MATCHED!BG41=25,MATCHED!$Z41,IF(MATCHED!BG41=26,MATCHED!$AA41,IF(MATCHED!BG41=27,MATCHED!$AB41,"."))))))</f>
        <v>#N/A</v>
      </c>
      <c r="AF41" s="370" t="e">
        <f>IF(MATCHED!BH41=1,MATCHED!$B41,IF(MATCHED!BH41=2,MATCHED!$C41,IF(MATCHED!BH41=3,MATCHED!$D41,IF(MATCHED!BH41=4,MATCHED!$E41,IF(MATCHED!BH41=3,MATCHED!$F41,IF(MATCHED!BH41=6,MATCHED!$G41,IF(MATCHED!BH41=7,MATCHED!$H41,"")))))))&amp;IF(MATCHED!BH41=8,MATCHED!$I41,IF(MATCHED!BH41=9,MATCHED!$J41,IF(MATCHED!BH41=10,MATCHED!$K41,IF(MATCHED!BH41=11,MATCHED!$L41,IF(MATCHED!BH41=12,MATCHED!$M41,IF(MATCHED!BH41=13,MATCHED!$N41,IF(MATCHED!BH41=14,MATCHED!$O41,"")))))))&amp;IF(MATCHED!BH41=15,MATCHED!$P41,IF(MATCHED!BH41=16,MATCHED!$Q41,IF(MATCHED!BH41=17,MATCHED!$R41,IF(MATCHED!BH41=18,MATCHED!$S41,IF(MATCHED!BH41=19,MATCHED!$T41,IF(MATCHED!BH41=20,MATCHED!$U41,IF(MATCHED!BH41=21,MATCHED!$V41,)))))))&amp;IF(MATCHED!BH41=22,MATCHED!$W41,IF(MATCHED!BH41=23,MATCHED!$X41,IF(MATCHED!BH41=24,MATCHED!$Y41,IF(MATCHED!BH41=25,MATCHED!$Z41,IF(MATCHED!BH41=26,MATCHED!$AA41,IF(MATCHED!BH41=27,MATCHED!$AB41,"."))))))</f>
        <v>#N/A</v>
      </c>
      <c r="AG41" s="370" t="e">
        <f>IF(MATCHED!BI41=1,MATCHED!$B41,IF(MATCHED!BI41=2,MATCHED!$C41,IF(MATCHED!BI41=3,MATCHED!$D41,IF(MATCHED!BI41=4,MATCHED!$E41,IF(MATCHED!BI41=3,MATCHED!$F41,IF(MATCHED!BI41=6,MATCHED!$G41,IF(MATCHED!BI41=7,MATCHED!$H41,"")))))))&amp;IF(MATCHED!BI41=8,MATCHED!$I41,IF(MATCHED!BI41=9,MATCHED!$J41,IF(MATCHED!BI41=10,MATCHED!$K41,IF(MATCHED!BI41=11,MATCHED!$L41,IF(MATCHED!BI41=12,MATCHED!$M41,IF(MATCHED!BI41=13,MATCHED!$N41,IF(MATCHED!BI41=14,MATCHED!$O41,"")))))))&amp;IF(MATCHED!BI41=15,MATCHED!$P41,IF(MATCHED!BI41=16,MATCHED!$Q41,IF(MATCHED!BI41=17,MATCHED!$R41,IF(MATCHED!BI41=18,MATCHED!$S41,IF(MATCHED!BI41=19,MATCHED!$T41,IF(MATCHED!BI41=20,MATCHED!$U41,IF(MATCHED!BI41=21,MATCHED!$V41,)))))))&amp;IF(MATCHED!BI41=22,MATCHED!$W41,IF(MATCHED!BI41=23,MATCHED!$X41,IF(MATCHED!BI41=24,MATCHED!$Y41,IF(MATCHED!BI41=25,MATCHED!$Z41,IF(MATCHED!BI41=26,MATCHED!$AA41,IF(MATCHED!BI41=27,MATCHED!$AB41,"."))))))</f>
        <v>#N/A</v>
      </c>
      <c r="AH41" s="370" t="e">
        <f>IF(MATCHED!BJ41=1,MATCHED!$B41,IF(MATCHED!BJ41=2,MATCHED!$C41,IF(MATCHED!BJ41=3,MATCHED!$D41,IF(MATCHED!BJ41=4,MATCHED!$E41,IF(MATCHED!BJ41=3,MATCHED!$F41,IF(MATCHED!BJ41=6,MATCHED!$G41,IF(MATCHED!BJ41=7,MATCHED!$H41,"")))))))&amp;IF(MATCHED!BJ41=8,MATCHED!$I41,IF(MATCHED!BJ41=9,MATCHED!$J41,IF(MATCHED!BJ41=10,MATCHED!$K41,IF(MATCHED!BJ41=11,MATCHED!$L41,IF(MATCHED!BJ41=12,MATCHED!$M41,IF(MATCHED!BJ41=13,MATCHED!$N41,IF(MATCHED!BJ41=14,MATCHED!$O41,"")))))))&amp;IF(MATCHED!BJ41=15,MATCHED!$P41,IF(MATCHED!BJ41=16,MATCHED!$Q41,IF(MATCHED!BJ41=17,MATCHED!$R41,IF(MATCHED!BJ41=18,MATCHED!$S41,IF(MATCHED!BJ41=19,MATCHED!$T41,IF(MATCHED!BJ41=20,MATCHED!$U41,IF(MATCHED!BJ41=21,MATCHED!$V41,)))))))&amp;IF(MATCHED!BJ41=22,MATCHED!$W41,IF(MATCHED!BJ41=23,MATCHED!$X41,IF(MATCHED!BJ41=24,MATCHED!$Y41,IF(MATCHED!BJ41=25,MATCHED!$Z41,IF(MATCHED!BJ41=26,MATCHED!$AA41,IF(MATCHED!BJ41=27,MATCHED!$AB41,"."))))))</f>
        <v>#N/A</v>
      </c>
      <c r="AI41" s="370" t="e">
        <f>IF(MATCHED!BK41=1,MATCHED!$B41,IF(MATCHED!BK41=2,MATCHED!$C41,IF(MATCHED!BK41=3,MATCHED!$D41,IF(MATCHED!BK41=4,MATCHED!$E41,IF(MATCHED!BK41=3,MATCHED!$F41,IF(MATCHED!BK41=6,MATCHED!$G41,IF(MATCHED!BK41=7,MATCHED!$H41,"")))))))&amp;IF(MATCHED!BK41=8,MATCHED!$I41,IF(MATCHED!BK41=9,MATCHED!$J41,IF(MATCHED!BK41=10,MATCHED!$K41,IF(MATCHED!BK41=11,MATCHED!$L41,IF(MATCHED!BK41=12,MATCHED!$M41,IF(MATCHED!BK41=13,MATCHED!$N41,IF(MATCHED!BK41=14,MATCHED!$O41,"")))))))&amp;IF(MATCHED!BK41=15,MATCHED!$P41,IF(MATCHED!BK41=16,MATCHED!$Q41,IF(MATCHED!BK41=17,MATCHED!$R41,IF(MATCHED!BK41=18,MATCHED!$S41,IF(MATCHED!BK41=19,MATCHED!$T41,IF(MATCHED!BK41=20,MATCHED!$U41,IF(MATCHED!BK41=21,MATCHED!$V41,)))))))&amp;IF(MATCHED!BK41=22,MATCHED!$W41,IF(MATCHED!BK41=23,MATCHED!$X41,IF(MATCHED!BK41=24,MATCHED!$Y41,IF(MATCHED!BK41=25,MATCHED!$Z41,IF(MATCHED!BK41=26,MATCHED!$AA41,IF(MATCHED!BK41=27,MATCHED!$AB41,"."))))))</f>
        <v>#N/A</v>
      </c>
      <c r="AJ41" s="535"/>
    </row>
    <row r="42" spans="1:36" s="338" customFormat="1" x14ac:dyDescent="0.25">
      <c r="A42" s="535"/>
      <c r="B42" s="369" t="e">
        <f>IF(MATCHED!AD42=1,MATCHED!$B42,IF(MATCHED!AD42=2,MATCHED!$C42,IF(MATCHED!AD42=3,MATCHED!$D42,IF(MATCHED!AD42=4,MATCHED!$E42,IF(MATCHED!AD42=3,MATCHED!$F42,IF(MATCHED!AD42=6,MATCHED!$G42,IF(MATCHED!AD42=7,MATCHED!$H42,"")))))))&amp;IF(MATCHED!AD42=8,MATCHED!$I42,IF(MATCHED!AD42=9,MATCHED!$J42,IF(MATCHED!AD42=10,MATCHED!$K42,IF(MATCHED!AD42=11,MATCHED!$L42,IF(MATCHED!AD42=12,MATCHED!$M42,IF(MATCHED!AD42=13,MATCHED!$N42,IF(MATCHED!AD42=14,MATCHED!$O42,"")))))))&amp;IF(MATCHED!AD42=15,MATCHED!$P42,IF(MATCHED!AD42=16,MATCHED!$Q42,IF(MATCHED!AD42=17,MATCHED!$R42,IF(MATCHED!AD42=18,MATCHED!$S42,IF(MATCHED!AD42=19,MATCHED!$T42,IF(MATCHED!AD42=20,MATCHED!$U42,IF(MATCHED!AD42=21,MATCHED!$V42,)))))))&amp;IF(MATCHED!AD42=22,MATCHED!$W42,IF(MATCHED!AD42=23,MATCHED!$X42,IF(MATCHED!AD42=24,MATCHED!$Y42,IF(MATCHED!AD42=25,MATCHED!$Z42,IF(MATCHED!AD42=26,MATCHED!$AA42,IF(MATCHED!AD42=27,MATCHED!$AB42,"."))))))</f>
        <v>#N/A</v>
      </c>
      <c r="C42" s="370" t="e">
        <f>IF(MATCHED!AE42=1,MATCHED!$B42,IF(MATCHED!AE42=2,MATCHED!$C42,IF(MATCHED!AE42=3,MATCHED!$D42,IF(MATCHED!AE42=4,MATCHED!$E42,IF(MATCHED!AE42=3,MATCHED!$F42,IF(MATCHED!AE42=6,MATCHED!$G42,IF(MATCHED!AE42=7,MATCHED!$H42,"")))))))&amp;IF(MATCHED!AE42=8,MATCHED!$I42,IF(MATCHED!AE42=9,MATCHED!$J42,IF(MATCHED!AE42=10,MATCHED!$K42,IF(MATCHED!AE42=11,MATCHED!$L42,IF(MATCHED!AE42=12,MATCHED!$M42,IF(MATCHED!AE42=13,MATCHED!$N42,IF(MATCHED!AE42=14,MATCHED!$O42,"")))))))&amp;IF(MATCHED!AE42=15,MATCHED!$P42,IF(MATCHED!AE42=16,MATCHED!$Q42,IF(MATCHED!AE42=17,MATCHED!$R42,IF(MATCHED!AE42=18,MATCHED!$S42,IF(MATCHED!AE42=19,MATCHED!$T42,IF(MATCHED!AE42=20,MATCHED!$U42,IF(MATCHED!AE42=21,MATCHED!$V42,)))))))&amp;IF(MATCHED!AE42=22,MATCHED!$W42,IF(MATCHED!AE42=23,MATCHED!$X42,IF(MATCHED!AE42=24,MATCHED!$Y42,IF(MATCHED!AE42=25,MATCHED!$Z42,IF(MATCHED!AE42=26,MATCHED!$AA42,IF(MATCHED!AE42=27,MATCHED!$AB42,"."))))))</f>
        <v>#N/A</v>
      </c>
      <c r="D42" s="370" t="e">
        <f>IF(MATCHED!AF42=1,MATCHED!$B42,IF(MATCHED!AF42=2,MATCHED!$C42,IF(MATCHED!AF42=3,MATCHED!$D42,IF(MATCHED!AF42=4,MATCHED!$E42,IF(MATCHED!AF42=3,MATCHED!$F42,IF(MATCHED!AF42=6,MATCHED!$G42,IF(MATCHED!AF42=7,MATCHED!$H42,"")))))))&amp;IF(MATCHED!AF42=8,MATCHED!$I42,IF(MATCHED!AF42=9,MATCHED!$J42,IF(MATCHED!AF42=10,MATCHED!$K42,IF(MATCHED!AF42=11,MATCHED!$L42,IF(MATCHED!AF42=12,MATCHED!$M42,IF(MATCHED!AF42=13,MATCHED!$N42,IF(MATCHED!AF42=14,MATCHED!$O42,"")))))))&amp;IF(MATCHED!AF42=15,MATCHED!$P42,IF(MATCHED!AF42=16,MATCHED!$Q42,IF(MATCHED!AF42=17,MATCHED!$R42,IF(MATCHED!AF42=18,MATCHED!$S42,IF(MATCHED!AF42=19,MATCHED!$T42,IF(MATCHED!AF42=20,MATCHED!$U42,IF(MATCHED!AF42=21,MATCHED!$V42,)))))))&amp;IF(MATCHED!AF42=22,MATCHED!$W42,IF(MATCHED!AF42=23,MATCHED!$X42,IF(MATCHED!AF42=24,MATCHED!$Y42,IF(MATCHED!AF42=25,MATCHED!$Z42,IF(MATCHED!AF42=26,MATCHED!$AA42,IF(MATCHED!AF42=27,MATCHED!$AB42,"."))))))</f>
        <v>#N/A</v>
      </c>
      <c r="E42" s="370" t="e">
        <f>IF(MATCHED!AG42=1,MATCHED!$B42,IF(MATCHED!AG42=2,MATCHED!$C42,IF(MATCHED!AG42=3,MATCHED!$D42,IF(MATCHED!AG42=4,MATCHED!$E42,IF(MATCHED!AG42=3,MATCHED!$F42,IF(MATCHED!AG42=6,MATCHED!$G42,IF(MATCHED!AG42=7,MATCHED!$H42,"")))))))&amp;IF(MATCHED!AG42=8,MATCHED!$I42,IF(MATCHED!AG42=9,MATCHED!$J42,IF(MATCHED!AG42=10,MATCHED!$K42,IF(MATCHED!AG42=11,MATCHED!$L42,IF(MATCHED!AG42=12,MATCHED!$M42,IF(MATCHED!AG42=13,MATCHED!$N42,IF(MATCHED!AG42=14,MATCHED!$O42,"")))))))&amp;IF(MATCHED!AG42=15,MATCHED!$P42,IF(MATCHED!AG42=16,MATCHED!$Q42,IF(MATCHED!AG42=17,MATCHED!$R42,IF(MATCHED!AG42=18,MATCHED!$S42,IF(MATCHED!AG42=19,MATCHED!$T42,IF(MATCHED!AG42=20,MATCHED!$U42,IF(MATCHED!AG42=21,MATCHED!$V42,)))))))&amp;IF(MATCHED!AG42=22,MATCHED!$W42,IF(MATCHED!AG42=23,MATCHED!$X42,IF(MATCHED!AG42=24,MATCHED!$Y42,IF(MATCHED!AG42=25,MATCHED!$Z42,IF(MATCHED!AG42=26,MATCHED!$AA42,IF(MATCHED!AG42=27,MATCHED!$AB42,"."))))))</f>
        <v>#N/A</v>
      </c>
      <c r="F42" s="370" t="e">
        <f>IF(MATCHED!AH42=1,MATCHED!$B42,IF(MATCHED!AH42=2,MATCHED!$C42,IF(MATCHED!AH42=3,MATCHED!$D42,IF(MATCHED!AH42=4,MATCHED!$E42,IF(MATCHED!AH42=3,MATCHED!$F42,IF(MATCHED!AH42=6,MATCHED!$G42,IF(MATCHED!AH42=7,MATCHED!$H42,"")))))))&amp;IF(MATCHED!AH42=8,MATCHED!$I42,IF(MATCHED!AH42=9,MATCHED!$J42,IF(MATCHED!AH42=10,MATCHED!$K42,IF(MATCHED!AH42=11,MATCHED!$L42,IF(MATCHED!AH42=12,MATCHED!$M42,IF(MATCHED!AH42=13,MATCHED!$N42,IF(MATCHED!AH42=14,MATCHED!$O42,"")))))))&amp;IF(MATCHED!AH42=15,MATCHED!$P42,IF(MATCHED!AH42=16,MATCHED!$Q42,IF(MATCHED!AH42=17,MATCHED!$R42,IF(MATCHED!AH42=18,MATCHED!$S42,IF(MATCHED!AH42=19,MATCHED!$T42,IF(MATCHED!AH42=20,MATCHED!$U42,IF(MATCHED!AH42=21,MATCHED!$V42,)))))))&amp;IF(MATCHED!AH42=22,MATCHED!$W42,IF(MATCHED!AH42=23,MATCHED!$X42,IF(MATCHED!AH42=24,MATCHED!$Y42,IF(MATCHED!AH42=25,MATCHED!$Z42,IF(MATCHED!AH42=26,MATCHED!$AA42,IF(MATCHED!AH42=27,MATCHED!$AB42,"."))))))</f>
        <v>#N/A</v>
      </c>
      <c r="G42" s="370" t="e">
        <f>IF(MATCHED!AI42=1,MATCHED!$B42,IF(MATCHED!AI42=2,MATCHED!$C42,IF(MATCHED!AI42=3,MATCHED!$D42,IF(MATCHED!AI42=4,MATCHED!$E42,IF(MATCHED!AI42=3,MATCHED!$F42,IF(MATCHED!AI42=6,MATCHED!$G42,IF(MATCHED!AI42=7,MATCHED!$H42,"")))))))&amp;IF(MATCHED!AI42=8,MATCHED!$I42,IF(MATCHED!AI42=9,MATCHED!$J42,IF(MATCHED!AI42=10,MATCHED!$K42,IF(MATCHED!AI42=11,MATCHED!$L42,IF(MATCHED!AI42=12,MATCHED!$M42,IF(MATCHED!AI42=13,MATCHED!$N42,IF(MATCHED!AI42=14,MATCHED!$O42,"")))))))&amp;IF(MATCHED!AI42=15,MATCHED!$P42,IF(MATCHED!AI42=16,MATCHED!$Q42,IF(MATCHED!AI42=17,MATCHED!$R42,IF(MATCHED!AI42=18,MATCHED!$S42,IF(MATCHED!AI42=19,MATCHED!$T42,IF(MATCHED!AI42=20,MATCHED!$U42,IF(MATCHED!AI42=21,MATCHED!$V42,)))))))&amp;IF(MATCHED!AI42=22,MATCHED!$W42,IF(MATCHED!AI42=23,MATCHED!$X42,IF(MATCHED!AI42=24,MATCHED!$Y42,IF(MATCHED!AI42=25,MATCHED!$Z42,IF(MATCHED!AI42=26,MATCHED!$AA42,IF(MATCHED!AI42=27,MATCHED!$AB42,"."))))))</f>
        <v>#N/A</v>
      </c>
      <c r="H42" s="370" t="e">
        <f>IF(MATCHED!AJ42=1,MATCHED!$B42,IF(MATCHED!AJ42=2,MATCHED!$C42,IF(MATCHED!AJ42=3,MATCHED!$D42,IF(MATCHED!AJ42=4,MATCHED!$E42,IF(MATCHED!AJ42=3,MATCHED!$F42,IF(MATCHED!AJ42=6,MATCHED!$G42,IF(MATCHED!AJ42=7,MATCHED!$H42,"")))))))&amp;IF(MATCHED!AJ42=8,MATCHED!$I42,IF(MATCHED!AJ42=9,MATCHED!$J42,IF(MATCHED!AJ42=10,MATCHED!$K42,IF(MATCHED!AJ42=11,MATCHED!$L42,IF(MATCHED!AJ42=12,MATCHED!$M42,IF(MATCHED!AJ42=13,MATCHED!$N42,IF(MATCHED!AJ42=14,MATCHED!$O42,"")))))))&amp;IF(MATCHED!AJ42=15,MATCHED!$P42,IF(MATCHED!AJ42=16,MATCHED!$Q42,IF(MATCHED!AJ42=17,MATCHED!$R42,IF(MATCHED!AJ42=18,MATCHED!$S42,IF(MATCHED!AJ42=19,MATCHED!$T42,IF(MATCHED!AJ42=20,MATCHED!$U42,IF(MATCHED!AJ42=21,MATCHED!$V42,)))))))&amp;IF(MATCHED!AJ42=22,MATCHED!$W42,IF(MATCHED!AJ42=23,MATCHED!$X42,IF(MATCHED!AJ42=24,MATCHED!$Y42,IF(MATCHED!AJ42=25,MATCHED!$Z42,IF(MATCHED!AJ42=26,MATCHED!$AA42,IF(MATCHED!AJ42=27,MATCHED!$AB42,"."))))))</f>
        <v>#N/A</v>
      </c>
      <c r="I42" s="370" t="e">
        <f>IF(MATCHED!AK42=1,MATCHED!$B42,IF(MATCHED!AK42=2,MATCHED!$C42,IF(MATCHED!AK42=3,MATCHED!$D42,IF(MATCHED!AK42=4,MATCHED!$E42,IF(MATCHED!AK42=3,MATCHED!$F42,IF(MATCHED!AK42=6,MATCHED!$G42,IF(MATCHED!AK42=7,MATCHED!$H42,"")))))))&amp;IF(MATCHED!AK42=8,MATCHED!$I42,IF(MATCHED!AK42=9,MATCHED!$J42,IF(MATCHED!AK42=10,MATCHED!$K42,IF(MATCHED!AK42=11,MATCHED!$L42,IF(MATCHED!AK42=12,MATCHED!$M42,IF(MATCHED!AK42=13,MATCHED!$N42,IF(MATCHED!AK42=14,MATCHED!$O42,"")))))))&amp;IF(MATCHED!AK42=15,MATCHED!$P42,IF(MATCHED!AK42=16,MATCHED!$Q42,IF(MATCHED!AK42=17,MATCHED!$R42,IF(MATCHED!AK42=18,MATCHED!$S42,IF(MATCHED!AK42=19,MATCHED!$T42,IF(MATCHED!AK42=20,MATCHED!$U42,IF(MATCHED!AK42=21,MATCHED!$V42,)))))))&amp;IF(MATCHED!AK42=22,MATCHED!$W42,IF(MATCHED!AK42=23,MATCHED!$X42,IF(MATCHED!AK42=24,MATCHED!$Y42,IF(MATCHED!AK42=25,MATCHED!$Z42,IF(MATCHED!AK42=26,MATCHED!$AA42,IF(MATCHED!AK42=27,MATCHED!$AB42,"."))))))</f>
        <v>#N/A</v>
      </c>
      <c r="J42" s="370" t="e">
        <f>IF(MATCHED!AL42=1,MATCHED!$B42,IF(MATCHED!AL42=2,MATCHED!$C42,IF(MATCHED!AL42=3,MATCHED!$D42,IF(MATCHED!AL42=4,MATCHED!$E42,IF(MATCHED!AL42=3,MATCHED!$F42,IF(MATCHED!AL42=6,MATCHED!$G42,IF(MATCHED!AL42=7,MATCHED!$H42,"")))))))&amp;IF(MATCHED!AL42=8,MATCHED!$I42,IF(MATCHED!AL42=9,MATCHED!$J42,IF(MATCHED!AL42=10,MATCHED!$K42,IF(MATCHED!AL42=11,MATCHED!$L42,IF(MATCHED!AL42=12,MATCHED!$M42,IF(MATCHED!AL42=13,MATCHED!$N42,IF(MATCHED!AL42=14,MATCHED!$O42,"")))))))&amp;IF(MATCHED!AL42=15,MATCHED!$P42,IF(MATCHED!AL42=16,MATCHED!$Q42,IF(MATCHED!AL42=17,MATCHED!$R42,IF(MATCHED!AL42=18,MATCHED!$S42,IF(MATCHED!AL42=19,MATCHED!$T42,IF(MATCHED!AL42=20,MATCHED!$U42,IF(MATCHED!AL42=21,MATCHED!$V42,)))))))&amp;IF(MATCHED!AL42=22,MATCHED!$W42,IF(MATCHED!AL42=23,MATCHED!$X42,IF(MATCHED!AL42=24,MATCHED!$Y42,IF(MATCHED!AL42=25,MATCHED!$Z42,IF(MATCHED!AL42=26,MATCHED!$AA42,IF(MATCHED!AL42=27,MATCHED!$AB42,"."))))))</f>
        <v>#N/A</v>
      </c>
      <c r="K42" s="370" t="e">
        <f>IF(MATCHED!AM42=1,MATCHED!$B42,IF(MATCHED!AM42=2,MATCHED!$C42,IF(MATCHED!AM42=3,MATCHED!$D42,IF(MATCHED!AM42=4,MATCHED!$E42,IF(MATCHED!AM42=3,MATCHED!$F42,IF(MATCHED!AM42=6,MATCHED!$G42,IF(MATCHED!AM42=7,MATCHED!$H42,"")))))))&amp;IF(MATCHED!AM42=8,MATCHED!$I42,IF(MATCHED!AM42=9,MATCHED!$J42,IF(MATCHED!AM42=10,MATCHED!$K42,IF(MATCHED!AM42=11,MATCHED!$L42,IF(MATCHED!AM42=12,MATCHED!$M42,IF(MATCHED!AM42=13,MATCHED!$N42,IF(MATCHED!AM42=14,MATCHED!$O42,"")))))))&amp;IF(MATCHED!AM42=15,MATCHED!$P42,IF(MATCHED!AM42=16,MATCHED!$Q42,IF(MATCHED!AM42=17,MATCHED!$R42,IF(MATCHED!AM42=18,MATCHED!$S42,IF(MATCHED!AM42=19,MATCHED!$T42,IF(MATCHED!AM42=20,MATCHED!$U42,IF(MATCHED!AM42=21,MATCHED!$V42,)))))))&amp;IF(MATCHED!AM42=22,MATCHED!$W42,IF(MATCHED!AM42=23,MATCHED!$X42,IF(MATCHED!AM42=24,MATCHED!$Y42,IF(MATCHED!AM42=25,MATCHED!$Z42,IF(MATCHED!AM42=26,MATCHED!$AA42,IF(MATCHED!AM42=27,MATCHED!$AB42,"."))))))</f>
        <v>#N/A</v>
      </c>
      <c r="L42" s="370" t="e">
        <f>IF(MATCHED!AN42=1,MATCHED!$B42,IF(MATCHED!AN42=2,MATCHED!$C42,IF(MATCHED!AN42=3,MATCHED!$D42,IF(MATCHED!AN42=4,MATCHED!$E42,IF(MATCHED!AN42=3,MATCHED!$F42,IF(MATCHED!AN42=6,MATCHED!$G42,IF(MATCHED!AN42=7,MATCHED!$H42,"")))))))&amp;IF(MATCHED!AN42=8,MATCHED!$I42,IF(MATCHED!AN42=9,MATCHED!$J42,IF(MATCHED!AN42=10,MATCHED!$K42,IF(MATCHED!AN42=11,MATCHED!$L42,IF(MATCHED!AN42=12,MATCHED!$M42,IF(MATCHED!AN42=13,MATCHED!$N42,IF(MATCHED!AN42=14,MATCHED!$O42,"")))))))&amp;IF(MATCHED!AN42=15,MATCHED!$P42,IF(MATCHED!AN42=16,MATCHED!$Q42,IF(MATCHED!AN42=17,MATCHED!$R42,IF(MATCHED!AN42=18,MATCHED!$S42,IF(MATCHED!AN42=19,MATCHED!$T42,IF(MATCHED!AN42=20,MATCHED!$U42,IF(MATCHED!AN42=21,MATCHED!$V42,)))))))&amp;IF(MATCHED!AN42=22,MATCHED!$W42,IF(MATCHED!AN42=23,MATCHED!$X42,IF(MATCHED!AN42=24,MATCHED!$Y42,IF(MATCHED!AN42=25,MATCHED!$Z42,IF(MATCHED!AN42=26,MATCHED!$AA42,IF(MATCHED!AN42=27,MATCHED!$AB42,"."))))))</f>
        <v>#N/A</v>
      </c>
      <c r="M42" s="370" t="e">
        <f>IF(MATCHED!AO42=1,MATCHED!$B42,IF(MATCHED!AO42=2,MATCHED!$C42,IF(MATCHED!AO42=3,MATCHED!$D42,IF(MATCHED!AO42=4,MATCHED!$E42,IF(MATCHED!AO42=3,MATCHED!$F42,IF(MATCHED!AO42=6,MATCHED!$G42,IF(MATCHED!AO42=7,MATCHED!$H42,"")))))))&amp;IF(MATCHED!AO42=8,MATCHED!$I42,IF(MATCHED!AO42=9,MATCHED!$J42,IF(MATCHED!AO42=10,MATCHED!$K42,IF(MATCHED!AO42=11,MATCHED!$L42,IF(MATCHED!AO42=12,MATCHED!$M42,IF(MATCHED!AO42=13,MATCHED!$N42,IF(MATCHED!AO42=14,MATCHED!$O42,"")))))))&amp;IF(MATCHED!AO42=15,MATCHED!$P42,IF(MATCHED!AO42=16,MATCHED!$Q42,IF(MATCHED!AO42=17,MATCHED!$R42,IF(MATCHED!AO42=18,MATCHED!$S42,IF(MATCHED!AO42=19,MATCHED!$T42,IF(MATCHED!AO42=20,MATCHED!$U42,IF(MATCHED!AO42=21,MATCHED!$V42,)))))))&amp;IF(MATCHED!AO42=22,MATCHED!$W42,IF(MATCHED!AO42=23,MATCHED!$X42,IF(MATCHED!AO42=24,MATCHED!$Y42,IF(MATCHED!AO42=25,MATCHED!$Z42,IF(MATCHED!AO42=26,MATCHED!$AA42,IF(MATCHED!AO42=27,MATCHED!$AB42,"."))))))</f>
        <v>#N/A</v>
      </c>
      <c r="N42" s="370" t="e">
        <f>IF(MATCHED!AP42=1,MATCHED!$B42,IF(MATCHED!AP42=2,MATCHED!$C42,IF(MATCHED!AP42=3,MATCHED!$D42,IF(MATCHED!AP42=4,MATCHED!$E42,IF(MATCHED!AP42=3,MATCHED!$F42,IF(MATCHED!AP42=6,MATCHED!$G42,IF(MATCHED!AP42=7,MATCHED!$H42,"")))))))&amp;IF(MATCHED!AP42=8,MATCHED!$I42,IF(MATCHED!AP42=9,MATCHED!$J42,IF(MATCHED!AP42=10,MATCHED!$K42,IF(MATCHED!AP42=11,MATCHED!$L42,IF(MATCHED!AP42=12,MATCHED!$M42,IF(MATCHED!AP42=13,MATCHED!$N42,IF(MATCHED!AP42=14,MATCHED!$O42,"")))))))&amp;IF(MATCHED!AP42=15,MATCHED!$P42,IF(MATCHED!AP42=16,MATCHED!$Q42,IF(MATCHED!AP42=17,MATCHED!$R42,IF(MATCHED!AP42=18,MATCHED!$S42,IF(MATCHED!AP42=19,MATCHED!$T42,IF(MATCHED!AP42=20,MATCHED!$U42,IF(MATCHED!AP42=21,MATCHED!$V42,)))))))&amp;IF(MATCHED!AP42=22,MATCHED!$W42,IF(MATCHED!AP42=23,MATCHED!$X42,IF(MATCHED!AP42=24,MATCHED!$Y42,IF(MATCHED!AP42=25,MATCHED!$Z42,IF(MATCHED!AP42=26,MATCHED!$AA42,IF(MATCHED!AP42=27,MATCHED!$AB42,"."))))))</f>
        <v>#N/A</v>
      </c>
      <c r="O42" s="370" t="e">
        <f>IF(MATCHED!AQ42=1,MATCHED!$B42,IF(MATCHED!AQ42=2,MATCHED!$C42,IF(MATCHED!AQ42=3,MATCHED!$D42,IF(MATCHED!AQ42=4,MATCHED!$E42,IF(MATCHED!AQ42=3,MATCHED!$F42,IF(MATCHED!AQ42=6,MATCHED!$G42,IF(MATCHED!AQ42=7,MATCHED!$H42,"")))))))&amp;IF(MATCHED!AQ42=8,MATCHED!$I42,IF(MATCHED!AQ42=9,MATCHED!$J42,IF(MATCHED!AQ42=10,MATCHED!$K42,IF(MATCHED!AQ42=11,MATCHED!$L42,IF(MATCHED!AQ42=12,MATCHED!$M42,IF(MATCHED!AQ42=13,MATCHED!$N42,IF(MATCHED!AQ42=14,MATCHED!$O42,"")))))))&amp;IF(MATCHED!AQ42=15,MATCHED!$P42,IF(MATCHED!AQ42=16,MATCHED!$Q42,IF(MATCHED!AQ42=17,MATCHED!$R42,IF(MATCHED!AQ42=18,MATCHED!$S42,IF(MATCHED!AQ42=19,MATCHED!$T42,IF(MATCHED!AQ42=20,MATCHED!$U42,IF(MATCHED!AQ42=21,MATCHED!$V42,)))))))&amp;IF(MATCHED!AQ42=22,MATCHED!$W42,IF(MATCHED!AQ42=23,MATCHED!$X42,IF(MATCHED!AQ42=24,MATCHED!$Y42,IF(MATCHED!AQ42=25,MATCHED!$Z42,IF(MATCHED!AQ42=26,MATCHED!$AA42,IF(MATCHED!AQ42=27,MATCHED!$AB42,"."))))))</f>
        <v>#N/A</v>
      </c>
      <c r="P42" s="370" t="e">
        <f>IF(MATCHED!AR42=1,MATCHED!$B42,IF(MATCHED!AR42=2,MATCHED!$C42,IF(MATCHED!AR42=3,MATCHED!$D42,IF(MATCHED!AR42=4,MATCHED!$E42,IF(MATCHED!AR42=3,MATCHED!$F42,IF(MATCHED!AR42=6,MATCHED!$G42,IF(MATCHED!AR42=7,MATCHED!$H42,"")))))))&amp;IF(MATCHED!AR42=8,MATCHED!$I42,IF(MATCHED!AR42=9,MATCHED!$J42,IF(MATCHED!AR42=10,MATCHED!$K42,IF(MATCHED!AR42=11,MATCHED!$L42,IF(MATCHED!AR42=12,MATCHED!$M42,IF(MATCHED!AR42=13,MATCHED!$N42,IF(MATCHED!AR42=14,MATCHED!$O42,"")))))))&amp;IF(MATCHED!AR42=15,MATCHED!$P42,IF(MATCHED!AR42=16,MATCHED!$Q42,IF(MATCHED!AR42=17,MATCHED!$R42,IF(MATCHED!AR42=18,MATCHED!$S42,IF(MATCHED!AR42=19,MATCHED!$T42,IF(MATCHED!AR42=20,MATCHED!$U42,IF(MATCHED!AR42=21,MATCHED!$V42,)))))))&amp;IF(MATCHED!AR42=22,MATCHED!$W42,IF(MATCHED!AR42=23,MATCHED!$X42,IF(MATCHED!AR42=24,MATCHED!$Y42,IF(MATCHED!AR42=25,MATCHED!$Z42,IF(MATCHED!AR42=26,MATCHED!$AA42,IF(MATCHED!AR42=27,MATCHED!$AB42,"."))))))</f>
        <v>#N/A</v>
      </c>
      <c r="Q42" s="371" t="e">
        <f>IF(MATCHED!AS42=1,MATCHED!$B42,IF(MATCHED!AS42=2,MATCHED!$C42,IF(MATCHED!AS42=3,MATCHED!$D42,IF(MATCHED!AS42=4,MATCHED!$E42,IF(MATCHED!AS42=3,MATCHED!$F42,IF(MATCHED!AS42=6,MATCHED!$G42,IF(MATCHED!AS42=7,MATCHED!$H42,"")))))))&amp;IF(MATCHED!AS42=8,MATCHED!$I42,IF(MATCHED!AS42=9,MATCHED!$J42,IF(MATCHED!AS42=10,MATCHED!$K42,IF(MATCHED!AS42=11,MATCHED!$L42,IF(MATCHED!AS42=12,MATCHED!$M42,IF(MATCHED!AS42=13,MATCHED!$N42,IF(MATCHED!AS42=14,MATCHED!$O42,"")))))))&amp;IF(MATCHED!AS42=15,MATCHED!$P42,IF(MATCHED!AS42=16,MATCHED!$Q42,IF(MATCHED!AS42=17,MATCHED!$R42,IF(MATCHED!AS42=18,MATCHED!$S42,IF(MATCHED!AS42=19,MATCHED!$T42,IF(MATCHED!AS42=20,MATCHED!$U42,IF(MATCHED!AS42=21,MATCHED!$V42,)))))))&amp;IF(MATCHED!AS42=22,MATCHED!$W42,IF(MATCHED!AS42=23,MATCHED!$X42,IF(MATCHED!AS42=24,MATCHED!$Y42,IF(MATCHED!AS42=25,MATCHED!$Z42,IF(MATCHED!AS42=26,MATCHED!$AA42,IF(MATCHED!AS42=27,MATCHED!$AB42,"."))))))</f>
        <v>#N/A</v>
      </c>
      <c r="R42" s="370" t="e">
        <f>IF(MATCHED!AT42=1,MATCHED!$B42,IF(MATCHED!AT42=2,MATCHED!$C42,IF(MATCHED!AT42=3,MATCHED!$D42,IF(MATCHED!AT42=4,MATCHED!$E42,IF(MATCHED!AT42=3,MATCHED!$F42,IF(MATCHED!AT42=6,MATCHED!$G42,IF(MATCHED!AT42=7,MATCHED!$H42,"")))))))&amp;IF(MATCHED!AT42=8,MATCHED!$I42,IF(MATCHED!AT42=9,MATCHED!$J42,IF(MATCHED!AT42=10,MATCHED!$K42,IF(MATCHED!AT42=11,MATCHED!$L42,IF(MATCHED!AT42=12,MATCHED!$M42,IF(MATCHED!AT42=13,MATCHED!$N42,IF(MATCHED!AT42=14,MATCHED!$O42,"")))))))&amp;IF(MATCHED!AT42=15,MATCHED!$P42,IF(MATCHED!AT42=16,MATCHED!$Q42,IF(MATCHED!AT42=17,MATCHED!$R42,IF(MATCHED!AT42=18,MATCHED!$S42,IF(MATCHED!AT42=19,MATCHED!$T42,IF(MATCHED!AT42=20,MATCHED!$U42,IF(MATCHED!AT42=21,MATCHED!$V42,)))))))&amp;IF(MATCHED!AT42=22,MATCHED!$W42,IF(MATCHED!AT42=23,MATCHED!$X42,IF(MATCHED!AT42=24,MATCHED!$Y42,IF(MATCHED!AT42=25,MATCHED!$Z42,IF(MATCHED!AT42=26,MATCHED!$AA42,IF(MATCHED!AT42=27,MATCHED!$AB42,"."))))))</f>
        <v>#N/A</v>
      </c>
      <c r="S42" s="370" t="e">
        <f>IF(MATCHED!AU42=1,MATCHED!$B42,IF(MATCHED!AU42=2,MATCHED!$C42,IF(MATCHED!AU42=3,MATCHED!$D42,IF(MATCHED!AU42=4,MATCHED!$E42,IF(MATCHED!AU42=3,MATCHED!$F42,IF(MATCHED!AU42=6,MATCHED!$G42,IF(MATCHED!AU42=7,MATCHED!$H42,"")))))))&amp;IF(MATCHED!AU42=8,MATCHED!$I42,IF(MATCHED!AU42=9,MATCHED!$J42,IF(MATCHED!AU42=10,MATCHED!$K42,IF(MATCHED!AU42=11,MATCHED!$L42,IF(MATCHED!AU42=12,MATCHED!$M42,IF(MATCHED!AU42=13,MATCHED!$N42,IF(MATCHED!AU42=14,MATCHED!$O42,"")))))))&amp;IF(MATCHED!AU42=15,MATCHED!$P42,IF(MATCHED!AU42=16,MATCHED!$Q42,IF(MATCHED!AU42=17,MATCHED!$R42,IF(MATCHED!AU42=18,MATCHED!$S42,IF(MATCHED!AU42=19,MATCHED!$T42,IF(MATCHED!AU42=20,MATCHED!$U42,IF(MATCHED!AU42=21,MATCHED!$V42,)))))))&amp;IF(MATCHED!AU42=22,MATCHED!$W42,IF(MATCHED!AU42=23,MATCHED!$X42,IF(MATCHED!AU42=24,MATCHED!$Y42,IF(MATCHED!AU42=25,MATCHED!$Z42,IF(MATCHED!AU42=26,MATCHED!$AA42,IF(MATCHED!AU42=27,MATCHED!$AB42,"."))))))</f>
        <v>#N/A</v>
      </c>
      <c r="T42" s="370" t="e">
        <f>IF(MATCHED!AV42=1,MATCHED!$B42,IF(MATCHED!AV42=2,MATCHED!$C42,IF(MATCHED!AV42=3,MATCHED!$D42,IF(MATCHED!AV42=4,MATCHED!$E42,IF(MATCHED!AV42=3,MATCHED!$F42,IF(MATCHED!AV42=6,MATCHED!$G42,IF(MATCHED!AV42=7,MATCHED!$H42,"")))))))&amp;IF(MATCHED!AV42=8,MATCHED!$I42,IF(MATCHED!AV42=9,MATCHED!$J42,IF(MATCHED!AV42=10,MATCHED!$K42,IF(MATCHED!AV42=11,MATCHED!$L42,IF(MATCHED!AV42=12,MATCHED!$M42,IF(MATCHED!AV42=13,MATCHED!$N42,IF(MATCHED!AV42=14,MATCHED!$O42,"")))))))&amp;IF(MATCHED!AV42=15,MATCHED!$P42,IF(MATCHED!AV42=16,MATCHED!$Q42,IF(MATCHED!AV42=17,MATCHED!$R42,IF(MATCHED!AV42=18,MATCHED!$S42,IF(MATCHED!AV42=19,MATCHED!$T42,IF(MATCHED!AV42=20,MATCHED!$U42,IF(MATCHED!AV42=21,MATCHED!$V42,)))))))&amp;IF(MATCHED!AV42=22,MATCHED!$W42,IF(MATCHED!AV42=23,MATCHED!$X42,IF(MATCHED!AV42=24,MATCHED!$Y42,IF(MATCHED!AV42=25,MATCHED!$Z42,IF(MATCHED!AV42=26,MATCHED!$AA42,IF(MATCHED!AV42=27,MATCHED!$AB42,"."))))))</f>
        <v>#N/A</v>
      </c>
      <c r="U42" s="370" t="e">
        <f>IF(MATCHED!AW42=1,MATCHED!$B42,IF(MATCHED!AW42=2,MATCHED!$C42,IF(MATCHED!AW42=3,MATCHED!$D42,IF(MATCHED!AW42=4,MATCHED!$E42,IF(MATCHED!AW42=3,MATCHED!$F42,IF(MATCHED!AW42=6,MATCHED!$G42,IF(MATCHED!AW42=7,MATCHED!$H42,"")))))))&amp;IF(MATCHED!AW42=8,MATCHED!$I42,IF(MATCHED!AW42=9,MATCHED!$J42,IF(MATCHED!AW42=10,MATCHED!$K42,IF(MATCHED!AW42=11,MATCHED!$L42,IF(MATCHED!AW42=12,MATCHED!$M42,IF(MATCHED!AW42=13,MATCHED!$N42,IF(MATCHED!AW42=14,MATCHED!$O42,"")))))))&amp;IF(MATCHED!AW42=15,MATCHED!$P42,IF(MATCHED!AW42=16,MATCHED!$Q42,IF(MATCHED!AW42=17,MATCHED!$R42,IF(MATCHED!AW42=18,MATCHED!$S42,IF(MATCHED!AW42=19,MATCHED!$T42,IF(MATCHED!AW42=20,MATCHED!$U42,IF(MATCHED!AW42=21,MATCHED!$V42,)))))))&amp;IF(MATCHED!AW42=22,MATCHED!$W42,IF(MATCHED!AW42=23,MATCHED!$X42,IF(MATCHED!AW42=24,MATCHED!$Y42,IF(MATCHED!AW42=25,MATCHED!$Z42,IF(MATCHED!AW42=26,MATCHED!$AA42,IF(MATCHED!AW42=27,MATCHED!$AB42,"."))))))</f>
        <v>#N/A</v>
      </c>
      <c r="V42" s="370" t="e">
        <f>IF(MATCHED!AX42=1,MATCHED!$B42,IF(MATCHED!AX42=2,MATCHED!$C42,IF(MATCHED!AX42=3,MATCHED!$D42,IF(MATCHED!AX42=4,MATCHED!$E42,IF(MATCHED!AX42=3,MATCHED!$F42,IF(MATCHED!AX42=6,MATCHED!$G42,IF(MATCHED!AX42=7,MATCHED!$H42,"")))))))&amp;IF(MATCHED!AX42=8,MATCHED!$I42,IF(MATCHED!AX42=9,MATCHED!$J42,IF(MATCHED!AX42=10,MATCHED!$K42,IF(MATCHED!AX42=11,MATCHED!$L42,IF(MATCHED!AX42=12,MATCHED!$M42,IF(MATCHED!AX42=13,MATCHED!$N42,IF(MATCHED!AX42=14,MATCHED!$O42,"")))))))&amp;IF(MATCHED!AX42=15,MATCHED!$P42,IF(MATCHED!AX42=16,MATCHED!$Q42,IF(MATCHED!AX42=17,MATCHED!$R42,IF(MATCHED!AX42=18,MATCHED!$S42,IF(MATCHED!AX42=19,MATCHED!$T42,IF(MATCHED!AX42=20,MATCHED!$U42,IF(MATCHED!AX42=21,MATCHED!$V42,)))))))&amp;IF(MATCHED!AX42=22,MATCHED!$W42,IF(MATCHED!AX42=23,MATCHED!$X42,IF(MATCHED!AX42=24,MATCHED!$Y42,IF(MATCHED!AX42=25,MATCHED!$Z42,IF(MATCHED!AX42=26,MATCHED!$AA42,IF(MATCHED!AX42=27,MATCHED!$AB42,"."))))))</f>
        <v>#N/A</v>
      </c>
      <c r="W42" s="370" t="e">
        <f>IF(MATCHED!AY42=1,MATCHED!$B42,IF(MATCHED!AY42=2,MATCHED!$C42,IF(MATCHED!AY42=3,MATCHED!$D42,IF(MATCHED!AY42=4,MATCHED!$E42,IF(MATCHED!AY42=3,MATCHED!$F42,IF(MATCHED!AY42=6,MATCHED!$G42,IF(MATCHED!AY42=7,MATCHED!$H42,"")))))))&amp;IF(MATCHED!AY42=8,MATCHED!$I42,IF(MATCHED!AY42=9,MATCHED!$J42,IF(MATCHED!AY42=10,MATCHED!$K42,IF(MATCHED!AY42=11,MATCHED!$L42,IF(MATCHED!AY42=12,MATCHED!$M42,IF(MATCHED!AY42=13,MATCHED!$N42,IF(MATCHED!AY42=14,MATCHED!$O42,"")))))))&amp;IF(MATCHED!AY42=15,MATCHED!$P42,IF(MATCHED!AY42=16,MATCHED!$Q42,IF(MATCHED!AY42=17,MATCHED!$R42,IF(MATCHED!AY42=18,MATCHED!$S42,IF(MATCHED!AY42=19,MATCHED!$T42,IF(MATCHED!AY42=20,MATCHED!$U42,IF(MATCHED!AY42=21,MATCHED!$V42,)))))))&amp;IF(MATCHED!AY42=22,MATCHED!$W42,IF(MATCHED!AY42=23,MATCHED!$X42,IF(MATCHED!AY42=24,MATCHED!$Y42,IF(MATCHED!AY42=25,MATCHED!$Z42,IF(MATCHED!AY42=26,MATCHED!$AA42,IF(MATCHED!AY42=27,MATCHED!$AB42,"."))))))</f>
        <v>#N/A</v>
      </c>
      <c r="X42" s="370" t="e">
        <f>IF(MATCHED!AZ42=1,MATCHED!$B42,IF(MATCHED!AZ42=2,MATCHED!$C42,IF(MATCHED!AZ42=3,MATCHED!$D42,IF(MATCHED!AZ42=4,MATCHED!$E42,IF(MATCHED!AZ42=3,MATCHED!$F42,IF(MATCHED!AZ42=6,MATCHED!$G42,IF(MATCHED!AZ42=7,MATCHED!$H42,"")))))))&amp;IF(MATCHED!AZ42=8,MATCHED!$I42,IF(MATCHED!AZ42=9,MATCHED!$J42,IF(MATCHED!AZ42=10,MATCHED!$K42,IF(MATCHED!AZ42=11,MATCHED!$L42,IF(MATCHED!AZ42=12,MATCHED!$M42,IF(MATCHED!AZ42=13,MATCHED!$N42,IF(MATCHED!AZ42=14,MATCHED!$O42,"")))))))&amp;IF(MATCHED!AZ42=15,MATCHED!$P42,IF(MATCHED!AZ42=16,MATCHED!$Q42,IF(MATCHED!AZ42=17,MATCHED!$R42,IF(MATCHED!AZ42=18,MATCHED!$S42,IF(MATCHED!AZ42=19,MATCHED!$T42,IF(MATCHED!AZ42=20,MATCHED!$U42,IF(MATCHED!AZ42=21,MATCHED!$V42,)))))))&amp;IF(MATCHED!AZ42=22,MATCHED!$W42,IF(MATCHED!AZ42=23,MATCHED!$X42,IF(MATCHED!AZ42=24,MATCHED!$Y42,IF(MATCHED!AZ42=25,MATCHED!$Z42,IF(MATCHED!AZ42=26,MATCHED!$AA42,IF(MATCHED!AZ42=27,MATCHED!$AB42,"."))))))</f>
        <v>#N/A</v>
      </c>
      <c r="Y42" s="370" t="e">
        <f>IF(MATCHED!BA42=1,MATCHED!$B42,IF(MATCHED!BA42=2,MATCHED!$C42,IF(MATCHED!BA42=3,MATCHED!$D42,IF(MATCHED!BA42=4,MATCHED!$E42,IF(MATCHED!BA42=3,MATCHED!$F42,IF(MATCHED!BA42=6,MATCHED!$G42,IF(MATCHED!BA42=7,MATCHED!$H42,"")))))))&amp;IF(MATCHED!BA42=8,MATCHED!$I42,IF(MATCHED!BA42=9,MATCHED!$J42,IF(MATCHED!BA42=10,MATCHED!$K42,IF(MATCHED!BA42=11,MATCHED!$L42,IF(MATCHED!BA42=12,MATCHED!$M42,IF(MATCHED!BA42=13,MATCHED!$N42,IF(MATCHED!BA42=14,MATCHED!$O42,"")))))))&amp;IF(MATCHED!BA42=15,MATCHED!$P42,IF(MATCHED!BA42=16,MATCHED!$Q42,IF(MATCHED!BA42=17,MATCHED!$R42,IF(MATCHED!BA42=18,MATCHED!$S42,IF(MATCHED!BA42=19,MATCHED!$T42,IF(MATCHED!BA42=20,MATCHED!$U42,IF(MATCHED!BA42=21,MATCHED!$V42,)))))))&amp;IF(MATCHED!BA42=22,MATCHED!$W42,IF(MATCHED!BA42=23,MATCHED!$X42,IF(MATCHED!BA42=24,MATCHED!$Y42,IF(MATCHED!BA42=25,MATCHED!$Z42,IF(MATCHED!BA42=26,MATCHED!$AA42,IF(MATCHED!BA42=27,MATCHED!$AB42,"."))))))</f>
        <v>#N/A</v>
      </c>
      <c r="Z42" s="370" t="e">
        <f>IF(MATCHED!BB42=1,MATCHED!$B42,IF(MATCHED!BB42=2,MATCHED!$C42,IF(MATCHED!BB42=3,MATCHED!$D42,IF(MATCHED!BB42=4,MATCHED!$E42,IF(MATCHED!BB42=3,MATCHED!$F42,IF(MATCHED!BB42=6,MATCHED!$G42,IF(MATCHED!BB42=7,MATCHED!$H42,"")))))))&amp;IF(MATCHED!BB42=8,MATCHED!$I42,IF(MATCHED!BB42=9,MATCHED!$J42,IF(MATCHED!BB42=10,MATCHED!$K42,IF(MATCHED!BB42=11,MATCHED!$L42,IF(MATCHED!BB42=12,MATCHED!$M42,IF(MATCHED!BB42=13,MATCHED!$N42,IF(MATCHED!BB42=14,MATCHED!$O42,"")))))))&amp;IF(MATCHED!BB42=15,MATCHED!$P42,IF(MATCHED!BB42=16,MATCHED!$Q42,IF(MATCHED!BB42=17,MATCHED!$R42,IF(MATCHED!BB42=18,MATCHED!$S42,IF(MATCHED!BB42=19,MATCHED!$T42,IF(MATCHED!BB42=20,MATCHED!$U42,IF(MATCHED!BB42=21,MATCHED!$V42,)))))))&amp;IF(MATCHED!BB42=22,MATCHED!$W42,IF(MATCHED!BB42=23,MATCHED!$X42,IF(MATCHED!BB42=24,MATCHED!$Y42,IF(MATCHED!BB42=25,MATCHED!$Z42,IF(MATCHED!BB42=26,MATCHED!$AA42,IF(MATCHED!BB42=27,MATCHED!$AB42,"."))))))</f>
        <v>#N/A</v>
      </c>
      <c r="AA42" s="370" t="e">
        <f>IF(MATCHED!BC42=1,MATCHED!$B42,IF(MATCHED!BC42=2,MATCHED!$C42,IF(MATCHED!BC42=3,MATCHED!$D42,IF(MATCHED!BC42=4,MATCHED!$E42,IF(MATCHED!BC42=3,MATCHED!$F42,IF(MATCHED!BC42=6,MATCHED!$G42,IF(MATCHED!BC42=7,MATCHED!$H42,"")))))))&amp;IF(MATCHED!BC42=8,MATCHED!$I42,IF(MATCHED!BC42=9,MATCHED!$J42,IF(MATCHED!BC42=10,MATCHED!$K42,IF(MATCHED!BC42=11,MATCHED!$L42,IF(MATCHED!BC42=12,MATCHED!$M42,IF(MATCHED!BC42=13,MATCHED!$N42,IF(MATCHED!BC42=14,MATCHED!$O42,"")))))))&amp;IF(MATCHED!BC42=15,MATCHED!$P42,IF(MATCHED!BC42=16,MATCHED!$Q42,IF(MATCHED!BC42=17,MATCHED!$R42,IF(MATCHED!BC42=18,MATCHED!$S42,IF(MATCHED!BC42=19,MATCHED!$T42,IF(MATCHED!BC42=20,MATCHED!$U42,IF(MATCHED!BC42=21,MATCHED!$V42,)))))))&amp;IF(MATCHED!BC42=22,MATCHED!$W42,IF(MATCHED!BC42=23,MATCHED!$X42,IF(MATCHED!BC42=24,MATCHED!$Y42,IF(MATCHED!BC42=25,MATCHED!$Z42,IF(MATCHED!BC42=26,MATCHED!$AA42,IF(MATCHED!BC42=27,MATCHED!$AB42,"."))))))</f>
        <v>#N/A</v>
      </c>
      <c r="AB42" s="370" t="e">
        <f>IF(MATCHED!BD42=1,MATCHED!$B42,IF(MATCHED!BD42=2,MATCHED!$C42,IF(MATCHED!BD42=3,MATCHED!$D42,IF(MATCHED!BD42=4,MATCHED!$E42,IF(MATCHED!BD42=3,MATCHED!$F42,IF(MATCHED!BD42=6,MATCHED!$G42,IF(MATCHED!BD42=7,MATCHED!$H42,"")))))))&amp;IF(MATCHED!BD42=8,MATCHED!$I42,IF(MATCHED!BD42=9,MATCHED!$J42,IF(MATCHED!BD42=10,MATCHED!$K42,IF(MATCHED!BD42=11,MATCHED!$L42,IF(MATCHED!BD42=12,MATCHED!$M42,IF(MATCHED!BD42=13,MATCHED!$N42,IF(MATCHED!BD42=14,MATCHED!$O42,"")))))))&amp;IF(MATCHED!BD42=15,MATCHED!$P42,IF(MATCHED!BD42=16,MATCHED!$Q42,IF(MATCHED!BD42=17,MATCHED!$R42,IF(MATCHED!BD42=18,MATCHED!$S42,IF(MATCHED!BD42=19,MATCHED!$T42,IF(MATCHED!BD42=20,MATCHED!$U42,IF(MATCHED!BD42=21,MATCHED!$V42,)))))))&amp;IF(MATCHED!BD42=22,MATCHED!$W42,IF(MATCHED!BD42=23,MATCHED!$X42,IF(MATCHED!BD42=24,MATCHED!$Y42,IF(MATCHED!BD42=25,MATCHED!$Z42,IF(MATCHED!BD42=26,MATCHED!$AA42,IF(MATCHED!BD42=27,MATCHED!$AB42,"."))))))</f>
        <v>#N/A</v>
      </c>
      <c r="AC42" s="370" t="e">
        <f>IF(MATCHED!BE42=1,MATCHED!$B42,IF(MATCHED!BE42=2,MATCHED!$C42,IF(MATCHED!BE42=3,MATCHED!$D42,IF(MATCHED!BE42=4,MATCHED!$E42,IF(MATCHED!BE42=3,MATCHED!$F42,IF(MATCHED!BE42=6,MATCHED!$G42,IF(MATCHED!BE42=7,MATCHED!$H42,"")))))))&amp;IF(MATCHED!BE42=8,MATCHED!$I42,IF(MATCHED!BE42=9,MATCHED!$J42,IF(MATCHED!BE42=10,MATCHED!$K42,IF(MATCHED!BE42=11,MATCHED!$L42,IF(MATCHED!BE42=12,MATCHED!$M42,IF(MATCHED!BE42=13,MATCHED!$N42,IF(MATCHED!BE42=14,MATCHED!$O42,"")))))))&amp;IF(MATCHED!BE42=15,MATCHED!$P42,IF(MATCHED!BE42=16,MATCHED!$Q42,IF(MATCHED!BE42=17,MATCHED!$R42,IF(MATCHED!BE42=18,MATCHED!$S42,IF(MATCHED!BE42=19,MATCHED!$T42,IF(MATCHED!BE42=20,MATCHED!$U42,IF(MATCHED!BE42=21,MATCHED!$V42,)))))))&amp;IF(MATCHED!BE42=22,MATCHED!$W42,IF(MATCHED!BE42=23,MATCHED!$X42,IF(MATCHED!BE42=24,MATCHED!$Y42,IF(MATCHED!BE42=25,MATCHED!$Z42,IF(MATCHED!BE42=26,MATCHED!$AA42,IF(MATCHED!BE42=27,MATCHED!$AB42,"."))))))</f>
        <v>#N/A</v>
      </c>
      <c r="AD42" s="370" t="e">
        <f>IF(MATCHED!BF42=1,MATCHED!$B42,IF(MATCHED!BF42=2,MATCHED!$C42,IF(MATCHED!BF42=3,MATCHED!$D42,IF(MATCHED!BF42=4,MATCHED!$E42,IF(MATCHED!BF42=3,MATCHED!$F42,IF(MATCHED!BF42=6,MATCHED!$G42,IF(MATCHED!BF42=7,MATCHED!$H42,"")))))))&amp;IF(MATCHED!BF42=8,MATCHED!$I42,IF(MATCHED!BF42=9,MATCHED!$J42,IF(MATCHED!BF42=10,MATCHED!$K42,IF(MATCHED!BF42=11,MATCHED!$L42,IF(MATCHED!BF42=12,MATCHED!$M42,IF(MATCHED!BF42=13,MATCHED!$N42,IF(MATCHED!BF42=14,MATCHED!$O42,"")))))))&amp;IF(MATCHED!BF42=15,MATCHED!$P42,IF(MATCHED!BF42=16,MATCHED!$Q42,IF(MATCHED!BF42=17,MATCHED!$R42,IF(MATCHED!BF42=18,MATCHED!$S42,IF(MATCHED!BF42=19,MATCHED!$T42,IF(MATCHED!BF42=20,MATCHED!$U42,IF(MATCHED!BF42=21,MATCHED!$V42,)))))))&amp;IF(MATCHED!BF42=22,MATCHED!$W42,IF(MATCHED!BF42=23,MATCHED!$X42,IF(MATCHED!BF42=24,MATCHED!$Y42,IF(MATCHED!BF42=25,MATCHED!$Z42,IF(MATCHED!BF42=26,MATCHED!$AA42,IF(MATCHED!BF42=27,MATCHED!$AB42,"."))))))</f>
        <v>#N/A</v>
      </c>
      <c r="AE42" s="370" t="e">
        <f>IF(MATCHED!BG42=1,MATCHED!$B42,IF(MATCHED!BG42=2,MATCHED!$C42,IF(MATCHED!BG42=3,MATCHED!$D42,IF(MATCHED!BG42=4,MATCHED!$E42,IF(MATCHED!BG42=3,MATCHED!$F42,IF(MATCHED!BG42=6,MATCHED!$G42,IF(MATCHED!BG42=7,MATCHED!$H42,"")))))))&amp;IF(MATCHED!BG42=8,MATCHED!$I42,IF(MATCHED!BG42=9,MATCHED!$J42,IF(MATCHED!BG42=10,MATCHED!$K42,IF(MATCHED!BG42=11,MATCHED!$L42,IF(MATCHED!BG42=12,MATCHED!$M42,IF(MATCHED!BG42=13,MATCHED!$N42,IF(MATCHED!BG42=14,MATCHED!$O42,"")))))))&amp;IF(MATCHED!BG42=15,MATCHED!$P42,IF(MATCHED!BG42=16,MATCHED!$Q42,IF(MATCHED!BG42=17,MATCHED!$R42,IF(MATCHED!BG42=18,MATCHED!$S42,IF(MATCHED!BG42=19,MATCHED!$T42,IF(MATCHED!BG42=20,MATCHED!$U42,IF(MATCHED!BG42=21,MATCHED!$V42,)))))))&amp;IF(MATCHED!BG42=22,MATCHED!$W42,IF(MATCHED!BG42=23,MATCHED!$X42,IF(MATCHED!BG42=24,MATCHED!$Y42,IF(MATCHED!BG42=25,MATCHED!$Z42,IF(MATCHED!BG42=26,MATCHED!$AA42,IF(MATCHED!BG42=27,MATCHED!$AB42,"."))))))</f>
        <v>#N/A</v>
      </c>
      <c r="AF42" s="370" t="e">
        <f>IF(MATCHED!BH42=1,MATCHED!$B42,IF(MATCHED!BH42=2,MATCHED!$C42,IF(MATCHED!BH42=3,MATCHED!$D42,IF(MATCHED!BH42=4,MATCHED!$E42,IF(MATCHED!BH42=3,MATCHED!$F42,IF(MATCHED!BH42=6,MATCHED!$G42,IF(MATCHED!BH42=7,MATCHED!$H42,"")))))))&amp;IF(MATCHED!BH42=8,MATCHED!$I42,IF(MATCHED!BH42=9,MATCHED!$J42,IF(MATCHED!BH42=10,MATCHED!$K42,IF(MATCHED!BH42=11,MATCHED!$L42,IF(MATCHED!BH42=12,MATCHED!$M42,IF(MATCHED!BH42=13,MATCHED!$N42,IF(MATCHED!BH42=14,MATCHED!$O42,"")))))))&amp;IF(MATCHED!BH42=15,MATCHED!$P42,IF(MATCHED!BH42=16,MATCHED!$Q42,IF(MATCHED!BH42=17,MATCHED!$R42,IF(MATCHED!BH42=18,MATCHED!$S42,IF(MATCHED!BH42=19,MATCHED!$T42,IF(MATCHED!BH42=20,MATCHED!$U42,IF(MATCHED!BH42=21,MATCHED!$V42,)))))))&amp;IF(MATCHED!BH42=22,MATCHED!$W42,IF(MATCHED!BH42=23,MATCHED!$X42,IF(MATCHED!BH42=24,MATCHED!$Y42,IF(MATCHED!BH42=25,MATCHED!$Z42,IF(MATCHED!BH42=26,MATCHED!$AA42,IF(MATCHED!BH42=27,MATCHED!$AB42,"."))))))</f>
        <v>#N/A</v>
      </c>
      <c r="AG42" s="370" t="e">
        <f>IF(MATCHED!BI42=1,MATCHED!$B42,IF(MATCHED!BI42=2,MATCHED!$C42,IF(MATCHED!BI42=3,MATCHED!$D42,IF(MATCHED!BI42=4,MATCHED!$E42,IF(MATCHED!BI42=3,MATCHED!$F42,IF(MATCHED!BI42=6,MATCHED!$G42,IF(MATCHED!BI42=7,MATCHED!$H42,"")))))))&amp;IF(MATCHED!BI42=8,MATCHED!$I42,IF(MATCHED!BI42=9,MATCHED!$J42,IF(MATCHED!BI42=10,MATCHED!$K42,IF(MATCHED!BI42=11,MATCHED!$L42,IF(MATCHED!BI42=12,MATCHED!$M42,IF(MATCHED!BI42=13,MATCHED!$N42,IF(MATCHED!BI42=14,MATCHED!$O42,"")))))))&amp;IF(MATCHED!BI42=15,MATCHED!$P42,IF(MATCHED!BI42=16,MATCHED!$Q42,IF(MATCHED!BI42=17,MATCHED!$R42,IF(MATCHED!BI42=18,MATCHED!$S42,IF(MATCHED!BI42=19,MATCHED!$T42,IF(MATCHED!BI42=20,MATCHED!$U42,IF(MATCHED!BI42=21,MATCHED!$V42,)))))))&amp;IF(MATCHED!BI42=22,MATCHED!$W42,IF(MATCHED!BI42=23,MATCHED!$X42,IF(MATCHED!BI42=24,MATCHED!$Y42,IF(MATCHED!BI42=25,MATCHED!$Z42,IF(MATCHED!BI42=26,MATCHED!$AA42,IF(MATCHED!BI42=27,MATCHED!$AB42,"."))))))</f>
        <v>#N/A</v>
      </c>
      <c r="AH42" s="370" t="e">
        <f>IF(MATCHED!BJ42=1,MATCHED!$B42,IF(MATCHED!BJ42=2,MATCHED!$C42,IF(MATCHED!BJ42=3,MATCHED!$D42,IF(MATCHED!BJ42=4,MATCHED!$E42,IF(MATCHED!BJ42=3,MATCHED!$F42,IF(MATCHED!BJ42=6,MATCHED!$G42,IF(MATCHED!BJ42=7,MATCHED!$H42,"")))))))&amp;IF(MATCHED!BJ42=8,MATCHED!$I42,IF(MATCHED!BJ42=9,MATCHED!$J42,IF(MATCHED!BJ42=10,MATCHED!$K42,IF(MATCHED!BJ42=11,MATCHED!$L42,IF(MATCHED!BJ42=12,MATCHED!$M42,IF(MATCHED!BJ42=13,MATCHED!$N42,IF(MATCHED!BJ42=14,MATCHED!$O42,"")))))))&amp;IF(MATCHED!BJ42=15,MATCHED!$P42,IF(MATCHED!BJ42=16,MATCHED!$Q42,IF(MATCHED!BJ42=17,MATCHED!$R42,IF(MATCHED!BJ42=18,MATCHED!$S42,IF(MATCHED!BJ42=19,MATCHED!$T42,IF(MATCHED!BJ42=20,MATCHED!$U42,IF(MATCHED!BJ42=21,MATCHED!$V42,)))))))&amp;IF(MATCHED!BJ42=22,MATCHED!$W42,IF(MATCHED!BJ42=23,MATCHED!$X42,IF(MATCHED!BJ42=24,MATCHED!$Y42,IF(MATCHED!BJ42=25,MATCHED!$Z42,IF(MATCHED!BJ42=26,MATCHED!$AA42,IF(MATCHED!BJ42=27,MATCHED!$AB42,"."))))))</f>
        <v>#N/A</v>
      </c>
      <c r="AI42" s="370" t="e">
        <f>IF(MATCHED!BK42=1,MATCHED!$B42,IF(MATCHED!BK42=2,MATCHED!$C42,IF(MATCHED!BK42=3,MATCHED!$D42,IF(MATCHED!BK42=4,MATCHED!$E42,IF(MATCHED!BK42=3,MATCHED!$F42,IF(MATCHED!BK42=6,MATCHED!$G42,IF(MATCHED!BK42=7,MATCHED!$H42,"")))))))&amp;IF(MATCHED!BK42=8,MATCHED!$I42,IF(MATCHED!BK42=9,MATCHED!$J42,IF(MATCHED!BK42=10,MATCHED!$K42,IF(MATCHED!BK42=11,MATCHED!$L42,IF(MATCHED!BK42=12,MATCHED!$M42,IF(MATCHED!BK42=13,MATCHED!$N42,IF(MATCHED!BK42=14,MATCHED!$O42,"")))))))&amp;IF(MATCHED!BK42=15,MATCHED!$P42,IF(MATCHED!BK42=16,MATCHED!$Q42,IF(MATCHED!BK42=17,MATCHED!$R42,IF(MATCHED!BK42=18,MATCHED!$S42,IF(MATCHED!BK42=19,MATCHED!$T42,IF(MATCHED!BK42=20,MATCHED!$U42,IF(MATCHED!BK42=21,MATCHED!$V42,)))))))&amp;IF(MATCHED!BK42=22,MATCHED!$W42,IF(MATCHED!BK42=23,MATCHED!$X42,IF(MATCHED!BK42=24,MATCHED!$Y42,IF(MATCHED!BK42=25,MATCHED!$Z42,IF(MATCHED!BK42=26,MATCHED!$AA42,IF(MATCHED!BK42=27,MATCHED!$AB42,"."))))))</f>
        <v>#N/A</v>
      </c>
      <c r="AJ42" s="535"/>
    </row>
    <row r="43" spans="1:36" s="338" customFormat="1" x14ac:dyDescent="0.25">
      <c r="A43" s="535"/>
      <c r="B43" s="369" t="e">
        <f>IF(MATCHED!AD43=1,MATCHED!$B43,IF(MATCHED!AD43=2,MATCHED!$C43,IF(MATCHED!AD43=3,MATCHED!$D43,IF(MATCHED!AD43=4,MATCHED!$E43,IF(MATCHED!AD43=3,MATCHED!$F43,IF(MATCHED!AD43=6,MATCHED!$G43,IF(MATCHED!AD43=7,MATCHED!$H43,"")))))))&amp;IF(MATCHED!AD43=8,MATCHED!$I43,IF(MATCHED!AD43=9,MATCHED!$J43,IF(MATCHED!AD43=10,MATCHED!$K43,IF(MATCHED!AD43=11,MATCHED!$L43,IF(MATCHED!AD43=12,MATCHED!$M43,IF(MATCHED!AD43=13,MATCHED!$N43,IF(MATCHED!AD43=14,MATCHED!$O43,"")))))))&amp;IF(MATCHED!AD43=15,MATCHED!$P43,IF(MATCHED!AD43=16,MATCHED!$Q43,IF(MATCHED!AD43=17,MATCHED!$R43,IF(MATCHED!AD43=18,MATCHED!$S43,IF(MATCHED!AD43=19,MATCHED!$T43,IF(MATCHED!AD43=20,MATCHED!$U43,IF(MATCHED!AD43=21,MATCHED!$V43,)))))))&amp;IF(MATCHED!AD43=22,MATCHED!$W43,IF(MATCHED!AD43=23,MATCHED!$X43,IF(MATCHED!AD43=24,MATCHED!$Y43,IF(MATCHED!AD43=25,MATCHED!$Z43,IF(MATCHED!AD43=26,MATCHED!$AA43,IF(MATCHED!AD43=27,MATCHED!$AB43,"."))))))</f>
        <v>#N/A</v>
      </c>
      <c r="C43" s="370" t="e">
        <f>IF(MATCHED!AE43=1,MATCHED!$B43,IF(MATCHED!AE43=2,MATCHED!$C43,IF(MATCHED!AE43=3,MATCHED!$D43,IF(MATCHED!AE43=4,MATCHED!$E43,IF(MATCHED!AE43=3,MATCHED!$F43,IF(MATCHED!AE43=6,MATCHED!$G43,IF(MATCHED!AE43=7,MATCHED!$H43,"")))))))&amp;IF(MATCHED!AE43=8,MATCHED!$I43,IF(MATCHED!AE43=9,MATCHED!$J43,IF(MATCHED!AE43=10,MATCHED!$K43,IF(MATCHED!AE43=11,MATCHED!$L43,IF(MATCHED!AE43=12,MATCHED!$M43,IF(MATCHED!AE43=13,MATCHED!$N43,IF(MATCHED!AE43=14,MATCHED!$O43,"")))))))&amp;IF(MATCHED!AE43=15,MATCHED!$P43,IF(MATCHED!AE43=16,MATCHED!$Q43,IF(MATCHED!AE43=17,MATCHED!$R43,IF(MATCHED!AE43=18,MATCHED!$S43,IF(MATCHED!AE43=19,MATCHED!$T43,IF(MATCHED!AE43=20,MATCHED!$U43,IF(MATCHED!AE43=21,MATCHED!$V43,)))))))&amp;IF(MATCHED!AE43=22,MATCHED!$W43,IF(MATCHED!AE43=23,MATCHED!$X43,IF(MATCHED!AE43=24,MATCHED!$Y43,IF(MATCHED!AE43=25,MATCHED!$Z43,IF(MATCHED!AE43=26,MATCHED!$AA43,IF(MATCHED!AE43=27,MATCHED!$AB43,"."))))))</f>
        <v>#N/A</v>
      </c>
      <c r="D43" s="370" t="e">
        <f>IF(MATCHED!AF43=1,MATCHED!$B43,IF(MATCHED!AF43=2,MATCHED!$C43,IF(MATCHED!AF43=3,MATCHED!$D43,IF(MATCHED!AF43=4,MATCHED!$E43,IF(MATCHED!AF43=3,MATCHED!$F43,IF(MATCHED!AF43=6,MATCHED!$G43,IF(MATCHED!AF43=7,MATCHED!$H43,"")))))))&amp;IF(MATCHED!AF43=8,MATCHED!$I43,IF(MATCHED!AF43=9,MATCHED!$J43,IF(MATCHED!AF43=10,MATCHED!$K43,IF(MATCHED!AF43=11,MATCHED!$L43,IF(MATCHED!AF43=12,MATCHED!$M43,IF(MATCHED!AF43=13,MATCHED!$N43,IF(MATCHED!AF43=14,MATCHED!$O43,"")))))))&amp;IF(MATCHED!AF43=15,MATCHED!$P43,IF(MATCHED!AF43=16,MATCHED!$Q43,IF(MATCHED!AF43=17,MATCHED!$R43,IF(MATCHED!AF43=18,MATCHED!$S43,IF(MATCHED!AF43=19,MATCHED!$T43,IF(MATCHED!AF43=20,MATCHED!$U43,IF(MATCHED!AF43=21,MATCHED!$V43,)))))))&amp;IF(MATCHED!AF43=22,MATCHED!$W43,IF(MATCHED!AF43=23,MATCHED!$X43,IF(MATCHED!AF43=24,MATCHED!$Y43,IF(MATCHED!AF43=25,MATCHED!$Z43,IF(MATCHED!AF43=26,MATCHED!$AA43,IF(MATCHED!AF43=27,MATCHED!$AB43,"."))))))</f>
        <v>#N/A</v>
      </c>
      <c r="E43" s="370" t="e">
        <f>IF(MATCHED!AG43=1,MATCHED!$B43,IF(MATCHED!AG43=2,MATCHED!$C43,IF(MATCHED!AG43=3,MATCHED!$D43,IF(MATCHED!AG43=4,MATCHED!$E43,IF(MATCHED!AG43=3,MATCHED!$F43,IF(MATCHED!AG43=6,MATCHED!$G43,IF(MATCHED!AG43=7,MATCHED!$H43,"")))))))&amp;IF(MATCHED!AG43=8,MATCHED!$I43,IF(MATCHED!AG43=9,MATCHED!$J43,IF(MATCHED!AG43=10,MATCHED!$K43,IF(MATCHED!AG43=11,MATCHED!$L43,IF(MATCHED!AG43=12,MATCHED!$M43,IF(MATCHED!AG43=13,MATCHED!$N43,IF(MATCHED!AG43=14,MATCHED!$O43,"")))))))&amp;IF(MATCHED!AG43=15,MATCHED!$P43,IF(MATCHED!AG43=16,MATCHED!$Q43,IF(MATCHED!AG43=17,MATCHED!$R43,IF(MATCHED!AG43=18,MATCHED!$S43,IF(MATCHED!AG43=19,MATCHED!$T43,IF(MATCHED!AG43=20,MATCHED!$U43,IF(MATCHED!AG43=21,MATCHED!$V43,)))))))&amp;IF(MATCHED!AG43=22,MATCHED!$W43,IF(MATCHED!AG43=23,MATCHED!$X43,IF(MATCHED!AG43=24,MATCHED!$Y43,IF(MATCHED!AG43=25,MATCHED!$Z43,IF(MATCHED!AG43=26,MATCHED!$AA43,IF(MATCHED!AG43=27,MATCHED!$AB43,"."))))))</f>
        <v>#N/A</v>
      </c>
      <c r="F43" s="370" t="e">
        <f>IF(MATCHED!AH43=1,MATCHED!$B43,IF(MATCHED!AH43=2,MATCHED!$C43,IF(MATCHED!AH43=3,MATCHED!$D43,IF(MATCHED!AH43=4,MATCHED!$E43,IF(MATCHED!AH43=3,MATCHED!$F43,IF(MATCHED!AH43=6,MATCHED!$G43,IF(MATCHED!AH43=7,MATCHED!$H43,"")))))))&amp;IF(MATCHED!AH43=8,MATCHED!$I43,IF(MATCHED!AH43=9,MATCHED!$J43,IF(MATCHED!AH43=10,MATCHED!$K43,IF(MATCHED!AH43=11,MATCHED!$L43,IF(MATCHED!AH43=12,MATCHED!$M43,IF(MATCHED!AH43=13,MATCHED!$N43,IF(MATCHED!AH43=14,MATCHED!$O43,"")))))))&amp;IF(MATCHED!AH43=15,MATCHED!$P43,IF(MATCHED!AH43=16,MATCHED!$Q43,IF(MATCHED!AH43=17,MATCHED!$R43,IF(MATCHED!AH43=18,MATCHED!$S43,IF(MATCHED!AH43=19,MATCHED!$T43,IF(MATCHED!AH43=20,MATCHED!$U43,IF(MATCHED!AH43=21,MATCHED!$V43,)))))))&amp;IF(MATCHED!AH43=22,MATCHED!$W43,IF(MATCHED!AH43=23,MATCHED!$X43,IF(MATCHED!AH43=24,MATCHED!$Y43,IF(MATCHED!AH43=25,MATCHED!$Z43,IF(MATCHED!AH43=26,MATCHED!$AA43,IF(MATCHED!AH43=27,MATCHED!$AB43,"."))))))</f>
        <v>#N/A</v>
      </c>
      <c r="G43" s="370" t="e">
        <f>IF(MATCHED!AI43=1,MATCHED!$B43,IF(MATCHED!AI43=2,MATCHED!$C43,IF(MATCHED!AI43=3,MATCHED!$D43,IF(MATCHED!AI43=4,MATCHED!$E43,IF(MATCHED!AI43=3,MATCHED!$F43,IF(MATCHED!AI43=6,MATCHED!$G43,IF(MATCHED!AI43=7,MATCHED!$H43,"")))))))&amp;IF(MATCHED!AI43=8,MATCHED!$I43,IF(MATCHED!AI43=9,MATCHED!$J43,IF(MATCHED!AI43=10,MATCHED!$K43,IF(MATCHED!AI43=11,MATCHED!$L43,IF(MATCHED!AI43=12,MATCHED!$M43,IF(MATCHED!AI43=13,MATCHED!$N43,IF(MATCHED!AI43=14,MATCHED!$O43,"")))))))&amp;IF(MATCHED!AI43=15,MATCHED!$P43,IF(MATCHED!AI43=16,MATCHED!$Q43,IF(MATCHED!AI43=17,MATCHED!$R43,IF(MATCHED!AI43=18,MATCHED!$S43,IF(MATCHED!AI43=19,MATCHED!$T43,IF(MATCHED!AI43=20,MATCHED!$U43,IF(MATCHED!AI43=21,MATCHED!$V43,)))))))&amp;IF(MATCHED!AI43=22,MATCHED!$W43,IF(MATCHED!AI43=23,MATCHED!$X43,IF(MATCHED!AI43=24,MATCHED!$Y43,IF(MATCHED!AI43=25,MATCHED!$Z43,IF(MATCHED!AI43=26,MATCHED!$AA43,IF(MATCHED!AI43=27,MATCHED!$AB43,"."))))))</f>
        <v>#N/A</v>
      </c>
      <c r="H43" s="370" t="e">
        <f>IF(MATCHED!AJ43=1,MATCHED!$B43,IF(MATCHED!AJ43=2,MATCHED!$C43,IF(MATCHED!AJ43=3,MATCHED!$D43,IF(MATCHED!AJ43=4,MATCHED!$E43,IF(MATCHED!AJ43=3,MATCHED!$F43,IF(MATCHED!AJ43=6,MATCHED!$G43,IF(MATCHED!AJ43=7,MATCHED!$H43,"")))))))&amp;IF(MATCHED!AJ43=8,MATCHED!$I43,IF(MATCHED!AJ43=9,MATCHED!$J43,IF(MATCHED!AJ43=10,MATCHED!$K43,IF(MATCHED!AJ43=11,MATCHED!$L43,IF(MATCHED!AJ43=12,MATCHED!$M43,IF(MATCHED!AJ43=13,MATCHED!$N43,IF(MATCHED!AJ43=14,MATCHED!$O43,"")))))))&amp;IF(MATCHED!AJ43=15,MATCHED!$P43,IF(MATCHED!AJ43=16,MATCHED!$Q43,IF(MATCHED!AJ43=17,MATCHED!$R43,IF(MATCHED!AJ43=18,MATCHED!$S43,IF(MATCHED!AJ43=19,MATCHED!$T43,IF(MATCHED!AJ43=20,MATCHED!$U43,IF(MATCHED!AJ43=21,MATCHED!$V43,)))))))&amp;IF(MATCHED!AJ43=22,MATCHED!$W43,IF(MATCHED!AJ43=23,MATCHED!$X43,IF(MATCHED!AJ43=24,MATCHED!$Y43,IF(MATCHED!AJ43=25,MATCHED!$Z43,IF(MATCHED!AJ43=26,MATCHED!$AA43,IF(MATCHED!AJ43=27,MATCHED!$AB43,"."))))))</f>
        <v>#N/A</v>
      </c>
      <c r="I43" s="370" t="e">
        <f>IF(MATCHED!AK43=1,MATCHED!$B43,IF(MATCHED!AK43=2,MATCHED!$C43,IF(MATCHED!AK43=3,MATCHED!$D43,IF(MATCHED!AK43=4,MATCHED!$E43,IF(MATCHED!AK43=3,MATCHED!$F43,IF(MATCHED!AK43=6,MATCHED!$G43,IF(MATCHED!AK43=7,MATCHED!$H43,"")))))))&amp;IF(MATCHED!AK43=8,MATCHED!$I43,IF(MATCHED!AK43=9,MATCHED!$J43,IF(MATCHED!AK43=10,MATCHED!$K43,IF(MATCHED!AK43=11,MATCHED!$L43,IF(MATCHED!AK43=12,MATCHED!$M43,IF(MATCHED!AK43=13,MATCHED!$N43,IF(MATCHED!AK43=14,MATCHED!$O43,"")))))))&amp;IF(MATCHED!AK43=15,MATCHED!$P43,IF(MATCHED!AK43=16,MATCHED!$Q43,IF(MATCHED!AK43=17,MATCHED!$R43,IF(MATCHED!AK43=18,MATCHED!$S43,IF(MATCHED!AK43=19,MATCHED!$T43,IF(MATCHED!AK43=20,MATCHED!$U43,IF(MATCHED!AK43=21,MATCHED!$V43,)))))))&amp;IF(MATCHED!AK43=22,MATCHED!$W43,IF(MATCHED!AK43=23,MATCHED!$X43,IF(MATCHED!AK43=24,MATCHED!$Y43,IF(MATCHED!AK43=25,MATCHED!$Z43,IF(MATCHED!AK43=26,MATCHED!$AA43,IF(MATCHED!AK43=27,MATCHED!$AB43,"."))))))</f>
        <v>#N/A</v>
      </c>
      <c r="J43" s="370" t="e">
        <f>IF(MATCHED!AL43=1,MATCHED!$B43,IF(MATCHED!AL43=2,MATCHED!$C43,IF(MATCHED!AL43=3,MATCHED!$D43,IF(MATCHED!AL43=4,MATCHED!$E43,IF(MATCHED!AL43=3,MATCHED!$F43,IF(MATCHED!AL43=6,MATCHED!$G43,IF(MATCHED!AL43=7,MATCHED!$H43,"")))))))&amp;IF(MATCHED!AL43=8,MATCHED!$I43,IF(MATCHED!AL43=9,MATCHED!$J43,IF(MATCHED!AL43=10,MATCHED!$K43,IF(MATCHED!AL43=11,MATCHED!$L43,IF(MATCHED!AL43=12,MATCHED!$M43,IF(MATCHED!AL43=13,MATCHED!$N43,IF(MATCHED!AL43=14,MATCHED!$O43,"")))))))&amp;IF(MATCHED!AL43=15,MATCHED!$P43,IF(MATCHED!AL43=16,MATCHED!$Q43,IF(MATCHED!AL43=17,MATCHED!$R43,IF(MATCHED!AL43=18,MATCHED!$S43,IF(MATCHED!AL43=19,MATCHED!$T43,IF(MATCHED!AL43=20,MATCHED!$U43,IF(MATCHED!AL43=21,MATCHED!$V43,)))))))&amp;IF(MATCHED!AL43=22,MATCHED!$W43,IF(MATCHED!AL43=23,MATCHED!$X43,IF(MATCHED!AL43=24,MATCHED!$Y43,IF(MATCHED!AL43=25,MATCHED!$Z43,IF(MATCHED!AL43=26,MATCHED!$AA43,IF(MATCHED!AL43=27,MATCHED!$AB43,"."))))))</f>
        <v>#N/A</v>
      </c>
      <c r="K43" s="370" t="e">
        <f>IF(MATCHED!AM43=1,MATCHED!$B43,IF(MATCHED!AM43=2,MATCHED!$C43,IF(MATCHED!AM43=3,MATCHED!$D43,IF(MATCHED!AM43=4,MATCHED!$E43,IF(MATCHED!AM43=3,MATCHED!$F43,IF(MATCHED!AM43=6,MATCHED!$G43,IF(MATCHED!AM43=7,MATCHED!$H43,"")))))))&amp;IF(MATCHED!AM43=8,MATCHED!$I43,IF(MATCHED!AM43=9,MATCHED!$J43,IF(MATCHED!AM43=10,MATCHED!$K43,IF(MATCHED!AM43=11,MATCHED!$L43,IF(MATCHED!AM43=12,MATCHED!$M43,IF(MATCHED!AM43=13,MATCHED!$N43,IF(MATCHED!AM43=14,MATCHED!$O43,"")))))))&amp;IF(MATCHED!AM43=15,MATCHED!$P43,IF(MATCHED!AM43=16,MATCHED!$Q43,IF(MATCHED!AM43=17,MATCHED!$R43,IF(MATCHED!AM43=18,MATCHED!$S43,IF(MATCHED!AM43=19,MATCHED!$T43,IF(MATCHED!AM43=20,MATCHED!$U43,IF(MATCHED!AM43=21,MATCHED!$V43,)))))))&amp;IF(MATCHED!AM43=22,MATCHED!$W43,IF(MATCHED!AM43=23,MATCHED!$X43,IF(MATCHED!AM43=24,MATCHED!$Y43,IF(MATCHED!AM43=25,MATCHED!$Z43,IF(MATCHED!AM43=26,MATCHED!$AA43,IF(MATCHED!AM43=27,MATCHED!$AB43,"."))))))</f>
        <v>#N/A</v>
      </c>
      <c r="L43" s="370" t="e">
        <f>IF(MATCHED!AN43=1,MATCHED!$B43,IF(MATCHED!AN43=2,MATCHED!$C43,IF(MATCHED!AN43=3,MATCHED!$D43,IF(MATCHED!AN43=4,MATCHED!$E43,IF(MATCHED!AN43=3,MATCHED!$F43,IF(MATCHED!AN43=6,MATCHED!$G43,IF(MATCHED!AN43=7,MATCHED!$H43,"")))))))&amp;IF(MATCHED!AN43=8,MATCHED!$I43,IF(MATCHED!AN43=9,MATCHED!$J43,IF(MATCHED!AN43=10,MATCHED!$K43,IF(MATCHED!AN43=11,MATCHED!$L43,IF(MATCHED!AN43=12,MATCHED!$M43,IF(MATCHED!AN43=13,MATCHED!$N43,IF(MATCHED!AN43=14,MATCHED!$O43,"")))))))&amp;IF(MATCHED!AN43=15,MATCHED!$P43,IF(MATCHED!AN43=16,MATCHED!$Q43,IF(MATCHED!AN43=17,MATCHED!$R43,IF(MATCHED!AN43=18,MATCHED!$S43,IF(MATCHED!AN43=19,MATCHED!$T43,IF(MATCHED!AN43=20,MATCHED!$U43,IF(MATCHED!AN43=21,MATCHED!$V43,)))))))&amp;IF(MATCHED!AN43=22,MATCHED!$W43,IF(MATCHED!AN43=23,MATCHED!$X43,IF(MATCHED!AN43=24,MATCHED!$Y43,IF(MATCHED!AN43=25,MATCHED!$Z43,IF(MATCHED!AN43=26,MATCHED!$AA43,IF(MATCHED!AN43=27,MATCHED!$AB43,"."))))))</f>
        <v>#N/A</v>
      </c>
      <c r="M43" s="370" t="e">
        <f>IF(MATCHED!AO43=1,MATCHED!$B43,IF(MATCHED!AO43=2,MATCHED!$C43,IF(MATCHED!AO43=3,MATCHED!$D43,IF(MATCHED!AO43=4,MATCHED!$E43,IF(MATCHED!AO43=3,MATCHED!$F43,IF(MATCHED!AO43=6,MATCHED!$G43,IF(MATCHED!AO43=7,MATCHED!$H43,"")))))))&amp;IF(MATCHED!AO43=8,MATCHED!$I43,IF(MATCHED!AO43=9,MATCHED!$J43,IF(MATCHED!AO43=10,MATCHED!$K43,IF(MATCHED!AO43=11,MATCHED!$L43,IF(MATCHED!AO43=12,MATCHED!$M43,IF(MATCHED!AO43=13,MATCHED!$N43,IF(MATCHED!AO43=14,MATCHED!$O43,"")))))))&amp;IF(MATCHED!AO43=15,MATCHED!$P43,IF(MATCHED!AO43=16,MATCHED!$Q43,IF(MATCHED!AO43=17,MATCHED!$R43,IF(MATCHED!AO43=18,MATCHED!$S43,IF(MATCHED!AO43=19,MATCHED!$T43,IF(MATCHED!AO43=20,MATCHED!$U43,IF(MATCHED!AO43=21,MATCHED!$V43,)))))))&amp;IF(MATCHED!AO43=22,MATCHED!$W43,IF(MATCHED!AO43=23,MATCHED!$X43,IF(MATCHED!AO43=24,MATCHED!$Y43,IF(MATCHED!AO43=25,MATCHED!$Z43,IF(MATCHED!AO43=26,MATCHED!$AA43,IF(MATCHED!AO43=27,MATCHED!$AB43,"."))))))</f>
        <v>#N/A</v>
      </c>
      <c r="N43" s="370" t="e">
        <f>IF(MATCHED!AP43=1,MATCHED!$B43,IF(MATCHED!AP43=2,MATCHED!$C43,IF(MATCHED!AP43=3,MATCHED!$D43,IF(MATCHED!AP43=4,MATCHED!$E43,IF(MATCHED!AP43=3,MATCHED!$F43,IF(MATCHED!AP43=6,MATCHED!$G43,IF(MATCHED!AP43=7,MATCHED!$H43,"")))))))&amp;IF(MATCHED!AP43=8,MATCHED!$I43,IF(MATCHED!AP43=9,MATCHED!$J43,IF(MATCHED!AP43=10,MATCHED!$K43,IF(MATCHED!AP43=11,MATCHED!$L43,IF(MATCHED!AP43=12,MATCHED!$M43,IF(MATCHED!AP43=13,MATCHED!$N43,IF(MATCHED!AP43=14,MATCHED!$O43,"")))))))&amp;IF(MATCHED!AP43=15,MATCHED!$P43,IF(MATCHED!AP43=16,MATCHED!$Q43,IF(MATCHED!AP43=17,MATCHED!$R43,IF(MATCHED!AP43=18,MATCHED!$S43,IF(MATCHED!AP43=19,MATCHED!$T43,IF(MATCHED!AP43=20,MATCHED!$U43,IF(MATCHED!AP43=21,MATCHED!$V43,)))))))&amp;IF(MATCHED!AP43=22,MATCHED!$W43,IF(MATCHED!AP43=23,MATCHED!$X43,IF(MATCHED!AP43=24,MATCHED!$Y43,IF(MATCHED!AP43=25,MATCHED!$Z43,IF(MATCHED!AP43=26,MATCHED!$AA43,IF(MATCHED!AP43=27,MATCHED!$AB43,"."))))))</f>
        <v>#N/A</v>
      </c>
      <c r="O43" s="370" t="e">
        <f>IF(MATCHED!AQ43=1,MATCHED!$B43,IF(MATCHED!AQ43=2,MATCHED!$C43,IF(MATCHED!AQ43=3,MATCHED!$D43,IF(MATCHED!AQ43=4,MATCHED!$E43,IF(MATCHED!AQ43=3,MATCHED!$F43,IF(MATCHED!AQ43=6,MATCHED!$G43,IF(MATCHED!AQ43=7,MATCHED!$H43,"")))))))&amp;IF(MATCHED!AQ43=8,MATCHED!$I43,IF(MATCHED!AQ43=9,MATCHED!$J43,IF(MATCHED!AQ43=10,MATCHED!$K43,IF(MATCHED!AQ43=11,MATCHED!$L43,IF(MATCHED!AQ43=12,MATCHED!$M43,IF(MATCHED!AQ43=13,MATCHED!$N43,IF(MATCHED!AQ43=14,MATCHED!$O43,"")))))))&amp;IF(MATCHED!AQ43=15,MATCHED!$P43,IF(MATCHED!AQ43=16,MATCHED!$Q43,IF(MATCHED!AQ43=17,MATCHED!$R43,IF(MATCHED!AQ43=18,MATCHED!$S43,IF(MATCHED!AQ43=19,MATCHED!$T43,IF(MATCHED!AQ43=20,MATCHED!$U43,IF(MATCHED!AQ43=21,MATCHED!$V43,)))))))&amp;IF(MATCHED!AQ43=22,MATCHED!$W43,IF(MATCHED!AQ43=23,MATCHED!$X43,IF(MATCHED!AQ43=24,MATCHED!$Y43,IF(MATCHED!AQ43=25,MATCHED!$Z43,IF(MATCHED!AQ43=26,MATCHED!$AA43,IF(MATCHED!AQ43=27,MATCHED!$AB43,"."))))))</f>
        <v>#N/A</v>
      </c>
      <c r="P43" s="370" t="e">
        <f>IF(MATCHED!AR43=1,MATCHED!$B43,IF(MATCHED!AR43=2,MATCHED!$C43,IF(MATCHED!AR43=3,MATCHED!$D43,IF(MATCHED!AR43=4,MATCHED!$E43,IF(MATCHED!AR43=3,MATCHED!$F43,IF(MATCHED!AR43=6,MATCHED!$G43,IF(MATCHED!AR43=7,MATCHED!$H43,"")))))))&amp;IF(MATCHED!AR43=8,MATCHED!$I43,IF(MATCHED!AR43=9,MATCHED!$J43,IF(MATCHED!AR43=10,MATCHED!$K43,IF(MATCHED!AR43=11,MATCHED!$L43,IF(MATCHED!AR43=12,MATCHED!$M43,IF(MATCHED!AR43=13,MATCHED!$N43,IF(MATCHED!AR43=14,MATCHED!$O43,"")))))))&amp;IF(MATCHED!AR43=15,MATCHED!$P43,IF(MATCHED!AR43=16,MATCHED!$Q43,IF(MATCHED!AR43=17,MATCHED!$R43,IF(MATCHED!AR43=18,MATCHED!$S43,IF(MATCHED!AR43=19,MATCHED!$T43,IF(MATCHED!AR43=20,MATCHED!$U43,IF(MATCHED!AR43=21,MATCHED!$V43,)))))))&amp;IF(MATCHED!AR43=22,MATCHED!$W43,IF(MATCHED!AR43=23,MATCHED!$X43,IF(MATCHED!AR43=24,MATCHED!$Y43,IF(MATCHED!AR43=25,MATCHED!$Z43,IF(MATCHED!AR43=26,MATCHED!$AA43,IF(MATCHED!AR43=27,MATCHED!$AB43,"."))))))</f>
        <v>#N/A</v>
      </c>
      <c r="Q43" s="371" t="e">
        <f>IF(MATCHED!AS43=1,MATCHED!$B43,IF(MATCHED!AS43=2,MATCHED!$C43,IF(MATCHED!AS43=3,MATCHED!$D43,IF(MATCHED!AS43=4,MATCHED!$E43,IF(MATCHED!AS43=3,MATCHED!$F43,IF(MATCHED!AS43=6,MATCHED!$G43,IF(MATCHED!AS43=7,MATCHED!$H43,"")))))))&amp;IF(MATCHED!AS43=8,MATCHED!$I43,IF(MATCHED!AS43=9,MATCHED!$J43,IF(MATCHED!AS43=10,MATCHED!$K43,IF(MATCHED!AS43=11,MATCHED!$L43,IF(MATCHED!AS43=12,MATCHED!$M43,IF(MATCHED!AS43=13,MATCHED!$N43,IF(MATCHED!AS43=14,MATCHED!$O43,"")))))))&amp;IF(MATCHED!AS43=15,MATCHED!$P43,IF(MATCHED!AS43=16,MATCHED!$Q43,IF(MATCHED!AS43=17,MATCHED!$R43,IF(MATCHED!AS43=18,MATCHED!$S43,IF(MATCHED!AS43=19,MATCHED!$T43,IF(MATCHED!AS43=20,MATCHED!$U43,IF(MATCHED!AS43=21,MATCHED!$V43,)))))))&amp;IF(MATCHED!AS43=22,MATCHED!$W43,IF(MATCHED!AS43=23,MATCHED!$X43,IF(MATCHED!AS43=24,MATCHED!$Y43,IF(MATCHED!AS43=25,MATCHED!$Z43,IF(MATCHED!AS43=26,MATCHED!$AA43,IF(MATCHED!AS43=27,MATCHED!$AB43,"."))))))</f>
        <v>#N/A</v>
      </c>
      <c r="R43" s="370" t="e">
        <f>IF(MATCHED!AT43=1,MATCHED!$B43,IF(MATCHED!AT43=2,MATCHED!$C43,IF(MATCHED!AT43=3,MATCHED!$D43,IF(MATCHED!AT43=4,MATCHED!$E43,IF(MATCHED!AT43=3,MATCHED!$F43,IF(MATCHED!AT43=6,MATCHED!$G43,IF(MATCHED!AT43=7,MATCHED!$H43,"")))))))&amp;IF(MATCHED!AT43=8,MATCHED!$I43,IF(MATCHED!AT43=9,MATCHED!$J43,IF(MATCHED!AT43=10,MATCHED!$K43,IF(MATCHED!AT43=11,MATCHED!$L43,IF(MATCHED!AT43=12,MATCHED!$M43,IF(MATCHED!AT43=13,MATCHED!$N43,IF(MATCHED!AT43=14,MATCHED!$O43,"")))))))&amp;IF(MATCHED!AT43=15,MATCHED!$P43,IF(MATCHED!AT43=16,MATCHED!$Q43,IF(MATCHED!AT43=17,MATCHED!$R43,IF(MATCHED!AT43=18,MATCHED!$S43,IF(MATCHED!AT43=19,MATCHED!$T43,IF(MATCHED!AT43=20,MATCHED!$U43,IF(MATCHED!AT43=21,MATCHED!$V43,)))))))&amp;IF(MATCHED!AT43=22,MATCHED!$W43,IF(MATCHED!AT43=23,MATCHED!$X43,IF(MATCHED!AT43=24,MATCHED!$Y43,IF(MATCHED!AT43=25,MATCHED!$Z43,IF(MATCHED!AT43=26,MATCHED!$AA43,IF(MATCHED!AT43=27,MATCHED!$AB43,"."))))))</f>
        <v>#N/A</v>
      </c>
      <c r="S43" s="370" t="e">
        <f>IF(MATCHED!AU43=1,MATCHED!$B43,IF(MATCHED!AU43=2,MATCHED!$C43,IF(MATCHED!AU43=3,MATCHED!$D43,IF(MATCHED!AU43=4,MATCHED!$E43,IF(MATCHED!AU43=3,MATCHED!$F43,IF(MATCHED!AU43=6,MATCHED!$G43,IF(MATCHED!AU43=7,MATCHED!$H43,"")))))))&amp;IF(MATCHED!AU43=8,MATCHED!$I43,IF(MATCHED!AU43=9,MATCHED!$J43,IF(MATCHED!AU43=10,MATCHED!$K43,IF(MATCHED!AU43=11,MATCHED!$L43,IF(MATCHED!AU43=12,MATCHED!$M43,IF(MATCHED!AU43=13,MATCHED!$N43,IF(MATCHED!AU43=14,MATCHED!$O43,"")))))))&amp;IF(MATCHED!AU43=15,MATCHED!$P43,IF(MATCHED!AU43=16,MATCHED!$Q43,IF(MATCHED!AU43=17,MATCHED!$R43,IF(MATCHED!AU43=18,MATCHED!$S43,IF(MATCHED!AU43=19,MATCHED!$T43,IF(MATCHED!AU43=20,MATCHED!$U43,IF(MATCHED!AU43=21,MATCHED!$V43,)))))))&amp;IF(MATCHED!AU43=22,MATCHED!$W43,IF(MATCHED!AU43=23,MATCHED!$X43,IF(MATCHED!AU43=24,MATCHED!$Y43,IF(MATCHED!AU43=25,MATCHED!$Z43,IF(MATCHED!AU43=26,MATCHED!$AA43,IF(MATCHED!AU43=27,MATCHED!$AB43,"."))))))</f>
        <v>#N/A</v>
      </c>
      <c r="T43" s="370" t="e">
        <f>IF(MATCHED!AV43=1,MATCHED!$B43,IF(MATCHED!AV43=2,MATCHED!$C43,IF(MATCHED!AV43=3,MATCHED!$D43,IF(MATCHED!AV43=4,MATCHED!$E43,IF(MATCHED!AV43=3,MATCHED!$F43,IF(MATCHED!AV43=6,MATCHED!$G43,IF(MATCHED!AV43=7,MATCHED!$H43,"")))))))&amp;IF(MATCHED!AV43=8,MATCHED!$I43,IF(MATCHED!AV43=9,MATCHED!$J43,IF(MATCHED!AV43=10,MATCHED!$K43,IF(MATCHED!AV43=11,MATCHED!$L43,IF(MATCHED!AV43=12,MATCHED!$M43,IF(MATCHED!AV43=13,MATCHED!$N43,IF(MATCHED!AV43=14,MATCHED!$O43,"")))))))&amp;IF(MATCHED!AV43=15,MATCHED!$P43,IF(MATCHED!AV43=16,MATCHED!$Q43,IF(MATCHED!AV43=17,MATCHED!$R43,IF(MATCHED!AV43=18,MATCHED!$S43,IF(MATCHED!AV43=19,MATCHED!$T43,IF(MATCHED!AV43=20,MATCHED!$U43,IF(MATCHED!AV43=21,MATCHED!$V43,)))))))&amp;IF(MATCHED!AV43=22,MATCHED!$W43,IF(MATCHED!AV43=23,MATCHED!$X43,IF(MATCHED!AV43=24,MATCHED!$Y43,IF(MATCHED!AV43=25,MATCHED!$Z43,IF(MATCHED!AV43=26,MATCHED!$AA43,IF(MATCHED!AV43=27,MATCHED!$AB43,"."))))))</f>
        <v>#N/A</v>
      </c>
      <c r="U43" s="370" t="e">
        <f>IF(MATCHED!AW43=1,MATCHED!$B43,IF(MATCHED!AW43=2,MATCHED!$C43,IF(MATCHED!AW43=3,MATCHED!$D43,IF(MATCHED!AW43=4,MATCHED!$E43,IF(MATCHED!AW43=3,MATCHED!$F43,IF(MATCHED!AW43=6,MATCHED!$G43,IF(MATCHED!AW43=7,MATCHED!$H43,"")))))))&amp;IF(MATCHED!AW43=8,MATCHED!$I43,IF(MATCHED!AW43=9,MATCHED!$J43,IF(MATCHED!AW43=10,MATCHED!$K43,IF(MATCHED!AW43=11,MATCHED!$L43,IF(MATCHED!AW43=12,MATCHED!$M43,IF(MATCHED!AW43=13,MATCHED!$N43,IF(MATCHED!AW43=14,MATCHED!$O43,"")))))))&amp;IF(MATCHED!AW43=15,MATCHED!$P43,IF(MATCHED!AW43=16,MATCHED!$Q43,IF(MATCHED!AW43=17,MATCHED!$R43,IF(MATCHED!AW43=18,MATCHED!$S43,IF(MATCHED!AW43=19,MATCHED!$T43,IF(MATCHED!AW43=20,MATCHED!$U43,IF(MATCHED!AW43=21,MATCHED!$V43,)))))))&amp;IF(MATCHED!AW43=22,MATCHED!$W43,IF(MATCHED!AW43=23,MATCHED!$X43,IF(MATCHED!AW43=24,MATCHED!$Y43,IF(MATCHED!AW43=25,MATCHED!$Z43,IF(MATCHED!AW43=26,MATCHED!$AA43,IF(MATCHED!AW43=27,MATCHED!$AB43,"."))))))</f>
        <v>#N/A</v>
      </c>
      <c r="V43" s="370" t="e">
        <f>IF(MATCHED!AX43=1,MATCHED!$B43,IF(MATCHED!AX43=2,MATCHED!$C43,IF(MATCHED!AX43=3,MATCHED!$D43,IF(MATCHED!AX43=4,MATCHED!$E43,IF(MATCHED!AX43=3,MATCHED!$F43,IF(MATCHED!AX43=6,MATCHED!$G43,IF(MATCHED!AX43=7,MATCHED!$H43,"")))))))&amp;IF(MATCHED!AX43=8,MATCHED!$I43,IF(MATCHED!AX43=9,MATCHED!$J43,IF(MATCHED!AX43=10,MATCHED!$K43,IF(MATCHED!AX43=11,MATCHED!$L43,IF(MATCHED!AX43=12,MATCHED!$M43,IF(MATCHED!AX43=13,MATCHED!$N43,IF(MATCHED!AX43=14,MATCHED!$O43,"")))))))&amp;IF(MATCHED!AX43=15,MATCHED!$P43,IF(MATCHED!AX43=16,MATCHED!$Q43,IF(MATCHED!AX43=17,MATCHED!$R43,IF(MATCHED!AX43=18,MATCHED!$S43,IF(MATCHED!AX43=19,MATCHED!$T43,IF(MATCHED!AX43=20,MATCHED!$U43,IF(MATCHED!AX43=21,MATCHED!$V43,)))))))&amp;IF(MATCHED!AX43=22,MATCHED!$W43,IF(MATCHED!AX43=23,MATCHED!$X43,IF(MATCHED!AX43=24,MATCHED!$Y43,IF(MATCHED!AX43=25,MATCHED!$Z43,IF(MATCHED!AX43=26,MATCHED!$AA43,IF(MATCHED!AX43=27,MATCHED!$AB43,"."))))))</f>
        <v>#N/A</v>
      </c>
      <c r="W43" s="370" t="e">
        <f>IF(MATCHED!AY43=1,MATCHED!$B43,IF(MATCHED!AY43=2,MATCHED!$C43,IF(MATCHED!AY43=3,MATCHED!$D43,IF(MATCHED!AY43=4,MATCHED!$E43,IF(MATCHED!AY43=3,MATCHED!$F43,IF(MATCHED!AY43=6,MATCHED!$G43,IF(MATCHED!AY43=7,MATCHED!$H43,"")))))))&amp;IF(MATCHED!AY43=8,MATCHED!$I43,IF(MATCHED!AY43=9,MATCHED!$J43,IF(MATCHED!AY43=10,MATCHED!$K43,IF(MATCHED!AY43=11,MATCHED!$L43,IF(MATCHED!AY43=12,MATCHED!$M43,IF(MATCHED!AY43=13,MATCHED!$N43,IF(MATCHED!AY43=14,MATCHED!$O43,"")))))))&amp;IF(MATCHED!AY43=15,MATCHED!$P43,IF(MATCHED!AY43=16,MATCHED!$Q43,IF(MATCHED!AY43=17,MATCHED!$R43,IF(MATCHED!AY43=18,MATCHED!$S43,IF(MATCHED!AY43=19,MATCHED!$T43,IF(MATCHED!AY43=20,MATCHED!$U43,IF(MATCHED!AY43=21,MATCHED!$V43,)))))))&amp;IF(MATCHED!AY43=22,MATCHED!$W43,IF(MATCHED!AY43=23,MATCHED!$X43,IF(MATCHED!AY43=24,MATCHED!$Y43,IF(MATCHED!AY43=25,MATCHED!$Z43,IF(MATCHED!AY43=26,MATCHED!$AA43,IF(MATCHED!AY43=27,MATCHED!$AB43,"."))))))</f>
        <v>#N/A</v>
      </c>
      <c r="X43" s="370" t="e">
        <f>IF(MATCHED!AZ43=1,MATCHED!$B43,IF(MATCHED!AZ43=2,MATCHED!$C43,IF(MATCHED!AZ43=3,MATCHED!$D43,IF(MATCHED!AZ43=4,MATCHED!$E43,IF(MATCHED!AZ43=3,MATCHED!$F43,IF(MATCHED!AZ43=6,MATCHED!$G43,IF(MATCHED!AZ43=7,MATCHED!$H43,"")))))))&amp;IF(MATCHED!AZ43=8,MATCHED!$I43,IF(MATCHED!AZ43=9,MATCHED!$J43,IF(MATCHED!AZ43=10,MATCHED!$K43,IF(MATCHED!AZ43=11,MATCHED!$L43,IF(MATCHED!AZ43=12,MATCHED!$M43,IF(MATCHED!AZ43=13,MATCHED!$N43,IF(MATCHED!AZ43=14,MATCHED!$O43,"")))))))&amp;IF(MATCHED!AZ43=15,MATCHED!$P43,IF(MATCHED!AZ43=16,MATCHED!$Q43,IF(MATCHED!AZ43=17,MATCHED!$R43,IF(MATCHED!AZ43=18,MATCHED!$S43,IF(MATCHED!AZ43=19,MATCHED!$T43,IF(MATCHED!AZ43=20,MATCHED!$U43,IF(MATCHED!AZ43=21,MATCHED!$V43,)))))))&amp;IF(MATCHED!AZ43=22,MATCHED!$W43,IF(MATCHED!AZ43=23,MATCHED!$X43,IF(MATCHED!AZ43=24,MATCHED!$Y43,IF(MATCHED!AZ43=25,MATCHED!$Z43,IF(MATCHED!AZ43=26,MATCHED!$AA43,IF(MATCHED!AZ43=27,MATCHED!$AB43,"."))))))</f>
        <v>#N/A</v>
      </c>
      <c r="Y43" s="370" t="e">
        <f>IF(MATCHED!BA43=1,MATCHED!$B43,IF(MATCHED!BA43=2,MATCHED!$C43,IF(MATCHED!BA43=3,MATCHED!$D43,IF(MATCHED!BA43=4,MATCHED!$E43,IF(MATCHED!BA43=3,MATCHED!$F43,IF(MATCHED!BA43=6,MATCHED!$G43,IF(MATCHED!BA43=7,MATCHED!$H43,"")))))))&amp;IF(MATCHED!BA43=8,MATCHED!$I43,IF(MATCHED!BA43=9,MATCHED!$J43,IF(MATCHED!BA43=10,MATCHED!$K43,IF(MATCHED!BA43=11,MATCHED!$L43,IF(MATCHED!BA43=12,MATCHED!$M43,IF(MATCHED!BA43=13,MATCHED!$N43,IF(MATCHED!BA43=14,MATCHED!$O43,"")))))))&amp;IF(MATCHED!BA43=15,MATCHED!$P43,IF(MATCHED!BA43=16,MATCHED!$Q43,IF(MATCHED!BA43=17,MATCHED!$R43,IF(MATCHED!BA43=18,MATCHED!$S43,IF(MATCHED!BA43=19,MATCHED!$T43,IF(MATCHED!BA43=20,MATCHED!$U43,IF(MATCHED!BA43=21,MATCHED!$V43,)))))))&amp;IF(MATCHED!BA43=22,MATCHED!$W43,IF(MATCHED!BA43=23,MATCHED!$X43,IF(MATCHED!BA43=24,MATCHED!$Y43,IF(MATCHED!BA43=25,MATCHED!$Z43,IF(MATCHED!BA43=26,MATCHED!$AA43,IF(MATCHED!BA43=27,MATCHED!$AB43,"."))))))</f>
        <v>#N/A</v>
      </c>
      <c r="Z43" s="370" t="e">
        <f>IF(MATCHED!BB43=1,MATCHED!$B43,IF(MATCHED!BB43=2,MATCHED!$C43,IF(MATCHED!BB43=3,MATCHED!$D43,IF(MATCHED!BB43=4,MATCHED!$E43,IF(MATCHED!BB43=3,MATCHED!$F43,IF(MATCHED!BB43=6,MATCHED!$G43,IF(MATCHED!BB43=7,MATCHED!$H43,"")))))))&amp;IF(MATCHED!BB43=8,MATCHED!$I43,IF(MATCHED!BB43=9,MATCHED!$J43,IF(MATCHED!BB43=10,MATCHED!$K43,IF(MATCHED!BB43=11,MATCHED!$L43,IF(MATCHED!BB43=12,MATCHED!$M43,IF(MATCHED!BB43=13,MATCHED!$N43,IF(MATCHED!BB43=14,MATCHED!$O43,"")))))))&amp;IF(MATCHED!BB43=15,MATCHED!$P43,IF(MATCHED!BB43=16,MATCHED!$Q43,IF(MATCHED!BB43=17,MATCHED!$R43,IF(MATCHED!BB43=18,MATCHED!$S43,IF(MATCHED!BB43=19,MATCHED!$T43,IF(MATCHED!BB43=20,MATCHED!$U43,IF(MATCHED!BB43=21,MATCHED!$V43,)))))))&amp;IF(MATCHED!BB43=22,MATCHED!$W43,IF(MATCHED!BB43=23,MATCHED!$X43,IF(MATCHED!BB43=24,MATCHED!$Y43,IF(MATCHED!BB43=25,MATCHED!$Z43,IF(MATCHED!BB43=26,MATCHED!$AA43,IF(MATCHED!BB43=27,MATCHED!$AB43,"."))))))</f>
        <v>#N/A</v>
      </c>
      <c r="AA43" s="370" t="e">
        <f>IF(MATCHED!BC43=1,MATCHED!$B43,IF(MATCHED!BC43=2,MATCHED!$C43,IF(MATCHED!BC43=3,MATCHED!$D43,IF(MATCHED!BC43=4,MATCHED!$E43,IF(MATCHED!BC43=3,MATCHED!$F43,IF(MATCHED!BC43=6,MATCHED!$G43,IF(MATCHED!BC43=7,MATCHED!$H43,"")))))))&amp;IF(MATCHED!BC43=8,MATCHED!$I43,IF(MATCHED!BC43=9,MATCHED!$J43,IF(MATCHED!BC43=10,MATCHED!$K43,IF(MATCHED!BC43=11,MATCHED!$L43,IF(MATCHED!BC43=12,MATCHED!$M43,IF(MATCHED!BC43=13,MATCHED!$N43,IF(MATCHED!BC43=14,MATCHED!$O43,"")))))))&amp;IF(MATCHED!BC43=15,MATCHED!$P43,IF(MATCHED!BC43=16,MATCHED!$Q43,IF(MATCHED!BC43=17,MATCHED!$R43,IF(MATCHED!BC43=18,MATCHED!$S43,IF(MATCHED!BC43=19,MATCHED!$T43,IF(MATCHED!BC43=20,MATCHED!$U43,IF(MATCHED!BC43=21,MATCHED!$V43,)))))))&amp;IF(MATCHED!BC43=22,MATCHED!$W43,IF(MATCHED!BC43=23,MATCHED!$X43,IF(MATCHED!BC43=24,MATCHED!$Y43,IF(MATCHED!BC43=25,MATCHED!$Z43,IF(MATCHED!BC43=26,MATCHED!$AA43,IF(MATCHED!BC43=27,MATCHED!$AB43,"."))))))</f>
        <v>#N/A</v>
      </c>
      <c r="AB43" s="370" t="e">
        <f>IF(MATCHED!BD43=1,MATCHED!$B43,IF(MATCHED!BD43=2,MATCHED!$C43,IF(MATCHED!BD43=3,MATCHED!$D43,IF(MATCHED!BD43=4,MATCHED!$E43,IF(MATCHED!BD43=3,MATCHED!$F43,IF(MATCHED!BD43=6,MATCHED!$G43,IF(MATCHED!BD43=7,MATCHED!$H43,"")))))))&amp;IF(MATCHED!BD43=8,MATCHED!$I43,IF(MATCHED!BD43=9,MATCHED!$J43,IF(MATCHED!BD43=10,MATCHED!$K43,IF(MATCHED!BD43=11,MATCHED!$L43,IF(MATCHED!BD43=12,MATCHED!$M43,IF(MATCHED!BD43=13,MATCHED!$N43,IF(MATCHED!BD43=14,MATCHED!$O43,"")))))))&amp;IF(MATCHED!BD43=15,MATCHED!$P43,IF(MATCHED!BD43=16,MATCHED!$Q43,IF(MATCHED!BD43=17,MATCHED!$R43,IF(MATCHED!BD43=18,MATCHED!$S43,IF(MATCHED!BD43=19,MATCHED!$T43,IF(MATCHED!BD43=20,MATCHED!$U43,IF(MATCHED!BD43=21,MATCHED!$V43,)))))))&amp;IF(MATCHED!BD43=22,MATCHED!$W43,IF(MATCHED!BD43=23,MATCHED!$X43,IF(MATCHED!BD43=24,MATCHED!$Y43,IF(MATCHED!BD43=25,MATCHED!$Z43,IF(MATCHED!BD43=26,MATCHED!$AA43,IF(MATCHED!BD43=27,MATCHED!$AB43,"."))))))</f>
        <v>#N/A</v>
      </c>
      <c r="AC43" s="370" t="e">
        <f>IF(MATCHED!BE43=1,MATCHED!$B43,IF(MATCHED!BE43=2,MATCHED!$C43,IF(MATCHED!BE43=3,MATCHED!$D43,IF(MATCHED!BE43=4,MATCHED!$E43,IF(MATCHED!BE43=3,MATCHED!$F43,IF(MATCHED!BE43=6,MATCHED!$G43,IF(MATCHED!BE43=7,MATCHED!$H43,"")))))))&amp;IF(MATCHED!BE43=8,MATCHED!$I43,IF(MATCHED!BE43=9,MATCHED!$J43,IF(MATCHED!BE43=10,MATCHED!$K43,IF(MATCHED!BE43=11,MATCHED!$L43,IF(MATCHED!BE43=12,MATCHED!$M43,IF(MATCHED!BE43=13,MATCHED!$N43,IF(MATCHED!BE43=14,MATCHED!$O43,"")))))))&amp;IF(MATCHED!BE43=15,MATCHED!$P43,IF(MATCHED!BE43=16,MATCHED!$Q43,IF(MATCHED!BE43=17,MATCHED!$R43,IF(MATCHED!BE43=18,MATCHED!$S43,IF(MATCHED!BE43=19,MATCHED!$T43,IF(MATCHED!BE43=20,MATCHED!$U43,IF(MATCHED!BE43=21,MATCHED!$V43,)))))))&amp;IF(MATCHED!BE43=22,MATCHED!$W43,IF(MATCHED!BE43=23,MATCHED!$X43,IF(MATCHED!BE43=24,MATCHED!$Y43,IF(MATCHED!BE43=25,MATCHED!$Z43,IF(MATCHED!BE43=26,MATCHED!$AA43,IF(MATCHED!BE43=27,MATCHED!$AB43,"."))))))</f>
        <v>#N/A</v>
      </c>
      <c r="AD43" s="370" t="e">
        <f>IF(MATCHED!BF43=1,MATCHED!$B43,IF(MATCHED!BF43=2,MATCHED!$C43,IF(MATCHED!BF43=3,MATCHED!$D43,IF(MATCHED!BF43=4,MATCHED!$E43,IF(MATCHED!BF43=3,MATCHED!$F43,IF(MATCHED!BF43=6,MATCHED!$G43,IF(MATCHED!BF43=7,MATCHED!$H43,"")))))))&amp;IF(MATCHED!BF43=8,MATCHED!$I43,IF(MATCHED!BF43=9,MATCHED!$J43,IF(MATCHED!BF43=10,MATCHED!$K43,IF(MATCHED!BF43=11,MATCHED!$L43,IF(MATCHED!BF43=12,MATCHED!$M43,IF(MATCHED!BF43=13,MATCHED!$N43,IF(MATCHED!BF43=14,MATCHED!$O43,"")))))))&amp;IF(MATCHED!BF43=15,MATCHED!$P43,IF(MATCHED!BF43=16,MATCHED!$Q43,IF(MATCHED!BF43=17,MATCHED!$R43,IF(MATCHED!BF43=18,MATCHED!$S43,IF(MATCHED!BF43=19,MATCHED!$T43,IF(MATCHED!BF43=20,MATCHED!$U43,IF(MATCHED!BF43=21,MATCHED!$V43,)))))))&amp;IF(MATCHED!BF43=22,MATCHED!$W43,IF(MATCHED!BF43=23,MATCHED!$X43,IF(MATCHED!BF43=24,MATCHED!$Y43,IF(MATCHED!BF43=25,MATCHED!$Z43,IF(MATCHED!BF43=26,MATCHED!$AA43,IF(MATCHED!BF43=27,MATCHED!$AB43,"."))))))</f>
        <v>#N/A</v>
      </c>
      <c r="AE43" s="370" t="e">
        <f>IF(MATCHED!BG43=1,MATCHED!$B43,IF(MATCHED!BG43=2,MATCHED!$C43,IF(MATCHED!BG43=3,MATCHED!$D43,IF(MATCHED!BG43=4,MATCHED!$E43,IF(MATCHED!BG43=3,MATCHED!$F43,IF(MATCHED!BG43=6,MATCHED!$G43,IF(MATCHED!BG43=7,MATCHED!$H43,"")))))))&amp;IF(MATCHED!BG43=8,MATCHED!$I43,IF(MATCHED!BG43=9,MATCHED!$J43,IF(MATCHED!BG43=10,MATCHED!$K43,IF(MATCHED!BG43=11,MATCHED!$L43,IF(MATCHED!BG43=12,MATCHED!$M43,IF(MATCHED!BG43=13,MATCHED!$N43,IF(MATCHED!BG43=14,MATCHED!$O43,"")))))))&amp;IF(MATCHED!BG43=15,MATCHED!$P43,IF(MATCHED!BG43=16,MATCHED!$Q43,IF(MATCHED!BG43=17,MATCHED!$R43,IF(MATCHED!BG43=18,MATCHED!$S43,IF(MATCHED!BG43=19,MATCHED!$T43,IF(MATCHED!BG43=20,MATCHED!$U43,IF(MATCHED!BG43=21,MATCHED!$V43,)))))))&amp;IF(MATCHED!BG43=22,MATCHED!$W43,IF(MATCHED!BG43=23,MATCHED!$X43,IF(MATCHED!BG43=24,MATCHED!$Y43,IF(MATCHED!BG43=25,MATCHED!$Z43,IF(MATCHED!BG43=26,MATCHED!$AA43,IF(MATCHED!BG43=27,MATCHED!$AB43,"."))))))</f>
        <v>#N/A</v>
      </c>
      <c r="AF43" s="370" t="e">
        <f>IF(MATCHED!BH43=1,MATCHED!$B43,IF(MATCHED!BH43=2,MATCHED!$C43,IF(MATCHED!BH43=3,MATCHED!$D43,IF(MATCHED!BH43=4,MATCHED!$E43,IF(MATCHED!BH43=3,MATCHED!$F43,IF(MATCHED!BH43=6,MATCHED!$G43,IF(MATCHED!BH43=7,MATCHED!$H43,"")))))))&amp;IF(MATCHED!BH43=8,MATCHED!$I43,IF(MATCHED!BH43=9,MATCHED!$J43,IF(MATCHED!BH43=10,MATCHED!$K43,IF(MATCHED!BH43=11,MATCHED!$L43,IF(MATCHED!BH43=12,MATCHED!$M43,IF(MATCHED!BH43=13,MATCHED!$N43,IF(MATCHED!BH43=14,MATCHED!$O43,"")))))))&amp;IF(MATCHED!BH43=15,MATCHED!$P43,IF(MATCHED!BH43=16,MATCHED!$Q43,IF(MATCHED!BH43=17,MATCHED!$R43,IF(MATCHED!BH43=18,MATCHED!$S43,IF(MATCHED!BH43=19,MATCHED!$T43,IF(MATCHED!BH43=20,MATCHED!$U43,IF(MATCHED!BH43=21,MATCHED!$V43,)))))))&amp;IF(MATCHED!BH43=22,MATCHED!$W43,IF(MATCHED!BH43=23,MATCHED!$X43,IF(MATCHED!BH43=24,MATCHED!$Y43,IF(MATCHED!BH43=25,MATCHED!$Z43,IF(MATCHED!BH43=26,MATCHED!$AA43,IF(MATCHED!BH43=27,MATCHED!$AB43,"."))))))</f>
        <v>#N/A</v>
      </c>
      <c r="AG43" s="370" t="e">
        <f>IF(MATCHED!BI43=1,MATCHED!$B43,IF(MATCHED!BI43=2,MATCHED!$C43,IF(MATCHED!BI43=3,MATCHED!$D43,IF(MATCHED!BI43=4,MATCHED!$E43,IF(MATCHED!BI43=3,MATCHED!$F43,IF(MATCHED!BI43=6,MATCHED!$G43,IF(MATCHED!BI43=7,MATCHED!$H43,"")))))))&amp;IF(MATCHED!BI43=8,MATCHED!$I43,IF(MATCHED!BI43=9,MATCHED!$J43,IF(MATCHED!BI43=10,MATCHED!$K43,IF(MATCHED!BI43=11,MATCHED!$L43,IF(MATCHED!BI43=12,MATCHED!$M43,IF(MATCHED!BI43=13,MATCHED!$N43,IF(MATCHED!BI43=14,MATCHED!$O43,"")))))))&amp;IF(MATCHED!BI43=15,MATCHED!$P43,IF(MATCHED!BI43=16,MATCHED!$Q43,IF(MATCHED!BI43=17,MATCHED!$R43,IF(MATCHED!BI43=18,MATCHED!$S43,IF(MATCHED!BI43=19,MATCHED!$T43,IF(MATCHED!BI43=20,MATCHED!$U43,IF(MATCHED!BI43=21,MATCHED!$V43,)))))))&amp;IF(MATCHED!BI43=22,MATCHED!$W43,IF(MATCHED!BI43=23,MATCHED!$X43,IF(MATCHED!BI43=24,MATCHED!$Y43,IF(MATCHED!BI43=25,MATCHED!$Z43,IF(MATCHED!BI43=26,MATCHED!$AA43,IF(MATCHED!BI43=27,MATCHED!$AB43,"."))))))</f>
        <v>#N/A</v>
      </c>
      <c r="AH43" s="370" t="e">
        <f>IF(MATCHED!BJ43=1,MATCHED!$B43,IF(MATCHED!BJ43=2,MATCHED!$C43,IF(MATCHED!BJ43=3,MATCHED!$D43,IF(MATCHED!BJ43=4,MATCHED!$E43,IF(MATCHED!BJ43=3,MATCHED!$F43,IF(MATCHED!BJ43=6,MATCHED!$G43,IF(MATCHED!BJ43=7,MATCHED!$H43,"")))))))&amp;IF(MATCHED!BJ43=8,MATCHED!$I43,IF(MATCHED!BJ43=9,MATCHED!$J43,IF(MATCHED!BJ43=10,MATCHED!$K43,IF(MATCHED!BJ43=11,MATCHED!$L43,IF(MATCHED!BJ43=12,MATCHED!$M43,IF(MATCHED!BJ43=13,MATCHED!$N43,IF(MATCHED!BJ43=14,MATCHED!$O43,"")))))))&amp;IF(MATCHED!BJ43=15,MATCHED!$P43,IF(MATCHED!BJ43=16,MATCHED!$Q43,IF(MATCHED!BJ43=17,MATCHED!$R43,IF(MATCHED!BJ43=18,MATCHED!$S43,IF(MATCHED!BJ43=19,MATCHED!$T43,IF(MATCHED!BJ43=20,MATCHED!$U43,IF(MATCHED!BJ43=21,MATCHED!$V43,)))))))&amp;IF(MATCHED!BJ43=22,MATCHED!$W43,IF(MATCHED!BJ43=23,MATCHED!$X43,IF(MATCHED!BJ43=24,MATCHED!$Y43,IF(MATCHED!BJ43=25,MATCHED!$Z43,IF(MATCHED!BJ43=26,MATCHED!$AA43,IF(MATCHED!BJ43=27,MATCHED!$AB43,"."))))))</f>
        <v>#N/A</v>
      </c>
      <c r="AI43" s="370" t="e">
        <f>IF(MATCHED!BK43=1,MATCHED!$B43,IF(MATCHED!BK43=2,MATCHED!$C43,IF(MATCHED!BK43=3,MATCHED!$D43,IF(MATCHED!BK43=4,MATCHED!$E43,IF(MATCHED!BK43=3,MATCHED!$F43,IF(MATCHED!BK43=6,MATCHED!$G43,IF(MATCHED!BK43=7,MATCHED!$H43,"")))))))&amp;IF(MATCHED!BK43=8,MATCHED!$I43,IF(MATCHED!BK43=9,MATCHED!$J43,IF(MATCHED!BK43=10,MATCHED!$K43,IF(MATCHED!BK43=11,MATCHED!$L43,IF(MATCHED!BK43=12,MATCHED!$M43,IF(MATCHED!BK43=13,MATCHED!$N43,IF(MATCHED!BK43=14,MATCHED!$O43,"")))))))&amp;IF(MATCHED!BK43=15,MATCHED!$P43,IF(MATCHED!BK43=16,MATCHED!$Q43,IF(MATCHED!BK43=17,MATCHED!$R43,IF(MATCHED!BK43=18,MATCHED!$S43,IF(MATCHED!BK43=19,MATCHED!$T43,IF(MATCHED!BK43=20,MATCHED!$U43,IF(MATCHED!BK43=21,MATCHED!$V43,)))))))&amp;IF(MATCHED!BK43=22,MATCHED!$W43,IF(MATCHED!BK43=23,MATCHED!$X43,IF(MATCHED!BK43=24,MATCHED!$Y43,IF(MATCHED!BK43=25,MATCHED!$Z43,IF(MATCHED!BK43=26,MATCHED!$AA43,IF(MATCHED!BK43=27,MATCHED!$AB43,"."))))))</f>
        <v>#N/A</v>
      </c>
      <c r="AJ43" s="535"/>
    </row>
    <row r="44" spans="1:36" s="338" customFormat="1" ht="15.6" thickBot="1" x14ac:dyDescent="0.3">
      <c r="A44" s="536"/>
      <c r="B44" s="369" t="e">
        <f>IF(MATCHED!AD44=1,MATCHED!$B44,IF(MATCHED!AD44=2,MATCHED!$C44,IF(MATCHED!AD44=3,MATCHED!$D44,IF(MATCHED!AD44=4,MATCHED!$E44,IF(MATCHED!AD44=3,MATCHED!$F44,IF(MATCHED!AD44=6,MATCHED!$G44,IF(MATCHED!AD44=7,MATCHED!$H44,"")))))))&amp;IF(MATCHED!AD44=8,MATCHED!$I44,IF(MATCHED!AD44=9,MATCHED!$J44,IF(MATCHED!AD44=10,MATCHED!$K44,IF(MATCHED!AD44=11,MATCHED!$L44,IF(MATCHED!AD44=12,MATCHED!$M44,IF(MATCHED!AD44=13,MATCHED!$N44,IF(MATCHED!AD44=14,MATCHED!$O44,"")))))))&amp;IF(MATCHED!AD44=15,MATCHED!$P44,IF(MATCHED!AD44=16,MATCHED!$Q44,IF(MATCHED!AD44=17,MATCHED!$R44,IF(MATCHED!AD44=18,MATCHED!$S44,IF(MATCHED!AD44=19,MATCHED!$T44,IF(MATCHED!AD44=20,MATCHED!$U44,IF(MATCHED!AD44=21,MATCHED!$V44,)))))))&amp;IF(MATCHED!AD44=22,MATCHED!$W44,IF(MATCHED!AD44=23,MATCHED!$X44,IF(MATCHED!AD44=24,MATCHED!$Y44,IF(MATCHED!AD44=25,MATCHED!$Z44,IF(MATCHED!AD44=26,MATCHED!$AA44,IF(MATCHED!AD44=27,MATCHED!$AB44,"."))))))</f>
        <v>#N/A</v>
      </c>
      <c r="C44" s="370" t="e">
        <f>IF(MATCHED!AE44=1,MATCHED!$B44,IF(MATCHED!AE44=2,MATCHED!$C44,IF(MATCHED!AE44=3,MATCHED!$D44,IF(MATCHED!AE44=4,MATCHED!$E44,IF(MATCHED!AE44=3,MATCHED!$F44,IF(MATCHED!AE44=6,MATCHED!$G44,IF(MATCHED!AE44=7,MATCHED!$H44,"")))))))&amp;IF(MATCHED!AE44=8,MATCHED!$I44,IF(MATCHED!AE44=9,MATCHED!$J44,IF(MATCHED!AE44=10,MATCHED!$K44,IF(MATCHED!AE44=11,MATCHED!$L44,IF(MATCHED!AE44=12,MATCHED!$M44,IF(MATCHED!AE44=13,MATCHED!$N44,IF(MATCHED!AE44=14,MATCHED!$O44,"")))))))&amp;IF(MATCHED!AE44=15,MATCHED!$P44,IF(MATCHED!AE44=16,MATCHED!$Q44,IF(MATCHED!AE44=17,MATCHED!$R44,IF(MATCHED!AE44=18,MATCHED!$S44,IF(MATCHED!AE44=19,MATCHED!$T44,IF(MATCHED!AE44=20,MATCHED!$U44,IF(MATCHED!AE44=21,MATCHED!$V44,)))))))&amp;IF(MATCHED!AE44=22,MATCHED!$W44,IF(MATCHED!AE44=23,MATCHED!$X44,IF(MATCHED!AE44=24,MATCHED!$Y44,IF(MATCHED!AE44=25,MATCHED!$Z44,IF(MATCHED!AE44=26,MATCHED!$AA44,IF(MATCHED!AE44=27,MATCHED!$AB44,"."))))))</f>
        <v>#N/A</v>
      </c>
      <c r="D44" s="370" t="e">
        <f>IF(MATCHED!AF44=1,MATCHED!$B44,IF(MATCHED!AF44=2,MATCHED!$C44,IF(MATCHED!AF44=3,MATCHED!$D44,IF(MATCHED!AF44=4,MATCHED!$E44,IF(MATCHED!AF44=3,MATCHED!$F44,IF(MATCHED!AF44=6,MATCHED!$G44,IF(MATCHED!AF44=7,MATCHED!$H44,"")))))))&amp;IF(MATCHED!AF44=8,MATCHED!$I44,IF(MATCHED!AF44=9,MATCHED!$J44,IF(MATCHED!AF44=10,MATCHED!$K44,IF(MATCHED!AF44=11,MATCHED!$L44,IF(MATCHED!AF44=12,MATCHED!$M44,IF(MATCHED!AF44=13,MATCHED!$N44,IF(MATCHED!AF44=14,MATCHED!$O44,"")))))))&amp;IF(MATCHED!AF44=15,MATCHED!$P44,IF(MATCHED!AF44=16,MATCHED!$Q44,IF(MATCHED!AF44=17,MATCHED!$R44,IF(MATCHED!AF44=18,MATCHED!$S44,IF(MATCHED!AF44=19,MATCHED!$T44,IF(MATCHED!AF44=20,MATCHED!$U44,IF(MATCHED!AF44=21,MATCHED!$V44,)))))))&amp;IF(MATCHED!AF44=22,MATCHED!$W44,IF(MATCHED!AF44=23,MATCHED!$X44,IF(MATCHED!AF44=24,MATCHED!$Y44,IF(MATCHED!AF44=25,MATCHED!$Z44,IF(MATCHED!AF44=26,MATCHED!$AA44,IF(MATCHED!AF44=27,MATCHED!$AB44,"."))))))</f>
        <v>#N/A</v>
      </c>
      <c r="E44" s="370" t="e">
        <f>IF(MATCHED!AG44=1,MATCHED!$B44,IF(MATCHED!AG44=2,MATCHED!$C44,IF(MATCHED!AG44=3,MATCHED!$D44,IF(MATCHED!AG44=4,MATCHED!$E44,IF(MATCHED!AG44=3,MATCHED!$F44,IF(MATCHED!AG44=6,MATCHED!$G44,IF(MATCHED!AG44=7,MATCHED!$H44,"")))))))&amp;IF(MATCHED!AG44=8,MATCHED!$I44,IF(MATCHED!AG44=9,MATCHED!$J44,IF(MATCHED!AG44=10,MATCHED!$K44,IF(MATCHED!AG44=11,MATCHED!$L44,IF(MATCHED!AG44=12,MATCHED!$M44,IF(MATCHED!AG44=13,MATCHED!$N44,IF(MATCHED!AG44=14,MATCHED!$O44,"")))))))&amp;IF(MATCHED!AG44=15,MATCHED!$P44,IF(MATCHED!AG44=16,MATCHED!$Q44,IF(MATCHED!AG44=17,MATCHED!$R44,IF(MATCHED!AG44=18,MATCHED!$S44,IF(MATCHED!AG44=19,MATCHED!$T44,IF(MATCHED!AG44=20,MATCHED!$U44,IF(MATCHED!AG44=21,MATCHED!$V44,)))))))&amp;IF(MATCHED!AG44=22,MATCHED!$W44,IF(MATCHED!AG44=23,MATCHED!$X44,IF(MATCHED!AG44=24,MATCHED!$Y44,IF(MATCHED!AG44=25,MATCHED!$Z44,IF(MATCHED!AG44=26,MATCHED!$AA44,IF(MATCHED!AG44=27,MATCHED!$AB44,"."))))))</f>
        <v>#N/A</v>
      </c>
      <c r="F44" s="370" t="e">
        <f>IF(MATCHED!AH44=1,MATCHED!$B44,IF(MATCHED!AH44=2,MATCHED!$C44,IF(MATCHED!AH44=3,MATCHED!$D44,IF(MATCHED!AH44=4,MATCHED!$E44,IF(MATCHED!AH44=3,MATCHED!$F44,IF(MATCHED!AH44=6,MATCHED!$G44,IF(MATCHED!AH44=7,MATCHED!$H44,"")))))))&amp;IF(MATCHED!AH44=8,MATCHED!$I44,IF(MATCHED!AH44=9,MATCHED!$J44,IF(MATCHED!AH44=10,MATCHED!$K44,IF(MATCHED!AH44=11,MATCHED!$L44,IF(MATCHED!AH44=12,MATCHED!$M44,IF(MATCHED!AH44=13,MATCHED!$N44,IF(MATCHED!AH44=14,MATCHED!$O44,"")))))))&amp;IF(MATCHED!AH44=15,MATCHED!$P44,IF(MATCHED!AH44=16,MATCHED!$Q44,IF(MATCHED!AH44=17,MATCHED!$R44,IF(MATCHED!AH44=18,MATCHED!$S44,IF(MATCHED!AH44=19,MATCHED!$T44,IF(MATCHED!AH44=20,MATCHED!$U44,IF(MATCHED!AH44=21,MATCHED!$V44,)))))))&amp;IF(MATCHED!AH44=22,MATCHED!$W44,IF(MATCHED!AH44=23,MATCHED!$X44,IF(MATCHED!AH44=24,MATCHED!$Y44,IF(MATCHED!AH44=25,MATCHED!$Z44,IF(MATCHED!AH44=26,MATCHED!$AA44,IF(MATCHED!AH44=27,MATCHED!$AB44,"."))))))</f>
        <v>#N/A</v>
      </c>
      <c r="G44" s="370" t="e">
        <f>IF(MATCHED!AI44=1,MATCHED!$B44,IF(MATCHED!AI44=2,MATCHED!$C44,IF(MATCHED!AI44=3,MATCHED!$D44,IF(MATCHED!AI44=4,MATCHED!$E44,IF(MATCHED!AI44=3,MATCHED!$F44,IF(MATCHED!AI44=6,MATCHED!$G44,IF(MATCHED!AI44=7,MATCHED!$H44,"")))))))&amp;IF(MATCHED!AI44=8,MATCHED!$I44,IF(MATCHED!AI44=9,MATCHED!$J44,IF(MATCHED!AI44=10,MATCHED!$K44,IF(MATCHED!AI44=11,MATCHED!$L44,IF(MATCHED!AI44=12,MATCHED!$M44,IF(MATCHED!AI44=13,MATCHED!$N44,IF(MATCHED!AI44=14,MATCHED!$O44,"")))))))&amp;IF(MATCHED!AI44=15,MATCHED!$P44,IF(MATCHED!AI44=16,MATCHED!$Q44,IF(MATCHED!AI44=17,MATCHED!$R44,IF(MATCHED!AI44=18,MATCHED!$S44,IF(MATCHED!AI44=19,MATCHED!$T44,IF(MATCHED!AI44=20,MATCHED!$U44,IF(MATCHED!AI44=21,MATCHED!$V44,)))))))&amp;IF(MATCHED!AI44=22,MATCHED!$W44,IF(MATCHED!AI44=23,MATCHED!$X44,IF(MATCHED!AI44=24,MATCHED!$Y44,IF(MATCHED!AI44=25,MATCHED!$Z44,IF(MATCHED!AI44=26,MATCHED!$AA44,IF(MATCHED!AI44=27,MATCHED!$AB44,"."))))))</f>
        <v>#N/A</v>
      </c>
      <c r="H44" s="370" t="e">
        <f>IF(MATCHED!AJ44=1,MATCHED!$B44,IF(MATCHED!AJ44=2,MATCHED!$C44,IF(MATCHED!AJ44=3,MATCHED!$D44,IF(MATCHED!AJ44=4,MATCHED!$E44,IF(MATCHED!AJ44=3,MATCHED!$F44,IF(MATCHED!AJ44=6,MATCHED!$G44,IF(MATCHED!AJ44=7,MATCHED!$H44,"")))))))&amp;IF(MATCHED!AJ44=8,MATCHED!$I44,IF(MATCHED!AJ44=9,MATCHED!$J44,IF(MATCHED!AJ44=10,MATCHED!$K44,IF(MATCHED!AJ44=11,MATCHED!$L44,IF(MATCHED!AJ44=12,MATCHED!$M44,IF(MATCHED!AJ44=13,MATCHED!$N44,IF(MATCHED!AJ44=14,MATCHED!$O44,"")))))))&amp;IF(MATCHED!AJ44=15,MATCHED!$P44,IF(MATCHED!AJ44=16,MATCHED!$Q44,IF(MATCHED!AJ44=17,MATCHED!$R44,IF(MATCHED!AJ44=18,MATCHED!$S44,IF(MATCHED!AJ44=19,MATCHED!$T44,IF(MATCHED!AJ44=20,MATCHED!$U44,IF(MATCHED!AJ44=21,MATCHED!$V44,)))))))&amp;IF(MATCHED!AJ44=22,MATCHED!$W44,IF(MATCHED!AJ44=23,MATCHED!$X44,IF(MATCHED!AJ44=24,MATCHED!$Y44,IF(MATCHED!AJ44=25,MATCHED!$Z44,IF(MATCHED!AJ44=26,MATCHED!$AA44,IF(MATCHED!AJ44=27,MATCHED!$AB44,"."))))))</f>
        <v>#N/A</v>
      </c>
      <c r="I44" s="370" t="e">
        <f>IF(MATCHED!AK44=1,MATCHED!$B44,IF(MATCHED!AK44=2,MATCHED!$C44,IF(MATCHED!AK44=3,MATCHED!$D44,IF(MATCHED!AK44=4,MATCHED!$E44,IF(MATCHED!AK44=3,MATCHED!$F44,IF(MATCHED!AK44=6,MATCHED!$G44,IF(MATCHED!AK44=7,MATCHED!$H44,"")))))))&amp;IF(MATCHED!AK44=8,MATCHED!$I44,IF(MATCHED!AK44=9,MATCHED!$J44,IF(MATCHED!AK44=10,MATCHED!$K44,IF(MATCHED!AK44=11,MATCHED!$L44,IF(MATCHED!AK44=12,MATCHED!$M44,IF(MATCHED!AK44=13,MATCHED!$N44,IF(MATCHED!AK44=14,MATCHED!$O44,"")))))))&amp;IF(MATCHED!AK44=15,MATCHED!$P44,IF(MATCHED!AK44=16,MATCHED!$Q44,IF(MATCHED!AK44=17,MATCHED!$R44,IF(MATCHED!AK44=18,MATCHED!$S44,IF(MATCHED!AK44=19,MATCHED!$T44,IF(MATCHED!AK44=20,MATCHED!$U44,IF(MATCHED!AK44=21,MATCHED!$V44,)))))))&amp;IF(MATCHED!AK44=22,MATCHED!$W44,IF(MATCHED!AK44=23,MATCHED!$X44,IF(MATCHED!AK44=24,MATCHED!$Y44,IF(MATCHED!AK44=25,MATCHED!$Z44,IF(MATCHED!AK44=26,MATCHED!$AA44,IF(MATCHED!AK44=27,MATCHED!$AB44,"."))))))</f>
        <v>#N/A</v>
      </c>
      <c r="J44" s="370" t="e">
        <f>IF(MATCHED!AL44=1,MATCHED!$B44,IF(MATCHED!AL44=2,MATCHED!$C44,IF(MATCHED!AL44=3,MATCHED!$D44,IF(MATCHED!AL44=4,MATCHED!$E44,IF(MATCHED!AL44=3,MATCHED!$F44,IF(MATCHED!AL44=6,MATCHED!$G44,IF(MATCHED!AL44=7,MATCHED!$H44,"")))))))&amp;IF(MATCHED!AL44=8,MATCHED!$I44,IF(MATCHED!AL44=9,MATCHED!$J44,IF(MATCHED!AL44=10,MATCHED!$K44,IF(MATCHED!AL44=11,MATCHED!$L44,IF(MATCHED!AL44=12,MATCHED!$M44,IF(MATCHED!AL44=13,MATCHED!$N44,IF(MATCHED!AL44=14,MATCHED!$O44,"")))))))&amp;IF(MATCHED!AL44=15,MATCHED!$P44,IF(MATCHED!AL44=16,MATCHED!$Q44,IF(MATCHED!AL44=17,MATCHED!$R44,IF(MATCHED!AL44=18,MATCHED!$S44,IF(MATCHED!AL44=19,MATCHED!$T44,IF(MATCHED!AL44=20,MATCHED!$U44,IF(MATCHED!AL44=21,MATCHED!$V44,)))))))&amp;IF(MATCHED!AL44=22,MATCHED!$W44,IF(MATCHED!AL44=23,MATCHED!$X44,IF(MATCHED!AL44=24,MATCHED!$Y44,IF(MATCHED!AL44=25,MATCHED!$Z44,IF(MATCHED!AL44=26,MATCHED!$AA44,IF(MATCHED!AL44=27,MATCHED!$AB44,"."))))))</f>
        <v>#N/A</v>
      </c>
      <c r="K44" s="370" t="e">
        <f>IF(MATCHED!AM44=1,MATCHED!$B44,IF(MATCHED!AM44=2,MATCHED!$C44,IF(MATCHED!AM44=3,MATCHED!$D44,IF(MATCHED!AM44=4,MATCHED!$E44,IF(MATCHED!AM44=3,MATCHED!$F44,IF(MATCHED!AM44=6,MATCHED!$G44,IF(MATCHED!AM44=7,MATCHED!$H44,"")))))))&amp;IF(MATCHED!AM44=8,MATCHED!$I44,IF(MATCHED!AM44=9,MATCHED!$J44,IF(MATCHED!AM44=10,MATCHED!$K44,IF(MATCHED!AM44=11,MATCHED!$L44,IF(MATCHED!AM44=12,MATCHED!$M44,IF(MATCHED!AM44=13,MATCHED!$N44,IF(MATCHED!AM44=14,MATCHED!$O44,"")))))))&amp;IF(MATCHED!AM44=15,MATCHED!$P44,IF(MATCHED!AM44=16,MATCHED!$Q44,IF(MATCHED!AM44=17,MATCHED!$R44,IF(MATCHED!AM44=18,MATCHED!$S44,IF(MATCHED!AM44=19,MATCHED!$T44,IF(MATCHED!AM44=20,MATCHED!$U44,IF(MATCHED!AM44=21,MATCHED!$V44,)))))))&amp;IF(MATCHED!AM44=22,MATCHED!$W44,IF(MATCHED!AM44=23,MATCHED!$X44,IF(MATCHED!AM44=24,MATCHED!$Y44,IF(MATCHED!AM44=25,MATCHED!$Z44,IF(MATCHED!AM44=26,MATCHED!$AA44,IF(MATCHED!AM44=27,MATCHED!$AB44,"."))))))</f>
        <v>#N/A</v>
      </c>
      <c r="L44" s="370" t="e">
        <f>IF(MATCHED!AN44=1,MATCHED!$B44,IF(MATCHED!AN44=2,MATCHED!$C44,IF(MATCHED!AN44=3,MATCHED!$D44,IF(MATCHED!AN44=4,MATCHED!$E44,IF(MATCHED!AN44=3,MATCHED!$F44,IF(MATCHED!AN44=6,MATCHED!$G44,IF(MATCHED!AN44=7,MATCHED!$H44,"")))))))&amp;IF(MATCHED!AN44=8,MATCHED!$I44,IF(MATCHED!AN44=9,MATCHED!$J44,IF(MATCHED!AN44=10,MATCHED!$K44,IF(MATCHED!AN44=11,MATCHED!$L44,IF(MATCHED!AN44=12,MATCHED!$M44,IF(MATCHED!AN44=13,MATCHED!$N44,IF(MATCHED!AN44=14,MATCHED!$O44,"")))))))&amp;IF(MATCHED!AN44=15,MATCHED!$P44,IF(MATCHED!AN44=16,MATCHED!$Q44,IF(MATCHED!AN44=17,MATCHED!$R44,IF(MATCHED!AN44=18,MATCHED!$S44,IF(MATCHED!AN44=19,MATCHED!$T44,IF(MATCHED!AN44=20,MATCHED!$U44,IF(MATCHED!AN44=21,MATCHED!$V44,)))))))&amp;IF(MATCHED!AN44=22,MATCHED!$W44,IF(MATCHED!AN44=23,MATCHED!$X44,IF(MATCHED!AN44=24,MATCHED!$Y44,IF(MATCHED!AN44=25,MATCHED!$Z44,IF(MATCHED!AN44=26,MATCHED!$AA44,IF(MATCHED!AN44=27,MATCHED!$AB44,"."))))))</f>
        <v>#N/A</v>
      </c>
      <c r="M44" s="370" t="e">
        <f>IF(MATCHED!AO44=1,MATCHED!$B44,IF(MATCHED!AO44=2,MATCHED!$C44,IF(MATCHED!AO44=3,MATCHED!$D44,IF(MATCHED!AO44=4,MATCHED!$E44,IF(MATCHED!AO44=3,MATCHED!$F44,IF(MATCHED!AO44=6,MATCHED!$G44,IF(MATCHED!AO44=7,MATCHED!$H44,"")))))))&amp;IF(MATCHED!AO44=8,MATCHED!$I44,IF(MATCHED!AO44=9,MATCHED!$J44,IF(MATCHED!AO44=10,MATCHED!$K44,IF(MATCHED!AO44=11,MATCHED!$L44,IF(MATCHED!AO44=12,MATCHED!$M44,IF(MATCHED!AO44=13,MATCHED!$N44,IF(MATCHED!AO44=14,MATCHED!$O44,"")))))))&amp;IF(MATCHED!AO44=15,MATCHED!$P44,IF(MATCHED!AO44=16,MATCHED!$Q44,IF(MATCHED!AO44=17,MATCHED!$R44,IF(MATCHED!AO44=18,MATCHED!$S44,IF(MATCHED!AO44=19,MATCHED!$T44,IF(MATCHED!AO44=20,MATCHED!$U44,IF(MATCHED!AO44=21,MATCHED!$V44,)))))))&amp;IF(MATCHED!AO44=22,MATCHED!$W44,IF(MATCHED!AO44=23,MATCHED!$X44,IF(MATCHED!AO44=24,MATCHED!$Y44,IF(MATCHED!AO44=25,MATCHED!$Z44,IF(MATCHED!AO44=26,MATCHED!$AA44,IF(MATCHED!AO44=27,MATCHED!$AB44,"."))))))</f>
        <v>#N/A</v>
      </c>
      <c r="N44" s="370" t="e">
        <f>IF(MATCHED!AP44=1,MATCHED!$B44,IF(MATCHED!AP44=2,MATCHED!$C44,IF(MATCHED!AP44=3,MATCHED!$D44,IF(MATCHED!AP44=4,MATCHED!$E44,IF(MATCHED!AP44=3,MATCHED!$F44,IF(MATCHED!AP44=6,MATCHED!$G44,IF(MATCHED!AP44=7,MATCHED!$H44,"")))))))&amp;IF(MATCHED!AP44=8,MATCHED!$I44,IF(MATCHED!AP44=9,MATCHED!$J44,IF(MATCHED!AP44=10,MATCHED!$K44,IF(MATCHED!AP44=11,MATCHED!$L44,IF(MATCHED!AP44=12,MATCHED!$M44,IF(MATCHED!AP44=13,MATCHED!$N44,IF(MATCHED!AP44=14,MATCHED!$O44,"")))))))&amp;IF(MATCHED!AP44=15,MATCHED!$P44,IF(MATCHED!AP44=16,MATCHED!$Q44,IF(MATCHED!AP44=17,MATCHED!$R44,IF(MATCHED!AP44=18,MATCHED!$S44,IF(MATCHED!AP44=19,MATCHED!$T44,IF(MATCHED!AP44=20,MATCHED!$U44,IF(MATCHED!AP44=21,MATCHED!$V44,)))))))&amp;IF(MATCHED!AP44=22,MATCHED!$W44,IF(MATCHED!AP44=23,MATCHED!$X44,IF(MATCHED!AP44=24,MATCHED!$Y44,IF(MATCHED!AP44=25,MATCHED!$Z44,IF(MATCHED!AP44=26,MATCHED!$AA44,IF(MATCHED!AP44=27,MATCHED!$AB44,"."))))))</f>
        <v>#N/A</v>
      </c>
      <c r="O44" s="370" t="e">
        <f>IF(MATCHED!AQ44=1,MATCHED!$B44,IF(MATCHED!AQ44=2,MATCHED!$C44,IF(MATCHED!AQ44=3,MATCHED!$D44,IF(MATCHED!AQ44=4,MATCHED!$E44,IF(MATCHED!AQ44=3,MATCHED!$F44,IF(MATCHED!AQ44=6,MATCHED!$G44,IF(MATCHED!AQ44=7,MATCHED!$H44,"")))))))&amp;IF(MATCHED!AQ44=8,MATCHED!$I44,IF(MATCHED!AQ44=9,MATCHED!$J44,IF(MATCHED!AQ44=10,MATCHED!$K44,IF(MATCHED!AQ44=11,MATCHED!$L44,IF(MATCHED!AQ44=12,MATCHED!$M44,IF(MATCHED!AQ44=13,MATCHED!$N44,IF(MATCHED!AQ44=14,MATCHED!$O44,"")))))))&amp;IF(MATCHED!AQ44=15,MATCHED!$P44,IF(MATCHED!AQ44=16,MATCHED!$Q44,IF(MATCHED!AQ44=17,MATCHED!$R44,IF(MATCHED!AQ44=18,MATCHED!$S44,IF(MATCHED!AQ44=19,MATCHED!$T44,IF(MATCHED!AQ44=20,MATCHED!$U44,IF(MATCHED!AQ44=21,MATCHED!$V44,)))))))&amp;IF(MATCHED!AQ44=22,MATCHED!$W44,IF(MATCHED!AQ44=23,MATCHED!$X44,IF(MATCHED!AQ44=24,MATCHED!$Y44,IF(MATCHED!AQ44=25,MATCHED!$Z44,IF(MATCHED!AQ44=26,MATCHED!$AA44,IF(MATCHED!AQ44=27,MATCHED!$AB44,"."))))))</f>
        <v>#N/A</v>
      </c>
      <c r="P44" s="370" t="e">
        <f>IF(MATCHED!AR44=1,MATCHED!$B44,IF(MATCHED!AR44=2,MATCHED!$C44,IF(MATCHED!AR44=3,MATCHED!$D44,IF(MATCHED!AR44=4,MATCHED!$E44,IF(MATCHED!AR44=3,MATCHED!$F44,IF(MATCHED!AR44=6,MATCHED!$G44,IF(MATCHED!AR44=7,MATCHED!$H44,"")))))))&amp;IF(MATCHED!AR44=8,MATCHED!$I44,IF(MATCHED!AR44=9,MATCHED!$J44,IF(MATCHED!AR44=10,MATCHED!$K44,IF(MATCHED!AR44=11,MATCHED!$L44,IF(MATCHED!AR44=12,MATCHED!$M44,IF(MATCHED!AR44=13,MATCHED!$N44,IF(MATCHED!AR44=14,MATCHED!$O44,"")))))))&amp;IF(MATCHED!AR44=15,MATCHED!$P44,IF(MATCHED!AR44=16,MATCHED!$Q44,IF(MATCHED!AR44=17,MATCHED!$R44,IF(MATCHED!AR44=18,MATCHED!$S44,IF(MATCHED!AR44=19,MATCHED!$T44,IF(MATCHED!AR44=20,MATCHED!$U44,IF(MATCHED!AR44=21,MATCHED!$V44,)))))))&amp;IF(MATCHED!AR44=22,MATCHED!$W44,IF(MATCHED!AR44=23,MATCHED!$X44,IF(MATCHED!AR44=24,MATCHED!$Y44,IF(MATCHED!AR44=25,MATCHED!$Z44,IF(MATCHED!AR44=26,MATCHED!$AA44,IF(MATCHED!AR44=27,MATCHED!$AB44,"."))))))</f>
        <v>#N/A</v>
      </c>
      <c r="Q44" s="371" t="e">
        <f>IF(MATCHED!AS44=1,MATCHED!$B44,IF(MATCHED!AS44=2,MATCHED!$C44,IF(MATCHED!AS44=3,MATCHED!$D44,IF(MATCHED!AS44=4,MATCHED!$E44,IF(MATCHED!AS44=3,MATCHED!$F44,IF(MATCHED!AS44=6,MATCHED!$G44,IF(MATCHED!AS44=7,MATCHED!$H44,"")))))))&amp;IF(MATCHED!AS44=8,MATCHED!$I44,IF(MATCHED!AS44=9,MATCHED!$J44,IF(MATCHED!AS44=10,MATCHED!$K44,IF(MATCHED!AS44=11,MATCHED!$L44,IF(MATCHED!AS44=12,MATCHED!$M44,IF(MATCHED!AS44=13,MATCHED!$N44,IF(MATCHED!AS44=14,MATCHED!$O44,"")))))))&amp;IF(MATCHED!AS44=15,MATCHED!$P44,IF(MATCHED!AS44=16,MATCHED!$Q44,IF(MATCHED!AS44=17,MATCHED!$R44,IF(MATCHED!AS44=18,MATCHED!$S44,IF(MATCHED!AS44=19,MATCHED!$T44,IF(MATCHED!AS44=20,MATCHED!$U44,IF(MATCHED!AS44=21,MATCHED!$V44,)))))))&amp;IF(MATCHED!AS44=22,MATCHED!$W44,IF(MATCHED!AS44=23,MATCHED!$X44,IF(MATCHED!AS44=24,MATCHED!$Y44,IF(MATCHED!AS44=25,MATCHED!$Z44,IF(MATCHED!AS44=26,MATCHED!$AA44,IF(MATCHED!AS44=27,MATCHED!$AB44,"."))))))</f>
        <v>#N/A</v>
      </c>
      <c r="R44" s="370" t="e">
        <f>IF(MATCHED!AT44=1,MATCHED!$B44,IF(MATCHED!AT44=2,MATCHED!$C44,IF(MATCHED!AT44=3,MATCHED!$D44,IF(MATCHED!AT44=4,MATCHED!$E44,IF(MATCHED!AT44=3,MATCHED!$F44,IF(MATCHED!AT44=6,MATCHED!$G44,IF(MATCHED!AT44=7,MATCHED!$H44,"")))))))&amp;IF(MATCHED!AT44=8,MATCHED!$I44,IF(MATCHED!AT44=9,MATCHED!$J44,IF(MATCHED!AT44=10,MATCHED!$K44,IF(MATCHED!AT44=11,MATCHED!$L44,IF(MATCHED!AT44=12,MATCHED!$M44,IF(MATCHED!AT44=13,MATCHED!$N44,IF(MATCHED!AT44=14,MATCHED!$O44,"")))))))&amp;IF(MATCHED!AT44=15,MATCHED!$P44,IF(MATCHED!AT44=16,MATCHED!$Q44,IF(MATCHED!AT44=17,MATCHED!$R44,IF(MATCHED!AT44=18,MATCHED!$S44,IF(MATCHED!AT44=19,MATCHED!$T44,IF(MATCHED!AT44=20,MATCHED!$U44,IF(MATCHED!AT44=21,MATCHED!$V44,)))))))&amp;IF(MATCHED!AT44=22,MATCHED!$W44,IF(MATCHED!AT44=23,MATCHED!$X44,IF(MATCHED!AT44=24,MATCHED!$Y44,IF(MATCHED!AT44=25,MATCHED!$Z44,IF(MATCHED!AT44=26,MATCHED!$AA44,IF(MATCHED!AT44=27,MATCHED!$AB44,"."))))))</f>
        <v>#N/A</v>
      </c>
      <c r="S44" s="370" t="e">
        <f>IF(MATCHED!AU44=1,MATCHED!$B44,IF(MATCHED!AU44=2,MATCHED!$C44,IF(MATCHED!AU44=3,MATCHED!$D44,IF(MATCHED!AU44=4,MATCHED!$E44,IF(MATCHED!AU44=3,MATCHED!$F44,IF(MATCHED!AU44=6,MATCHED!$G44,IF(MATCHED!AU44=7,MATCHED!$H44,"")))))))&amp;IF(MATCHED!AU44=8,MATCHED!$I44,IF(MATCHED!AU44=9,MATCHED!$J44,IF(MATCHED!AU44=10,MATCHED!$K44,IF(MATCHED!AU44=11,MATCHED!$L44,IF(MATCHED!AU44=12,MATCHED!$M44,IF(MATCHED!AU44=13,MATCHED!$N44,IF(MATCHED!AU44=14,MATCHED!$O44,"")))))))&amp;IF(MATCHED!AU44=15,MATCHED!$P44,IF(MATCHED!AU44=16,MATCHED!$Q44,IF(MATCHED!AU44=17,MATCHED!$R44,IF(MATCHED!AU44=18,MATCHED!$S44,IF(MATCHED!AU44=19,MATCHED!$T44,IF(MATCHED!AU44=20,MATCHED!$U44,IF(MATCHED!AU44=21,MATCHED!$V44,)))))))&amp;IF(MATCHED!AU44=22,MATCHED!$W44,IF(MATCHED!AU44=23,MATCHED!$X44,IF(MATCHED!AU44=24,MATCHED!$Y44,IF(MATCHED!AU44=25,MATCHED!$Z44,IF(MATCHED!AU44=26,MATCHED!$AA44,IF(MATCHED!AU44=27,MATCHED!$AB44,"."))))))</f>
        <v>#N/A</v>
      </c>
      <c r="T44" s="370" t="e">
        <f>IF(MATCHED!AV44=1,MATCHED!$B44,IF(MATCHED!AV44=2,MATCHED!$C44,IF(MATCHED!AV44=3,MATCHED!$D44,IF(MATCHED!AV44=4,MATCHED!$E44,IF(MATCHED!AV44=3,MATCHED!$F44,IF(MATCHED!AV44=6,MATCHED!$G44,IF(MATCHED!AV44=7,MATCHED!$H44,"")))))))&amp;IF(MATCHED!AV44=8,MATCHED!$I44,IF(MATCHED!AV44=9,MATCHED!$J44,IF(MATCHED!AV44=10,MATCHED!$K44,IF(MATCHED!AV44=11,MATCHED!$L44,IF(MATCHED!AV44=12,MATCHED!$M44,IF(MATCHED!AV44=13,MATCHED!$N44,IF(MATCHED!AV44=14,MATCHED!$O44,"")))))))&amp;IF(MATCHED!AV44=15,MATCHED!$P44,IF(MATCHED!AV44=16,MATCHED!$Q44,IF(MATCHED!AV44=17,MATCHED!$R44,IF(MATCHED!AV44=18,MATCHED!$S44,IF(MATCHED!AV44=19,MATCHED!$T44,IF(MATCHED!AV44=20,MATCHED!$U44,IF(MATCHED!AV44=21,MATCHED!$V44,)))))))&amp;IF(MATCHED!AV44=22,MATCHED!$W44,IF(MATCHED!AV44=23,MATCHED!$X44,IF(MATCHED!AV44=24,MATCHED!$Y44,IF(MATCHED!AV44=25,MATCHED!$Z44,IF(MATCHED!AV44=26,MATCHED!$AA44,IF(MATCHED!AV44=27,MATCHED!$AB44,"."))))))</f>
        <v>#N/A</v>
      </c>
      <c r="U44" s="370" t="e">
        <f>IF(MATCHED!AW44=1,MATCHED!$B44,IF(MATCHED!AW44=2,MATCHED!$C44,IF(MATCHED!AW44=3,MATCHED!$D44,IF(MATCHED!AW44=4,MATCHED!$E44,IF(MATCHED!AW44=3,MATCHED!$F44,IF(MATCHED!AW44=6,MATCHED!$G44,IF(MATCHED!AW44=7,MATCHED!$H44,"")))))))&amp;IF(MATCHED!AW44=8,MATCHED!$I44,IF(MATCHED!AW44=9,MATCHED!$J44,IF(MATCHED!AW44=10,MATCHED!$K44,IF(MATCHED!AW44=11,MATCHED!$L44,IF(MATCHED!AW44=12,MATCHED!$M44,IF(MATCHED!AW44=13,MATCHED!$N44,IF(MATCHED!AW44=14,MATCHED!$O44,"")))))))&amp;IF(MATCHED!AW44=15,MATCHED!$P44,IF(MATCHED!AW44=16,MATCHED!$Q44,IF(MATCHED!AW44=17,MATCHED!$R44,IF(MATCHED!AW44=18,MATCHED!$S44,IF(MATCHED!AW44=19,MATCHED!$T44,IF(MATCHED!AW44=20,MATCHED!$U44,IF(MATCHED!AW44=21,MATCHED!$V44,)))))))&amp;IF(MATCHED!AW44=22,MATCHED!$W44,IF(MATCHED!AW44=23,MATCHED!$X44,IF(MATCHED!AW44=24,MATCHED!$Y44,IF(MATCHED!AW44=25,MATCHED!$Z44,IF(MATCHED!AW44=26,MATCHED!$AA44,IF(MATCHED!AW44=27,MATCHED!$AB44,"."))))))</f>
        <v>#N/A</v>
      </c>
      <c r="V44" s="370" t="e">
        <f>IF(MATCHED!AX44=1,MATCHED!$B44,IF(MATCHED!AX44=2,MATCHED!$C44,IF(MATCHED!AX44=3,MATCHED!$D44,IF(MATCHED!AX44=4,MATCHED!$E44,IF(MATCHED!AX44=3,MATCHED!$F44,IF(MATCHED!AX44=6,MATCHED!$G44,IF(MATCHED!AX44=7,MATCHED!$H44,"")))))))&amp;IF(MATCHED!AX44=8,MATCHED!$I44,IF(MATCHED!AX44=9,MATCHED!$J44,IF(MATCHED!AX44=10,MATCHED!$K44,IF(MATCHED!AX44=11,MATCHED!$L44,IF(MATCHED!AX44=12,MATCHED!$M44,IF(MATCHED!AX44=13,MATCHED!$N44,IF(MATCHED!AX44=14,MATCHED!$O44,"")))))))&amp;IF(MATCHED!AX44=15,MATCHED!$P44,IF(MATCHED!AX44=16,MATCHED!$Q44,IF(MATCHED!AX44=17,MATCHED!$R44,IF(MATCHED!AX44=18,MATCHED!$S44,IF(MATCHED!AX44=19,MATCHED!$T44,IF(MATCHED!AX44=20,MATCHED!$U44,IF(MATCHED!AX44=21,MATCHED!$V44,)))))))&amp;IF(MATCHED!AX44=22,MATCHED!$W44,IF(MATCHED!AX44=23,MATCHED!$X44,IF(MATCHED!AX44=24,MATCHED!$Y44,IF(MATCHED!AX44=25,MATCHED!$Z44,IF(MATCHED!AX44=26,MATCHED!$AA44,IF(MATCHED!AX44=27,MATCHED!$AB44,"."))))))</f>
        <v>#N/A</v>
      </c>
      <c r="W44" s="370" t="e">
        <f>IF(MATCHED!AY44=1,MATCHED!$B44,IF(MATCHED!AY44=2,MATCHED!$C44,IF(MATCHED!AY44=3,MATCHED!$D44,IF(MATCHED!AY44=4,MATCHED!$E44,IF(MATCHED!AY44=3,MATCHED!$F44,IF(MATCHED!AY44=6,MATCHED!$G44,IF(MATCHED!AY44=7,MATCHED!$H44,"")))))))&amp;IF(MATCHED!AY44=8,MATCHED!$I44,IF(MATCHED!AY44=9,MATCHED!$J44,IF(MATCHED!AY44=10,MATCHED!$K44,IF(MATCHED!AY44=11,MATCHED!$L44,IF(MATCHED!AY44=12,MATCHED!$M44,IF(MATCHED!AY44=13,MATCHED!$N44,IF(MATCHED!AY44=14,MATCHED!$O44,"")))))))&amp;IF(MATCHED!AY44=15,MATCHED!$P44,IF(MATCHED!AY44=16,MATCHED!$Q44,IF(MATCHED!AY44=17,MATCHED!$R44,IF(MATCHED!AY44=18,MATCHED!$S44,IF(MATCHED!AY44=19,MATCHED!$T44,IF(MATCHED!AY44=20,MATCHED!$U44,IF(MATCHED!AY44=21,MATCHED!$V44,)))))))&amp;IF(MATCHED!AY44=22,MATCHED!$W44,IF(MATCHED!AY44=23,MATCHED!$X44,IF(MATCHED!AY44=24,MATCHED!$Y44,IF(MATCHED!AY44=25,MATCHED!$Z44,IF(MATCHED!AY44=26,MATCHED!$AA44,IF(MATCHED!AY44=27,MATCHED!$AB44,"."))))))</f>
        <v>#N/A</v>
      </c>
      <c r="X44" s="370" t="e">
        <f>IF(MATCHED!AZ44=1,MATCHED!$B44,IF(MATCHED!AZ44=2,MATCHED!$C44,IF(MATCHED!AZ44=3,MATCHED!$D44,IF(MATCHED!AZ44=4,MATCHED!$E44,IF(MATCHED!AZ44=3,MATCHED!$F44,IF(MATCHED!AZ44=6,MATCHED!$G44,IF(MATCHED!AZ44=7,MATCHED!$H44,"")))))))&amp;IF(MATCHED!AZ44=8,MATCHED!$I44,IF(MATCHED!AZ44=9,MATCHED!$J44,IF(MATCHED!AZ44=10,MATCHED!$K44,IF(MATCHED!AZ44=11,MATCHED!$L44,IF(MATCHED!AZ44=12,MATCHED!$M44,IF(MATCHED!AZ44=13,MATCHED!$N44,IF(MATCHED!AZ44=14,MATCHED!$O44,"")))))))&amp;IF(MATCHED!AZ44=15,MATCHED!$P44,IF(MATCHED!AZ44=16,MATCHED!$Q44,IF(MATCHED!AZ44=17,MATCHED!$R44,IF(MATCHED!AZ44=18,MATCHED!$S44,IF(MATCHED!AZ44=19,MATCHED!$T44,IF(MATCHED!AZ44=20,MATCHED!$U44,IF(MATCHED!AZ44=21,MATCHED!$V44,)))))))&amp;IF(MATCHED!AZ44=22,MATCHED!$W44,IF(MATCHED!AZ44=23,MATCHED!$X44,IF(MATCHED!AZ44=24,MATCHED!$Y44,IF(MATCHED!AZ44=25,MATCHED!$Z44,IF(MATCHED!AZ44=26,MATCHED!$AA44,IF(MATCHED!AZ44=27,MATCHED!$AB44,"."))))))</f>
        <v>#N/A</v>
      </c>
      <c r="Y44" s="370" t="e">
        <f>IF(MATCHED!BA44=1,MATCHED!$B44,IF(MATCHED!BA44=2,MATCHED!$C44,IF(MATCHED!BA44=3,MATCHED!$D44,IF(MATCHED!BA44=4,MATCHED!$E44,IF(MATCHED!BA44=3,MATCHED!$F44,IF(MATCHED!BA44=6,MATCHED!$G44,IF(MATCHED!BA44=7,MATCHED!$H44,"")))))))&amp;IF(MATCHED!BA44=8,MATCHED!$I44,IF(MATCHED!BA44=9,MATCHED!$J44,IF(MATCHED!BA44=10,MATCHED!$K44,IF(MATCHED!BA44=11,MATCHED!$L44,IF(MATCHED!BA44=12,MATCHED!$M44,IF(MATCHED!BA44=13,MATCHED!$N44,IF(MATCHED!BA44=14,MATCHED!$O44,"")))))))&amp;IF(MATCHED!BA44=15,MATCHED!$P44,IF(MATCHED!BA44=16,MATCHED!$Q44,IF(MATCHED!BA44=17,MATCHED!$R44,IF(MATCHED!BA44=18,MATCHED!$S44,IF(MATCHED!BA44=19,MATCHED!$T44,IF(MATCHED!BA44=20,MATCHED!$U44,IF(MATCHED!BA44=21,MATCHED!$V44,)))))))&amp;IF(MATCHED!BA44=22,MATCHED!$W44,IF(MATCHED!BA44=23,MATCHED!$X44,IF(MATCHED!BA44=24,MATCHED!$Y44,IF(MATCHED!BA44=25,MATCHED!$Z44,IF(MATCHED!BA44=26,MATCHED!$AA44,IF(MATCHED!BA44=27,MATCHED!$AB44,"."))))))</f>
        <v>#N/A</v>
      </c>
      <c r="Z44" s="370" t="e">
        <f>IF(MATCHED!BB44=1,MATCHED!$B44,IF(MATCHED!BB44=2,MATCHED!$C44,IF(MATCHED!BB44=3,MATCHED!$D44,IF(MATCHED!BB44=4,MATCHED!$E44,IF(MATCHED!BB44=3,MATCHED!$F44,IF(MATCHED!BB44=6,MATCHED!$G44,IF(MATCHED!BB44=7,MATCHED!$H44,"")))))))&amp;IF(MATCHED!BB44=8,MATCHED!$I44,IF(MATCHED!BB44=9,MATCHED!$J44,IF(MATCHED!BB44=10,MATCHED!$K44,IF(MATCHED!BB44=11,MATCHED!$L44,IF(MATCHED!BB44=12,MATCHED!$M44,IF(MATCHED!BB44=13,MATCHED!$N44,IF(MATCHED!BB44=14,MATCHED!$O44,"")))))))&amp;IF(MATCHED!BB44=15,MATCHED!$P44,IF(MATCHED!BB44=16,MATCHED!$Q44,IF(MATCHED!BB44=17,MATCHED!$R44,IF(MATCHED!BB44=18,MATCHED!$S44,IF(MATCHED!BB44=19,MATCHED!$T44,IF(MATCHED!BB44=20,MATCHED!$U44,IF(MATCHED!BB44=21,MATCHED!$V44,)))))))&amp;IF(MATCHED!BB44=22,MATCHED!$W44,IF(MATCHED!BB44=23,MATCHED!$X44,IF(MATCHED!BB44=24,MATCHED!$Y44,IF(MATCHED!BB44=25,MATCHED!$Z44,IF(MATCHED!BB44=26,MATCHED!$AA44,IF(MATCHED!BB44=27,MATCHED!$AB44,"."))))))</f>
        <v>#N/A</v>
      </c>
      <c r="AA44" s="370" t="e">
        <f>IF(MATCHED!BC44=1,MATCHED!$B44,IF(MATCHED!BC44=2,MATCHED!$C44,IF(MATCHED!BC44=3,MATCHED!$D44,IF(MATCHED!BC44=4,MATCHED!$E44,IF(MATCHED!BC44=3,MATCHED!$F44,IF(MATCHED!BC44=6,MATCHED!$G44,IF(MATCHED!BC44=7,MATCHED!$H44,"")))))))&amp;IF(MATCHED!BC44=8,MATCHED!$I44,IF(MATCHED!BC44=9,MATCHED!$J44,IF(MATCHED!BC44=10,MATCHED!$K44,IF(MATCHED!BC44=11,MATCHED!$L44,IF(MATCHED!BC44=12,MATCHED!$M44,IF(MATCHED!BC44=13,MATCHED!$N44,IF(MATCHED!BC44=14,MATCHED!$O44,"")))))))&amp;IF(MATCHED!BC44=15,MATCHED!$P44,IF(MATCHED!BC44=16,MATCHED!$Q44,IF(MATCHED!BC44=17,MATCHED!$R44,IF(MATCHED!BC44=18,MATCHED!$S44,IF(MATCHED!BC44=19,MATCHED!$T44,IF(MATCHED!BC44=20,MATCHED!$U44,IF(MATCHED!BC44=21,MATCHED!$V44,)))))))&amp;IF(MATCHED!BC44=22,MATCHED!$W44,IF(MATCHED!BC44=23,MATCHED!$X44,IF(MATCHED!BC44=24,MATCHED!$Y44,IF(MATCHED!BC44=25,MATCHED!$Z44,IF(MATCHED!BC44=26,MATCHED!$AA44,IF(MATCHED!BC44=27,MATCHED!$AB44,"."))))))</f>
        <v>#N/A</v>
      </c>
      <c r="AB44" s="370" t="e">
        <f>IF(MATCHED!BD44=1,MATCHED!$B44,IF(MATCHED!BD44=2,MATCHED!$C44,IF(MATCHED!BD44=3,MATCHED!$D44,IF(MATCHED!BD44=4,MATCHED!$E44,IF(MATCHED!BD44=3,MATCHED!$F44,IF(MATCHED!BD44=6,MATCHED!$G44,IF(MATCHED!BD44=7,MATCHED!$H44,"")))))))&amp;IF(MATCHED!BD44=8,MATCHED!$I44,IF(MATCHED!BD44=9,MATCHED!$J44,IF(MATCHED!BD44=10,MATCHED!$K44,IF(MATCHED!BD44=11,MATCHED!$L44,IF(MATCHED!BD44=12,MATCHED!$M44,IF(MATCHED!BD44=13,MATCHED!$N44,IF(MATCHED!BD44=14,MATCHED!$O44,"")))))))&amp;IF(MATCHED!BD44=15,MATCHED!$P44,IF(MATCHED!BD44=16,MATCHED!$Q44,IF(MATCHED!BD44=17,MATCHED!$R44,IF(MATCHED!BD44=18,MATCHED!$S44,IF(MATCHED!BD44=19,MATCHED!$T44,IF(MATCHED!BD44=20,MATCHED!$U44,IF(MATCHED!BD44=21,MATCHED!$V44,)))))))&amp;IF(MATCHED!BD44=22,MATCHED!$W44,IF(MATCHED!BD44=23,MATCHED!$X44,IF(MATCHED!BD44=24,MATCHED!$Y44,IF(MATCHED!BD44=25,MATCHED!$Z44,IF(MATCHED!BD44=26,MATCHED!$AA44,IF(MATCHED!BD44=27,MATCHED!$AB44,"."))))))</f>
        <v>#N/A</v>
      </c>
      <c r="AC44" s="370" t="e">
        <f>IF(MATCHED!BE44=1,MATCHED!$B44,IF(MATCHED!BE44=2,MATCHED!$C44,IF(MATCHED!BE44=3,MATCHED!$D44,IF(MATCHED!BE44=4,MATCHED!$E44,IF(MATCHED!BE44=3,MATCHED!$F44,IF(MATCHED!BE44=6,MATCHED!$G44,IF(MATCHED!BE44=7,MATCHED!$H44,"")))))))&amp;IF(MATCHED!BE44=8,MATCHED!$I44,IF(MATCHED!BE44=9,MATCHED!$J44,IF(MATCHED!BE44=10,MATCHED!$K44,IF(MATCHED!BE44=11,MATCHED!$L44,IF(MATCHED!BE44=12,MATCHED!$M44,IF(MATCHED!BE44=13,MATCHED!$N44,IF(MATCHED!BE44=14,MATCHED!$O44,"")))))))&amp;IF(MATCHED!BE44=15,MATCHED!$P44,IF(MATCHED!BE44=16,MATCHED!$Q44,IF(MATCHED!BE44=17,MATCHED!$R44,IF(MATCHED!BE44=18,MATCHED!$S44,IF(MATCHED!BE44=19,MATCHED!$T44,IF(MATCHED!BE44=20,MATCHED!$U44,IF(MATCHED!BE44=21,MATCHED!$V44,)))))))&amp;IF(MATCHED!BE44=22,MATCHED!$W44,IF(MATCHED!BE44=23,MATCHED!$X44,IF(MATCHED!BE44=24,MATCHED!$Y44,IF(MATCHED!BE44=25,MATCHED!$Z44,IF(MATCHED!BE44=26,MATCHED!$AA44,IF(MATCHED!BE44=27,MATCHED!$AB44,"."))))))</f>
        <v>#N/A</v>
      </c>
      <c r="AD44" s="370" t="e">
        <f>IF(MATCHED!BF44=1,MATCHED!$B44,IF(MATCHED!BF44=2,MATCHED!$C44,IF(MATCHED!BF44=3,MATCHED!$D44,IF(MATCHED!BF44=4,MATCHED!$E44,IF(MATCHED!BF44=3,MATCHED!$F44,IF(MATCHED!BF44=6,MATCHED!$G44,IF(MATCHED!BF44=7,MATCHED!$H44,"")))))))&amp;IF(MATCHED!BF44=8,MATCHED!$I44,IF(MATCHED!BF44=9,MATCHED!$J44,IF(MATCHED!BF44=10,MATCHED!$K44,IF(MATCHED!BF44=11,MATCHED!$L44,IF(MATCHED!BF44=12,MATCHED!$M44,IF(MATCHED!BF44=13,MATCHED!$N44,IF(MATCHED!BF44=14,MATCHED!$O44,"")))))))&amp;IF(MATCHED!BF44=15,MATCHED!$P44,IF(MATCHED!BF44=16,MATCHED!$Q44,IF(MATCHED!BF44=17,MATCHED!$R44,IF(MATCHED!BF44=18,MATCHED!$S44,IF(MATCHED!BF44=19,MATCHED!$T44,IF(MATCHED!BF44=20,MATCHED!$U44,IF(MATCHED!BF44=21,MATCHED!$V44,)))))))&amp;IF(MATCHED!BF44=22,MATCHED!$W44,IF(MATCHED!BF44=23,MATCHED!$X44,IF(MATCHED!BF44=24,MATCHED!$Y44,IF(MATCHED!BF44=25,MATCHED!$Z44,IF(MATCHED!BF44=26,MATCHED!$AA44,IF(MATCHED!BF44=27,MATCHED!$AB44,"."))))))</f>
        <v>#N/A</v>
      </c>
      <c r="AE44" s="370" t="e">
        <f>IF(MATCHED!BG44=1,MATCHED!$B44,IF(MATCHED!BG44=2,MATCHED!$C44,IF(MATCHED!BG44=3,MATCHED!$D44,IF(MATCHED!BG44=4,MATCHED!$E44,IF(MATCHED!BG44=3,MATCHED!$F44,IF(MATCHED!BG44=6,MATCHED!$G44,IF(MATCHED!BG44=7,MATCHED!$H44,"")))))))&amp;IF(MATCHED!BG44=8,MATCHED!$I44,IF(MATCHED!BG44=9,MATCHED!$J44,IF(MATCHED!BG44=10,MATCHED!$K44,IF(MATCHED!BG44=11,MATCHED!$L44,IF(MATCHED!BG44=12,MATCHED!$M44,IF(MATCHED!BG44=13,MATCHED!$N44,IF(MATCHED!BG44=14,MATCHED!$O44,"")))))))&amp;IF(MATCHED!BG44=15,MATCHED!$P44,IF(MATCHED!BG44=16,MATCHED!$Q44,IF(MATCHED!BG44=17,MATCHED!$R44,IF(MATCHED!BG44=18,MATCHED!$S44,IF(MATCHED!BG44=19,MATCHED!$T44,IF(MATCHED!BG44=20,MATCHED!$U44,IF(MATCHED!BG44=21,MATCHED!$V44,)))))))&amp;IF(MATCHED!BG44=22,MATCHED!$W44,IF(MATCHED!BG44=23,MATCHED!$X44,IF(MATCHED!BG44=24,MATCHED!$Y44,IF(MATCHED!BG44=25,MATCHED!$Z44,IF(MATCHED!BG44=26,MATCHED!$AA44,IF(MATCHED!BG44=27,MATCHED!$AB44,"."))))))</f>
        <v>#N/A</v>
      </c>
      <c r="AF44" s="370" t="e">
        <f>IF(MATCHED!BH44=1,MATCHED!$B44,IF(MATCHED!BH44=2,MATCHED!$C44,IF(MATCHED!BH44=3,MATCHED!$D44,IF(MATCHED!BH44=4,MATCHED!$E44,IF(MATCHED!BH44=3,MATCHED!$F44,IF(MATCHED!BH44=6,MATCHED!$G44,IF(MATCHED!BH44=7,MATCHED!$H44,"")))))))&amp;IF(MATCHED!BH44=8,MATCHED!$I44,IF(MATCHED!BH44=9,MATCHED!$J44,IF(MATCHED!BH44=10,MATCHED!$K44,IF(MATCHED!BH44=11,MATCHED!$L44,IF(MATCHED!BH44=12,MATCHED!$M44,IF(MATCHED!BH44=13,MATCHED!$N44,IF(MATCHED!BH44=14,MATCHED!$O44,"")))))))&amp;IF(MATCHED!BH44=15,MATCHED!$P44,IF(MATCHED!BH44=16,MATCHED!$Q44,IF(MATCHED!BH44=17,MATCHED!$R44,IF(MATCHED!BH44=18,MATCHED!$S44,IF(MATCHED!BH44=19,MATCHED!$T44,IF(MATCHED!BH44=20,MATCHED!$U44,IF(MATCHED!BH44=21,MATCHED!$V44,)))))))&amp;IF(MATCHED!BH44=22,MATCHED!$W44,IF(MATCHED!BH44=23,MATCHED!$X44,IF(MATCHED!BH44=24,MATCHED!$Y44,IF(MATCHED!BH44=25,MATCHED!$Z44,IF(MATCHED!BH44=26,MATCHED!$AA44,IF(MATCHED!BH44=27,MATCHED!$AB44,"."))))))</f>
        <v>#N/A</v>
      </c>
      <c r="AG44" s="370" t="e">
        <f>IF(MATCHED!BI44=1,MATCHED!$B44,IF(MATCHED!BI44=2,MATCHED!$C44,IF(MATCHED!BI44=3,MATCHED!$D44,IF(MATCHED!BI44=4,MATCHED!$E44,IF(MATCHED!BI44=3,MATCHED!$F44,IF(MATCHED!BI44=6,MATCHED!$G44,IF(MATCHED!BI44=7,MATCHED!$H44,"")))))))&amp;IF(MATCHED!BI44=8,MATCHED!$I44,IF(MATCHED!BI44=9,MATCHED!$J44,IF(MATCHED!BI44=10,MATCHED!$K44,IF(MATCHED!BI44=11,MATCHED!$L44,IF(MATCHED!BI44=12,MATCHED!$M44,IF(MATCHED!BI44=13,MATCHED!$N44,IF(MATCHED!BI44=14,MATCHED!$O44,"")))))))&amp;IF(MATCHED!BI44=15,MATCHED!$P44,IF(MATCHED!BI44=16,MATCHED!$Q44,IF(MATCHED!BI44=17,MATCHED!$R44,IF(MATCHED!BI44=18,MATCHED!$S44,IF(MATCHED!BI44=19,MATCHED!$T44,IF(MATCHED!BI44=20,MATCHED!$U44,IF(MATCHED!BI44=21,MATCHED!$V44,)))))))&amp;IF(MATCHED!BI44=22,MATCHED!$W44,IF(MATCHED!BI44=23,MATCHED!$X44,IF(MATCHED!BI44=24,MATCHED!$Y44,IF(MATCHED!BI44=25,MATCHED!$Z44,IF(MATCHED!BI44=26,MATCHED!$AA44,IF(MATCHED!BI44=27,MATCHED!$AB44,"."))))))</f>
        <v>#N/A</v>
      </c>
      <c r="AH44" s="370" t="e">
        <f>IF(MATCHED!BJ44=1,MATCHED!$B44,IF(MATCHED!BJ44=2,MATCHED!$C44,IF(MATCHED!BJ44=3,MATCHED!$D44,IF(MATCHED!BJ44=4,MATCHED!$E44,IF(MATCHED!BJ44=3,MATCHED!$F44,IF(MATCHED!BJ44=6,MATCHED!$G44,IF(MATCHED!BJ44=7,MATCHED!$H44,"")))))))&amp;IF(MATCHED!BJ44=8,MATCHED!$I44,IF(MATCHED!BJ44=9,MATCHED!$J44,IF(MATCHED!BJ44=10,MATCHED!$K44,IF(MATCHED!BJ44=11,MATCHED!$L44,IF(MATCHED!BJ44=12,MATCHED!$M44,IF(MATCHED!BJ44=13,MATCHED!$N44,IF(MATCHED!BJ44=14,MATCHED!$O44,"")))))))&amp;IF(MATCHED!BJ44=15,MATCHED!$P44,IF(MATCHED!BJ44=16,MATCHED!$Q44,IF(MATCHED!BJ44=17,MATCHED!$R44,IF(MATCHED!BJ44=18,MATCHED!$S44,IF(MATCHED!BJ44=19,MATCHED!$T44,IF(MATCHED!BJ44=20,MATCHED!$U44,IF(MATCHED!BJ44=21,MATCHED!$V44,)))))))&amp;IF(MATCHED!BJ44=22,MATCHED!$W44,IF(MATCHED!BJ44=23,MATCHED!$X44,IF(MATCHED!BJ44=24,MATCHED!$Y44,IF(MATCHED!BJ44=25,MATCHED!$Z44,IF(MATCHED!BJ44=26,MATCHED!$AA44,IF(MATCHED!BJ44=27,MATCHED!$AB44,"."))))))</f>
        <v>#N/A</v>
      </c>
      <c r="AI44" s="370" t="e">
        <f>IF(MATCHED!BK44=1,MATCHED!$B44,IF(MATCHED!BK44=2,MATCHED!$C44,IF(MATCHED!BK44=3,MATCHED!$D44,IF(MATCHED!BK44=4,MATCHED!$E44,IF(MATCHED!BK44=3,MATCHED!$F44,IF(MATCHED!BK44=6,MATCHED!$G44,IF(MATCHED!BK44=7,MATCHED!$H44,"")))))))&amp;IF(MATCHED!BK44=8,MATCHED!$I44,IF(MATCHED!BK44=9,MATCHED!$J44,IF(MATCHED!BK44=10,MATCHED!$K44,IF(MATCHED!BK44=11,MATCHED!$L44,IF(MATCHED!BK44=12,MATCHED!$M44,IF(MATCHED!BK44=13,MATCHED!$N44,IF(MATCHED!BK44=14,MATCHED!$O44,"")))))))&amp;IF(MATCHED!BK44=15,MATCHED!$P44,IF(MATCHED!BK44=16,MATCHED!$Q44,IF(MATCHED!BK44=17,MATCHED!$R44,IF(MATCHED!BK44=18,MATCHED!$S44,IF(MATCHED!BK44=19,MATCHED!$T44,IF(MATCHED!BK44=20,MATCHED!$U44,IF(MATCHED!BK44=21,MATCHED!$V44,)))))))&amp;IF(MATCHED!BK44=22,MATCHED!$W44,IF(MATCHED!BK44=23,MATCHED!$X44,IF(MATCHED!BK44=24,MATCHED!$Y44,IF(MATCHED!BK44=25,MATCHED!$Z44,IF(MATCHED!BK44=26,MATCHED!$AA44,IF(MATCHED!BK44=27,MATCHED!$AB44,"."))))))</f>
        <v>#N/A</v>
      </c>
      <c r="AJ44" s="536"/>
    </row>
    <row r="45" spans="1:36" s="351" customFormat="1" ht="15.6" thickBot="1" x14ac:dyDescent="0.3">
      <c r="A45" s="349"/>
      <c r="B45" s="321" t="e">
        <f>IF(MATCHED!AD45=1,MATCHED!$B45,IF(MATCHED!AD45=2,MATCHED!$C45,IF(MATCHED!AD45=3,MATCHED!$D45,IF(MATCHED!AD45=4,MATCHED!$E45,IF(MATCHED!AD45=3,MATCHED!$F45,IF(MATCHED!AD45=6,MATCHED!$G45,IF(MATCHED!AD45=7,MATCHED!$H45,"")))))))&amp;IF(MATCHED!AD45=8,MATCHED!$I45,IF(MATCHED!AD45=9,MATCHED!$J45,IF(MATCHED!AD45=10,MATCHED!$K45,IF(MATCHED!AD45=11,MATCHED!$L45,IF(MATCHED!AD45=12,MATCHED!$M45,IF(MATCHED!AD45=13,MATCHED!$N45,IF(MATCHED!AD45=14,MATCHED!$O45,"")))))))&amp;IF(MATCHED!AD45=15,MATCHED!$P45,IF(MATCHED!AD45=16,MATCHED!$Q45,IF(MATCHED!AD45=17,MATCHED!$R45,IF(MATCHED!AD45=18,MATCHED!$S45,IF(MATCHED!AD45=19,MATCHED!$T45,IF(MATCHED!AD45=20,MATCHED!$U45,IF(MATCHED!AD45=21,MATCHED!$V45,)))))))&amp;IF(MATCHED!AD45=22,MATCHED!$W45,IF(MATCHED!AD45=23,MATCHED!$X45,IF(MATCHED!AD45=24,MATCHED!$Y45,IF(MATCHED!AD45=25,MATCHED!$Z45,IF(MATCHED!AD45=26,MATCHED!$AA45,IF(MATCHED!AD45=27,MATCHED!$AB45,"."))))))</f>
        <v>#N/A</v>
      </c>
      <c r="C45" s="321" t="e">
        <f>IF(MATCHED!AE45=1,MATCHED!$B45,IF(MATCHED!AE45=2,MATCHED!$C45,IF(MATCHED!AE45=3,MATCHED!$D45,IF(MATCHED!AE45=4,MATCHED!$E45,IF(MATCHED!AE45=3,MATCHED!$F45,IF(MATCHED!AE45=6,MATCHED!$G45,IF(MATCHED!AE45=7,MATCHED!$H45,"")))))))&amp;IF(MATCHED!AE45=8,MATCHED!$I45,IF(MATCHED!AE45=9,MATCHED!$J45,IF(MATCHED!AE45=10,MATCHED!$K45,IF(MATCHED!AE45=11,MATCHED!$L45,IF(MATCHED!AE45=12,MATCHED!$M45,IF(MATCHED!AE45=13,MATCHED!$N45,IF(MATCHED!AE45=14,MATCHED!$O45,"")))))))&amp;IF(MATCHED!AE45=15,MATCHED!$P45,IF(MATCHED!AE45=16,MATCHED!$Q45,IF(MATCHED!AE45=17,MATCHED!$R45,IF(MATCHED!AE45=18,MATCHED!$S45,IF(MATCHED!AE45=19,MATCHED!$T45,IF(MATCHED!AE45=20,MATCHED!$U45,IF(MATCHED!AE45=21,MATCHED!$V45,)))))))&amp;IF(MATCHED!AE45=22,MATCHED!$W45,IF(MATCHED!AE45=23,MATCHED!$X45,IF(MATCHED!AE45=24,MATCHED!$Y45,IF(MATCHED!AE45=25,MATCHED!$Z45,IF(MATCHED!AE45=26,MATCHED!$AA45,IF(MATCHED!AE45=27,MATCHED!$AB45,"."))))))</f>
        <v>#N/A</v>
      </c>
      <c r="D45" s="321" t="e">
        <f>IF(MATCHED!AF45=1,MATCHED!$B45,IF(MATCHED!AF45=2,MATCHED!$C45,IF(MATCHED!AF45=3,MATCHED!$D45,IF(MATCHED!AF45=4,MATCHED!$E45,IF(MATCHED!AF45=3,MATCHED!$F45,IF(MATCHED!AF45=6,MATCHED!$G45,IF(MATCHED!AF45=7,MATCHED!$H45,"")))))))&amp;IF(MATCHED!AF45=8,MATCHED!$I45,IF(MATCHED!AF45=9,MATCHED!$J45,IF(MATCHED!AF45=10,MATCHED!$K45,IF(MATCHED!AF45=11,MATCHED!$L45,IF(MATCHED!AF45=12,MATCHED!$M45,IF(MATCHED!AF45=13,MATCHED!$N45,IF(MATCHED!AF45=14,MATCHED!$O45,"")))))))&amp;IF(MATCHED!AF45=15,MATCHED!$P45,IF(MATCHED!AF45=16,MATCHED!$Q45,IF(MATCHED!AF45=17,MATCHED!$R45,IF(MATCHED!AF45=18,MATCHED!$S45,IF(MATCHED!AF45=19,MATCHED!$T45,IF(MATCHED!AF45=20,MATCHED!$U45,IF(MATCHED!AF45=21,MATCHED!$V45,)))))))&amp;IF(MATCHED!AF45=22,MATCHED!$W45,IF(MATCHED!AF45=23,MATCHED!$X45,IF(MATCHED!AF45=24,MATCHED!$Y45,IF(MATCHED!AF45=25,MATCHED!$Z45,IF(MATCHED!AF45=26,MATCHED!$AA45,IF(MATCHED!AF45=27,MATCHED!$AB45,"."))))))</f>
        <v>#N/A</v>
      </c>
      <c r="E45" s="322" t="e">
        <f>IF(MATCHED!AG45=1,MATCHED!$B45,IF(MATCHED!AG45=2,MATCHED!$C45,IF(MATCHED!AG45=3,MATCHED!$D45,IF(MATCHED!AG45=4,MATCHED!$E45,IF(MATCHED!AG45=3,MATCHED!$F45,IF(MATCHED!AG45=6,MATCHED!$G45,IF(MATCHED!AG45=7,MATCHED!$H45,"")))))))&amp;IF(MATCHED!AG45=8,MATCHED!$I45,IF(MATCHED!AG45=9,MATCHED!$J45,IF(MATCHED!AG45=10,MATCHED!$K45,IF(MATCHED!AG45=11,MATCHED!$L45,IF(MATCHED!AG45=12,MATCHED!$M45,IF(MATCHED!AG45=13,MATCHED!$N45,IF(MATCHED!AG45=14,MATCHED!$O45,"")))))))&amp;IF(MATCHED!AG45=15,MATCHED!$P45,IF(MATCHED!AG45=16,MATCHED!$Q45,IF(MATCHED!AG45=17,MATCHED!$R45,IF(MATCHED!AG45=18,MATCHED!$S45,IF(MATCHED!AG45=19,MATCHED!$T45,IF(MATCHED!AG45=20,MATCHED!$U45,IF(MATCHED!AG45=21,MATCHED!$V45,)))))))&amp;IF(MATCHED!AG45=22,MATCHED!$W45,IF(MATCHED!AG45=23,MATCHED!$X45,IF(MATCHED!AG45=24,MATCHED!$Y45,IF(MATCHED!AG45=25,MATCHED!$Z45,IF(MATCHED!AG45=26,MATCHED!$AA45,IF(MATCHED!AG45=27,MATCHED!$AB45,"."))))))</f>
        <v>#N/A</v>
      </c>
      <c r="F45" s="321" t="e">
        <f>IF(MATCHED!AH45=1,MATCHED!$B45,IF(MATCHED!AH45=2,MATCHED!$C45,IF(MATCHED!AH45=3,MATCHED!$D45,IF(MATCHED!AH45=4,MATCHED!$E45,IF(MATCHED!AH45=3,MATCHED!$F45,IF(MATCHED!AH45=6,MATCHED!$G45,IF(MATCHED!AH45=7,MATCHED!$H45,"")))))))&amp;IF(MATCHED!AH45=8,MATCHED!$I45,IF(MATCHED!AH45=9,MATCHED!$J45,IF(MATCHED!AH45=10,MATCHED!$K45,IF(MATCHED!AH45=11,MATCHED!$L45,IF(MATCHED!AH45=12,MATCHED!$M45,IF(MATCHED!AH45=13,MATCHED!$N45,IF(MATCHED!AH45=14,MATCHED!$O45,"")))))))&amp;IF(MATCHED!AH45=15,MATCHED!$P45,IF(MATCHED!AH45=16,MATCHED!$Q45,IF(MATCHED!AH45=17,MATCHED!$R45,IF(MATCHED!AH45=18,MATCHED!$S45,IF(MATCHED!AH45=19,MATCHED!$T45,IF(MATCHED!AH45=20,MATCHED!$U45,IF(MATCHED!AH45=21,MATCHED!$V45,)))))))&amp;IF(MATCHED!AH45=22,MATCHED!$W45,IF(MATCHED!AH45=23,MATCHED!$X45,IF(MATCHED!AH45=24,MATCHED!$Y45,IF(MATCHED!AH45=25,MATCHED!$Z45,IF(MATCHED!AH45=26,MATCHED!$AA45,IF(MATCHED!AH45=27,MATCHED!$AB45,"."))))))</f>
        <v>#N/A</v>
      </c>
      <c r="G45" s="321" t="e">
        <f>IF(MATCHED!AI45=1,MATCHED!$B45,IF(MATCHED!AI45=2,MATCHED!$C45,IF(MATCHED!AI45=3,MATCHED!$D45,IF(MATCHED!AI45=4,MATCHED!$E45,IF(MATCHED!AI45=3,MATCHED!$F45,IF(MATCHED!AI45=6,MATCHED!$G45,IF(MATCHED!AI45=7,MATCHED!$H45,"")))))))&amp;IF(MATCHED!AI45=8,MATCHED!$I45,IF(MATCHED!AI45=9,MATCHED!$J45,IF(MATCHED!AI45=10,MATCHED!$K45,IF(MATCHED!AI45=11,MATCHED!$L45,IF(MATCHED!AI45=12,MATCHED!$M45,IF(MATCHED!AI45=13,MATCHED!$N45,IF(MATCHED!AI45=14,MATCHED!$O45,"")))))))&amp;IF(MATCHED!AI45=15,MATCHED!$P45,IF(MATCHED!AI45=16,MATCHED!$Q45,IF(MATCHED!AI45=17,MATCHED!$R45,IF(MATCHED!AI45=18,MATCHED!$S45,IF(MATCHED!AI45=19,MATCHED!$T45,IF(MATCHED!AI45=20,MATCHED!$U45,IF(MATCHED!AI45=21,MATCHED!$V45,)))))))&amp;IF(MATCHED!AI45=22,MATCHED!$W45,IF(MATCHED!AI45=23,MATCHED!$X45,IF(MATCHED!AI45=24,MATCHED!$Y45,IF(MATCHED!AI45=25,MATCHED!$Z45,IF(MATCHED!AI45=26,MATCHED!$AA45,IF(MATCHED!AI45=27,MATCHED!$AB45,"."))))))</f>
        <v>#N/A</v>
      </c>
      <c r="H45" s="321" t="e">
        <f>IF(MATCHED!AJ45=1,MATCHED!$B45,IF(MATCHED!AJ45=2,MATCHED!$C45,IF(MATCHED!AJ45=3,MATCHED!$D45,IF(MATCHED!AJ45=4,MATCHED!$E45,IF(MATCHED!AJ45=3,MATCHED!$F45,IF(MATCHED!AJ45=6,MATCHED!$G45,IF(MATCHED!AJ45=7,MATCHED!$H45,"")))))))&amp;IF(MATCHED!AJ45=8,MATCHED!$I45,IF(MATCHED!AJ45=9,MATCHED!$J45,IF(MATCHED!AJ45=10,MATCHED!$K45,IF(MATCHED!AJ45=11,MATCHED!$L45,IF(MATCHED!AJ45=12,MATCHED!$M45,IF(MATCHED!AJ45=13,MATCHED!$N45,IF(MATCHED!AJ45=14,MATCHED!$O45,"")))))))&amp;IF(MATCHED!AJ45=15,MATCHED!$P45,IF(MATCHED!AJ45=16,MATCHED!$Q45,IF(MATCHED!AJ45=17,MATCHED!$R45,IF(MATCHED!AJ45=18,MATCHED!$S45,IF(MATCHED!AJ45=19,MATCHED!$T45,IF(MATCHED!AJ45=20,MATCHED!$U45,IF(MATCHED!AJ45=21,MATCHED!$V45,)))))))&amp;IF(MATCHED!AJ45=22,MATCHED!$W45,IF(MATCHED!AJ45=23,MATCHED!$X45,IF(MATCHED!AJ45=24,MATCHED!$Y45,IF(MATCHED!AJ45=25,MATCHED!$Z45,IF(MATCHED!AJ45=26,MATCHED!$AA45,IF(MATCHED!AJ45=27,MATCHED!$AB45,"."))))))</f>
        <v>#N/A</v>
      </c>
      <c r="I45" s="323" t="e">
        <f>IF(MATCHED!AK45=1,MATCHED!$B45,IF(MATCHED!AK45=2,MATCHED!$C45,IF(MATCHED!AK45=3,MATCHED!$D45,IF(MATCHED!AK45=4,MATCHED!$E45,IF(MATCHED!AK45=3,MATCHED!$F45,IF(MATCHED!AK45=6,MATCHED!$G45,IF(MATCHED!AK45=7,MATCHED!$H45,"")))))))&amp;IF(MATCHED!AK45=8,MATCHED!$I45,IF(MATCHED!AK45=9,MATCHED!$J45,IF(MATCHED!AK45=10,MATCHED!$K45,IF(MATCHED!AK45=11,MATCHED!$L45,IF(MATCHED!AK45=12,MATCHED!$M45,IF(MATCHED!AK45=13,MATCHED!$N45,IF(MATCHED!AK45=14,MATCHED!$O45,"")))))))&amp;IF(MATCHED!AK45=15,MATCHED!$P45,IF(MATCHED!AK45=16,MATCHED!$Q45,IF(MATCHED!AK45=17,MATCHED!$R45,IF(MATCHED!AK45=18,MATCHED!$S45,IF(MATCHED!AK45=19,MATCHED!$T45,IF(MATCHED!AK45=20,MATCHED!$U45,IF(MATCHED!AK45=21,MATCHED!$V45,)))))))&amp;IF(MATCHED!AK45=22,MATCHED!$W45,IF(MATCHED!AK45=23,MATCHED!$X45,IF(MATCHED!AK45=24,MATCHED!$Y45,IF(MATCHED!AK45=25,MATCHED!$Z45,IF(MATCHED!AK45=26,MATCHED!$AA45,IF(MATCHED!AK45=27,MATCHED!$AB45,"."))))))</f>
        <v>#N/A</v>
      </c>
      <c r="J45" s="321" t="e">
        <f>IF(MATCHED!AL45=1,MATCHED!$B45,IF(MATCHED!AL45=2,MATCHED!$C45,IF(MATCHED!AL45=3,MATCHED!$D45,IF(MATCHED!AL45=4,MATCHED!$E45,IF(MATCHED!AL45=3,MATCHED!$F45,IF(MATCHED!AL45=6,MATCHED!$G45,IF(MATCHED!AL45=7,MATCHED!$H45,"")))))))&amp;IF(MATCHED!AL45=8,MATCHED!$I45,IF(MATCHED!AL45=9,MATCHED!$J45,IF(MATCHED!AL45=10,MATCHED!$K45,IF(MATCHED!AL45=11,MATCHED!$L45,IF(MATCHED!AL45=12,MATCHED!$M45,IF(MATCHED!AL45=13,MATCHED!$N45,IF(MATCHED!AL45=14,MATCHED!$O45,"")))))))&amp;IF(MATCHED!AL45=15,MATCHED!$P45,IF(MATCHED!AL45=16,MATCHED!$Q45,IF(MATCHED!AL45=17,MATCHED!$R45,IF(MATCHED!AL45=18,MATCHED!$S45,IF(MATCHED!AL45=19,MATCHED!$T45,IF(MATCHED!AL45=20,MATCHED!$U45,IF(MATCHED!AL45=21,MATCHED!$V45,)))))))&amp;IF(MATCHED!AL45=22,MATCHED!$W45,IF(MATCHED!AL45=23,MATCHED!$X45,IF(MATCHED!AL45=24,MATCHED!$Y45,IF(MATCHED!AL45=25,MATCHED!$Z45,IF(MATCHED!AL45=26,MATCHED!$AA45,IF(MATCHED!AL45=27,MATCHED!$AB45,"."))))))</f>
        <v>#N/A</v>
      </c>
      <c r="K45" s="321" t="e">
        <f>IF(MATCHED!AM45=1,MATCHED!$B45,IF(MATCHED!AM45=2,MATCHED!$C45,IF(MATCHED!AM45=3,MATCHED!$D45,IF(MATCHED!AM45=4,MATCHED!$E45,IF(MATCHED!AM45=3,MATCHED!$F45,IF(MATCHED!AM45=6,MATCHED!$G45,IF(MATCHED!AM45=7,MATCHED!$H45,"")))))))&amp;IF(MATCHED!AM45=8,MATCHED!$I45,IF(MATCHED!AM45=9,MATCHED!$J45,IF(MATCHED!AM45=10,MATCHED!$K45,IF(MATCHED!AM45=11,MATCHED!$L45,IF(MATCHED!AM45=12,MATCHED!$M45,IF(MATCHED!AM45=13,MATCHED!$N45,IF(MATCHED!AM45=14,MATCHED!$O45,"")))))))&amp;IF(MATCHED!AM45=15,MATCHED!$P45,IF(MATCHED!AM45=16,MATCHED!$Q45,IF(MATCHED!AM45=17,MATCHED!$R45,IF(MATCHED!AM45=18,MATCHED!$S45,IF(MATCHED!AM45=19,MATCHED!$T45,IF(MATCHED!AM45=20,MATCHED!$U45,IF(MATCHED!AM45=21,MATCHED!$V45,)))))))&amp;IF(MATCHED!AM45=22,MATCHED!$W45,IF(MATCHED!AM45=23,MATCHED!$X45,IF(MATCHED!AM45=24,MATCHED!$Y45,IF(MATCHED!AM45=25,MATCHED!$Z45,IF(MATCHED!AM45=26,MATCHED!$AA45,IF(MATCHED!AM45=27,MATCHED!$AB45,"."))))))</f>
        <v>#N/A</v>
      </c>
      <c r="L45" s="321" t="e">
        <f>IF(MATCHED!AN45=1,MATCHED!$B45,IF(MATCHED!AN45=2,MATCHED!$C45,IF(MATCHED!AN45=3,MATCHED!$D45,IF(MATCHED!AN45=4,MATCHED!$E45,IF(MATCHED!AN45=3,MATCHED!$F45,IF(MATCHED!AN45=6,MATCHED!$G45,IF(MATCHED!AN45=7,MATCHED!$H45,"")))))))&amp;IF(MATCHED!AN45=8,MATCHED!$I45,IF(MATCHED!AN45=9,MATCHED!$J45,IF(MATCHED!AN45=10,MATCHED!$K45,IF(MATCHED!AN45=11,MATCHED!$L45,IF(MATCHED!AN45=12,MATCHED!$M45,IF(MATCHED!AN45=13,MATCHED!$N45,IF(MATCHED!AN45=14,MATCHED!$O45,"")))))))&amp;IF(MATCHED!AN45=15,MATCHED!$P45,IF(MATCHED!AN45=16,MATCHED!$Q45,IF(MATCHED!AN45=17,MATCHED!$R45,IF(MATCHED!AN45=18,MATCHED!$S45,IF(MATCHED!AN45=19,MATCHED!$T45,IF(MATCHED!AN45=20,MATCHED!$U45,IF(MATCHED!AN45=21,MATCHED!$V45,)))))))&amp;IF(MATCHED!AN45=22,MATCHED!$W45,IF(MATCHED!AN45=23,MATCHED!$X45,IF(MATCHED!AN45=24,MATCHED!$Y45,IF(MATCHED!AN45=25,MATCHED!$Z45,IF(MATCHED!AN45=26,MATCHED!$AA45,IF(MATCHED!AN45=27,MATCHED!$AB45,"."))))))</f>
        <v>#N/A</v>
      </c>
      <c r="M45" s="324" t="e">
        <f>IF(MATCHED!AO45=1,MATCHED!$B45,IF(MATCHED!AO45=2,MATCHED!$C45,IF(MATCHED!AO45=3,MATCHED!$D45,IF(MATCHED!AO45=4,MATCHED!$E45,IF(MATCHED!AO45=3,MATCHED!$F45,IF(MATCHED!AO45=6,MATCHED!$G45,IF(MATCHED!AO45=7,MATCHED!$H45,"")))))))&amp;IF(MATCHED!AO45=8,MATCHED!$I45,IF(MATCHED!AO45=9,MATCHED!$J45,IF(MATCHED!AO45=10,MATCHED!$K45,IF(MATCHED!AO45=11,MATCHED!$L45,IF(MATCHED!AO45=12,MATCHED!$M45,IF(MATCHED!AO45=13,MATCHED!$N45,IF(MATCHED!AO45=14,MATCHED!$O45,"")))))))&amp;IF(MATCHED!AO45=15,MATCHED!$P45,IF(MATCHED!AO45=16,MATCHED!$Q45,IF(MATCHED!AO45=17,MATCHED!$R45,IF(MATCHED!AO45=18,MATCHED!$S45,IF(MATCHED!AO45=19,MATCHED!$T45,IF(MATCHED!AO45=20,MATCHED!$U45,IF(MATCHED!AO45=21,MATCHED!$V45,)))))))&amp;IF(MATCHED!AO45=22,MATCHED!$W45,IF(MATCHED!AO45=23,MATCHED!$X45,IF(MATCHED!AO45=24,MATCHED!$Y45,IF(MATCHED!AO45=25,MATCHED!$Z45,IF(MATCHED!AO45=26,MATCHED!$AA45,IF(MATCHED!AO45=27,MATCHED!$AB45,"."))))))</f>
        <v>#N/A</v>
      </c>
      <c r="N45" s="321" t="e">
        <f>IF(MATCHED!AP45=1,MATCHED!$B45,IF(MATCHED!AP45=2,MATCHED!$C45,IF(MATCHED!AP45=3,MATCHED!$D45,IF(MATCHED!AP45=4,MATCHED!$E45,IF(MATCHED!AP45=3,MATCHED!$F45,IF(MATCHED!AP45=6,MATCHED!$G45,IF(MATCHED!AP45=7,MATCHED!$H45,"")))))))&amp;IF(MATCHED!AP45=8,MATCHED!$I45,IF(MATCHED!AP45=9,MATCHED!$J45,IF(MATCHED!AP45=10,MATCHED!$K45,IF(MATCHED!AP45=11,MATCHED!$L45,IF(MATCHED!AP45=12,MATCHED!$M45,IF(MATCHED!AP45=13,MATCHED!$N45,IF(MATCHED!AP45=14,MATCHED!$O45,"")))))))&amp;IF(MATCHED!AP45=15,MATCHED!$P45,IF(MATCHED!AP45=16,MATCHED!$Q45,IF(MATCHED!AP45=17,MATCHED!$R45,IF(MATCHED!AP45=18,MATCHED!$S45,IF(MATCHED!AP45=19,MATCHED!$T45,IF(MATCHED!AP45=20,MATCHED!$U45,IF(MATCHED!AP45=21,MATCHED!$V45,)))))))&amp;IF(MATCHED!AP45=22,MATCHED!$W45,IF(MATCHED!AP45=23,MATCHED!$X45,IF(MATCHED!AP45=24,MATCHED!$Y45,IF(MATCHED!AP45=25,MATCHED!$Z45,IF(MATCHED!AP45=26,MATCHED!$AA45,IF(MATCHED!AP45=27,MATCHED!$AB45,"."))))))</f>
        <v>#N/A</v>
      </c>
      <c r="O45" s="321" t="e">
        <f>IF(MATCHED!AQ45=1,MATCHED!$B45,IF(MATCHED!AQ45=2,MATCHED!$C45,IF(MATCHED!AQ45=3,MATCHED!$D45,IF(MATCHED!AQ45=4,MATCHED!$E45,IF(MATCHED!AQ45=3,MATCHED!$F45,IF(MATCHED!AQ45=6,MATCHED!$G45,IF(MATCHED!AQ45=7,MATCHED!$H45,"")))))))&amp;IF(MATCHED!AQ45=8,MATCHED!$I45,IF(MATCHED!AQ45=9,MATCHED!$J45,IF(MATCHED!AQ45=10,MATCHED!$K45,IF(MATCHED!AQ45=11,MATCHED!$L45,IF(MATCHED!AQ45=12,MATCHED!$M45,IF(MATCHED!AQ45=13,MATCHED!$N45,IF(MATCHED!AQ45=14,MATCHED!$O45,"")))))))&amp;IF(MATCHED!AQ45=15,MATCHED!$P45,IF(MATCHED!AQ45=16,MATCHED!$Q45,IF(MATCHED!AQ45=17,MATCHED!$R45,IF(MATCHED!AQ45=18,MATCHED!$S45,IF(MATCHED!AQ45=19,MATCHED!$T45,IF(MATCHED!AQ45=20,MATCHED!$U45,IF(MATCHED!AQ45=21,MATCHED!$V45,)))))))&amp;IF(MATCHED!AQ45=22,MATCHED!$W45,IF(MATCHED!AQ45=23,MATCHED!$X45,IF(MATCHED!AQ45=24,MATCHED!$Y45,IF(MATCHED!AQ45=25,MATCHED!$Z45,IF(MATCHED!AQ45=26,MATCHED!$AA45,IF(MATCHED!AQ45=27,MATCHED!$AB45,"."))))))</f>
        <v>#N/A</v>
      </c>
      <c r="P45" s="321" t="e">
        <f>IF(MATCHED!AR45=1,MATCHED!$B45,IF(MATCHED!AR45=2,MATCHED!$C45,IF(MATCHED!AR45=3,MATCHED!$D45,IF(MATCHED!AR45=4,MATCHED!$E45,IF(MATCHED!AR45=3,MATCHED!$F45,IF(MATCHED!AR45=6,MATCHED!$G45,IF(MATCHED!AR45=7,MATCHED!$H45,"")))))))&amp;IF(MATCHED!AR45=8,MATCHED!$I45,IF(MATCHED!AR45=9,MATCHED!$J45,IF(MATCHED!AR45=10,MATCHED!$K45,IF(MATCHED!AR45=11,MATCHED!$L45,IF(MATCHED!AR45=12,MATCHED!$M45,IF(MATCHED!AR45=13,MATCHED!$N45,IF(MATCHED!AR45=14,MATCHED!$O45,"")))))))&amp;IF(MATCHED!AR45=15,MATCHED!$P45,IF(MATCHED!AR45=16,MATCHED!$Q45,IF(MATCHED!AR45=17,MATCHED!$R45,IF(MATCHED!AR45=18,MATCHED!$S45,IF(MATCHED!AR45=19,MATCHED!$T45,IF(MATCHED!AR45=20,MATCHED!$U45,IF(MATCHED!AR45=21,MATCHED!$V45,)))))))&amp;IF(MATCHED!AR45=22,MATCHED!$W45,IF(MATCHED!AR45=23,MATCHED!$X45,IF(MATCHED!AR45=24,MATCHED!$Y45,IF(MATCHED!AR45=25,MATCHED!$Z45,IF(MATCHED!AR45=26,MATCHED!$AA45,IF(MATCHED!AR45=27,MATCHED!$AB45,"."))))))</f>
        <v>#N/A</v>
      </c>
      <c r="Q45" s="322" t="e">
        <f>IF(MATCHED!AS45=1,MATCHED!$B45,IF(MATCHED!AS45=2,MATCHED!$C45,IF(MATCHED!AS45=3,MATCHED!$D45,IF(MATCHED!AS45=4,MATCHED!$E45,IF(MATCHED!AS45=3,MATCHED!$F45,IF(MATCHED!AS45=6,MATCHED!$G45,IF(MATCHED!AS45=7,MATCHED!$H45,"")))))))&amp;IF(MATCHED!AS45=8,MATCHED!$I45,IF(MATCHED!AS45=9,MATCHED!$J45,IF(MATCHED!AS45=10,MATCHED!$K45,IF(MATCHED!AS45=11,MATCHED!$L45,IF(MATCHED!AS45=12,MATCHED!$M45,IF(MATCHED!AS45=13,MATCHED!$N45,IF(MATCHED!AS45=14,MATCHED!$O45,"")))))))&amp;IF(MATCHED!AS45=15,MATCHED!$P45,IF(MATCHED!AS45=16,MATCHED!$Q45,IF(MATCHED!AS45=17,MATCHED!$R45,IF(MATCHED!AS45=18,MATCHED!$S45,IF(MATCHED!AS45=19,MATCHED!$T45,IF(MATCHED!AS45=20,MATCHED!$U45,IF(MATCHED!AS45=21,MATCHED!$V45,)))))))&amp;IF(MATCHED!AS45=22,MATCHED!$W45,IF(MATCHED!AS45=23,MATCHED!$X45,IF(MATCHED!AS45=24,MATCHED!$Y45,IF(MATCHED!AS45=25,MATCHED!$Z45,IF(MATCHED!AS45=26,MATCHED!$AA45,IF(MATCHED!AS45=27,MATCHED!$AB45,"."))))))</f>
        <v>#N/A</v>
      </c>
      <c r="R45" s="321" t="e">
        <f>IF(MATCHED!AT45=1,MATCHED!$B45,IF(MATCHED!AT45=2,MATCHED!$C45,IF(MATCHED!AT45=3,MATCHED!$D45,IF(MATCHED!AT45=4,MATCHED!$E45,IF(MATCHED!AT45=3,MATCHED!$F45,IF(MATCHED!AT45=6,MATCHED!$G45,IF(MATCHED!AT45=7,MATCHED!$H45,"")))))))&amp;IF(MATCHED!AT45=8,MATCHED!$I45,IF(MATCHED!AT45=9,MATCHED!$J45,IF(MATCHED!AT45=10,MATCHED!$K45,IF(MATCHED!AT45=11,MATCHED!$L45,IF(MATCHED!AT45=12,MATCHED!$M45,IF(MATCHED!AT45=13,MATCHED!$N45,IF(MATCHED!AT45=14,MATCHED!$O45,"")))))))&amp;IF(MATCHED!AT45=15,MATCHED!$P45,IF(MATCHED!AT45=16,MATCHED!$Q45,IF(MATCHED!AT45=17,MATCHED!$R45,IF(MATCHED!AT45=18,MATCHED!$S45,IF(MATCHED!AT45=19,MATCHED!$T45,IF(MATCHED!AT45=20,MATCHED!$U45,IF(MATCHED!AT45=21,MATCHED!$V45,)))))))&amp;IF(MATCHED!AT45=22,MATCHED!$W45,IF(MATCHED!AT45=23,MATCHED!$X45,IF(MATCHED!AT45=24,MATCHED!$Y45,IF(MATCHED!AT45=25,MATCHED!$Z45,IF(MATCHED!AT45=26,MATCHED!$AA45,IF(MATCHED!AT45=27,MATCHED!$AB45,"."))))))</f>
        <v>#N/A</v>
      </c>
      <c r="S45" s="321" t="e">
        <f>IF(MATCHED!AU45=1,MATCHED!$B45,IF(MATCHED!AU45=2,MATCHED!$C45,IF(MATCHED!AU45=3,MATCHED!$D45,IF(MATCHED!AU45=4,MATCHED!$E45,IF(MATCHED!AU45=3,MATCHED!$F45,IF(MATCHED!AU45=6,MATCHED!$G45,IF(MATCHED!AU45=7,MATCHED!$H45,"")))))))&amp;IF(MATCHED!AU45=8,MATCHED!$I45,IF(MATCHED!AU45=9,MATCHED!$J45,IF(MATCHED!AU45=10,MATCHED!$K45,IF(MATCHED!AU45=11,MATCHED!$L45,IF(MATCHED!AU45=12,MATCHED!$M45,IF(MATCHED!AU45=13,MATCHED!$N45,IF(MATCHED!AU45=14,MATCHED!$O45,"")))))))&amp;IF(MATCHED!AU45=15,MATCHED!$P45,IF(MATCHED!AU45=16,MATCHED!$Q45,IF(MATCHED!AU45=17,MATCHED!$R45,IF(MATCHED!AU45=18,MATCHED!$S45,IF(MATCHED!AU45=19,MATCHED!$T45,IF(MATCHED!AU45=20,MATCHED!$U45,IF(MATCHED!AU45=21,MATCHED!$V45,)))))))&amp;IF(MATCHED!AU45=22,MATCHED!$W45,IF(MATCHED!AU45=23,MATCHED!$X45,IF(MATCHED!AU45=24,MATCHED!$Y45,IF(MATCHED!AU45=25,MATCHED!$Z45,IF(MATCHED!AU45=26,MATCHED!$AA45,IF(MATCHED!AU45=27,MATCHED!$AB45,"."))))))</f>
        <v>#N/A</v>
      </c>
      <c r="T45" s="321" t="e">
        <f>IF(MATCHED!AV45=1,MATCHED!$B45,IF(MATCHED!AV45=2,MATCHED!$C45,IF(MATCHED!AV45=3,MATCHED!$D45,IF(MATCHED!AV45=4,MATCHED!$E45,IF(MATCHED!AV45=3,MATCHED!$F45,IF(MATCHED!AV45=6,MATCHED!$G45,IF(MATCHED!AV45=7,MATCHED!$H45,"")))))))&amp;IF(MATCHED!AV45=8,MATCHED!$I45,IF(MATCHED!AV45=9,MATCHED!$J45,IF(MATCHED!AV45=10,MATCHED!$K45,IF(MATCHED!AV45=11,MATCHED!$L45,IF(MATCHED!AV45=12,MATCHED!$M45,IF(MATCHED!AV45=13,MATCHED!$N45,IF(MATCHED!AV45=14,MATCHED!$O45,"")))))))&amp;IF(MATCHED!AV45=15,MATCHED!$P45,IF(MATCHED!AV45=16,MATCHED!$Q45,IF(MATCHED!AV45=17,MATCHED!$R45,IF(MATCHED!AV45=18,MATCHED!$S45,IF(MATCHED!AV45=19,MATCHED!$T45,IF(MATCHED!AV45=20,MATCHED!$U45,IF(MATCHED!AV45=21,MATCHED!$V45,)))))))&amp;IF(MATCHED!AV45=22,MATCHED!$W45,IF(MATCHED!AV45=23,MATCHED!$X45,IF(MATCHED!AV45=24,MATCHED!$Y45,IF(MATCHED!AV45=25,MATCHED!$Z45,IF(MATCHED!AV45=26,MATCHED!$AA45,IF(MATCHED!AV45=27,MATCHED!$AB45,"."))))))</f>
        <v>#N/A</v>
      </c>
      <c r="U45" s="321" t="e">
        <f>IF(MATCHED!AW45=1,MATCHED!$B45,IF(MATCHED!AW45=2,MATCHED!$C45,IF(MATCHED!AW45=3,MATCHED!$D45,IF(MATCHED!AW45=4,MATCHED!$E45,IF(MATCHED!AW45=3,MATCHED!$F45,IF(MATCHED!AW45=6,MATCHED!$G45,IF(MATCHED!AW45=7,MATCHED!$H45,"")))))))&amp;IF(MATCHED!AW45=8,MATCHED!$I45,IF(MATCHED!AW45=9,MATCHED!$J45,IF(MATCHED!AW45=10,MATCHED!$K45,IF(MATCHED!AW45=11,MATCHED!$L45,IF(MATCHED!AW45=12,MATCHED!$M45,IF(MATCHED!AW45=13,MATCHED!$N45,IF(MATCHED!AW45=14,MATCHED!$O45,"")))))))&amp;IF(MATCHED!AW45=15,MATCHED!$P45,IF(MATCHED!AW45=16,MATCHED!$Q45,IF(MATCHED!AW45=17,MATCHED!$R45,IF(MATCHED!AW45=18,MATCHED!$S45,IF(MATCHED!AW45=19,MATCHED!$T45,IF(MATCHED!AW45=20,MATCHED!$U45,IF(MATCHED!AW45=21,MATCHED!$V45,)))))))&amp;IF(MATCHED!AW45=22,MATCHED!$W45,IF(MATCHED!AW45=23,MATCHED!$X45,IF(MATCHED!AW45=24,MATCHED!$Y45,IF(MATCHED!AW45=25,MATCHED!$Z45,IF(MATCHED!AW45=26,MATCHED!$AA45,IF(MATCHED!AW45=27,MATCHED!$AB45,"."))))))</f>
        <v>#N/A</v>
      </c>
      <c r="V45" s="321" t="e">
        <f>IF(MATCHED!AX45=1,MATCHED!$B45,IF(MATCHED!AX45=2,MATCHED!$C45,IF(MATCHED!AX45=3,MATCHED!$D45,IF(MATCHED!AX45=4,MATCHED!$E45,IF(MATCHED!AX45=3,MATCHED!$F45,IF(MATCHED!AX45=6,MATCHED!$G45,IF(MATCHED!AX45=7,MATCHED!$H45,"")))))))&amp;IF(MATCHED!AX45=8,MATCHED!$I45,IF(MATCHED!AX45=9,MATCHED!$J45,IF(MATCHED!AX45=10,MATCHED!$K45,IF(MATCHED!AX45=11,MATCHED!$L45,IF(MATCHED!AX45=12,MATCHED!$M45,IF(MATCHED!AX45=13,MATCHED!$N45,IF(MATCHED!AX45=14,MATCHED!$O45,"")))))))&amp;IF(MATCHED!AX45=15,MATCHED!$P45,IF(MATCHED!AX45=16,MATCHED!$Q45,IF(MATCHED!AX45=17,MATCHED!$R45,IF(MATCHED!AX45=18,MATCHED!$S45,IF(MATCHED!AX45=19,MATCHED!$T45,IF(MATCHED!AX45=20,MATCHED!$U45,IF(MATCHED!AX45=21,MATCHED!$V45,)))))))&amp;IF(MATCHED!AX45=22,MATCHED!$W45,IF(MATCHED!AX45=23,MATCHED!$X45,IF(MATCHED!AX45=24,MATCHED!$Y45,IF(MATCHED!AX45=25,MATCHED!$Z45,IF(MATCHED!AX45=26,MATCHED!$AA45,IF(MATCHED!AX45=27,MATCHED!$AB45,"."))))))</f>
        <v>#N/A</v>
      </c>
      <c r="W45" s="321" t="e">
        <f>IF(MATCHED!AY45=1,MATCHED!$B45,IF(MATCHED!AY45=2,MATCHED!$C45,IF(MATCHED!AY45=3,MATCHED!$D45,IF(MATCHED!AY45=4,MATCHED!$E45,IF(MATCHED!AY45=3,MATCHED!$F45,IF(MATCHED!AY45=6,MATCHED!$G45,IF(MATCHED!AY45=7,MATCHED!$H45,"")))))))&amp;IF(MATCHED!AY45=8,MATCHED!$I45,IF(MATCHED!AY45=9,MATCHED!$J45,IF(MATCHED!AY45=10,MATCHED!$K45,IF(MATCHED!AY45=11,MATCHED!$L45,IF(MATCHED!AY45=12,MATCHED!$M45,IF(MATCHED!AY45=13,MATCHED!$N45,IF(MATCHED!AY45=14,MATCHED!$O45,"")))))))&amp;IF(MATCHED!AY45=15,MATCHED!$P45,IF(MATCHED!AY45=16,MATCHED!$Q45,IF(MATCHED!AY45=17,MATCHED!$R45,IF(MATCHED!AY45=18,MATCHED!$S45,IF(MATCHED!AY45=19,MATCHED!$T45,IF(MATCHED!AY45=20,MATCHED!$U45,IF(MATCHED!AY45=21,MATCHED!$V45,)))))))&amp;IF(MATCHED!AY45=22,MATCHED!$W45,IF(MATCHED!AY45=23,MATCHED!$X45,IF(MATCHED!AY45=24,MATCHED!$Y45,IF(MATCHED!AY45=25,MATCHED!$Z45,IF(MATCHED!AY45=26,MATCHED!$AA45,IF(MATCHED!AY45=27,MATCHED!$AB45,"."))))))</f>
        <v>#N/A</v>
      </c>
      <c r="X45" s="321" t="e">
        <f>IF(MATCHED!AZ45=1,MATCHED!$B45,IF(MATCHED!AZ45=2,MATCHED!$C45,IF(MATCHED!AZ45=3,MATCHED!$D45,IF(MATCHED!AZ45=4,MATCHED!$E45,IF(MATCHED!AZ45=3,MATCHED!$F45,IF(MATCHED!AZ45=6,MATCHED!$G45,IF(MATCHED!AZ45=7,MATCHED!$H45,"")))))))&amp;IF(MATCHED!AZ45=8,MATCHED!$I45,IF(MATCHED!AZ45=9,MATCHED!$J45,IF(MATCHED!AZ45=10,MATCHED!$K45,IF(MATCHED!AZ45=11,MATCHED!$L45,IF(MATCHED!AZ45=12,MATCHED!$M45,IF(MATCHED!AZ45=13,MATCHED!$N45,IF(MATCHED!AZ45=14,MATCHED!$O45,"")))))))&amp;IF(MATCHED!AZ45=15,MATCHED!$P45,IF(MATCHED!AZ45=16,MATCHED!$Q45,IF(MATCHED!AZ45=17,MATCHED!$R45,IF(MATCHED!AZ45=18,MATCHED!$S45,IF(MATCHED!AZ45=19,MATCHED!$T45,IF(MATCHED!AZ45=20,MATCHED!$U45,IF(MATCHED!AZ45=21,MATCHED!$V45,)))))))&amp;IF(MATCHED!AZ45=22,MATCHED!$W45,IF(MATCHED!AZ45=23,MATCHED!$X45,IF(MATCHED!AZ45=24,MATCHED!$Y45,IF(MATCHED!AZ45=25,MATCHED!$Z45,IF(MATCHED!AZ45=26,MATCHED!$AA45,IF(MATCHED!AZ45=27,MATCHED!$AB45,"."))))))</f>
        <v>#N/A</v>
      </c>
      <c r="Y45" s="321" t="e">
        <f>IF(MATCHED!BA45=1,MATCHED!$B45,IF(MATCHED!BA45=2,MATCHED!$C45,IF(MATCHED!BA45=3,MATCHED!$D45,IF(MATCHED!BA45=4,MATCHED!$E45,IF(MATCHED!BA45=3,MATCHED!$F45,IF(MATCHED!BA45=6,MATCHED!$G45,IF(MATCHED!BA45=7,MATCHED!$H45,"")))))))&amp;IF(MATCHED!BA45=8,MATCHED!$I45,IF(MATCHED!BA45=9,MATCHED!$J45,IF(MATCHED!BA45=10,MATCHED!$K45,IF(MATCHED!BA45=11,MATCHED!$L45,IF(MATCHED!BA45=12,MATCHED!$M45,IF(MATCHED!BA45=13,MATCHED!$N45,IF(MATCHED!BA45=14,MATCHED!$O45,"")))))))&amp;IF(MATCHED!BA45=15,MATCHED!$P45,IF(MATCHED!BA45=16,MATCHED!$Q45,IF(MATCHED!BA45=17,MATCHED!$R45,IF(MATCHED!BA45=18,MATCHED!$S45,IF(MATCHED!BA45=19,MATCHED!$T45,IF(MATCHED!BA45=20,MATCHED!$U45,IF(MATCHED!BA45=21,MATCHED!$V45,)))))))&amp;IF(MATCHED!BA45=22,MATCHED!$W45,IF(MATCHED!BA45=23,MATCHED!$X45,IF(MATCHED!BA45=24,MATCHED!$Y45,IF(MATCHED!BA45=25,MATCHED!$Z45,IF(MATCHED!BA45=26,MATCHED!$AA45,IF(MATCHED!BA45=27,MATCHED!$AB45,"."))))))</f>
        <v>#N/A</v>
      </c>
      <c r="Z45" s="321" t="e">
        <f>IF(MATCHED!BB45=1,MATCHED!$B45,IF(MATCHED!BB45=2,MATCHED!$C45,IF(MATCHED!BB45=3,MATCHED!$D45,IF(MATCHED!BB45=4,MATCHED!$E45,IF(MATCHED!BB45=3,MATCHED!$F45,IF(MATCHED!BB45=6,MATCHED!$G45,IF(MATCHED!BB45=7,MATCHED!$H45,"")))))))&amp;IF(MATCHED!BB45=8,MATCHED!$I45,IF(MATCHED!BB45=9,MATCHED!$J45,IF(MATCHED!BB45=10,MATCHED!$K45,IF(MATCHED!BB45=11,MATCHED!$L45,IF(MATCHED!BB45=12,MATCHED!$M45,IF(MATCHED!BB45=13,MATCHED!$N45,IF(MATCHED!BB45=14,MATCHED!$O45,"")))))))&amp;IF(MATCHED!BB45=15,MATCHED!$P45,IF(MATCHED!BB45=16,MATCHED!$Q45,IF(MATCHED!BB45=17,MATCHED!$R45,IF(MATCHED!BB45=18,MATCHED!$S45,IF(MATCHED!BB45=19,MATCHED!$T45,IF(MATCHED!BB45=20,MATCHED!$U45,IF(MATCHED!BB45=21,MATCHED!$V45,)))))))&amp;IF(MATCHED!BB45=22,MATCHED!$W45,IF(MATCHED!BB45=23,MATCHED!$X45,IF(MATCHED!BB45=24,MATCHED!$Y45,IF(MATCHED!BB45=25,MATCHED!$Z45,IF(MATCHED!BB45=26,MATCHED!$AA45,IF(MATCHED!BB45=27,MATCHED!$AB45,"."))))))</f>
        <v>#N/A</v>
      </c>
      <c r="AA45" s="321" t="e">
        <f>IF(MATCHED!BC45=1,MATCHED!$B45,IF(MATCHED!BC45=2,MATCHED!$C45,IF(MATCHED!BC45=3,MATCHED!$D45,IF(MATCHED!BC45=4,MATCHED!$E45,IF(MATCHED!BC45=3,MATCHED!$F45,IF(MATCHED!BC45=6,MATCHED!$G45,IF(MATCHED!BC45=7,MATCHED!$H45,"")))))))&amp;IF(MATCHED!BC45=8,MATCHED!$I45,IF(MATCHED!BC45=9,MATCHED!$J45,IF(MATCHED!BC45=10,MATCHED!$K45,IF(MATCHED!BC45=11,MATCHED!$L45,IF(MATCHED!BC45=12,MATCHED!$M45,IF(MATCHED!BC45=13,MATCHED!$N45,IF(MATCHED!BC45=14,MATCHED!$O45,"")))))))&amp;IF(MATCHED!BC45=15,MATCHED!$P45,IF(MATCHED!BC45=16,MATCHED!$Q45,IF(MATCHED!BC45=17,MATCHED!$R45,IF(MATCHED!BC45=18,MATCHED!$S45,IF(MATCHED!BC45=19,MATCHED!$T45,IF(MATCHED!BC45=20,MATCHED!$U45,IF(MATCHED!BC45=21,MATCHED!$V45,)))))))&amp;IF(MATCHED!BC45=22,MATCHED!$W45,IF(MATCHED!BC45=23,MATCHED!$X45,IF(MATCHED!BC45=24,MATCHED!$Y45,IF(MATCHED!BC45=25,MATCHED!$Z45,IF(MATCHED!BC45=26,MATCHED!$AA45,IF(MATCHED!BC45=27,MATCHED!$AB45,"."))))))</f>
        <v>#N/A</v>
      </c>
      <c r="AB45" s="321" t="e">
        <f>IF(MATCHED!BD45=1,MATCHED!$B45,IF(MATCHED!BD45=2,MATCHED!$C45,IF(MATCHED!BD45=3,MATCHED!$D45,IF(MATCHED!BD45=4,MATCHED!$E45,IF(MATCHED!BD45=3,MATCHED!$F45,IF(MATCHED!BD45=6,MATCHED!$G45,IF(MATCHED!BD45=7,MATCHED!$H45,"")))))))&amp;IF(MATCHED!BD45=8,MATCHED!$I45,IF(MATCHED!BD45=9,MATCHED!$J45,IF(MATCHED!BD45=10,MATCHED!$K45,IF(MATCHED!BD45=11,MATCHED!$L45,IF(MATCHED!BD45=12,MATCHED!$M45,IF(MATCHED!BD45=13,MATCHED!$N45,IF(MATCHED!BD45=14,MATCHED!$O45,"")))))))&amp;IF(MATCHED!BD45=15,MATCHED!$P45,IF(MATCHED!BD45=16,MATCHED!$Q45,IF(MATCHED!BD45=17,MATCHED!$R45,IF(MATCHED!BD45=18,MATCHED!$S45,IF(MATCHED!BD45=19,MATCHED!$T45,IF(MATCHED!BD45=20,MATCHED!$U45,IF(MATCHED!BD45=21,MATCHED!$V45,)))))))&amp;IF(MATCHED!BD45=22,MATCHED!$W45,IF(MATCHED!BD45=23,MATCHED!$X45,IF(MATCHED!BD45=24,MATCHED!$Y45,IF(MATCHED!BD45=25,MATCHED!$Z45,IF(MATCHED!BD45=26,MATCHED!$AA45,IF(MATCHED!BD45=27,MATCHED!$AB45,"."))))))</f>
        <v>#N/A</v>
      </c>
      <c r="AC45" s="321" t="e">
        <f>IF(MATCHED!BE45=1,MATCHED!$B45,IF(MATCHED!BE45=2,MATCHED!$C45,IF(MATCHED!BE45=3,MATCHED!$D45,IF(MATCHED!BE45=4,MATCHED!$E45,IF(MATCHED!BE45=3,MATCHED!$F45,IF(MATCHED!BE45=6,MATCHED!$G45,IF(MATCHED!BE45=7,MATCHED!$H45,"")))))))&amp;IF(MATCHED!BE45=8,MATCHED!$I45,IF(MATCHED!BE45=9,MATCHED!$J45,IF(MATCHED!BE45=10,MATCHED!$K45,IF(MATCHED!BE45=11,MATCHED!$L45,IF(MATCHED!BE45=12,MATCHED!$M45,IF(MATCHED!BE45=13,MATCHED!$N45,IF(MATCHED!BE45=14,MATCHED!$O45,"")))))))&amp;IF(MATCHED!BE45=15,MATCHED!$P45,IF(MATCHED!BE45=16,MATCHED!$Q45,IF(MATCHED!BE45=17,MATCHED!$R45,IF(MATCHED!BE45=18,MATCHED!$S45,IF(MATCHED!BE45=19,MATCHED!$T45,IF(MATCHED!BE45=20,MATCHED!$U45,IF(MATCHED!BE45=21,MATCHED!$V45,)))))))&amp;IF(MATCHED!BE45=22,MATCHED!$W45,IF(MATCHED!BE45=23,MATCHED!$X45,IF(MATCHED!BE45=24,MATCHED!$Y45,IF(MATCHED!BE45=25,MATCHED!$Z45,IF(MATCHED!BE45=26,MATCHED!$AA45,IF(MATCHED!BE45=27,MATCHED!$AB45,"."))))))</f>
        <v>#N/A</v>
      </c>
      <c r="AD45" s="321" t="e">
        <f>IF(MATCHED!BF45=1,MATCHED!$B45,IF(MATCHED!BF45=2,MATCHED!$C45,IF(MATCHED!BF45=3,MATCHED!$D45,IF(MATCHED!BF45=4,MATCHED!$E45,IF(MATCHED!BF45=3,MATCHED!$F45,IF(MATCHED!BF45=6,MATCHED!$G45,IF(MATCHED!BF45=7,MATCHED!$H45,"")))))))&amp;IF(MATCHED!BF45=8,MATCHED!$I45,IF(MATCHED!BF45=9,MATCHED!$J45,IF(MATCHED!BF45=10,MATCHED!$K45,IF(MATCHED!BF45=11,MATCHED!$L45,IF(MATCHED!BF45=12,MATCHED!$M45,IF(MATCHED!BF45=13,MATCHED!$N45,IF(MATCHED!BF45=14,MATCHED!$O45,"")))))))&amp;IF(MATCHED!BF45=15,MATCHED!$P45,IF(MATCHED!BF45=16,MATCHED!$Q45,IF(MATCHED!BF45=17,MATCHED!$R45,IF(MATCHED!BF45=18,MATCHED!$S45,IF(MATCHED!BF45=19,MATCHED!$T45,IF(MATCHED!BF45=20,MATCHED!$U45,IF(MATCHED!BF45=21,MATCHED!$V45,)))))))&amp;IF(MATCHED!BF45=22,MATCHED!$W45,IF(MATCHED!BF45=23,MATCHED!$X45,IF(MATCHED!BF45=24,MATCHED!$Y45,IF(MATCHED!BF45=25,MATCHED!$Z45,IF(MATCHED!BF45=26,MATCHED!$AA45,IF(MATCHED!BF45=27,MATCHED!$AB45,"."))))))</f>
        <v>#N/A</v>
      </c>
      <c r="AE45" s="321" t="e">
        <f>IF(MATCHED!BG45=1,MATCHED!$B45,IF(MATCHED!BG45=2,MATCHED!$C45,IF(MATCHED!BG45=3,MATCHED!$D45,IF(MATCHED!BG45=4,MATCHED!$E45,IF(MATCHED!BG45=3,MATCHED!$F45,IF(MATCHED!BG45=6,MATCHED!$G45,IF(MATCHED!BG45=7,MATCHED!$H45,"")))))))&amp;IF(MATCHED!BG45=8,MATCHED!$I45,IF(MATCHED!BG45=9,MATCHED!$J45,IF(MATCHED!BG45=10,MATCHED!$K45,IF(MATCHED!BG45=11,MATCHED!$L45,IF(MATCHED!BG45=12,MATCHED!$M45,IF(MATCHED!BG45=13,MATCHED!$N45,IF(MATCHED!BG45=14,MATCHED!$O45,"")))))))&amp;IF(MATCHED!BG45=15,MATCHED!$P45,IF(MATCHED!BG45=16,MATCHED!$Q45,IF(MATCHED!BG45=17,MATCHED!$R45,IF(MATCHED!BG45=18,MATCHED!$S45,IF(MATCHED!BG45=19,MATCHED!$T45,IF(MATCHED!BG45=20,MATCHED!$U45,IF(MATCHED!BG45=21,MATCHED!$V45,)))))))&amp;IF(MATCHED!BG45=22,MATCHED!$W45,IF(MATCHED!BG45=23,MATCHED!$X45,IF(MATCHED!BG45=24,MATCHED!$Y45,IF(MATCHED!BG45=25,MATCHED!$Z45,IF(MATCHED!BG45=26,MATCHED!$AA45,IF(MATCHED!BG45=27,MATCHED!$AB45,"."))))))</f>
        <v>#N/A</v>
      </c>
      <c r="AF45" s="321" t="e">
        <f>IF(MATCHED!BH45=1,MATCHED!$B45,IF(MATCHED!BH45=2,MATCHED!$C45,IF(MATCHED!BH45=3,MATCHED!$D45,IF(MATCHED!BH45=4,MATCHED!$E45,IF(MATCHED!BH45=3,MATCHED!$F45,IF(MATCHED!BH45=6,MATCHED!$G45,IF(MATCHED!BH45=7,MATCHED!$H45,"")))))))&amp;IF(MATCHED!BH45=8,MATCHED!$I45,IF(MATCHED!BH45=9,MATCHED!$J45,IF(MATCHED!BH45=10,MATCHED!$K45,IF(MATCHED!BH45=11,MATCHED!$L45,IF(MATCHED!BH45=12,MATCHED!$M45,IF(MATCHED!BH45=13,MATCHED!$N45,IF(MATCHED!BH45=14,MATCHED!$O45,"")))))))&amp;IF(MATCHED!BH45=15,MATCHED!$P45,IF(MATCHED!BH45=16,MATCHED!$Q45,IF(MATCHED!BH45=17,MATCHED!$R45,IF(MATCHED!BH45=18,MATCHED!$S45,IF(MATCHED!BH45=19,MATCHED!$T45,IF(MATCHED!BH45=20,MATCHED!$U45,IF(MATCHED!BH45=21,MATCHED!$V45,)))))))&amp;IF(MATCHED!BH45=22,MATCHED!$W45,IF(MATCHED!BH45=23,MATCHED!$X45,IF(MATCHED!BH45=24,MATCHED!$Y45,IF(MATCHED!BH45=25,MATCHED!$Z45,IF(MATCHED!BH45=26,MATCHED!$AA45,IF(MATCHED!BH45=27,MATCHED!$AB45,"."))))))</f>
        <v>#N/A</v>
      </c>
      <c r="AG45" s="321" t="e">
        <f>IF(MATCHED!BI45=1,MATCHED!$B45,IF(MATCHED!BI45=2,MATCHED!$C45,IF(MATCHED!BI45=3,MATCHED!$D45,IF(MATCHED!BI45=4,MATCHED!$E45,IF(MATCHED!BI45=3,MATCHED!$F45,IF(MATCHED!BI45=6,MATCHED!$G45,IF(MATCHED!BI45=7,MATCHED!$H45,"")))))))&amp;IF(MATCHED!BI45=8,MATCHED!$I45,IF(MATCHED!BI45=9,MATCHED!$J45,IF(MATCHED!BI45=10,MATCHED!$K45,IF(MATCHED!BI45=11,MATCHED!$L45,IF(MATCHED!BI45=12,MATCHED!$M45,IF(MATCHED!BI45=13,MATCHED!$N45,IF(MATCHED!BI45=14,MATCHED!$O45,"")))))))&amp;IF(MATCHED!BI45=15,MATCHED!$P45,IF(MATCHED!BI45=16,MATCHED!$Q45,IF(MATCHED!BI45=17,MATCHED!$R45,IF(MATCHED!BI45=18,MATCHED!$S45,IF(MATCHED!BI45=19,MATCHED!$T45,IF(MATCHED!BI45=20,MATCHED!$U45,IF(MATCHED!BI45=21,MATCHED!$V45,)))))))&amp;IF(MATCHED!BI45=22,MATCHED!$W45,IF(MATCHED!BI45=23,MATCHED!$X45,IF(MATCHED!BI45=24,MATCHED!$Y45,IF(MATCHED!BI45=25,MATCHED!$Z45,IF(MATCHED!BI45=26,MATCHED!$AA45,IF(MATCHED!BI45=27,MATCHED!$AB45,"."))))))</f>
        <v>#N/A</v>
      </c>
      <c r="AH45" s="322" t="e">
        <f>IF(MATCHED!BJ45=1,MATCHED!$B45,IF(MATCHED!BJ45=2,MATCHED!$C45,IF(MATCHED!BJ45=3,MATCHED!$D45,IF(MATCHED!BJ45=4,MATCHED!$E45,IF(MATCHED!BJ45=3,MATCHED!$F45,IF(MATCHED!BJ45=6,MATCHED!$G45,IF(MATCHED!BJ45=7,MATCHED!$H45,"")))))))&amp;IF(MATCHED!BJ45=8,MATCHED!$I45,IF(MATCHED!BJ45=9,MATCHED!$J45,IF(MATCHED!BJ45=10,MATCHED!$K45,IF(MATCHED!BJ45=11,MATCHED!$L45,IF(MATCHED!BJ45=12,MATCHED!$M45,IF(MATCHED!BJ45=13,MATCHED!$N45,IF(MATCHED!BJ45=14,MATCHED!$O45,"")))))))&amp;IF(MATCHED!BJ45=15,MATCHED!$P45,IF(MATCHED!BJ45=16,MATCHED!$Q45,IF(MATCHED!BJ45=17,MATCHED!$R45,IF(MATCHED!BJ45=18,MATCHED!$S45,IF(MATCHED!BJ45=19,MATCHED!$T45,IF(MATCHED!BJ45=20,MATCHED!$U45,IF(MATCHED!BJ45=21,MATCHED!$V45,)))))))&amp;IF(MATCHED!BJ45=22,MATCHED!$W45,IF(MATCHED!BJ45=23,MATCHED!$X45,IF(MATCHED!BJ45=24,MATCHED!$Y45,IF(MATCHED!BJ45=25,MATCHED!$Z45,IF(MATCHED!BJ45=26,MATCHED!$AA45,IF(MATCHED!BJ45=27,MATCHED!$AB45,"."))))))</f>
        <v>#N/A</v>
      </c>
      <c r="AI45" s="321" t="e">
        <f>IF(MATCHED!BK45=1,MATCHED!$B45,IF(MATCHED!BK45=2,MATCHED!$C45,IF(MATCHED!BK45=3,MATCHED!$D45,IF(MATCHED!BK45=4,MATCHED!$E45,IF(MATCHED!BK45=3,MATCHED!$F45,IF(MATCHED!BK45=6,MATCHED!$G45,IF(MATCHED!BK45=7,MATCHED!$H45,"")))))))&amp;IF(MATCHED!BK45=8,MATCHED!$I45,IF(MATCHED!BK45=9,MATCHED!$J45,IF(MATCHED!BK45=10,MATCHED!$K45,IF(MATCHED!BK45=11,MATCHED!$L45,IF(MATCHED!BK45=12,MATCHED!$M45,IF(MATCHED!BK45=13,MATCHED!$N45,IF(MATCHED!BK45=14,MATCHED!$O45,"")))))))&amp;IF(MATCHED!BK45=15,MATCHED!$P45,IF(MATCHED!BK45=16,MATCHED!$Q45,IF(MATCHED!BK45=17,MATCHED!$R45,IF(MATCHED!BK45=18,MATCHED!$S45,IF(MATCHED!BK45=19,MATCHED!$T45,IF(MATCHED!BK45=20,MATCHED!$U45,IF(MATCHED!BK45=21,MATCHED!$V45,)))))))&amp;IF(MATCHED!BK45=22,MATCHED!$W45,IF(MATCHED!BK45=23,MATCHED!$X45,IF(MATCHED!BK45=24,MATCHED!$Y45,IF(MATCHED!BK45=25,MATCHED!$Z45,IF(MATCHED!BK45=26,MATCHED!$AA45,IF(MATCHED!BK45=27,MATCHED!$AB45,"."))))))</f>
        <v>#N/A</v>
      </c>
      <c r="AJ45" s="349"/>
    </row>
    <row r="46" spans="1:36" s="338" customFormat="1" x14ac:dyDescent="0.25">
      <c r="A46" s="540" t="s">
        <v>183</v>
      </c>
      <c r="B46" s="352" t="e">
        <f>IF(MATCHED!AD46=1,MATCHED!$B46,IF(MATCHED!AD46=2,MATCHED!$C46,IF(MATCHED!AD46=3,MATCHED!$D46,IF(MATCHED!AD46=4,MATCHED!$E46,IF(MATCHED!AD46=3,MATCHED!$F46,IF(MATCHED!AD46=6,MATCHED!$G46,IF(MATCHED!AD46=7,MATCHED!$H46,"")))))))&amp;IF(MATCHED!AD46=8,MATCHED!$I46,IF(MATCHED!AD46=9,MATCHED!$J46,IF(MATCHED!AD46=10,MATCHED!$K46,IF(MATCHED!AD46=11,MATCHED!$L46,IF(MATCHED!AD46=12,MATCHED!$M46,IF(MATCHED!AD46=13,MATCHED!$N46,IF(MATCHED!AD46=14,MATCHED!$O46,"")))))))&amp;IF(MATCHED!AD46=15,MATCHED!$P46,IF(MATCHED!AD46=16,MATCHED!$Q46,IF(MATCHED!AD46=17,MATCHED!$R46,IF(MATCHED!AD46=18,MATCHED!$S46,IF(MATCHED!AD46=19,MATCHED!$T46,IF(MATCHED!AD46=20,MATCHED!$U46,IF(MATCHED!AD46=21,MATCHED!$V46,)))))))&amp;IF(MATCHED!AD46=22,MATCHED!$W46,IF(MATCHED!AD46=23,MATCHED!$X46,IF(MATCHED!AD46=24,MATCHED!$Y46,IF(MATCHED!AD46=25,MATCHED!$Z46,IF(MATCHED!AD46=26,MATCHED!$AA46,IF(MATCHED!AD46=27,MATCHED!$AB46,"."))))))</f>
        <v>#N/A</v>
      </c>
      <c r="C46" s="353" t="e">
        <f>IF(MATCHED!AE46=1,MATCHED!$B46,IF(MATCHED!AE46=2,MATCHED!$C46,IF(MATCHED!AE46=3,MATCHED!$D46,IF(MATCHED!AE46=4,MATCHED!$E46,IF(MATCHED!AE46=3,MATCHED!$F46,IF(MATCHED!AE46=6,MATCHED!$G46,IF(MATCHED!AE46=7,MATCHED!$H46,"")))))))&amp;IF(MATCHED!AE46=8,MATCHED!$I46,IF(MATCHED!AE46=9,MATCHED!$J46,IF(MATCHED!AE46=10,MATCHED!$K46,IF(MATCHED!AE46=11,MATCHED!$L46,IF(MATCHED!AE46=12,MATCHED!$M46,IF(MATCHED!AE46=13,MATCHED!$N46,IF(MATCHED!AE46=14,MATCHED!$O46,"")))))))&amp;IF(MATCHED!AE46=15,MATCHED!$P46,IF(MATCHED!AE46=16,MATCHED!$Q46,IF(MATCHED!AE46=17,MATCHED!$R46,IF(MATCHED!AE46=18,MATCHED!$S46,IF(MATCHED!AE46=19,MATCHED!$T46,IF(MATCHED!AE46=20,MATCHED!$U46,IF(MATCHED!AE46=21,MATCHED!$V46,)))))))&amp;IF(MATCHED!AE46=22,MATCHED!$W46,IF(MATCHED!AE46=23,MATCHED!$X46,IF(MATCHED!AE46=24,MATCHED!$Y46,IF(MATCHED!AE46=25,MATCHED!$Z46,IF(MATCHED!AE46=26,MATCHED!$AA46,IF(MATCHED!AE46=27,MATCHED!$AB46,"."))))))</f>
        <v>#N/A</v>
      </c>
      <c r="D46" s="353" t="e">
        <f>IF(MATCHED!AF46=1,MATCHED!$B46,IF(MATCHED!AF46=2,MATCHED!$C46,IF(MATCHED!AF46=3,MATCHED!$D46,IF(MATCHED!AF46=4,MATCHED!$E46,IF(MATCHED!AF46=3,MATCHED!$F46,IF(MATCHED!AF46=6,MATCHED!$G46,IF(MATCHED!AF46=7,MATCHED!$H46,"")))))))&amp;IF(MATCHED!AF46=8,MATCHED!$I46,IF(MATCHED!AF46=9,MATCHED!$J46,IF(MATCHED!AF46=10,MATCHED!$K46,IF(MATCHED!AF46=11,MATCHED!$L46,IF(MATCHED!AF46=12,MATCHED!$M46,IF(MATCHED!AF46=13,MATCHED!$N46,IF(MATCHED!AF46=14,MATCHED!$O46,"")))))))&amp;IF(MATCHED!AF46=15,MATCHED!$P46,IF(MATCHED!AF46=16,MATCHED!$Q46,IF(MATCHED!AF46=17,MATCHED!$R46,IF(MATCHED!AF46=18,MATCHED!$S46,IF(MATCHED!AF46=19,MATCHED!$T46,IF(MATCHED!AF46=20,MATCHED!$U46,IF(MATCHED!AF46=21,MATCHED!$V46,)))))))&amp;IF(MATCHED!AF46=22,MATCHED!$W46,IF(MATCHED!AF46=23,MATCHED!$X46,IF(MATCHED!AF46=24,MATCHED!$Y46,IF(MATCHED!AF46=25,MATCHED!$Z46,IF(MATCHED!AF46=26,MATCHED!$AA46,IF(MATCHED!AF46=27,MATCHED!$AB46,"."))))))</f>
        <v>#N/A</v>
      </c>
      <c r="E46" s="353" t="e">
        <f>IF(MATCHED!AG46=1,MATCHED!$B46,IF(MATCHED!AG46=2,MATCHED!$C46,IF(MATCHED!AG46=3,MATCHED!$D46,IF(MATCHED!AG46=4,MATCHED!$E46,IF(MATCHED!AG46=3,MATCHED!$F46,IF(MATCHED!AG46=6,MATCHED!$G46,IF(MATCHED!AG46=7,MATCHED!$H46,"")))))))&amp;IF(MATCHED!AG46=8,MATCHED!$I46,IF(MATCHED!AG46=9,MATCHED!$J46,IF(MATCHED!AG46=10,MATCHED!$K46,IF(MATCHED!AG46=11,MATCHED!$L46,IF(MATCHED!AG46=12,MATCHED!$M46,IF(MATCHED!AG46=13,MATCHED!$N46,IF(MATCHED!AG46=14,MATCHED!$O46,"")))))))&amp;IF(MATCHED!AG46=15,MATCHED!$P46,IF(MATCHED!AG46=16,MATCHED!$Q46,IF(MATCHED!AG46=17,MATCHED!$R46,IF(MATCHED!AG46=18,MATCHED!$S46,IF(MATCHED!AG46=19,MATCHED!$T46,IF(MATCHED!AG46=20,MATCHED!$U46,IF(MATCHED!AG46=21,MATCHED!$V46,)))))))&amp;IF(MATCHED!AG46=22,MATCHED!$W46,IF(MATCHED!AG46=23,MATCHED!$X46,IF(MATCHED!AG46=24,MATCHED!$Y46,IF(MATCHED!AG46=25,MATCHED!$Z46,IF(MATCHED!AG46=26,MATCHED!$AA46,IF(MATCHED!AG46=27,MATCHED!$AB46,"."))))))</f>
        <v>#N/A</v>
      </c>
      <c r="F46" s="353" t="e">
        <f>IF(MATCHED!AH46=1,MATCHED!$B46,IF(MATCHED!AH46=2,MATCHED!$C46,IF(MATCHED!AH46=3,MATCHED!$D46,IF(MATCHED!AH46=4,MATCHED!$E46,IF(MATCHED!AH46=3,MATCHED!$F46,IF(MATCHED!AH46=6,MATCHED!$G46,IF(MATCHED!AH46=7,MATCHED!$H46,"")))))))&amp;IF(MATCHED!AH46=8,MATCHED!$I46,IF(MATCHED!AH46=9,MATCHED!$J46,IF(MATCHED!AH46=10,MATCHED!$K46,IF(MATCHED!AH46=11,MATCHED!$L46,IF(MATCHED!AH46=12,MATCHED!$M46,IF(MATCHED!AH46=13,MATCHED!$N46,IF(MATCHED!AH46=14,MATCHED!$O46,"")))))))&amp;IF(MATCHED!AH46=15,MATCHED!$P46,IF(MATCHED!AH46=16,MATCHED!$Q46,IF(MATCHED!AH46=17,MATCHED!$R46,IF(MATCHED!AH46=18,MATCHED!$S46,IF(MATCHED!AH46=19,MATCHED!$T46,IF(MATCHED!AH46=20,MATCHED!$U46,IF(MATCHED!AH46=21,MATCHED!$V46,)))))))&amp;IF(MATCHED!AH46=22,MATCHED!$W46,IF(MATCHED!AH46=23,MATCHED!$X46,IF(MATCHED!AH46=24,MATCHED!$Y46,IF(MATCHED!AH46=25,MATCHED!$Z46,IF(MATCHED!AH46=26,MATCHED!$AA46,IF(MATCHED!AH46=27,MATCHED!$AB46,"."))))))</f>
        <v>#N/A</v>
      </c>
      <c r="G46" s="353" t="e">
        <f>IF(MATCHED!AI46=1,MATCHED!$B46,IF(MATCHED!AI46=2,MATCHED!$C46,IF(MATCHED!AI46=3,MATCHED!$D46,IF(MATCHED!AI46=4,MATCHED!$E46,IF(MATCHED!AI46=3,MATCHED!$F46,IF(MATCHED!AI46=6,MATCHED!$G46,IF(MATCHED!AI46=7,MATCHED!$H46,"")))))))&amp;IF(MATCHED!AI46=8,MATCHED!$I46,IF(MATCHED!AI46=9,MATCHED!$J46,IF(MATCHED!AI46=10,MATCHED!$K46,IF(MATCHED!AI46=11,MATCHED!$L46,IF(MATCHED!AI46=12,MATCHED!$M46,IF(MATCHED!AI46=13,MATCHED!$N46,IF(MATCHED!AI46=14,MATCHED!$O46,"")))))))&amp;IF(MATCHED!AI46=15,MATCHED!$P46,IF(MATCHED!AI46=16,MATCHED!$Q46,IF(MATCHED!AI46=17,MATCHED!$R46,IF(MATCHED!AI46=18,MATCHED!$S46,IF(MATCHED!AI46=19,MATCHED!$T46,IF(MATCHED!AI46=20,MATCHED!$U46,IF(MATCHED!AI46=21,MATCHED!$V46,)))))))&amp;IF(MATCHED!AI46=22,MATCHED!$W46,IF(MATCHED!AI46=23,MATCHED!$X46,IF(MATCHED!AI46=24,MATCHED!$Y46,IF(MATCHED!AI46=25,MATCHED!$Z46,IF(MATCHED!AI46=26,MATCHED!$AA46,IF(MATCHED!AI46=27,MATCHED!$AB46,"."))))))</f>
        <v>#N/A</v>
      </c>
      <c r="H46" s="353" t="e">
        <f>IF(MATCHED!AJ46=1,MATCHED!$B46,IF(MATCHED!AJ46=2,MATCHED!$C46,IF(MATCHED!AJ46=3,MATCHED!$D46,IF(MATCHED!AJ46=4,MATCHED!$E46,IF(MATCHED!AJ46=3,MATCHED!$F46,IF(MATCHED!AJ46=6,MATCHED!$G46,IF(MATCHED!AJ46=7,MATCHED!$H46,"")))))))&amp;IF(MATCHED!AJ46=8,MATCHED!$I46,IF(MATCHED!AJ46=9,MATCHED!$J46,IF(MATCHED!AJ46=10,MATCHED!$K46,IF(MATCHED!AJ46=11,MATCHED!$L46,IF(MATCHED!AJ46=12,MATCHED!$M46,IF(MATCHED!AJ46=13,MATCHED!$N46,IF(MATCHED!AJ46=14,MATCHED!$O46,"")))))))&amp;IF(MATCHED!AJ46=15,MATCHED!$P46,IF(MATCHED!AJ46=16,MATCHED!$Q46,IF(MATCHED!AJ46=17,MATCHED!$R46,IF(MATCHED!AJ46=18,MATCHED!$S46,IF(MATCHED!AJ46=19,MATCHED!$T46,IF(MATCHED!AJ46=20,MATCHED!$U46,IF(MATCHED!AJ46=21,MATCHED!$V46,)))))))&amp;IF(MATCHED!AJ46=22,MATCHED!$W46,IF(MATCHED!AJ46=23,MATCHED!$X46,IF(MATCHED!AJ46=24,MATCHED!$Y46,IF(MATCHED!AJ46=25,MATCHED!$Z46,IF(MATCHED!AJ46=26,MATCHED!$AA46,IF(MATCHED!AJ46=27,MATCHED!$AB46,"."))))))</f>
        <v>#N/A</v>
      </c>
      <c r="I46" s="353" t="e">
        <f>IF(MATCHED!AK46=1,MATCHED!$B46,IF(MATCHED!AK46=2,MATCHED!$C46,IF(MATCHED!AK46=3,MATCHED!$D46,IF(MATCHED!AK46=4,MATCHED!$E46,IF(MATCHED!AK46=3,MATCHED!$F46,IF(MATCHED!AK46=6,MATCHED!$G46,IF(MATCHED!AK46=7,MATCHED!$H46,"")))))))&amp;IF(MATCHED!AK46=8,MATCHED!$I46,IF(MATCHED!AK46=9,MATCHED!$J46,IF(MATCHED!AK46=10,MATCHED!$K46,IF(MATCHED!AK46=11,MATCHED!$L46,IF(MATCHED!AK46=12,MATCHED!$M46,IF(MATCHED!AK46=13,MATCHED!$N46,IF(MATCHED!AK46=14,MATCHED!$O46,"")))))))&amp;IF(MATCHED!AK46=15,MATCHED!$P46,IF(MATCHED!AK46=16,MATCHED!$Q46,IF(MATCHED!AK46=17,MATCHED!$R46,IF(MATCHED!AK46=18,MATCHED!$S46,IF(MATCHED!AK46=19,MATCHED!$T46,IF(MATCHED!AK46=20,MATCHED!$U46,IF(MATCHED!AK46=21,MATCHED!$V46,)))))))&amp;IF(MATCHED!AK46=22,MATCHED!$W46,IF(MATCHED!AK46=23,MATCHED!$X46,IF(MATCHED!AK46=24,MATCHED!$Y46,IF(MATCHED!AK46=25,MATCHED!$Z46,IF(MATCHED!AK46=26,MATCHED!$AA46,IF(MATCHED!AK46=27,MATCHED!$AB46,"."))))))</f>
        <v>#N/A</v>
      </c>
      <c r="J46" s="353" t="e">
        <f>IF(MATCHED!AL46=1,MATCHED!$B46,IF(MATCHED!AL46=2,MATCHED!$C46,IF(MATCHED!AL46=3,MATCHED!$D46,IF(MATCHED!AL46=4,MATCHED!$E46,IF(MATCHED!AL46=3,MATCHED!$F46,IF(MATCHED!AL46=6,MATCHED!$G46,IF(MATCHED!AL46=7,MATCHED!$H46,"")))))))&amp;IF(MATCHED!AL46=8,MATCHED!$I46,IF(MATCHED!AL46=9,MATCHED!$J46,IF(MATCHED!AL46=10,MATCHED!$K46,IF(MATCHED!AL46=11,MATCHED!$L46,IF(MATCHED!AL46=12,MATCHED!$M46,IF(MATCHED!AL46=13,MATCHED!$N46,IF(MATCHED!AL46=14,MATCHED!$O46,"")))))))&amp;IF(MATCHED!AL46=15,MATCHED!$P46,IF(MATCHED!AL46=16,MATCHED!$Q46,IF(MATCHED!AL46=17,MATCHED!$R46,IF(MATCHED!AL46=18,MATCHED!$S46,IF(MATCHED!AL46=19,MATCHED!$T46,IF(MATCHED!AL46=20,MATCHED!$U46,IF(MATCHED!AL46=21,MATCHED!$V46,)))))))&amp;IF(MATCHED!AL46=22,MATCHED!$W46,IF(MATCHED!AL46=23,MATCHED!$X46,IF(MATCHED!AL46=24,MATCHED!$Y46,IF(MATCHED!AL46=25,MATCHED!$Z46,IF(MATCHED!AL46=26,MATCHED!$AA46,IF(MATCHED!AL46=27,MATCHED!$AB46,"."))))))</f>
        <v>#N/A</v>
      </c>
      <c r="K46" s="353" t="e">
        <f>IF(MATCHED!AM46=1,MATCHED!$B46,IF(MATCHED!AM46=2,MATCHED!$C46,IF(MATCHED!AM46=3,MATCHED!$D46,IF(MATCHED!AM46=4,MATCHED!$E46,IF(MATCHED!AM46=3,MATCHED!$F46,IF(MATCHED!AM46=6,MATCHED!$G46,IF(MATCHED!AM46=7,MATCHED!$H46,"")))))))&amp;IF(MATCHED!AM46=8,MATCHED!$I46,IF(MATCHED!AM46=9,MATCHED!$J46,IF(MATCHED!AM46=10,MATCHED!$K46,IF(MATCHED!AM46=11,MATCHED!$L46,IF(MATCHED!AM46=12,MATCHED!$M46,IF(MATCHED!AM46=13,MATCHED!$N46,IF(MATCHED!AM46=14,MATCHED!$O46,"")))))))&amp;IF(MATCHED!AM46=15,MATCHED!$P46,IF(MATCHED!AM46=16,MATCHED!$Q46,IF(MATCHED!AM46=17,MATCHED!$R46,IF(MATCHED!AM46=18,MATCHED!$S46,IF(MATCHED!AM46=19,MATCHED!$T46,IF(MATCHED!AM46=20,MATCHED!$U46,IF(MATCHED!AM46=21,MATCHED!$V46,)))))))&amp;IF(MATCHED!AM46=22,MATCHED!$W46,IF(MATCHED!AM46=23,MATCHED!$X46,IF(MATCHED!AM46=24,MATCHED!$Y46,IF(MATCHED!AM46=25,MATCHED!$Z46,IF(MATCHED!AM46=26,MATCHED!$AA46,IF(MATCHED!AM46=27,MATCHED!$AB46,"."))))))</f>
        <v>#N/A</v>
      </c>
      <c r="L46" s="353" t="e">
        <f>IF(MATCHED!AN46=1,MATCHED!$B46,IF(MATCHED!AN46=2,MATCHED!$C46,IF(MATCHED!AN46=3,MATCHED!$D46,IF(MATCHED!AN46=4,MATCHED!$E46,IF(MATCHED!AN46=3,MATCHED!$F46,IF(MATCHED!AN46=6,MATCHED!$G46,IF(MATCHED!AN46=7,MATCHED!$H46,"")))))))&amp;IF(MATCHED!AN46=8,MATCHED!$I46,IF(MATCHED!AN46=9,MATCHED!$J46,IF(MATCHED!AN46=10,MATCHED!$K46,IF(MATCHED!AN46=11,MATCHED!$L46,IF(MATCHED!AN46=12,MATCHED!$M46,IF(MATCHED!AN46=13,MATCHED!$N46,IF(MATCHED!AN46=14,MATCHED!$O46,"")))))))&amp;IF(MATCHED!AN46=15,MATCHED!$P46,IF(MATCHED!AN46=16,MATCHED!$Q46,IF(MATCHED!AN46=17,MATCHED!$R46,IF(MATCHED!AN46=18,MATCHED!$S46,IF(MATCHED!AN46=19,MATCHED!$T46,IF(MATCHED!AN46=20,MATCHED!$U46,IF(MATCHED!AN46=21,MATCHED!$V46,)))))))&amp;IF(MATCHED!AN46=22,MATCHED!$W46,IF(MATCHED!AN46=23,MATCHED!$X46,IF(MATCHED!AN46=24,MATCHED!$Y46,IF(MATCHED!AN46=25,MATCHED!$Z46,IF(MATCHED!AN46=26,MATCHED!$AA46,IF(MATCHED!AN46=27,MATCHED!$AB46,"."))))))</f>
        <v>#N/A</v>
      </c>
      <c r="M46" s="353" t="e">
        <f>IF(MATCHED!AO46=1,MATCHED!$B46,IF(MATCHED!AO46=2,MATCHED!$C46,IF(MATCHED!AO46=3,MATCHED!$D46,IF(MATCHED!AO46=4,MATCHED!$E46,IF(MATCHED!AO46=3,MATCHED!$F46,IF(MATCHED!AO46=6,MATCHED!$G46,IF(MATCHED!AO46=7,MATCHED!$H46,"")))))))&amp;IF(MATCHED!AO46=8,MATCHED!$I46,IF(MATCHED!AO46=9,MATCHED!$J46,IF(MATCHED!AO46=10,MATCHED!$K46,IF(MATCHED!AO46=11,MATCHED!$L46,IF(MATCHED!AO46=12,MATCHED!$M46,IF(MATCHED!AO46=13,MATCHED!$N46,IF(MATCHED!AO46=14,MATCHED!$O46,"")))))))&amp;IF(MATCHED!AO46=15,MATCHED!$P46,IF(MATCHED!AO46=16,MATCHED!$Q46,IF(MATCHED!AO46=17,MATCHED!$R46,IF(MATCHED!AO46=18,MATCHED!$S46,IF(MATCHED!AO46=19,MATCHED!$T46,IF(MATCHED!AO46=20,MATCHED!$U46,IF(MATCHED!AO46=21,MATCHED!$V46,)))))))&amp;IF(MATCHED!AO46=22,MATCHED!$W46,IF(MATCHED!AO46=23,MATCHED!$X46,IF(MATCHED!AO46=24,MATCHED!$Y46,IF(MATCHED!AO46=25,MATCHED!$Z46,IF(MATCHED!AO46=26,MATCHED!$AA46,IF(MATCHED!AO46=27,MATCHED!$AB46,"."))))))</f>
        <v>#N/A</v>
      </c>
      <c r="N46" s="353" t="e">
        <f>IF(MATCHED!AP46=1,MATCHED!$B46,IF(MATCHED!AP46=2,MATCHED!$C46,IF(MATCHED!AP46=3,MATCHED!$D46,IF(MATCHED!AP46=4,MATCHED!$E46,IF(MATCHED!AP46=3,MATCHED!$F46,IF(MATCHED!AP46=6,MATCHED!$G46,IF(MATCHED!AP46=7,MATCHED!$H46,"")))))))&amp;IF(MATCHED!AP46=8,MATCHED!$I46,IF(MATCHED!AP46=9,MATCHED!$J46,IF(MATCHED!AP46=10,MATCHED!$K46,IF(MATCHED!AP46=11,MATCHED!$L46,IF(MATCHED!AP46=12,MATCHED!$M46,IF(MATCHED!AP46=13,MATCHED!$N46,IF(MATCHED!AP46=14,MATCHED!$O46,"")))))))&amp;IF(MATCHED!AP46=15,MATCHED!$P46,IF(MATCHED!AP46=16,MATCHED!$Q46,IF(MATCHED!AP46=17,MATCHED!$R46,IF(MATCHED!AP46=18,MATCHED!$S46,IF(MATCHED!AP46=19,MATCHED!$T46,IF(MATCHED!AP46=20,MATCHED!$U46,IF(MATCHED!AP46=21,MATCHED!$V46,)))))))&amp;IF(MATCHED!AP46=22,MATCHED!$W46,IF(MATCHED!AP46=23,MATCHED!$X46,IF(MATCHED!AP46=24,MATCHED!$Y46,IF(MATCHED!AP46=25,MATCHED!$Z46,IF(MATCHED!AP46=26,MATCHED!$AA46,IF(MATCHED!AP46=27,MATCHED!$AB46,"."))))))</f>
        <v>#N/A</v>
      </c>
      <c r="O46" s="353" t="e">
        <f>IF(MATCHED!AQ46=1,MATCHED!$B46,IF(MATCHED!AQ46=2,MATCHED!$C46,IF(MATCHED!AQ46=3,MATCHED!$D46,IF(MATCHED!AQ46=4,MATCHED!$E46,IF(MATCHED!AQ46=3,MATCHED!$F46,IF(MATCHED!AQ46=6,MATCHED!$G46,IF(MATCHED!AQ46=7,MATCHED!$H46,"")))))))&amp;IF(MATCHED!AQ46=8,MATCHED!$I46,IF(MATCHED!AQ46=9,MATCHED!$J46,IF(MATCHED!AQ46=10,MATCHED!$K46,IF(MATCHED!AQ46=11,MATCHED!$L46,IF(MATCHED!AQ46=12,MATCHED!$M46,IF(MATCHED!AQ46=13,MATCHED!$N46,IF(MATCHED!AQ46=14,MATCHED!$O46,"")))))))&amp;IF(MATCHED!AQ46=15,MATCHED!$P46,IF(MATCHED!AQ46=16,MATCHED!$Q46,IF(MATCHED!AQ46=17,MATCHED!$R46,IF(MATCHED!AQ46=18,MATCHED!$S46,IF(MATCHED!AQ46=19,MATCHED!$T46,IF(MATCHED!AQ46=20,MATCHED!$U46,IF(MATCHED!AQ46=21,MATCHED!$V46,)))))))&amp;IF(MATCHED!AQ46=22,MATCHED!$W46,IF(MATCHED!AQ46=23,MATCHED!$X46,IF(MATCHED!AQ46=24,MATCHED!$Y46,IF(MATCHED!AQ46=25,MATCHED!$Z46,IF(MATCHED!AQ46=26,MATCHED!$AA46,IF(MATCHED!AQ46=27,MATCHED!$AB46,"."))))))</f>
        <v>#N/A</v>
      </c>
      <c r="P46" s="353" t="e">
        <f>IF(MATCHED!AR46=1,MATCHED!$B46,IF(MATCHED!AR46=2,MATCHED!$C46,IF(MATCHED!AR46=3,MATCHED!$D46,IF(MATCHED!AR46=4,MATCHED!$E46,IF(MATCHED!AR46=3,MATCHED!$F46,IF(MATCHED!AR46=6,MATCHED!$G46,IF(MATCHED!AR46=7,MATCHED!$H46,"")))))))&amp;IF(MATCHED!AR46=8,MATCHED!$I46,IF(MATCHED!AR46=9,MATCHED!$J46,IF(MATCHED!AR46=10,MATCHED!$K46,IF(MATCHED!AR46=11,MATCHED!$L46,IF(MATCHED!AR46=12,MATCHED!$M46,IF(MATCHED!AR46=13,MATCHED!$N46,IF(MATCHED!AR46=14,MATCHED!$O46,"")))))))&amp;IF(MATCHED!AR46=15,MATCHED!$P46,IF(MATCHED!AR46=16,MATCHED!$Q46,IF(MATCHED!AR46=17,MATCHED!$R46,IF(MATCHED!AR46=18,MATCHED!$S46,IF(MATCHED!AR46=19,MATCHED!$T46,IF(MATCHED!AR46=20,MATCHED!$U46,IF(MATCHED!AR46=21,MATCHED!$V46,)))))))&amp;IF(MATCHED!AR46=22,MATCHED!$W46,IF(MATCHED!AR46=23,MATCHED!$X46,IF(MATCHED!AR46=24,MATCHED!$Y46,IF(MATCHED!AR46=25,MATCHED!$Z46,IF(MATCHED!AR46=26,MATCHED!$AA46,IF(MATCHED!AR46=27,MATCHED!$AB46,"."))))))</f>
        <v>#N/A</v>
      </c>
      <c r="Q46" s="354" t="e">
        <f>IF(MATCHED!AS46=1,MATCHED!$B46,IF(MATCHED!AS46=2,MATCHED!$C46,IF(MATCHED!AS46=3,MATCHED!$D46,IF(MATCHED!AS46=4,MATCHED!$E46,IF(MATCHED!AS46=3,MATCHED!$F46,IF(MATCHED!AS46=6,MATCHED!$G46,IF(MATCHED!AS46=7,MATCHED!$H46,"")))))))&amp;IF(MATCHED!AS46=8,MATCHED!$I46,IF(MATCHED!AS46=9,MATCHED!$J46,IF(MATCHED!AS46=10,MATCHED!$K46,IF(MATCHED!AS46=11,MATCHED!$L46,IF(MATCHED!AS46=12,MATCHED!$M46,IF(MATCHED!AS46=13,MATCHED!$N46,IF(MATCHED!AS46=14,MATCHED!$O46,"")))))))&amp;IF(MATCHED!AS46=15,MATCHED!$P46,IF(MATCHED!AS46=16,MATCHED!$Q46,IF(MATCHED!AS46=17,MATCHED!$R46,IF(MATCHED!AS46=18,MATCHED!$S46,IF(MATCHED!AS46=19,MATCHED!$T46,IF(MATCHED!AS46=20,MATCHED!$U46,IF(MATCHED!AS46=21,MATCHED!$V46,)))))))&amp;IF(MATCHED!AS46=22,MATCHED!$W46,IF(MATCHED!AS46=23,MATCHED!$X46,IF(MATCHED!AS46=24,MATCHED!$Y46,IF(MATCHED!AS46=25,MATCHED!$Z46,IF(MATCHED!AS46=26,MATCHED!$AA46,IF(MATCHED!AS46=27,MATCHED!$AB46,"."))))))</f>
        <v>#N/A</v>
      </c>
      <c r="R46" s="353" t="e">
        <f>IF(MATCHED!AT46=1,MATCHED!$B46,IF(MATCHED!AT46=2,MATCHED!$C46,IF(MATCHED!AT46=3,MATCHED!$D46,IF(MATCHED!AT46=4,MATCHED!$E46,IF(MATCHED!AT46=3,MATCHED!$F46,IF(MATCHED!AT46=6,MATCHED!$G46,IF(MATCHED!AT46=7,MATCHED!$H46,"")))))))&amp;IF(MATCHED!AT46=8,MATCHED!$I46,IF(MATCHED!AT46=9,MATCHED!$J46,IF(MATCHED!AT46=10,MATCHED!$K46,IF(MATCHED!AT46=11,MATCHED!$L46,IF(MATCHED!AT46=12,MATCHED!$M46,IF(MATCHED!AT46=13,MATCHED!$N46,IF(MATCHED!AT46=14,MATCHED!$O46,"")))))))&amp;IF(MATCHED!AT46=15,MATCHED!$P46,IF(MATCHED!AT46=16,MATCHED!$Q46,IF(MATCHED!AT46=17,MATCHED!$R46,IF(MATCHED!AT46=18,MATCHED!$S46,IF(MATCHED!AT46=19,MATCHED!$T46,IF(MATCHED!AT46=20,MATCHED!$U46,IF(MATCHED!AT46=21,MATCHED!$V46,)))))))&amp;IF(MATCHED!AT46=22,MATCHED!$W46,IF(MATCHED!AT46=23,MATCHED!$X46,IF(MATCHED!AT46=24,MATCHED!$Y46,IF(MATCHED!AT46=25,MATCHED!$Z46,IF(MATCHED!AT46=26,MATCHED!$AA46,IF(MATCHED!AT46=27,MATCHED!$AB46,"."))))))</f>
        <v>#N/A</v>
      </c>
      <c r="S46" s="353" t="e">
        <f>IF(MATCHED!AU46=1,MATCHED!$B46,IF(MATCHED!AU46=2,MATCHED!$C46,IF(MATCHED!AU46=3,MATCHED!$D46,IF(MATCHED!AU46=4,MATCHED!$E46,IF(MATCHED!AU46=3,MATCHED!$F46,IF(MATCHED!AU46=6,MATCHED!$G46,IF(MATCHED!AU46=7,MATCHED!$H46,"")))))))&amp;IF(MATCHED!AU46=8,MATCHED!$I46,IF(MATCHED!AU46=9,MATCHED!$J46,IF(MATCHED!AU46=10,MATCHED!$K46,IF(MATCHED!AU46=11,MATCHED!$L46,IF(MATCHED!AU46=12,MATCHED!$M46,IF(MATCHED!AU46=13,MATCHED!$N46,IF(MATCHED!AU46=14,MATCHED!$O46,"")))))))&amp;IF(MATCHED!AU46=15,MATCHED!$P46,IF(MATCHED!AU46=16,MATCHED!$Q46,IF(MATCHED!AU46=17,MATCHED!$R46,IF(MATCHED!AU46=18,MATCHED!$S46,IF(MATCHED!AU46=19,MATCHED!$T46,IF(MATCHED!AU46=20,MATCHED!$U46,IF(MATCHED!AU46=21,MATCHED!$V46,)))))))&amp;IF(MATCHED!AU46=22,MATCHED!$W46,IF(MATCHED!AU46=23,MATCHED!$X46,IF(MATCHED!AU46=24,MATCHED!$Y46,IF(MATCHED!AU46=25,MATCHED!$Z46,IF(MATCHED!AU46=26,MATCHED!$AA46,IF(MATCHED!AU46=27,MATCHED!$AB46,"."))))))</f>
        <v>#N/A</v>
      </c>
      <c r="T46" s="353" t="e">
        <f>IF(MATCHED!AV46=1,MATCHED!$B46,IF(MATCHED!AV46=2,MATCHED!$C46,IF(MATCHED!AV46=3,MATCHED!$D46,IF(MATCHED!AV46=4,MATCHED!$E46,IF(MATCHED!AV46=3,MATCHED!$F46,IF(MATCHED!AV46=6,MATCHED!$G46,IF(MATCHED!AV46=7,MATCHED!$H46,"")))))))&amp;IF(MATCHED!AV46=8,MATCHED!$I46,IF(MATCHED!AV46=9,MATCHED!$J46,IF(MATCHED!AV46=10,MATCHED!$K46,IF(MATCHED!AV46=11,MATCHED!$L46,IF(MATCHED!AV46=12,MATCHED!$M46,IF(MATCHED!AV46=13,MATCHED!$N46,IF(MATCHED!AV46=14,MATCHED!$O46,"")))))))&amp;IF(MATCHED!AV46=15,MATCHED!$P46,IF(MATCHED!AV46=16,MATCHED!$Q46,IF(MATCHED!AV46=17,MATCHED!$R46,IF(MATCHED!AV46=18,MATCHED!$S46,IF(MATCHED!AV46=19,MATCHED!$T46,IF(MATCHED!AV46=20,MATCHED!$U46,IF(MATCHED!AV46=21,MATCHED!$V46,)))))))&amp;IF(MATCHED!AV46=22,MATCHED!$W46,IF(MATCHED!AV46=23,MATCHED!$X46,IF(MATCHED!AV46=24,MATCHED!$Y46,IF(MATCHED!AV46=25,MATCHED!$Z46,IF(MATCHED!AV46=26,MATCHED!$AA46,IF(MATCHED!AV46=27,MATCHED!$AB46,"."))))))</f>
        <v>#N/A</v>
      </c>
      <c r="U46" s="353" t="e">
        <f>IF(MATCHED!AW46=1,MATCHED!$B46,IF(MATCHED!AW46=2,MATCHED!$C46,IF(MATCHED!AW46=3,MATCHED!$D46,IF(MATCHED!AW46=4,MATCHED!$E46,IF(MATCHED!AW46=3,MATCHED!$F46,IF(MATCHED!AW46=6,MATCHED!$G46,IF(MATCHED!AW46=7,MATCHED!$H46,"")))))))&amp;IF(MATCHED!AW46=8,MATCHED!$I46,IF(MATCHED!AW46=9,MATCHED!$J46,IF(MATCHED!AW46=10,MATCHED!$K46,IF(MATCHED!AW46=11,MATCHED!$L46,IF(MATCHED!AW46=12,MATCHED!$M46,IF(MATCHED!AW46=13,MATCHED!$N46,IF(MATCHED!AW46=14,MATCHED!$O46,"")))))))&amp;IF(MATCHED!AW46=15,MATCHED!$P46,IF(MATCHED!AW46=16,MATCHED!$Q46,IF(MATCHED!AW46=17,MATCHED!$R46,IF(MATCHED!AW46=18,MATCHED!$S46,IF(MATCHED!AW46=19,MATCHED!$T46,IF(MATCHED!AW46=20,MATCHED!$U46,IF(MATCHED!AW46=21,MATCHED!$V46,)))))))&amp;IF(MATCHED!AW46=22,MATCHED!$W46,IF(MATCHED!AW46=23,MATCHED!$X46,IF(MATCHED!AW46=24,MATCHED!$Y46,IF(MATCHED!AW46=25,MATCHED!$Z46,IF(MATCHED!AW46=26,MATCHED!$AA46,IF(MATCHED!AW46=27,MATCHED!$AB46,"."))))))</f>
        <v>#N/A</v>
      </c>
      <c r="V46" s="353" t="e">
        <f>IF(MATCHED!AX46=1,MATCHED!$B46,IF(MATCHED!AX46=2,MATCHED!$C46,IF(MATCHED!AX46=3,MATCHED!$D46,IF(MATCHED!AX46=4,MATCHED!$E46,IF(MATCHED!AX46=3,MATCHED!$F46,IF(MATCHED!AX46=6,MATCHED!$G46,IF(MATCHED!AX46=7,MATCHED!$H46,"")))))))&amp;IF(MATCHED!AX46=8,MATCHED!$I46,IF(MATCHED!AX46=9,MATCHED!$J46,IF(MATCHED!AX46=10,MATCHED!$K46,IF(MATCHED!AX46=11,MATCHED!$L46,IF(MATCHED!AX46=12,MATCHED!$M46,IF(MATCHED!AX46=13,MATCHED!$N46,IF(MATCHED!AX46=14,MATCHED!$O46,"")))))))&amp;IF(MATCHED!AX46=15,MATCHED!$P46,IF(MATCHED!AX46=16,MATCHED!$Q46,IF(MATCHED!AX46=17,MATCHED!$R46,IF(MATCHED!AX46=18,MATCHED!$S46,IF(MATCHED!AX46=19,MATCHED!$T46,IF(MATCHED!AX46=20,MATCHED!$U46,IF(MATCHED!AX46=21,MATCHED!$V46,)))))))&amp;IF(MATCHED!AX46=22,MATCHED!$W46,IF(MATCHED!AX46=23,MATCHED!$X46,IF(MATCHED!AX46=24,MATCHED!$Y46,IF(MATCHED!AX46=25,MATCHED!$Z46,IF(MATCHED!AX46=26,MATCHED!$AA46,IF(MATCHED!AX46=27,MATCHED!$AB46,"."))))))</f>
        <v>#N/A</v>
      </c>
      <c r="W46" s="353" t="e">
        <f>IF(MATCHED!AY46=1,MATCHED!$B46,IF(MATCHED!AY46=2,MATCHED!$C46,IF(MATCHED!AY46=3,MATCHED!$D46,IF(MATCHED!AY46=4,MATCHED!$E46,IF(MATCHED!AY46=3,MATCHED!$F46,IF(MATCHED!AY46=6,MATCHED!$G46,IF(MATCHED!AY46=7,MATCHED!$H46,"")))))))&amp;IF(MATCHED!AY46=8,MATCHED!$I46,IF(MATCHED!AY46=9,MATCHED!$J46,IF(MATCHED!AY46=10,MATCHED!$K46,IF(MATCHED!AY46=11,MATCHED!$L46,IF(MATCHED!AY46=12,MATCHED!$M46,IF(MATCHED!AY46=13,MATCHED!$N46,IF(MATCHED!AY46=14,MATCHED!$O46,"")))))))&amp;IF(MATCHED!AY46=15,MATCHED!$P46,IF(MATCHED!AY46=16,MATCHED!$Q46,IF(MATCHED!AY46=17,MATCHED!$R46,IF(MATCHED!AY46=18,MATCHED!$S46,IF(MATCHED!AY46=19,MATCHED!$T46,IF(MATCHED!AY46=20,MATCHED!$U46,IF(MATCHED!AY46=21,MATCHED!$V46,)))))))&amp;IF(MATCHED!AY46=22,MATCHED!$W46,IF(MATCHED!AY46=23,MATCHED!$X46,IF(MATCHED!AY46=24,MATCHED!$Y46,IF(MATCHED!AY46=25,MATCHED!$Z46,IF(MATCHED!AY46=26,MATCHED!$AA46,IF(MATCHED!AY46=27,MATCHED!$AB46,"."))))))</f>
        <v>#N/A</v>
      </c>
      <c r="X46" s="353" t="e">
        <f>IF(MATCHED!AZ46=1,MATCHED!$B46,IF(MATCHED!AZ46=2,MATCHED!$C46,IF(MATCHED!AZ46=3,MATCHED!$D46,IF(MATCHED!AZ46=4,MATCHED!$E46,IF(MATCHED!AZ46=3,MATCHED!$F46,IF(MATCHED!AZ46=6,MATCHED!$G46,IF(MATCHED!AZ46=7,MATCHED!$H46,"")))))))&amp;IF(MATCHED!AZ46=8,MATCHED!$I46,IF(MATCHED!AZ46=9,MATCHED!$J46,IF(MATCHED!AZ46=10,MATCHED!$K46,IF(MATCHED!AZ46=11,MATCHED!$L46,IF(MATCHED!AZ46=12,MATCHED!$M46,IF(MATCHED!AZ46=13,MATCHED!$N46,IF(MATCHED!AZ46=14,MATCHED!$O46,"")))))))&amp;IF(MATCHED!AZ46=15,MATCHED!$P46,IF(MATCHED!AZ46=16,MATCHED!$Q46,IF(MATCHED!AZ46=17,MATCHED!$R46,IF(MATCHED!AZ46=18,MATCHED!$S46,IF(MATCHED!AZ46=19,MATCHED!$T46,IF(MATCHED!AZ46=20,MATCHED!$U46,IF(MATCHED!AZ46=21,MATCHED!$V46,)))))))&amp;IF(MATCHED!AZ46=22,MATCHED!$W46,IF(MATCHED!AZ46=23,MATCHED!$X46,IF(MATCHED!AZ46=24,MATCHED!$Y46,IF(MATCHED!AZ46=25,MATCHED!$Z46,IF(MATCHED!AZ46=26,MATCHED!$AA46,IF(MATCHED!AZ46=27,MATCHED!$AB46,"."))))))</f>
        <v>#N/A</v>
      </c>
      <c r="Y46" s="353" t="e">
        <f>IF(MATCHED!BA46=1,MATCHED!$B46,IF(MATCHED!BA46=2,MATCHED!$C46,IF(MATCHED!BA46=3,MATCHED!$D46,IF(MATCHED!BA46=4,MATCHED!$E46,IF(MATCHED!BA46=3,MATCHED!$F46,IF(MATCHED!BA46=6,MATCHED!$G46,IF(MATCHED!BA46=7,MATCHED!$H46,"")))))))&amp;IF(MATCHED!BA46=8,MATCHED!$I46,IF(MATCHED!BA46=9,MATCHED!$J46,IF(MATCHED!BA46=10,MATCHED!$K46,IF(MATCHED!BA46=11,MATCHED!$L46,IF(MATCHED!BA46=12,MATCHED!$M46,IF(MATCHED!BA46=13,MATCHED!$N46,IF(MATCHED!BA46=14,MATCHED!$O46,"")))))))&amp;IF(MATCHED!BA46=15,MATCHED!$P46,IF(MATCHED!BA46=16,MATCHED!$Q46,IF(MATCHED!BA46=17,MATCHED!$R46,IF(MATCHED!BA46=18,MATCHED!$S46,IF(MATCHED!BA46=19,MATCHED!$T46,IF(MATCHED!BA46=20,MATCHED!$U46,IF(MATCHED!BA46=21,MATCHED!$V46,)))))))&amp;IF(MATCHED!BA46=22,MATCHED!$W46,IF(MATCHED!BA46=23,MATCHED!$X46,IF(MATCHED!BA46=24,MATCHED!$Y46,IF(MATCHED!BA46=25,MATCHED!$Z46,IF(MATCHED!BA46=26,MATCHED!$AA46,IF(MATCHED!BA46=27,MATCHED!$AB46,"."))))))</f>
        <v>#N/A</v>
      </c>
      <c r="Z46" s="353" t="e">
        <f>IF(MATCHED!BB46=1,MATCHED!$B46,IF(MATCHED!BB46=2,MATCHED!$C46,IF(MATCHED!BB46=3,MATCHED!$D46,IF(MATCHED!BB46=4,MATCHED!$E46,IF(MATCHED!BB46=3,MATCHED!$F46,IF(MATCHED!BB46=6,MATCHED!$G46,IF(MATCHED!BB46=7,MATCHED!$H46,"")))))))&amp;IF(MATCHED!BB46=8,MATCHED!$I46,IF(MATCHED!BB46=9,MATCHED!$J46,IF(MATCHED!BB46=10,MATCHED!$K46,IF(MATCHED!BB46=11,MATCHED!$L46,IF(MATCHED!BB46=12,MATCHED!$M46,IF(MATCHED!BB46=13,MATCHED!$N46,IF(MATCHED!BB46=14,MATCHED!$O46,"")))))))&amp;IF(MATCHED!BB46=15,MATCHED!$P46,IF(MATCHED!BB46=16,MATCHED!$Q46,IF(MATCHED!BB46=17,MATCHED!$R46,IF(MATCHED!BB46=18,MATCHED!$S46,IF(MATCHED!BB46=19,MATCHED!$T46,IF(MATCHED!BB46=20,MATCHED!$U46,IF(MATCHED!BB46=21,MATCHED!$V46,)))))))&amp;IF(MATCHED!BB46=22,MATCHED!$W46,IF(MATCHED!BB46=23,MATCHED!$X46,IF(MATCHED!BB46=24,MATCHED!$Y46,IF(MATCHED!BB46=25,MATCHED!$Z46,IF(MATCHED!BB46=26,MATCHED!$AA46,IF(MATCHED!BB46=27,MATCHED!$AB46,"."))))))</f>
        <v>#N/A</v>
      </c>
      <c r="AA46" s="353" t="e">
        <f>IF(MATCHED!BC46=1,MATCHED!$B46,IF(MATCHED!BC46=2,MATCHED!$C46,IF(MATCHED!BC46=3,MATCHED!$D46,IF(MATCHED!BC46=4,MATCHED!$E46,IF(MATCHED!BC46=3,MATCHED!$F46,IF(MATCHED!BC46=6,MATCHED!$G46,IF(MATCHED!BC46=7,MATCHED!$H46,"")))))))&amp;IF(MATCHED!BC46=8,MATCHED!$I46,IF(MATCHED!BC46=9,MATCHED!$J46,IF(MATCHED!BC46=10,MATCHED!$K46,IF(MATCHED!BC46=11,MATCHED!$L46,IF(MATCHED!BC46=12,MATCHED!$M46,IF(MATCHED!BC46=13,MATCHED!$N46,IF(MATCHED!BC46=14,MATCHED!$O46,"")))))))&amp;IF(MATCHED!BC46=15,MATCHED!$P46,IF(MATCHED!BC46=16,MATCHED!$Q46,IF(MATCHED!BC46=17,MATCHED!$R46,IF(MATCHED!BC46=18,MATCHED!$S46,IF(MATCHED!BC46=19,MATCHED!$T46,IF(MATCHED!BC46=20,MATCHED!$U46,IF(MATCHED!BC46=21,MATCHED!$V46,)))))))&amp;IF(MATCHED!BC46=22,MATCHED!$W46,IF(MATCHED!BC46=23,MATCHED!$X46,IF(MATCHED!BC46=24,MATCHED!$Y46,IF(MATCHED!BC46=25,MATCHED!$Z46,IF(MATCHED!BC46=26,MATCHED!$AA46,IF(MATCHED!BC46=27,MATCHED!$AB46,"."))))))</f>
        <v>#N/A</v>
      </c>
      <c r="AB46" s="353" t="e">
        <f>IF(MATCHED!BD46=1,MATCHED!$B46,IF(MATCHED!BD46=2,MATCHED!$C46,IF(MATCHED!BD46=3,MATCHED!$D46,IF(MATCHED!BD46=4,MATCHED!$E46,IF(MATCHED!BD46=3,MATCHED!$F46,IF(MATCHED!BD46=6,MATCHED!$G46,IF(MATCHED!BD46=7,MATCHED!$H46,"")))))))&amp;IF(MATCHED!BD46=8,MATCHED!$I46,IF(MATCHED!BD46=9,MATCHED!$J46,IF(MATCHED!BD46=10,MATCHED!$K46,IF(MATCHED!BD46=11,MATCHED!$L46,IF(MATCHED!BD46=12,MATCHED!$M46,IF(MATCHED!BD46=13,MATCHED!$N46,IF(MATCHED!BD46=14,MATCHED!$O46,"")))))))&amp;IF(MATCHED!BD46=15,MATCHED!$P46,IF(MATCHED!BD46=16,MATCHED!$Q46,IF(MATCHED!BD46=17,MATCHED!$R46,IF(MATCHED!BD46=18,MATCHED!$S46,IF(MATCHED!BD46=19,MATCHED!$T46,IF(MATCHED!BD46=20,MATCHED!$U46,IF(MATCHED!BD46=21,MATCHED!$V46,)))))))&amp;IF(MATCHED!BD46=22,MATCHED!$W46,IF(MATCHED!BD46=23,MATCHED!$X46,IF(MATCHED!BD46=24,MATCHED!$Y46,IF(MATCHED!BD46=25,MATCHED!$Z46,IF(MATCHED!BD46=26,MATCHED!$AA46,IF(MATCHED!BD46=27,MATCHED!$AB46,"."))))))</f>
        <v>#N/A</v>
      </c>
      <c r="AC46" s="353" t="e">
        <f>IF(MATCHED!BE46=1,MATCHED!$B46,IF(MATCHED!BE46=2,MATCHED!$C46,IF(MATCHED!BE46=3,MATCHED!$D46,IF(MATCHED!BE46=4,MATCHED!$E46,IF(MATCHED!BE46=3,MATCHED!$F46,IF(MATCHED!BE46=6,MATCHED!$G46,IF(MATCHED!BE46=7,MATCHED!$H46,"")))))))&amp;IF(MATCHED!BE46=8,MATCHED!$I46,IF(MATCHED!BE46=9,MATCHED!$J46,IF(MATCHED!BE46=10,MATCHED!$K46,IF(MATCHED!BE46=11,MATCHED!$L46,IF(MATCHED!BE46=12,MATCHED!$M46,IF(MATCHED!BE46=13,MATCHED!$N46,IF(MATCHED!BE46=14,MATCHED!$O46,"")))))))&amp;IF(MATCHED!BE46=15,MATCHED!$P46,IF(MATCHED!BE46=16,MATCHED!$Q46,IF(MATCHED!BE46=17,MATCHED!$R46,IF(MATCHED!BE46=18,MATCHED!$S46,IF(MATCHED!BE46=19,MATCHED!$T46,IF(MATCHED!BE46=20,MATCHED!$U46,IF(MATCHED!BE46=21,MATCHED!$V46,)))))))&amp;IF(MATCHED!BE46=22,MATCHED!$W46,IF(MATCHED!BE46=23,MATCHED!$X46,IF(MATCHED!BE46=24,MATCHED!$Y46,IF(MATCHED!BE46=25,MATCHED!$Z46,IF(MATCHED!BE46=26,MATCHED!$AA46,IF(MATCHED!BE46=27,MATCHED!$AB46,"."))))))</f>
        <v>#N/A</v>
      </c>
      <c r="AD46" s="353" t="e">
        <f>IF(MATCHED!BF46=1,MATCHED!$B46,IF(MATCHED!BF46=2,MATCHED!$C46,IF(MATCHED!BF46=3,MATCHED!$D46,IF(MATCHED!BF46=4,MATCHED!$E46,IF(MATCHED!BF46=3,MATCHED!$F46,IF(MATCHED!BF46=6,MATCHED!$G46,IF(MATCHED!BF46=7,MATCHED!$H46,"")))))))&amp;IF(MATCHED!BF46=8,MATCHED!$I46,IF(MATCHED!BF46=9,MATCHED!$J46,IF(MATCHED!BF46=10,MATCHED!$K46,IF(MATCHED!BF46=11,MATCHED!$L46,IF(MATCHED!BF46=12,MATCHED!$M46,IF(MATCHED!BF46=13,MATCHED!$N46,IF(MATCHED!BF46=14,MATCHED!$O46,"")))))))&amp;IF(MATCHED!BF46=15,MATCHED!$P46,IF(MATCHED!BF46=16,MATCHED!$Q46,IF(MATCHED!BF46=17,MATCHED!$R46,IF(MATCHED!BF46=18,MATCHED!$S46,IF(MATCHED!BF46=19,MATCHED!$T46,IF(MATCHED!BF46=20,MATCHED!$U46,IF(MATCHED!BF46=21,MATCHED!$V46,)))))))&amp;IF(MATCHED!BF46=22,MATCHED!$W46,IF(MATCHED!BF46=23,MATCHED!$X46,IF(MATCHED!BF46=24,MATCHED!$Y46,IF(MATCHED!BF46=25,MATCHED!$Z46,IF(MATCHED!BF46=26,MATCHED!$AA46,IF(MATCHED!BF46=27,MATCHED!$AB46,"."))))))</f>
        <v>#N/A</v>
      </c>
      <c r="AE46" s="353" t="e">
        <f>IF(MATCHED!BG46=1,MATCHED!$B46,IF(MATCHED!BG46=2,MATCHED!$C46,IF(MATCHED!BG46=3,MATCHED!$D46,IF(MATCHED!BG46=4,MATCHED!$E46,IF(MATCHED!BG46=3,MATCHED!$F46,IF(MATCHED!BG46=6,MATCHED!$G46,IF(MATCHED!BG46=7,MATCHED!$H46,"")))))))&amp;IF(MATCHED!BG46=8,MATCHED!$I46,IF(MATCHED!BG46=9,MATCHED!$J46,IF(MATCHED!BG46=10,MATCHED!$K46,IF(MATCHED!BG46=11,MATCHED!$L46,IF(MATCHED!BG46=12,MATCHED!$M46,IF(MATCHED!BG46=13,MATCHED!$N46,IF(MATCHED!BG46=14,MATCHED!$O46,"")))))))&amp;IF(MATCHED!BG46=15,MATCHED!$P46,IF(MATCHED!BG46=16,MATCHED!$Q46,IF(MATCHED!BG46=17,MATCHED!$R46,IF(MATCHED!BG46=18,MATCHED!$S46,IF(MATCHED!BG46=19,MATCHED!$T46,IF(MATCHED!BG46=20,MATCHED!$U46,IF(MATCHED!BG46=21,MATCHED!$V46,)))))))&amp;IF(MATCHED!BG46=22,MATCHED!$W46,IF(MATCHED!BG46=23,MATCHED!$X46,IF(MATCHED!BG46=24,MATCHED!$Y46,IF(MATCHED!BG46=25,MATCHED!$Z46,IF(MATCHED!BG46=26,MATCHED!$AA46,IF(MATCHED!BG46=27,MATCHED!$AB46,"."))))))</f>
        <v>#N/A</v>
      </c>
      <c r="AF46" s="353" t="e">
        <f>IF(MATCHED!BH46=1,MATCHED!$B46,IF(MATCHED!BH46=2,MATCHED!$C46,IF(MATCHED!BH46=3,MATCHED!$D46,IF(MATCHED!BH46=4,MATCHED!$E46,IF(MATCHED!BH46=3,MATCHED!$F46,IF(MATCHED!BH46=6,MATCHED!$G46,IF(MATCHED!BH46=7,MATCHED!$H46,"")))))))&amp;IF(MATCHED!BH46=8,MATCHED!$I46,IF(MATCHED!BH46=9,MATCHED!$J46,IF(MATCHED!BH46=10,MATCHED!$K46,IF(MATCHED!BH46=11,MATCHED!$L46,IF(MATCHED!BH46=12,MATCHED!$M46,IF(MATCHED!BH46=13,MATCHED!$N46,IF(MATCHED!BH46=14,MATCHED!$O46,"")))))))&amp;IF(MATCHED!BH46=15,MATCHED!$P46,IF(MATCHED!BH46=16,MATCHED!$Q46,IF(MATCHED!BH46=17,MATCHED!$R46,IF(MATCHED!BH46=18,MATCHED!$S46,IF(MATCHED!BH46=19,MATCHED!$T46,IF(MATCHED!BH46=20,MATCHED!$U46,IF(MATCHED!BH46=21,MATCHED!$V46,)))))))&amp;IF(MATCHED!BH46=22,MATCHED!$W46,IF(MATCHED!BH46=23,MATCHED!$X46,IF(MATCHED!BH46=24,MATCHED!$Y46,IF(MATCHED!BH46=25,MATCHED!$Z46,IF(MATCHED!BH46=26,MATCHED!$AA46,IF(MATCHED!BH46=27,MATCHED!$AB46,"."))))))</f>
        <v>#N/A</v>
      </c>
      <c r="AG46" s="353" t="e">
        <f>IF(MATCHED!BI46=1,MATCHED!$B46,IF(MATCHED!BI46=2,MATCHED!$C46,IF(MATCHED!BI46=3,MATCHED!$D46,IF(MATCHED!BI46=4,MATCHED!$E46,IF(MATCHED!BI46=3,MATCHED!$F46,IF(MATCHED!BI46=6,MATCHED!$G46,IF(MATCHED!BI46=7,MATCHED!$H46,"")))))))&amp;IF(MATCHED!BI46=8,MATCHED!$I46,IF(MATCHED!BI46=9,MATCHED!$J46,IF(MATCHED!BI46=10,MATCHED!$K46,IF(MATCHED!BI46=11,MATCHED!$L46,IF(MATCHED!BI46=12,MATCHED!$M46,IF(MATCHED!BI46=13,MATCHED!$N46,IF(MATCHED!BI46=14,MATCHED!$O46,"")))))))&amp;IF(MATCHED!BI46=15,MATCHED!$P46,IF(MATCHED!BI46=16,MATCHED!$Q46,IF(MATCHED!BI46=17,MATCHED!$R46,IF(MATCHED!BI46=18,MATCHED!$S46,IF(MATCHED!BI46=19,MATCHED!$T46,IF(MATCHED!BI46=20,MATCHED!$U46,IF(MATCHED!BI46=21,MATCHED!$V46,)))))))&amp;IF(MATCHED!BI46=22,MATCHED!$W46,IF(MATCHED!BI46=23,MATCHED!$X46,IF(MATCHED!BI46=24,MATCHED!$Y46,IF(MATCHED!BI46=25,MATCHED!$Z46,IF(MATCHED!BI46=26,MATCHED!$AA46,IF(MATCHED!BI46=27,MATCHED!$AB46,"."))))))</f>
        <v>#N/A</v>
      </c>
      <c r="AH46" s="353" t="e">
        <f>IF(MATCHED!BJ46=1,MATCHED!$B46,IF(MATCHED!BJ46=2,MATCHED!$C46,IF(MATCHED!BJ46=3,MATCHED!$D46,IF(MATCHED!BJ46=4,MATCHED!$E46,IF(MATCHED!BJ46=3,MATCHED!$F46,IF(MATCHED!BJ46=6,MATCHED!$G46,IF(MATCHED!BJ46=7,MATCHED!$H46,"")))))))&amp;IF(MATCHED!BJ46=8,MATCHED!$I46,IF(MATCHED!BJ46=9,MATCHED!$J46,IF(MATCHED!BJ46=10,MATCHED!$K46,IF(MATCHED!BJ46=11,MATCHED!$L46,IF(MATCHED!BJ46=12,MATCHED!$M46,IF(MATCHED!BJ46=13,MATCHED!$N46,IF(MATCHED!BJ46=14,MATCHED!$O46,"")))))))&amp;IF(MATCHED!BJ46=15,MATCHED!$P46,IF(MATCHED!BJ46=16,MATCHED!$Q46,IF(MATCHED!BJ46=17,MATCHED!$R46,IF(MATCHED!BJ46=18,MATCHED!$S46,IF(MATCHED!BJ46=19,MATCHED!$T46,IF(MATCHED!BJ46=20,MATCHED!$U46,IF(MATCHED!BJ46=21,MATCHED!$V46,)))))))&amp;IF(MATCHED!BJ46=22,MATCHED!$W46,IF(MATCHED!BJ46=23,MATCHED!$X46,IF(MATCHED!BJ46=24,MATCHED!$Y46,IF(MATCHED!BJ46=25,MATCHED!$Z46,IF(MATCHED!BJ46=26,MATCHED!$AA46,IF(MATCHED!BJ46=27,MATCHED!$AB46,"."))))))</f>
        <v>#N/A</v>
      </c>
      <c r="AI46" s="353" t="e">
        <f>IF(MATCHED!BK46=1,MATCHED!$B46,IF(MATCHED!BK46=2,MATCHED!$C46,IF(MATCHED!BK46=3,MATCHED!$D46,IF(MATCHED!BK46=4,MATCHED!$E46,IF(MATCHED!BK46=3,MATCHED!$F46,IF(MATCHED!BK46=6,MATCHED!$G46,IF(MATCHED!BK46=7,MATCHED!$H46,"")))))))&amp;IF(MATCHED!BK46=8,MATCHED!$I46,IF(MATCHED!BK46=9,MATCHED!$J46,IF(MATCHED!BK46=10,MATCHED!$K46,IF(MATCHED!BK46=11,MATCHED!$L46,IF(MATCHED!BK46=12,MATCHED!$M46,IF(MATCHED!BK46=13,MATCHED!$N46,IF(MATCHED!BK46=14,MATCHED!$O46,"")))))))&amp;IF(MATCHED!BK46=15,MATCHED!$P46,IF(MATCHED!BK46=16,MATCHED!$Q46,IF(MATCHED!BK46=17,MATCHED!$R46,IF(MATCHED!BK46=18,MATCHED!$S46,IF(MATCHED!BK46=19,MATCHED!$T46,IF(MATCHED!BK46=20,MATCHED!$U46,IF(MATCHED!BK46=21,MATCHED!$V46,)))))))&amp;IF(MATCHED!BK46=22,MATCHED!$W46,IF(MATCHED!BK46=23,MATCHED!$X46,IF(MATCHED!BK46=24,MATCHED!$Y46,IF(MATCHED!BK46=25,MATCHED!$Z46,IF(MATCHED!BK46=26,MATCHED!$AA46,IF(MATCHED!BK46=27,MATCHED!$AB46,"."))))))</f>
        <v>#N/A</v>
      </c>
      <c r="AJ46" s="540" t="s">
        <v>183</v>
      </c>
    </row>
    <row r="47" spans="1:36" s="338" customFormat="1" x14ac:dyDescent="0.25">
      <c r="A47" s="535"/>
      <c r="B47" s="355" t="e">
        <f>IF(MATCHED!AD47=1,MATCHED!$B47,IF(MATCHED!AD47=2,MATCHED!$C47,IF(MATCHED!AD47=3,MATCHED!$D47,IF(MATCHED!AD47=4,MATCHED!$E47,IF(MATCHED!AD47=3,MATCHED!$F47,IF(MATCHED!AD47=6,MATCHED!$G47,IF(MATCHED!AD47=7,MATCHED!$H47,"")))))))&amp;IF(MATCHED!AD47=8,MATCHED!$I47,IF(MATCHED!AD47=9,MATCHED!$J47,IF(MATCHED!AD47=10,MATCHED!$K47,IF(MATCHED!AD47=11,MATCHED!$L47,IF(MATCHED!AD47=12,MATCHED!$M47,IF(MATCHED!AD47=13,MATCHED!$N47,IF(MATCHED!AD47=14,MATCHED!$O47,"")))))))&amp;IF(MATCHED!AD47=15,MATCHED!$P47,IF(MATCHED!AD47=16,MATCHED!$Q47,IF(MATCHED!AD47=17,MATCHED!$R47,IF(MATCHED!AD47=18,MATCHED!$S47,IF(MATCHED!AD47=19,MATCHED!$T47,IF(MATCHED!AD47=20,MATCHED!$U47,IF(MATCHED!AD47=21,MATCHED!$V47,)))))))&amp;IF(MATCHED!AD47=22,MATCHED!$W47,IF(MATCHED!AD47=23,MATCHED!$X47,IF(MATCHED!AD47=24,MATCHED!$Y47,IF(MATCHED!AD47=25,MATCHED!$Z47,IF(MATCHED!AD47=26,MATCHED!$AA47,IF(MATCHED!AD47=27,MATCHED!$AB47,"."))))))</f>
        <v>#N/A</v>
      </c>
      <c r="C47" s="356" t="e">
        <f>IF(MATCHED!AE47=1,MATCHED!$B47,IF(MATCHED!AE47=2,MATCHED!$C47,IF(MATCHED!AE47=3,MATCHED!$D47,IF(MATCHED!AE47=4,MATCHED!$E47,IF(MATCHED!AE47=3,MATCHED!$F47,IF(MATCHED!AE47=6,MATCHED!$G47,IF(MATCHED!AE47=7,MATCHED!$H47,"")))))))&amp;IF(MATCHED!AE47=8,MATCHED!$I47,IF(MATCHED!AE47=9,MATCHED!$J47,IF(MATCHED!AE47=10,MATCHED!$K47,IF(MATCHED!AE47=11,MATCHED!$L47,IF(MATCHED!AE47=12,MATCHED!$M47,IF(MATCHED!AE47=13,MATCHED!$N47,IF(MATCHED!AE47=14,MATCHED!$O47,"")))))))&amp;IF(MATCHED!AE47=15,MATCHED!$P47,IF(MATCHED!AE47=16,MATCHED!$Q47,IF(MATCHED!AE47=17,MATCHED!$R47,IF(MATCHED!AE47=18,MATCHED!$S47,IF(MATCHED!AE47=19,MATCHED!$T47,IF(MATCHED!AE47=20,MATCHED!$U47,IF(MATCHED!AE47=21,MATCHED!$V47,)))))))&amp;IF(MATCHED!AE47=22,MATCHED!$W47,IF(MATCHED!AE47=23,MATCHED!$X47,IF(MATCHED!AE47=24,MATCHED!$Y47,IF(MATCHED!AE47=25,MATCHED!$Z47,IF(MATCHED!AE47=26,MATCHED!$AA47,IF(MATCHED!AE47=27,MATCHED!$AB47,"."))))))</f>
        <v>#N/A</v>
      </c>
      <c r="D47" s="356" t="e">
        <f>IF(MATCHED!AF47=1,MATCHED!$B47,IF(MATCHED!AF47=2,MATCHED!$C47,IF(MATCHED!AF47=3,MATCHED!$D47,IF(MATCHED!AF47=4,MATCHED!$E47,IF(MATCHED!AF47=3,MATCHED!$F47,IF(MATCHED!AF47=6,MATCHED!$G47,IF(MATCHED!AF47=7,MATCHED!$H47,"")))))))&amp;IF(MATCHED!AF47=8,MATCHED!$I47,IF(MATCHED!AF47=9,MATCHED!$J47,IF(MATCHED!AF47=10,MATCHED!$K47,IF(MATCHED!AF47=11,MATCHED!$L47,IF(MATCHED!AF47=12,MATCHED!$M47,IF(MATCHED!AF47=13,MATCHED!$N47,IF(MATCHED!AF47=14,MATCHED!$O47,"")))))))&amp;IF(MATCHED!AF47=15,MATCHED!$P47,IF(MATCHED!AF47=16,MATCHED!$Q47,IF(MATCHED!AF47=17,MATCHED!$R47,IF(MATCHED!AF47=18,MATCHED!$S47,IF(MATCHED!AF47=19,MATCHED!$T47,IF(MATCHED!AF47=20,MATCHED!$U47,IF(MATCHED!AF47=21,MATCHED!$V47,)))))))&amp;IF(MATCHED!AF47=22,MATCHED!$W47,IF(MATCHED!AF47=23,MATCHED!$X47,IF(MATCHED!AF47=24,MATCHED!$Y47,IF(MATCHED!AF47=25,MATCHED!$Z47,IF(MATCHED!AF47=26,MATCHED!$AA47,IF(MATCHED!AF47=27,MATCHED!$AB47,"."))))))</f>
        <v>#N/A</v>
      </c>
      <c r="E47" s="356" t="e">
        <f>IF(MATCHED!AG47=1,MATCHED!$B47,IF(MATCHED!AG47=2,MATCHED!$C47,IF(MATCHED!AG47=3,MATCHED!$D47,IF(MATCHED!AG47=4,MATCHED!$E47,IF(MATCHED!AG47=3,MATCHED!$F47,IF(MATCHED!AG47=6,MATCHED!$G47,IF(MATCHED!AG47=7,MATCHED!$H47,"")))))))&amp;IF(MATCHED!AG47=8,MATCHED!$I47,IF(MATCHED!AG47=9,MATCHED!$J47,IF(MATCHED!AG47=10,MATCHED!$K47,IF(MATCHED!AG47=11,MATCHED!$L47,IF(MATCHED!AG47=12,MATCHED!$M47,IF(MATCHED!AG47=13,MATCHED!$N47,IF(MATCHED!AG47=14,MATCHED!$O47,"")))))))&amp;IF(MATCHED!AG47=15,MATCHED!$P47,IF(MATCHED!AG47=16,MATCHED!$Q47,IF(MATCHED!AG47=17,MATCHED!$R47,IF(MATCHED!AG47=18,MATCHED!$S47,IF(MATCHED!AG47=19,MATCHED!$T47,IF(MATCHED!AG47=20,MATCHED!$U47,IF(MATCHED!AG47=21,MATCHED!$V47,)))))))&amp;IF(MATCHED!AG47=22,MATCHED!$W47,IF(MATCHED!AG47=23,MATCHED!$X47,IF(MATCHED!AG47=24,MATCHED!$Y47,IF(MATCHED!AG47=25,MATCHED!$Z47,IF(MATCHED!AG47=26,MATCHED!$AA47,IF(MATCHED!AG47=27,MATCHED!$AB47,"."))))))</f>
        <v>#N/A</v>
      </c>
      <c r="F47" s="356" t="e">
        <f>IF(MATCHED!AH47=1,MATCHED!$B47,IF(MATCHED!AH47=2,MATCHED!$C47,IF(MATCHED!AH47=3,MATCHED!$D47,IF(MATCHED!AH47=4,MATCHED!$E47,IF(MATCHED!AH47=3,MATCHED!$F47,IF(MATCHED!AH47=6,MATCHED!$G47,IF(MATCHED!AH47=7,MATCHED!$H47,"")))))))&amp;IF(MATCHED!AH47=8,MATCHED!$I47,IF(MATCHED!AH47=9,MATCHED!$J47,IF(MATCHED!AH47=10,MATCHED!$K47,IF(MATCHED!AH47=11,MATCHED!$L47,IF(MATCHED!AH47=12,MATCHED!$M47,IF(MATCHED!AH47=13,MATCHED!$N47,IF(MATCHED!AH47=14,MATCHED!$O47,"")))))))&amp;IF(MATCHED!AH47=15,MATCHED!$P47,IF(MATCHED!AH47=16,MATCHED!$Q47,IF(MATCHED!AH47=17,MATCHED!$R47,IF(MATCHED!AH47=18,MATCHED!$S47,IF(MATCHED!AH47=19,MATCHED!$T47,IF(MATCHED!AH47=20,MATCHED!$U47,IF(MATCHED!AH47=21,MATCHED!$V47,)))))))&amp;IF(MATCHED!AH47=22,MATCHED!$W47,IF(MATCHED!AH47=23,MATCHED!$X47,IF(MATCHED!AH47=24,MATCHED!$Y47,IF(MATCHED!AH47=25,MATCHED!$Z47,IF(MATCHED!AH47=26,MATCHED!$AA47,IF(MATCHED!AH47=27,MATCHED!$AB47,"."))))))</f>
        <v>#N/A</v>
      </c>
      <c r="G47" s="356" t="e">
        <f>IF(MATCHED!AI47=1,MATCHED!$B47,IF(MATCHED!AI47=2,MATCHED!$C47,IF(MATCHED!AI47=3,MATCHED!$D47,IF(MATCHED!AI47=4,MATCHED!$E47,IF(MATCHED!AI47=3,MATCHED!$F47,IF(MATCHED!AI47=6,MATCHED!$G47,IF(MATCHED!AI47=7,MATCHED!$H47,"")))))))&amp;IF(MATCHED!AI47=8,MATCHED!$I47,IF(MATCHED!AI47=9,MATCHED!$J47,IF(MATCHED!AI47=10,MATCHED!$K47,IF(MATCHED!AI47=11,MATCHED!$L47,IF(MATCHED!AI47=12,MATCHED!$M47,IF(MATCHED!AI47=13,MATCHED!$N47,IF(MATCHED!AI47=14,MATCHED!$O47,"")))))))&amp;IF(MATCHED!AI47=15,MATCHED!$P47,IF(MATCHED!AI47=16,MATCHED!$Q47,IF(MATCHED!AI47=17,MATCHED!$R47,IF(MATCHED!AI47=18,MATCHED!$S47,IF(MATCHED!AI47=19,MATCHED!$T47,IF(MATCHED!AI47=20,MATCHED!$U47,IF(MATCHED!AI47=21,MATCHED!$V47,)))))))&amp;IF(MATCHED!AI47=22,MATCHED!$W47,IF(MATCHED!AI47=23,MATCHED!$X47,IF(MATCHED!AI47=24,MATCHED!$Y47,IF(MATCHED!AI47=25,MATCHED!$Z47,IF(MATCHED!AI47=26,MATCHED!$AA47,IF(MATCHED!AI47=27,MATCHED!$AB47,"."))))))</f>
        <v>#N/A</v>
      </c>
      <c r="H47" s="356" t="e">
        <f>IF(MATCHED!AJ47=1,MATCHED!$B47,IF(MATCHED!AJ47=2,MATCHED!$C47,IF(MATCHED!AJ47=3,MATCHED!$D47,IF(MATCHED!AJ47=4,MATCHED!$E47,IF(MATCHED!AJ47=3,MATCHED!$F47,IF(MATCHED!AJ47=6,MATCHED!$G47,IF(MATCHED!AJ47=7,MATCHED!$H47,"")))))))&amp;IF(MATCHED!AJ47=8,MATCHED!$I47,IF(MATCHED!AJ47=9,MATCHED!$J47,IF(MATCHED!AJ47=10,MATCHED!$K47,IF(MATCHED!AJ47=11,MATCHED!$L47,IF(MATCHED!AJ47=12,MATCHED!$M47,IF(MATCHED!AJ47=13,MATCHED!$N47,IF(MATCHED!AJ47=14,MATCHED!$O47,"")))))))&amp;IF(MATCHED!AJ47=15,MATCHED!$P47,IF(MATCHED!AJ47=16,MATCHED!$Q47,IF(MATCHED!AJ47=17,MATCHED!$R47,IF(MATCHED!AJ47=18,MATCHED!$S47,IF(MATCHED!AJ47=19,MATCHED!$T47,IF(MATCHED!AJ47=20,MATCHED!$U47,IF(MATCHED!AJ47=21,MATCHED!$V47,)))))))&amp;IF(MATCHED!AJ47=22,MATCHED!$W47,IF(MATCHED!AJ47=23,MATCHED!$X47,IF(MATCHED!AJ47=24,MATCHED!$Y47,IF(MATCHED!AJ47=25,MATCHED!$Z47,IF(MATCHED!AJ47=26,MATCHED!$AA47,IF(MATCHED!AJ47=27,MATCHED!$AB47,"."))))))</f>
        <v>#N/A</v>
      </c>
      <c r="I47" s="356" t="e">
        <f>IF(MATCHED!AK47=1,MATCHED!$B47,IF(MATCHED!AK47=2,MATCHED!$C47,IF(MATCHED!AK47=3,MATCHED!$D47,IF(MATCHED!AK47=4,MATCHED!$E47,IF(MATCHED!AK47=3,MATCHED!$F47,IF(MATCHED!AK47=6,MATCHED!$G47,IF(MATCHED!AK47=7,MATCHED!$H47,"")))))))&amp;IF(MATCHED!AK47=8,MATCHED!$I47,IF(MATCHED!AK47=9,MATCHED!$J47,IF(MATCHED!AK47=10,MATCHED!$K47,IF(MATCHED!AK47=11,MATCHED!$L47,IF(MATCHED!AK47=12,MATCHED!$M47,IF(MATCHED!AK47=13,MATCHED!$N47,IF(MATCHED!AK47=14,MATCHED!$O47,"")))))))&amp;IF(MATCHED!AK47=15,MATCHED!$P47,IF(MATCHED!AK47=16,MATCHED!$Q47,IF(MATCHED!AK47=17,MATCHED!$R47,IF(MATCHED!AK47=18,MATCHED!$S47,IF(MATCHED!AK47=19,MATCHED!$T47,IF(MATCHED!AK47=20,MATCHED!$U47,IF(MATCHED!AK47=21,MATCHED!$V47,)))))))&amp;IF(MATCHED!AK47=22,MATCHED!$W47,IF(MATCHED!AK47=23,MATCHED!$X47,IF(MATCHED!AK47=24,MATCHED!$Y47,IF(MATCHED!AK47=25,MATCHED!$Z47,IF(MATCHED!AK47=26,MATCHED!$AA47,IF(MATCHED!AK47=27,MATCHED!$AB47,"."))))))</f>
        <v>#N/A</v>
      </c>
      <c r="J47" s="356" t="e">
        <f>IF(MATCHED!AL47=1,MATCHED!$B47,IF(MATCHED!AL47=2,MATCHED!$C47,IF(MATCHED!AL47=3,MATCHED!$D47,IF(MATCHED!AL47=4,MATCHED!$E47,IF(MATCHED!AL47=3,MATCHED!$F47,IF(MATCHED!AL47=6,MATCHED!$G47,IF(MATCHED!AL47=7,MATCHED!$H47,"")))))))&amp;IF(MATCHED!AL47=8,MATCHED!$I47,IF(MATCHED!AL47=9,MATCHED!$J47,IF(MATCHED!AL47=10,MATCHED!$K47,IF(MATCHED!AL47=11,MATCHED!$L47,IF(MATCHED!AL47=12,MATCHED!$M47,IF(MATCHED!AL47=13,MATCHED!$N47,IF(MATCHED!AL47=14,MATCHED!$O47,"")))))))&amp;IF(MATCHED!AL47=15,MATCHED!$P47,IF(MATCHED!AL47=16,MATCHED!$Q47,IF(MATCHED!AL47=17,MATCHED!$R47,IF(MATCHED!AL47=18,MATCHED!$S47,IF(MATCHED!AL47=19,MATCHED!$T47,IF(MATCHED!AL47=20,MATCHED!$U47,IF(MATCHED!AL47=21,MATCHED!$V47,)))))))&amp;IF(MATCHED!AL47=22,MATCHED!$W47,IF(MATCHED!AL47=23,MATCHED!$X47,IF(MATCHED!AL47=24,MATCHED!$Y47,IF(MATCHED!AL47=25,MATCHED!$Z47,IF(MATCHED!AL47=26,MATCHED!$AA47,IF(MATCHED!AL47=27,MATCHED!$AB47,"."))))))</f>
        <v>#N/A</v>
      </c>
      <c r="K47" s="356" t="e">
        <f>IF(MATCHED!AM47=1,MATCHED!$B47,IF(MATCHED!AM47=2,MATCHED!$C47,IF(MATCHED!AM47=3,MATCHED!$D47,IF(MATCHED!AM47=4,MATCHED!$E47,IF(MATCHED!AM47=3,MATCHED!$F47,IF(MATCHED!AM47=6,MATCHED!$G47,IF(MATCHED!AM47=7,MATCHED!$H47,"")))))))&amp;IF(MATCHED!AM47=8,MATCHED!$I47,IF(MATCHED!AM47=9,MATCHED!$J47,IF(MATCHED!AM47=10,MATCHED!$K47,IF(MATCHED!AM47=11,MATCHED!$L47,IF(MATCHED!AM47=12,MATCHED!$M47,IF(MATCHED!AM47=13,MATCHED!$N47,IF(MATCHED!AM47=14,MATCHED!$O47,"")))))))&amp;IF(MATCHED!AM47=15,MATCHED!$P47,IF(MATCHED!AM47=16,MATCHED!$Q47,IF(MATCHED!AM47=17,MATCHED!$R47,IF(MATCHED!AM47=18,MATCHED!$S47,IF(MATCHED!AM47=19,MATCHED!$T47,IF(MATCHED!AM47=20,MATCHED!$U47,IF(MATCHED!AM47=21,MATCHED!$V47,)))))))&amp;IF(MATCHED!AM47=22,MATCHED!$W47,IF(MATCHED!AM47=23,MATCHED!$X47,IF(MATCHED!AM47=24,MATCHED!$Y47,IF(MATCHED!AM47=25,MATCHED!$Z47,IF(MATCHED!AM47=26,MATCHED!$AA47,IF(MATCHED!AM47=27,MATCHED!$AB47,"."))))))</f>
        <v>#N/A</v>
      </c>
      <c r="L47" s="356" t="e">
        <f>IF(MATCHED!AN47=1,MATCHED!$B47,IF(MATCHED!AN47=2,MATCHED!$C47,IF(MATCHED!AN47=3,MATCHED!$D47,IF(MATCHED!AN47=4,MATCHED!$E47,IF(MATCHED!AN47=3,MATCHED!$F47,IF(MATCHED!AN47=6,MATCHED!$G47,IF(MATCHED!AN47=7,MATCHED!$H47,"")))))))&amp;IF(MATCHED!AN47=8,MATCHED!$I47,IF(MATCHED!AN47=9,MATCHED!$J47,IF(MATCHED!AN47=10,MATCHED!$K47,IF(MATCHED!AN47=11,MATCHED!$L47,IF(MATCHED!AN47=12,MATCHED!$M47,IF(MATCHED!AN47=13,MATCHED!$N47,IF(MATCHED!AN47=14,MATCHED!$O47,"")))))))&amp;IF(MATCHED!AN47=15,MATCHED!$P47,IF(MATCHED!AN47=16,MATCHED!$Q47,IF(MATCHED!AN47=17,MATCHED!$R47,IF(MATCHED!AN47=18,MATCHED!$S47,IF(MATCHED!AN47=19,MATCHED!$T47,IF(MATCHED!AN47=20,MATCHED!$U47,IF(MATCHED!AN47=21,MATCHED!$V47,)))))))&amp;IF(MATCHED!AN47=22,MATCHED!$W47,IF(MATCHED!AN47=23,MATCHED!$X47,IF(MATCHED!AN47=24,MATCHED!$Y47,IF(MATCHED!AN47=25,MATCHED!$Z47,IF(MATCHED!AN47=26,MATCHED!$AA47,IF(MATCHED!AN47=27,MATCHED!$AB47,"."))))))</f>
        <v>#N/A</v>
      </c>
      <c r="M47" s="356" t="e">
        <f>IF(MATCHED!AO47=1,MATCHED!$B47,IF(MATCHED!AO47=2,MATCHED!$C47,IF(MATCHED!AO47=3,MATCHED!$D47,IF(MATCHED!AO47=4,MATCHED!$E47,IF(MATCHED!AO47=3,MATCHED!$F47,IF(MATCHED!AO47=6,MATCHED!$G47,IF(MATCHED!AO47=7,MATCHED!$H47,"")))))))&amp;IF(MATCHED!AO47=8,MATCHED!$I47,IF(MATCHED!AO47=9,MATCHED!$J47,IF(MATCHED!AO47=10,MATCHED!$K47,IF(MATCHED!AO47=11,MATCHED!$L47,IF(MATCHED!AO47=12,MATCHED!$M47,IF(MATCHED!AO47=13,MATCHED!$N47,IF(MATCHED!AO47=14,MATCHED!$O47,"")))))))&amp;IF(MATCHED!AO47=15,MATCHED!$P47,IF(MATCHED!AO47=16,MATCHED!$Q47,IF(MATCHED!AO47=17,MATCHED!$R47,IF(MATCHED!AO47=18,MATCHED!$S47,IF(MATCHED!AO47=19,MATCHED!$T47,IF(MATCHED!AO47=20,MATCHED!$U47,IF(MATCHED!AO47=21,MATCHED!$V47,)))))))&amp;IF(MATCHED!AO47=22,MATCHED!$W47,IF(MATCHED!AO47=23,MATCHED!$X47,IF(MATCHED!AO47=24,MATCHED!$Y47,IF(MATCHED!AO47=25,MATCHED!$Z47,IF(MATCHED!AO47=26,MATCHED!$AA47,IF(MATCHED!AO47=27,MATCHED!$AB47,"."))))))</f>
        <v>#N/A</v>
      </c>
      <c r="N47" s="356" t="e">
        <f>IF(MATCHED!AP47=1,MATCHED!$B47,IF(MATCHED!AP47=2,MATCHED!$C47,IF(MATCHED!AP47=3,MATCHED!$D47,IF(MATCHED!AP47=4,MATCHED!$E47,IF(MATCHED!AP47=3,MATCHED!$F47,IF(MATCHED!AP47=6,MATCHED!$G47,IF(MATCHED!AP47=7,MATCHED!$H47,"")))))))&amp;IF(MATCHED!AP47=8,MATCHED!$I47,IF(MATCHED!AP47=9,MATCHED!$J47,IF(MATCHED!AP47=10,MATCHED!$K47,IF(MATCHED!AP47=11,MATCHED!$L47,IF(MATCHED!AP47=12,MATCHED!$M47,IF(MATCHED!AP47=13,MATCHED!$N47,IF(MATCHED!AP47=14,MATCHED!$O47,"")))))))&amp;IF(MATCHED!AP47=15,MATCHED!$P47,IF(MATCHED!AP47=16,MATCHED!$Q47,IF(MATCHED!AP47=17,MATCHED!$R47,IF(MATCHED!AP47=18,MATCHED!$S47,IF(MATCHED!AP47=19,MATCHED!$T47,IF(MATCHED!AP47=20,MATCHED!$U47,IF(MATCHED!AP47=21,MATCHED!$V47,)))))))&amp;IF(MATCHED!AP47=22,MATCHED!$W47,IF(MATCHED!AP47=23,MATCHED!$X47,IF(MATCHED!AP47=24,MATCHED!$Y47,IF(MATCHED!AP47=25,MATCHED!$Z47,IF(MATCHED!AP47=26,MATCHED!$AA47,IF(MATCHED!AP47=27,MATCHED!$AB47,"."))))))</f>
        <v>#N/A</v>
      </c>
      <c r="O47" s="356" t="e">
        <f>IF(MATCHED!AQ47=1,MATCHED!$B47,IF(MATCHED!AQ47=2,MATCHED!$C47,IF(MATCHED!AQ47=3,MATCHED!$D47,IF(MATCHED!AQ47=4,MATCHED!$E47,IF(MATCHED!AQ47=3,MATCHED!$F47,IF(MATCHED!AQ47=6,MATCHED!$G47,IF(MATCHED!AQ47=7,MATCHED!$H47,"")))))))&amp;IF(MATCHED!AQ47=8,MATCHED!$I47,IF(MATCHED!AQ47=9,MATCHED!$J47,IF(MATCHED!AQ47=10,MATCHED!$K47,IF(MATCHED!AQ47=11,MATCHED!$L47,IF(MATCHED!AQ47=12,MATCHED!$M47,IF(MATCHED!AQ47=13,MATCHED!$N47,IF(MATCHED!AQ47=14,MATCHED!$O47,"")))))))&amp;IF(MATCHED!AQ47=15,MATCHED!$P47,IF(MATCHED!AQ47=16,MATCHED!$Q47,IF(MATCHED!AQ47=17,MATCHED!$R47,IF(MATCHED!AQ47=18,MATCHED!$S47,IF(MATCHED!AQ47=19,MATCHED!$T47,IF(MATCHED!AQ47=20,MATCHED!$U47,IF(MATCHED!AQ47=21,MATCHED!$V47,)))))))&amp;IF(MATCHED!AQ47=22,MATCHED!$W47,IF(MATCHED!AQ47=23,MATCHED!$X47,IF(MATCHED!AQ47=24,MATCHED!$Y47,IF(MATCHED!AQ47=25,MATCHED!$Z47,IF(MATCHED!AQ47=26,MATCHED!$AA47,IF(MATCHED!AQ47=27,MATCHED!$AB47,"."))))))</f>
        <v>#N/A</v>
      </c>
      <c r="P47" s="356" t="e">
        <f>IF(MATCHED!AR47=1,MATCHED!$B47,IF(MATCHED!AR47=2,MATCHED!$C47,IF(MATCHED!AR47=3,MATCHED!$D47,IF(MATCHED!AR47=4,MATCHED!$E47,IF(MATCHED!AR47=3,MATCHED!$F47,IF(MATCHED!AR47=6,MATCHED!$G47,IF(MATCHED!AR47=7,MATCHED!$H47,"")))))))&amp;IF(MATCHED!AR47=8,MATCHED!$I47,IF(MATCHED!AR47=9,MATCHED!$J47,IF(MATCHED!AR47=10,MATCHED!$K47,IF(MATCHED!AR47=11,MATCHED!$L47,IF(MATCHED!AR47=12,MATCHED!$M47,IF(MATCHED!AR47=13,MATCHED!$N47,IF(MATCHED!AR47=14,MATCHED!$O47,"")))))))&amp;IF(MATCHED!AR47=15,MATCHED!$P47,IF(MATCHED!AR47=16,MATCHED!$Q47,IF(MATCHED!AR47=17,MATCHED!$R47,IF(MATCHED!AR47=18,MATCHED!$S47,IF(MATCHED!AR47=19,MATCHED!$T47,IF(MATCHED!AR47=20,MATCHED!$U47,IF(MATCHED!AR47=21,MATCHED!$V47,)))))))&amp;IF(MATCHED!AR47=22,MATCHED!$W47,IF(MATCHED!AR47=23,MATCHED!$X47,IF(MATCHED!AR47=24,MATCHED!$Y47,IF(MATCHED!AR47=25,MATCHED!$Z47,IF(MATCHED!AR47=26,MATCHED!$AA47,IF(MATCHED!AR47=27,MATCHED!$AB47,"."))))))</f>
        <v>#N/A</v>
      </c>
      <c r="Q47" s="357" t="e">
        <f>IF(MATCHED!AS47=1,MATCHED!$B47,IF(MATCHED!AS47=2,MATCHED!$C47,IF(MATCHED!AS47=3,MATCHED!$D47,IF(MATCHED!AS47=4,MATCHED!$E47,IF(MATCHED!AS47=3,MATCHED!$F47,IF(MATCHED!AS47=6,MATCHED!$G47,IF(MATCHED!AS47=7,MATCHED!$H47,"")))))))&amp;IF(MATCHED!AS47=8,MATCHED!$I47,IF(MATCHED!AS47=9,MATCHED!$J47,IF(MATCHED!AS47=10,MATCHED!$K47,IF(MATCHED!AS47=11,MATCHED!$L47,IF(MATCHED!AS47=12,MATCHED!$M47,IF(MATCHED!AS47=13,MATCHED!$N47,IF(MATCHED!AS47=14,MATCHED!$O47,"")))))))&amp;IF(MATCHED!AS47=15,MATCHED!$P47,IF(MATCHED!AS47=16,MATCHED!$Q47,IF(MATCHED!AS47=17,MATCHED!$R47,IF(MATCHED!AS47=18,MATCHED!$S47,IF(MATCHED!AS47=19,MATCHED!$T47,IF(MATCHED!AS47=20,MATCHED!$U47,IF(MATCHED!AS47=21,MATCHED!$V47,)))))))&amp;IF(MATCHED!AS47=22,MATCHED!$W47,IF(MATCHED!AS47=23,MATCHED!$X47,IF(MATCHED!AS47=24,MATCHED!$Y47,IF(MATCHED!AS47=25,MATCHED!$Z47,IF(MATCHED!AS47=26,MATCHED!$AA47,IF(MATCHED!AS47=27,MATCHED!$AB47,"."))))))</f>
        <v>#N/A</v>
      </c>
      <c r="R47" s="356" t="e">
        <f>IF(MATCHED!AT47=1,MATCHED!$B47,IF(MATCHED!AT47=2,MATCHED!$C47,IF(MATCHED!AT47=3,MATCHED!$D47,IF(MATCHED!AT47=4,MATCHED!$E47,IF(MATCHED!AT47=3,MATCHED!$F47,IF(MATCHED!AT47=6,MATCHED!$G47,IF(MATCHED!AT47=7,MATCHED!$H47,"")))))))&amp;IF(MATCHED!AT47=8,MATCHED!$I47,IF(MATCHED!AT47=9,MATCHED!$J47,IF(MATCHED!AT47=10,MATCHED!$K47,IF(MATCHED!AT47=11,MATCHED!$L47,IF(MATCHED!AT47=12,MATCHED!$M47,IF(MATCHED!AT47=13,MATCHED!$N47,IF(MATCHED!AT47=14,MATCHED!$O47,"")))))))&amp;IF(MATCHED!AT47=15,MATCHED!$P47,IF(MATCHED!AT47=16,MATCHED!$Q47,IF(MATCHED!AT47=17,MATCHED!$R47,IF(MATCHED!AT47=18,MATCHED!$S47,IF(MATCHED!AT47=19,MATCHED!$T47,IF(MATCHED!AT47=20,MATCHED!$U47,IF(MATCHED!AT47=21,MATCHED!$V47,)))))))&amp;IF(MATCHED!AT47=22,MATCHED!$W47,IF(MATCHED!AT47=23,MATCHED!$X47,IF(MATCHED!AT47=24,MATCHED!$Y47,IF(MATCHED!AT47=25,MATCHED!$Z47,IF(MATCHED!AT47=26,MATCHED!$AA47,IF(MATCHED!AT47=27,MATCHED!$AB47,"."))))))</f>
        <v>#N/A</v>
      </c>
      <c r="S47" s="356" t="e">
        <f>IF(MATCHED!AU47=1,MATCHED!$B47,IF(MATCHED!AU47=2,MATCHED!$C47,IF(MATCHED!AU47=3,MATCHED!$D47,IF(MATCHED!AU47=4,MATCHED!$E47,IF(MATCHED!AU47=3,MATCHED!$F47,IF(MATCHED!AU47=6,MATCHED!$G47,IF(MATCHED!AU47=7,MATCHED!$H47,"")))))))&amp;IF(MATCHED!AU47=8,MATCHED!$I47,IF(MATCHED!AU47=9,MATCHED!$J47,IF(MATCHED!AU47=10,MATCHED!$K47,IF(MATCHED!AU47=11,MATCHED!$L47,IF(MATCHED!AU47=12,MATCHED!$M47,IF(MATCHED!AU47=13,MATCHED!$N47,IF(MATCHED!AU47=14,MATCHED!$O47,"")))))))&amp;IF(MATCHED!AU47=15,MATCHED!$P47,IF(MATCHED!AU47=16,MATCHED!$Q47,IF(MATCHED!AU47=17,MATCHED!$R47,IF(MATCHED!AU47=18,MATCHED!$S47,IF(MATCHED!AU47=19,MATCHED!$T47,IF(MATCHED!AU47=20,MATCHED!$U47,IF(MATCHED!AU47=21,MATCHED!$V47,)))))))&amp;IF(MATCHED!AU47=22,MATCHED!$W47,IF(MATCHED!AU47=23,MATCHED!$X47,IF(MATCHED!AU47=24,MATCHED!$Y47,IF(MATCHED!AU47=25,MATCHED!$Z47,IF(MATCHED!AU47=26,MATCHED!$AA47,IF(MATCHED!AU47=27,MATCHED!$AB47,"."))))))</f>
        <v>#N/A</v>
      </c>
      <c r="T47" s="356" t="e">
        <f>IF(MATCHED!AV47=1,MATCHED!$B47,IF(MATCHED!AV47=2,MATCHED!$C47,IF(MATCHED!AV47=3,MATCHED!$D47,IF(MATCHED!AV47=4,MATCHED!$E47,IF(MATCHED!AV47=3,MATCHED!$F47,IF(MATCHED!AV47=6,MATCHED!$G47,IF(MATCHED!AV47=7,MATCHED!$H47,"")))))))&amp;IF(MATCHED!AV47=8,MATCHED!$I47,IF(MATCHED!AV47=9,MATCHED!$J47,IF(MATCHED!AV47=10,MATCHED!$K47,IF(MATCHED!AV47=11,MATCHED!$L47,IF(MATCHED!AV47=12,MATCHED!$M47,IF(MATCHED!AV47=13,MATCHED!$N47,IF(MATCHED!AV47=14,MATCHED!$O47,"")))))))&amp;IF(MATCHED!AV47=15,MATCHED!$P47,IF(MATCHED!AV47=16,MATCHED!$Q47,IF(MATCHED!AV47=17,MATCHED!$R47,IF(MATCHED!AV47=18,MATCHED!$S47,IF(MATCHED!AV47=19,MATCHED!$T47,IF(MATCHED!AV47=20,MATCHED!$U47,IF(MATCHED!AV47=21,MATCHED!$V47,)))))))&amp;IF(MATCHED!AV47=22,MATCHED!$W47,IF(MATCHED!AV47=23,MATCHED!$X47,IF(MATCHED!AV47=24,MATCHED!$Y47,IF(MATCHED!AV47=25,MATCHED!$Z47,IF(MATCHED!AV47=26,MATCHED!$AA47,IF(MATCHED!AV47=27,MATCHED!$AB47,"."))))))</f>
        <v>#N/A</v>
      </c>
      <c r="U47" s="356" t="e">
        <f>IF(MATCHED!AW47=1,MATCHED!$B47,IF(MATCHED!AW47=2,MATCHED!$C47,IF(MATCHED!AW47=3,MATCHED!$D47,IF(MATCHED!AW47=4,MATCHED!$E47,IF(MATCHED!AW47=3,MATCHED!$F47,IF(MATCHED!AW47=6,MATCHED!$G47,IF(MATCHED!AW47=7,MATCHED!$H47,"")))))))&amp;IF(MATCHED!AW47=8,MATCHED!$I47,IF(MATCHED!AW47=9,MATCHED!$J47,IF(MATCHED!AW47=10,MATCHED!$K47,IF(MATCHED!AW47=11,MATCHED!$L47,IF(MATCHED!AW47=12,MATCHED!$M47,IF(MATCHED!AW47=13,MATCHED!$N47,IF(MATCHED!AW47=14,MATCHED!$O47,"")))))))&amp;IF(MATCHED!AW47=15,MATCHED!$P47,IF(MATCHED!AW47=16,MATCHED!$Q47,IF(MATCHED!AW47=17,MATCHED!$R47,IF(MATCHED!AW47=18,MATCHED!$S47,IF(MATCHED!AW47=19,MATCHED!$T47,IF(MATCHED!AW47=20,MATCHED!$U47,IF(MATCHED!AW47=21,MATCHED!$V47,)))))))&amp;IF(MATCHED!AW47=22,MATCHED!$W47,IF(MATCHED!AW47=23,MATCHED!$X47,IF(MATCHED!AW47=24,MATCHED!$Y47,IF(MATCHED!AW47=25,MATCHED!$Z47,IF(MATCHED!AW47=26,MATCHED!$AA47,IF(MATCHED!AW47=27,MATCHED!$AB47,"."))))))</f>
        <v>#N/A</v>
      </c>
      <c r="V47" s="356" t="e">
        <f>IF(MATCHED!AX47=1,MATCHED!$B47,IF(MATCHED!AX47=2,MATCHED!$C47,IF(MATCHED!AX47=3,MATCHED!$D47,IF(MATCHED!AX47=4,MATCHED!$E47,IF(MATCHED!AX47=3,MATCHED!$F47,IF(MATCHED!AX47=6,MATCHED!$G47,IF(MATCHED!AX47=7,MATCHED!$H47,"")))))))&amp;IF(MATCHED!AX47=8,MATCHED!$I47,IF(MATCHED!AX47=9,MATCHED!$J47,IF(MATCHED!AX47=10,MATCHED!$K47,IF(MATCHED!AX47=11,MATCHED!$L47,IF(MATCHED!AX47=12,MATCHED!$M47,IF(MATCHED!AX47=13,MATCHED!$N47,IF(MATCHED!AX47=14,MATCHED!$O47,"")))))))&amp;IF(MATCHED!AX47=15,MATCHED!$P47,IF(MATCHED!AX47=16,MATCHED!$Q47,IF(MATCHED!AX47=17,MATCHED!$R47,IF(MATCHED!AX47=18,MATCHED!$S47,IF(MATCHED!AX47=19,MATCHED!$T47,IF(MATCHED!AX47=20,MATCHED!$U47,IF(MATCHED!AX47=21,MATCHED!$V47,)))))))&amp;IF(MATCHED!AX47=22,MATCHED!$W47,IF(MATCHED!AX47=23,MATCHED!$X47,IF(MATCHED!AX47=24,MATCHED!$Y47,IF(MATCHED!AX47=25,MATCHED!$Z47,IF(MATCHED!AX47=26,MATCHED!$AA47,IF(MATCHED!AX47=27,MATCHED!$AB47,"."))))))</f>
        <v>#N/A</v>
      </c>
      <c r="W47" s="356" t="e">
        <f>IF(MATCHED!AY47=1,MATCHED!$B47,IF(MATCHED!AY47=2,MATCHED!$C47,IF(MATCHED!AY47=3,MATCHED!$D47,IF(MATCHED!AY47=4,MATCHED!$E47,IF(MATCHED!AY47=3,MATCHED!$F47,IF(MATCHED!AY47=6,MATCHED!$G47,IF(MATCHED!AY47=7,MATCHED!$H47,"")))))))&amp;IF(MATCHED!AY47=8,MATCHED!$I47,IF(MATCHED!AY47=9,MATCHED!$J47,IF(MATCHED!AY47=10,MATCHED!$K47,IF(MATCHED!AY47=11,MATCHED!$L47,IF(MATCHED!AY47=12,MATCHED!$M47,IF(MATCHED!AY47=13,MATCHED!$N47,IF(MATCHED!AY47=14,MATCHED!$O47,"")))))))&amp;IF(MATCHED!AY47=15,MATCHED!$P47,IF(MATCHED!AY47=16,MATCHED!$Q47,IF(MATCHED!AY47=17,MATCHED!$R47,IF(MATCHED!AY47=18,MATCHED!$S47,IF(MATCHED!AY47=19,MATCHED!$T47,IF(MATCHED!AY47=20,MATCHED!$U47,IF(MATCHED!AY47=21,MATCHED!$V47,)))))))&amp;IF(MATCHED!AY47=22,MATCHED!$W47,IF(MATCHED!AY47=23,MATCHED!$X47,IF(MATCHED!AY47=24,MATCHED!$Y47,IF(MATCHED!AY47=25,MATCHED!$Z47,IF(MATCHED!AY47=26,MATCHED!$AA47,IF(MATCHED!AY47=27,MATCHED!$AB47,"."))))))</f>
        <v>#N/A</v>
      </c>
      <c r="X47" s="356" t="e">
        <f>IF(MATCHED!AZ47=1,MATCHED!$B47,IF(MATCHED!AZ47=2,MATCHED!$C47,IF(MATCHED!AZ47=3,MATCHED!$D47,IF(MATCHED!AZ47=4,MATCHED!$E47,IF(MATCHED!AZ47=3,MATCHED!$F47,IF(MATCHED!AZ47=6,MATCHED!$G47,IF(MATCHED!AZ47=7,MATCHED!$H47,"")))))))&amp;IF(MATCHED!AZ47=8,MATCHED!$I47,IF(MATCHED!AZ47=9,MATCHED!$J47,IF(MATCHED!AZ47=10,MATCHED!$K47,IF(MATCHED!AZ47=11,MATCHED!$L47,IF(MATCHED!AZ47=12,MATCHED!$M47,IF(MATCHED!AZ47=13,MATCHED!$N47,IF(MATCHED!AZ47=14,MATCHED!$O47,"")))))))&amp;IF(MATCHED!AZ47=15,MATCHED!$P47,IF(MATCHED!AZ47=16,MATCHED!$Q47,IF(MATCHED!AZ47=17,MATCHED!$R47,IF(MATCHED!AZ47=18,MATCHED!$S47,IF(MATCHED!AZ47=19,MATCHED!$T47,IF(MATCHED!AZ47=20,MATCHED!$U47,IF(MATCHED!AZ47=21,MATCHED!$V47,)))))))&amp;IF(MATCHED!AZ47=22,MATCHED!$W47,IF(MATCHED!AZ47=23,MATCHED!$X47,IF(MATCHED!AZ47=24,MATCHED!$Y47,IF(MATCHED!AZ47=25,MATCHED!$Z47,IF(MATCHED!AZ47=26,MATCHED!$AA47,IF(MATCHED!AZ47=27,MATCHED!$AB47,"."))))))</f>
        <v>#N/A</v>
      </c>
      <c r="Y47" s="356" t="e">
        <f>IF(MATCHED!BA47=1,MATCHED!$B47,IF(MATCHED!BA47=2,MATCHED!$C47,IF(MATCHED!BA47=3,MATCHED!$D47,IF(MATCHED!BA47=4,MATCHED!$E47,IF(MATCHED!BA47=3,MATCHED!$F47,IF(MATCHED!BA47=6,MATCHED!$G47,IF(MATCHED!BA47=7,MATCHED!$H47,"")))))))&amp;IF(MATCHED!BA47=8,MATCHED!$I47,IF(MATCHED!BA47=9,MATCHED!$J47,IF(MATCHED!BA47=10,MATCHED!$K47,IF(MATCHED!BA47=11,MATCHED!$L47,IF(MATCHED!BA47=12,MATCHED!$M47,IF(MATCHED!BA47=13,MATCHED!$N47,IF(MATCHED!BA47=14,MATCHED!$O47,"")))))))&amp;IF(MATCHED!BA47=15,MATCHED!$P47,IF(MATCHED!BA47=16,MATCHED!$Q47,IF(MATCHED!BA47=17,MATCHED!$R47,IF(MATCHED!BA47=18,MATCHED!$S47,IF(MATCHED!BA47=19,MATCHED!$T47,IF(MATCHED!BA47=20,MATCHED!$U47,IF(MATCHED!BA47=21,MATCHED!$V47,)))))))&amp;IF(MATCHED!BA47=22,MATCHED!$W47,IF(MATCHED!BA47=23,MATCHED!$X47,IF(MATCHED!BA47=24,MATCHED!$Y47,IF(MATCHED!BA47=25,MATCHED!$Z47,IF(MATCHED!BA47=26,MATCHED!$AA47,IF(MATCHED!BA47=27,MATCHED!$AB47,"."))))))</f>
        <v>#N/A</v>
      </c>
      <c r="Z47" s="356" t="e">
        <f>IF(MATCHED!BB47=1,MATCHED!$B47,IF(MATCHED!BB47=2,MATCHED!$C47,IF(MATCHED!BB47=3,MATCHED!$D47,IF(MATCHED!BB47=4,MATCHED!$E47,IF(MATCHED!BB47=3,MATCHED!$F47,IF(MATCHED!BB47=6,MATCHED!$G47,IF(MATCHED!BB47=7,MATCHED!$H47,"")))))))&amp;IF(MATCHED!BB47=8,MATCHED!$I47,IF(MATCHED!BB47=9,MATCHED!$J47,IF(MATCHED!BB47=10,MATCHED!$K47,IF(MATCHED!BB47=11,MATCHED!$L47,IF(MATCHED!BB47=12,MATCHED!$M47,IF(MATCHED!BB47=13,MATCHED!$N47,IF(MATCHED!BB47=14,MATCHED!$O47,"")))))))&amp;IF(MATCHED!BB47=15,MATCHED!$P47,IF(MATCHED!BB47=16,MATCHED!$Q47,IF(MATCHED!BB47=17,MATCHED!$R47,IF(MATCHED!BB47=18,MATCHED!$S47,IF(MATCHED!BB47=19,MATCHED!$T47,IF(MATCHED!BB47=20,MATCHED!$U47,IF(MATCHED!BB47=21,MATCHED!$V47,)))))))&amp;IF(MATCHED!BB47=22,MATCHED!$W47,IF(MATCHED!BB47=23,MATCHED!$X47,IF(MATCHED!BB47=24,MATCHED!$Y47,IF(MATCHED!BB47=25,MATCHED!$Z47,IF(MATCHED!BB47=26,MATCHED!$AA47,IF(MATCHED!BB47=27,MATCHED!$AB47,"."))))))</f>
        <v>#N/A</v>
      </c>
      <c r="AA47" s="356" t="e">
        <f>IF(MATCHED!BC47=1,MATCHED!$B47,IF(MATCHED!BC47=2,MATCHED!$C47,IF(MATCHED!BC47=3,MATCHED!$D47,IF(MATCHED!BC47=4,MATCHED!$E47,IF(MATCHED!BC47=3,MATCHED!$F47,IF(MATCHED!BC47=6,MATCHED!$G47,IF(MATCHED!BC47=7,MATCHED!$H47,"")))))))&amp;IF(MATCHED!BC47=8,MATCHED!$I47,IF(MATCHED!BC47=9,MATCHED!$J47,IF(MATCHED!BC47=10,MATCHED!$K47,IF(MATCHED!BC47=11,MATCHED!$L47,IF(MATCHED!BC47=12,MATCHED!$M47,IF(MATCHED!BC47=13,MATCHED!$N47,IF(MATCHED!BC47=14,MATCHED!$O47,"")))))))&amp;IF(MATCHED!BC47=15,MATCHED!$P47,IF(MATCHED!BC47=16,MATCHED!$Q47,IF(MATCHED!BC47=17,MATCHED!$R47,IF(MATCHED!BC47=18,MATCHED!$S47,IF(MATCHED!BC47=19,MATCHED!$T47,IF(MATCHED!BC47=20,MATCHED!$U47,IF(MATCHED!BC47=21,MATCHED!$V47,)))))))&amp;IF(MATCHED!BC47=22,MATCHED!$W47,IF(MATCHED!BC47=23,MATCHED!$X47,IF(MATCHED!BC47=24,MATCHED!$Y47,IF(MATCHED!BC47=25,MATCHED!$Z47,IF(MATCHED!BC47=26,MATCHED!$AA47,IF(MATCHED!BC47=27,MATCHED!$AB47,"."))))))</f>
        <v>#N/A</v>
      </c>
      <c r="AB47" s="356" t="e">
        <f>IF(MATCHED!BD47=1,MATCHED!$B47,IF(MATCHED!BD47=2,MATCHED!$C47,IF(MATCHED!BD47=3,MATCHED!$D47,IF(MATCHED!BD47=4,MATCHED!$E47,IF(MATCHED!BD47=3,MATCHED!$F47,IF(MATCHED!BD47=6,MATCHED!$G47,IF(MATCHED!BD47=7,MATCHED!$H47,"")))))))&amp;IF(MATCHED!BD47=8,MATCHED!$I47,IF(MATCHED!BD47=9,MATCHED!$J47,IF(MATCHED!BD47=10,MATCHED!$K47,IF(MATCHED!BD47=11,MATCHED!$L47,IF(MATCHED!BD47=12,MATCHED!$M47,IF(MATCHED!BD47=13,MATCHED!$N47,IF(MATCHED!BD47=14,MATCHED!$O47,"")))))))&amp;IF(MATCHED!BD47=15,MATCHED!$P47,IF(MATCHED!BD47=16,MATCHED!$Q47,IF(MATCHED!BD47=17,MATCHED!$R47,IF(MATCHED!BD47=18,MATCHED!$S47,IF(MATCHED!BD47=19,MATCHED!$T47,IF(MATCHED!BD47=20,MATCHED!$U47,IF(MATCHED!BD47=21,MATCHED!$V47,)))))))&amp;IF(MATCHED!BD47=22,MATCHED!$W47,IF(MATCHED!BD47=23,MATCHED!$X47,IF(MATCHED!BD47=24,MATCHED!$Y47,IF(MATCHED!BD47=25,MATCHED!$Z47,IF(MATCHED!BD47=26,MATCHED!$AA47,IF(MATCHED!BD47=27,MATCHED!$AB47,"."))))))</f>
        <v>#N/A</v>
      </c>
      <c r="AC47" s="356" t="e">
        <f>IF(MATCHED!BE47=1,MATCHED!$B47,IF(MATCHED!BE47=2,MATCHED!$C47,IF(MATCHED!BE47=3,MATCHED!$D47,IF(MATCHED!BE47=4,MATCHED!$E47,IF(MATCHED!BE47=3,MATCHED!$F47,IF(MATCHED!BE47=6,MATCHED!$G47,IF(MATCHED!BE47=7,MATCHED!$H47,"")))))))&amp;IF(MATCHED!BE47=8,MATCHED!$I47,IF(MATCHED!BE47=9,MATCHED!$J47,IF(MATCHED!BE47=10,MATCHED!$K47,IF(MATCHED!BE47=11,MATCHED!$L47,IF(MATCHED!BE47=12,MATCHED!$M47,IF(MATCHED!BE47=13,MATCHED!$N47,IF(MATCHED!BE47=14,MATCHED!$O47,"")))))))&amp;IF(MATCHED!BE47=15,MATCHED!$P47,IF(MATCHED!BE47=16,MATCHED!$Q47,IF(MATCHED!BE47=17,MATCHED!$R47,IF(MATCHED!BE47=18,MATCHED!$S47,IF(MATCHED!BE47=19,MATCHED!$T47,IF(MATCHED!BE47=20,MATCHED!$U47,IF(MATCHED!BE47=21,MATCHED!$V47,)))))))&amp;IF(MATCHED!BE47=22,MATCHED!$W47,IF(MATCHED!BE47=23,MATCHED!$X47,IF(MATCHED!BE47=24,MATCHED!$Y47,IF(MATCHED!BE47=25,MATCHED!$Z47,IF(MATCHED!BE47=26,MATCHED!$AA47,IF(MATCHED!BE47=27,MATCHED!$AB47,"."))))))</f>
        <v>#N/A</v>
      </c>
      <c r="AD47" s="356" t="e">
        <f>IF(MATCHED!BF47=1,MATCHED!$B47,IF(MATCHED!BF47=2,MATCHED!$C47,IF(MATCHED!BF47=3,MATCHED!$D47,IF(MATCHED!BF47=4,MATCHED!$E47,IF(MATCHED!BF47=3,MATCHED!$F47,IF(MATCHED!BF47=6,MATCHED!$G47,IF(MATCHED!BF47=7,MATCHED!$H47,"")))))))&amp;IF(MATCHED!BF47=8,MATCHED!$I47,IF(MATCHED!BF47=9,MATCHED!$J47,IF(MATCHED!BF47=10,MATCHED!$K47,IF(MATCHED!BF47=11,MATCHED!$L47,IF(MATCHED!BF47=12,MATCHED!$M47,IF(MATCHED!BF47=13,MATCHED!$N47,IF(MATCHED!BF47=14,MATCHED!$O47,"")))))))&amp;IF(MATCHED!BF47=15,MATCHED!$P47,IF(MATCHED!BF47=16,MATCHED!$Q47,IF(MATCHED!BF47=17,MATCHED!$R47,IF(MATCHED!BF47=18,MATCHED!$S47,IF(MATCHED!BF47=19,MATCHED!$T47,IF(MATCHED!BF47=20,MATCHED!$U47,IF(MATCHED!BF47=21,MATCHED!$V47,)))))))&amp;IF(MATCHED!BF47=22,MATCHED!$W47,IF(MATCHED!BF47=23,MATCHED!$X47,IF(MATCHED!BF47=24,MATCHED!$Y47,IF(MATCHED!BF47=25,MATCHED!$Z47,IF(MATCHED!BF47=26,MATCHED!$AA47,IF(MATCHED!BF47=27,MATCHED!$AB47,"."))))))</f>
        <v>#N/A</v>
      </c>
      <c r="AE47" s="356" t="e">
        <f>IF(MATCHED!BG47=1,MATCHED!$B47,IF(MATCHED!BG47=2,MATCHED!$C47,IF(MATCHED!BG47=3,MATCHED!$D47,IF(MATCHED!BG47=4,MATCHED!$E47,IF(MATCHED!BG47=3,MATCHED!$F47,IF(MATCHED!BG47=6,MATCHED!$G47,IF(MATCHED!BG47=7,MATCHED!$H47,"")))))))&amp;IF(MATCHED!BG47=8,MATCHED!$I47,IF(MATCHED!BG47=9,MATCHED!$J47,IF(MATCHED!BG47=10,MATCHED!$K47,IF(MATCHED!BG47=11,MATCHED!$L47,IF(MATCHED!BG47=12,MATCHED!$M47,IF(MATCHED!BG47=13,MATCHED!$N47,IF(MATCHED!BG47=14,MATCHED!$O47,"")))))))&amp;IF(MATCHED!BG47=15,MATCHED!$P47,IF(MATCHED!BG47=16,MATCHED!$Q47,IF(MATCHED!BG47=17,MATCHED!$R47,IF(MATCHED!BG47=18,MATCHED!$S47,IF(MATCHED!BG47=19,MATCHED!$T47,IF(MATCHED!BG47=20,MATCHED!$U47,IF(MATCHED!BG47=21,MATCHED!$V47,)))))))&amp;IF(MATCHED!BG47=22,MATCHED!$W47,IF(MATCHED!BG47=23,MATCHED!$X47,IF(MATCHED!BG47=24,MATCHED!$Y47,IF(MATCHED!BG47=25,MATCHED!$Z47,IF(MATCHED!BG47=26,MATCHED!$AA47,IF(MATCHED!BG47=27,MATCHED!$AB47,"."))))))</f>
        <v>#N/A</v>
      </c>
      <c r="AF47" s="356" t="e">
        <f>IF(MATCHED!BH47=1,MATCHED!$B47,IF(MATCHED!BH47=2,MATCHED!$C47,IF(MATCHED!BH47=3,MATCHED!$D47,IF(MATCHED!BH47=4,MATCHED!$E47,IF(MATCHED!BH47=3,MATCHED!$F47,IF(MATCHED!BH47=6,MATCHED!$G47,IF(MATCHED!BH47=7,MATCHED!$H47,"")))))))&amp;IF(MATCHED!BH47=8,MATCHED!$I47,IF(MATCHED!BH47=9,MATCHED!$J47,IF(MATCHED!BH47=10,MATCHED!$K47,IF(MATCHED!BH47=11,MATCHED!$L47,IF(MATCHED!BH47=12,MATCHED!$M47,IF(MATCHED!BH47=13,MATCHED!$N47,IF(MATCHED!BH47=14,MATCHED!$O47,"")))))))&amp;IF(MATCHED!BH47=15,MATCHED!$P47,IF(MATCHED!BH47=16,MATCHED!$Q47,IF(MATCHED!BH47=17,MATCHED!$R47,IF(MATCHED!BH47=18,MATCHED!$S47,IF(MATCHED!BH47=19,MATCHED!$T47,IF(MATCHED!BH47=20,MATCHED!$U47,IF(MATCHED!BH47=21,MATCHED!$V47,)))))))&amp;IF(MATCHED!BH47=22,MATCHED!$W47,IF(MATCHED!BH47=23,MATCHED!$X47,IF(MATCHED!BH47=24,MATCHED!$Y47,IF(MATCHED!BH47=25,MATCHED!$Z47,IF(MATCHED!BH47=26,MATCHED!$AA47,IF(MATCHED!BH47=27,MATCHED!$AB47,"."))))))</f>
        <v>#N/A</v>
      </c>
      <c r="AG47" s="356" t="e">
        <f>IF(MATCHED!BI47=1,MATCHED!$B47,IF(MATCHED!BI47=2,MATCHED!$C47,IF(MATCHED!BI47=3,MATCHED!$D47,IF(MATCHED!BI47=4,MATCHED!$E47,IF(MATCHED!BI47=3,MATCHED!$F47,IF(MATCHED!BI47=6,MATCHED!$G47,IF(MATCHED!BI47=7,MATCHED!$H47,"")))))))&amp;IF(MATCHED!BI47=8,MATCHED!$I47,IF(MATCHED!BI47=9,MATCHED!$J47,IF(MATCHED!BI47=10,MATCHED!$K47,IF(MATCHED!BI47=11,MATCHED!$L47,IF(MATCHED!BI47=12,MATCHED!$M47,IF(MATCHED!BI47=13,MATCHED!$N47,IF(MATCHED!BI47=14,MATCHED!$O47,"")))))))&amp;IF(MATCHED!BI47=15,MATCHED!$P47,IF(MATCHED!BI47=16,MATCHED!$Q47,IF(MATCHED!BI47=17,MATCHED!$R47,IF(MATCHED!BI47=18,MATCHED!$S47,IF(MATCHED!BI47=19,MATCHED!$T47,IF(MATCHED!BI47=20,MATCHED!$U47,IF(MATCHED!BI47=21,MATCHED!$V47,)))))))&amp;IF(MATCHED!BI47=22,MATCHED!$W47,IF(MATCHED!BI47=23,MATCHED!$X47,IF(MATCHED!BI47=24,MATCHED!$Y47,IF(MATCHED!BI47=25,MATCHED!$Z47,IF(MATCHED!BI47=26,MATCHED!$AA47,IF(MATCHED!BI47=27,MATCHED!$AB47,"."))))))</f>
        <v>#N/A</v>
      </c>
      <c r="AH47" s="356" t="e">
        <f>IF(MATCHED!BJ47=1,MATCHED!$B47,IF(MATCHED!BJ47=2,MATCHED!$C47,IF(MATCHED!BJ47=3,MATCHED!$D47,IF(MATCHED!BJ47=4,MATCHED!$E47,IF(MATCHED!BJ47=3,MATCHED!$F47,IF(MATCHED!BJ47=6,MATCHED!$G47,IF(MATCHED!BJ47=7,MATCHED!$H47,"")))))))&amp;IF(MATCHED!BJ47=8,MATCHED!$I47,IF(MATCHED!BJ47=9,MATCHED!$J47,IF(MATCHED!BJ47=10,MATCHED!$K47,IF(MATCHED!BJ47=11,MATCHED!$L47,IF(MATCHED!BJ47=12,MATCHED!$M47,IF(MATCHED!BJ47=13,MATCHED!$N47,IF(MATCHED!BJ47=14,MATCHED!$O47,"")))))))&amp;IF(MATCHED!BJ47=15,MATCHED!$P47,IF(MATCHED!BJ47=16,MATCHED!$Q47,IF(MATCHED!BJ47=17,MATCHED!$R47,IF(MATCHED!BJ47=18,MATCHED!$S47,IF(MATCHED!BJ47=19,MATCHED!$T47,IF(MATCHED!BJ47=20,MATCHED!$U47,IF(MATCHED!BJ47=21,MATCHED!$V47,)))))))&amp;IF(MATCHED!BJ47=22,MATCHED!$W47,IF(MATCHED!BJ47=23,MATCHED!$X47,IF(MATCHED!BJ47=24,MATCHED!$Y47,IF(MATCHED!BJ47=25,MATCHED!$Z47,IF(MATCHED!BJ47=26,MATCHED!$AA47,IF(MATCHED!BJ47=27,MATCHED!$AB47,"."))))))</f>
        <v>#N/A</v>
      </c>
      <c r="AI47" s="356" t="e">
        <f>IF(MATCHED!BK47=1,MATCHED!$B47,IF(MATCHED!BK47=2,MATCHED!$C47,IF(MATCHED!BK47=3,MATCHED!$D47,IF(MATCHED!BK47=4,MATCHED!$E47,IF(MATCHED!BK47=3,MATCHED!$F47,IF(MATCHED!BK47=6,MATCHED!$G47,IF(MATCHED!BK47=7,MATCHED!$H47,"")))))))&amp;IF(MATCHED!BK47=8,MATCHED!$I47,IF(MATCHED!BK47=9,MATCHED!$J47,IF(MATCHED!BK47=10,MATCHED!$K47,IF(MATCHED!BK47=11,MATCHED!$L47,IF(MATCHED!BK47=12,MATCHED!$M47,IF(MATCHED!BK47=13,MATCHED!$N47,IF(MATCHED!BK47=14,MATCHED!$O47,"")))))))&amp;IF(MATCHED!BK47=15,MATCHED!$P47,IF(MATCHED!BK47=16,MATCHED!$Q47,IF(MATCHED!BK47=17,MATCHED!$R47,IF(MATCHED!BK47=18,MATCHED!$S47,IF(MATCHED!BK47=19,MATCHED!$T47,IF(MATCHED!BK47=20,MATCHED!$U47,IF(MATCHED!BK47=21,MATCHED!$V47,)))))))&amp;IF(MATCHED!BK47=22,MATCHED!$W47,IF(MATCHED!BK47=23,MATCHED!$X47,IF(MATCHED!BK47=24,MATCHED!$Y47,IF(MATCHED!BK47=25,MATCHED!$Z47,IF(MATCHED!BK47=26,MATCHED!$AA47,IF(MATCHED!BK47=27,MATCHED!$AB47,"."))))))</f>
        <v>#N/A</v>
      </c>
      <c r="AJ47" s="535"/>
    </row>
    <row r="48" spans="1:36" s="338" customFormat="1" x14ac:dyDescent="0.25">
      <c r="A48" s="535"/>
      <c r="B48" s="355" t="e">
        <f>IF(MATCHED!AD48=1,MATCHED!$B48,IF(MATCHED!AD48=2,MATCHED!$C48,IF(MATCHED!AD48=3,MATCHED!$D48,IF(MATCHED!AD48=4,MATCHED!$E48,IF(MATCHED!AD48=3,MATCHED!$F48,IF(MATCHED!AD48=6,MATCHED!$G48,IF(MATCHED!AD48=7,MATCHED!$H48,"")))))))&amp;IF(MATCHED!AD48=8,MATCHED!$I48,IF(MATCHED!AD48=9,MATCHED!$J48,IF(MATCHED!AD48=10,MATCHED!$K48,IF(MATCHED!AD48=11,MATCHED!$L48,IF(MATCHED!AD48=12,MATCHED!$M48,IF(MATCHED!AD48=13,MATCHED!$N48,IF(MATCHED!AD48=14,MATCHED!$O48,"")))))))&amp;IF(MATCHED!AD48=15,MATCHED!$P48,IF(MATCHED!AD48=16,MATCHED!$Q48,IF(MATCHED!AD48=17,MATCHED!$R48,IF(MATCHED!AD48=18,MATCHED!$S48,IF(MATCHED!AD48=19,MATCHED!$T48,IF(MATCHED!AD48=20,MATCHED!$U48,IF(MATCHED!AD48=21,MATCHED!$V48,)))))))&amp;IF(MATCHED!AD48=22,MATCHED!$W48,IF(MATCHED!AD48=23,MATCHED!$X48,IF(MATCHED!AD48=24,MATCHED!$Y48,IF(MATCHED!AD48=25,MATCHED!$Z48,IF(MATCHED!AD48=26,MATCHED!$AA48,IF(MATCHED!AD48=27,MATCHED!$AB48,"."))))))</f>
        <v>#N/A</v>
      </c>
      <c r="C48" s="356" t="e">
        <f>IF(MATCHED!AE48=1,MATCHED!$B48,IF(MATCHED!AE48=2,MATCHED!$C48,IF(MATCHED!AE48=3,MATCHED!$D48,IF(MATCHED!AE48=4,MATCHED!$E48,IF(MATCHED!AE48=3,MATCHED!$F48,IF(MATCHED!AE48=6,MATCHED!$G48,IF(MATCHED!AE48=7,MATCHED!$H48,"")))))))&amp;IF(MATCHED!AE48=8,MATCHED!$I48,IF(MATCHED!AE48=9,MATCHED!$J48,IF(MATCHED!AE48=10,MATCHED!$K48,IF(MATCHED!AE48=11,MATCHED!$L48,IF(MATCHED!AE48=12,MATCHED!$M48,IF(MATCHED!AE48=13,MATCHED!$N48,IF(MATCHED!AE48=14,MATCHED!$O48,"")))))))&amp;IF(MATCHED!AE48=15,MATCHED!$P48,IF(MATCHED!AE48=16,MATCHED!$Q48,IF(MATCHED!AE48=17,MATCHED!$R48,IF(MATCHED!AE48=18,MATCHED!$S48,IF(MATCHED!AE48=19,MATCHED!$T48,IF(MATCHED!AE48=20,MATCHED!$U48,IF(MATCHED!AE48=21,MATCHED!$V48,)))))))&amp;IF(MATCHED!AE48=22,MATCHED!$W48,IF(MATCHED!AE48=23,MATCHED!$X48,IF(MATCHED!AE48=24,MATCHED!$Y48,IF(MATCHED!AE48=25,MATCHED!$Z48,IF(MATCHED!AE48=26,MATCHED!$AA48,IF(MATCHED!AE48=27,MATCHED!$AB48,"."))))))</f>
        <v>#N/A</v>
      </c>
      <c r="D48" s="356" t="e">
        <f>IF(MATCHED!AF48=1,MATCHED!$B48,IF(MATCHED!AF48=2,MATCHED!$C48,IF(MATCHED!AF48=3,MATCHED!$D48,IF(MATCHED!AF48=4,MATCHED!$E48,IF(MATCHED!AF48=3,MATCHED!$F48,IF(MATCHED!AF48=6,MATCHED!$G48,IF(MATCHED!AF48=7,MATCHED!$H48,"")))))))&amp;IF(MATCHED!AF48=8,MATCHED!$I48,IF(MATCHED!AF48=9,MATCHED!$J48,IF(MATCHED!AF48=10,MATCHED!$K48,IF(MATCHED!AF48=11,MATCHED!$L48,IF(MATCHED!AF48=12,MATCHED!$M48,IF(MATCHED!AF48=13,MATCHED!$N48,IF(MATCHED!AF48=14,MATCHED!$O48,"")))))))&amp;IF(MATCHED!AF48=15,MATCHED!$P48,IF(MATCHED!AF48=16,MATCHED!$Q48,IF(MATCHED!AF48=17,MATCHED!$R48,IF(MATCHED!AF48=18,MATCHED!$S48,IF(MATCHED!AF48=19,MATCHED!$T48,IF(MATCHED!AF48=20,MATCHED!$U48,IF(MATCHED!AF48=21,MATCHED!$V48,)))))))&amp;IF(MATCHED!AF48=22,MATCHED!$W48,IF(MATCHED!AF48=23,MATCHED!$X48,IF(MATCHED!AF48=24,MATCHED!$Y48,IF(MATCHED!AF48=25,MATCHED!$Z48,IF(MATCHED!AF48=26,MATCHED!$AA48,IF(MATCHED!AF48=27,MATCHED!$AB48,"."))))))</f>
        <v>#N/A</v>
      </c>
      <c r="E48" s="356" t="e">
        <f>IF(MATCHED!AG48=1,MATCHED!$B48,IF(MATCHED!AG48=2,MATCHED!$C48,IF(MATCHED!AG48=3,MATCHED!$D48,IF(MATCHED!AG48=4,MATCHED!$E48,IF(MATCHED!AG48=3,MATCHED!$F48,IF(MATCHED!AG48=6,MATCHED!$G48,IF(MATCHED!AG48=7,MATCHED!$H48,"")))))))&amp;IF(MATCHED!AG48=8,MATCHED!$I48,IF(MATCHED!AG48=9,MATCHED!$J48,IF(MATCHED!AG48=10,MATCHED!$K48,IF(MATCHED!AG48=11,MATCHED!$L48,IF(MATCHED!AG48=12,MATCHED!$M48,IF(MATCHED!AG48=13,MATCHED!$N48,IF(MATCHED!AG48=14,MATCHED!$O48,"")))))))&amp;IF(MATCHED!AG48=15,MATCHED!$P48,IF(MATCHED!AG48=16,MATCHED!$Q48,IF(MATCHED!AG48=17,MATCHED!$R48,IF(MATCHED!AG48=18,MATCHED!$S48,IF(MATCHED!AG48=19,MATCHED!$T48,IF(MATCHED!AG48=20,MATCHED!$U48,IF(MATCHED!AG48=21,MATCHED!$V48,)))))))&amp;IF(MATCHED!AG48=22,MATCHED!$W48,IF(MATCHED!AG48=23,MATCHED!$X48,IF(MATCHED!AG48=24,MATCHED!$Y48,IF(MATCHED!AG48=25,MATCHED!$Z48,IF(MATCHED!AG48=26,MATCHED!$AA48,IF(MATCHED!AG48=27,MATCHED!$AB48,"."))))))</f>
        <v>#N/A</v>
      </c>
      <c r="F48" s="356" t="e">
        <f>IF(MATCHED!AH48=1,MATCHED!$B48,IF(MATCHED!AH48=2,MATCHED!$C48,IF(MATCHED!AH48=3,MATCHED!$D48,IF(MATCHED!AH48=4,MATCHED!$E48,IF(MATCHED!AH48=3,MATCHED!$F48,IF(MATCHED!AH48=6,MATCHED!$G48,IF(MATCHED!AH48=7,MATCHED!$H48,"")))))))&amp;IF(MATCHED!AH48=8,MATCHED!$I48,IF(MATCHED!AH48=9,MATCHED!$J48,IF(MATCHED!AH48=10,MATCHED!$K48,IF(MATCHED!AH48=11,MATCHED!$L48,IF(MATCHED!AH48=12,MATCHED!$M48,IF(MATCHED!AH48=13,MATCHED!$N48,IF(MATCHED!AH48=14,MATCHED!$O48,"")))))))&amp;IF(MATCHED!AH48=15,MATCHED!$P48,IF(MATCHED!AH48=16,MATCHED!$Q48,IF(MATCHED!AH48=17,MATCHED!$R48,IF(MATCHED!AH48=18,MATCHED!$S48,IF(MATCHED!AH48=19,MATCHED!$T48,IF(MATCHED!AH48=20,MATCHED!$U48,IF(MATCHED!AH48=21,MATCHED!$V48,)))))))&amp;IF(MATCHED!AH48=22,MATCHED!$W48,IF(MATCHED!AH48=23,MATCHED!$X48,IF(MATCHED!AH48=24,MATCHED!$Y48,IF(MATCHED!AH48=25,MATCHED!$Z48,IF(MATCHED!AH48=26,MATCHED!$AA48,IF(MATCHED!AH48=27,MATCHED!$AB48,"."))))))</f>
        <v>#N/A</v>
      </c>
      <c r="G48" s="356" t="e">
        <f>IF(MATCHED!AI48=1,MATCHED!$B48,IF(MATCHED!AI48=2,MATCHED!$C48,IF(MATCHED!AI48=3,MATCHED!$D48,IF(MATCHED!AI48=4,MATCHED!$E48,IF(MATCHED!AI48=3,MATCHED!$F48,IF(MATCHED!AI48=6,MATCHED!$G48,IF(MATCHED!AI48=7,MATCHED!$H48,"")))))))&amp;IF(MATCHED!AI48=8,MATCHED!$I48,IF(MATCHED!AI48=9,MATCHED!$J48,IF(MATCHED!AI48=10,MATCHED!$K48,IF(MATCHED!AI48=11,MATCHED!$L48,IF(MATCHED!AI48=12,MATCHED!$M48,IF(MATCHED!AI48=13,MATCHED!$N48,IF(MATCHED!AI48=14,MATCHED!$O48,"")))))))&amp;IF(MATCHED!AI48=15,MATCHED!$P48,IF(MATCHED!AI48=16,MATCHED!$Q48,IF(MATCHED!AI48=17,MATCHED!$R48,IF(MATCHED!AI48=18,MATCHED!$S48,IF(MATCHED!AI48=19,MATCHED!$T48,IF(MATCHED!AI48=20,MATCHED!$U48,IF(MATCHED!AI48=21,MATCHED!$V48,)))))))&amp;IF(MATCHED!AI48=22,MATCHED!$W48,IF(MATCHED!AI48=23,MATCHED!$X48,IF(MATCHED!AI48=24,MATCHED!$Y48,IF(MATCHED!AI48=25,MATCHED!$Z48,IF(MATCHED!AI48=26,MATCHED!$AA48,IF(MATCHED!AI48=27,MATCHED!$AB48,"."))))))</f>
        <v>#N/A</v>
      </c>
      <c r="H48" s="356" t="e">
        <f>IF(MATCHED!AJ48=1,MATCHED!$B48,IF(MATCHED!AJ48=2,MATCHED!$C48,IF(MATCHED!AJ48=3,MATCHED!$D48,IF(MATCHED!AJ48=4,MATCHED!$E48,IF(MATCHED!AJ48=3,MATCHED!$F48,IF(MATCHED!AJ48=6,MATCHED!$G48,IF(MATCHED!AJ48=7,MATCHED!$H48,"")))))))&amp;IF(MATCHED!AJ48=8,MATCHED!$I48,IF(MATCHED!AJ48=9,MATCHED!$J48,IF(MATCHED!AJ48=10,MATCHED!$K48,IF(MATCHED!AJ48=11,MATCHED!$L48,IF(MATCHED!AJ48=12,MATCHED!$M48,IF(MATCHED!AJ48=13,MATCHED!$N48,IF(MATCHED!AJ48=14,MATCHED!$O48,"")))))))&amp;IF(MATCHED!AJ48=15,MATCHED!$P48,IF(MATCHED!AJ48=16,MATCHED!$Q48,IF(MATCHED!AJ48=17,MATCHED!$R48,IF(MATCHED!AJ48=18,MATCHED!$S48,IF(MATCHED!AJ48=19,MATCHED!$T48,IF(MATCHED!AJ48=20,MATCHED!$U48,IF(MATCHED!AJ48=21,MATCHED!$V48,)))))))&amp;IF(MATCHED!AJ48=22,MATCHED!$W48,IF(MATCHED!AJ48=23,MATCHED!$X48,IF(MATCHED!AJ48=24,MATCHED!$Y48,IF(MATCHED!AJ48=25,MATCHED!$Z48,IF(MATCHED!AJ48=26,MATCHED!$AA48,IF(MATCHED!AJ48=27,MATCHED!$AB48,"."))))))</f>
        <v>#N/A</v>
      </c>
      <c r="I48" s="356" t="e">
        <f>IF(MATCHED!AK48=1,MATCHED!$B48,IF(MATCHED!AK48=2,MATCHED!$C48,IF(MATCHED!AK48=3,MATCHED!$D48,IF(MATCHED!AK48=4,MATCHED!$E48,IF(MATCHED!AK48=3,MATCHED!$F48,IF(MATCHED!AK48=6,MATCHED!$G48,IF(MATCHED!AK48=7,MATCHED!$H48,"")))))))&amp;IF(MATCHED!AK48=8,MATCHED!$I48,IF(MATCHED!AK48=9,MATCHED!$J48,IF(MATCHED!AK48=10,MATCHED!$K48,IF(MATCHED!AK48=11,MATCHED!$L48,IF(MATCHED!AK48=12,MATCHED!$M48,IF(MATCHED!AK48=13,MATCHED!$N48,IF(MATCHED!AK48=14,MATCHED!$O48,"")))))))&amp;IF(MATCHED!AK48=15,MATCHED!$P48,IF(MATCHED!AK48=16,MATCHED!$Q48,IF(MATCHED!AK48=17,MATCHED!$R48,IF(MATCHED!AK48=18,MATCHED!$S48,IF(MATCHED!AK48=19,MATCHED!$T48,IF(MATCHED!AK48=20,MATCHED!$U48,IF(MATCHED!AK48=21,MATCHED!$V48,)))))))&amp;IF(MATCHED!AK48=22,MATCHED!$W48,IF(MATCHED!AK48=23,MATCHED!$X48,IF(MATCHED!AK48=24,MATCHED!$Y48,IF(MATCHED!AK48=25,MATCHED!$Z48,IF(MATCHED!AK48=26,MATCHED!$AA48,IF(MATCHED!AK48=27,MATCHED!$AB48,"."))))))</f>
        <v>#N/A</v>
      </c>
      <c r="J48" s="356" t="e">
        <f>IF(MATCHED!AL48=1,MATCHED!$B48,IF(MATCHED!AL48=2,MATCHED!$C48,IF(MATCHED!AL48=3,MATCHED!$D48,IF(MATCHED!AL48=4,MATCHED!$E48,IF(MATCHED!AL48=3,MATCHED!$F48,IF(MATCHED!AL48=6,MATCHED!$G48,IF(MATCHED!AL48=7,MATCHED!$H48,"")))))))&amp;IF(MATCHED!AL48=8,MATCHED!$I48,IF(MATCHED!AL48=9,MATCHED!$J48,IF(MATCHED!AL48=10,MATCHED!$K48,IF(MATCHED!AL48=11,MATCHED!$L48,IF(MATCHED!AL48=12,MATCHED!$M48,IF(MATCHED!AL48=13,MATCHED!$N48,IF(MATCHED!AL48=14,MATCHED!$O48,"")))))))&amp;IF(MATCHED!AL48=15,MATCHED!$P48,IF(MATCHED!AL48=16,MATCHED!$Q48,IF(MATCHED!AL48=17,MATCHED!$R48,IF(MATCHED!AL48=18,MATCHED!$S48,IF(MATCHED!AL48=19,MATCHED!$T48,IF(MATCHED!AL48=20,MATCHED!$U48,IF(MATCHED!AL48=21,MATCHED!$V48,)))))))&amp;IF(MATCHED!AL48=22,MATCHED!$W48,IF(MATCHED!AL48=23,MATCHED!$X48,IF(MATCHED!AL48=24,MATCHED!$Y48,IF(MATCHED!AL48=25,MATCHED!$Z48,IF(MATCHED!AL48=26,MATCHED!$AA48,IF(MATCHED!AL48=27,MATCHED!$AB48,"."))))))</f>
        <v>#N/A</v>
      </c>
      <c r="K48" s="356" t="e">
        <f>IF(MATCHED!AM48=1,MATCHED!$B48,IF(MATCHED!AM48=2,MATCHED!$C48,IF(MATCHED!AM48=3,MATCHED!$D48,IF(MATCHED!AM48=4,MATCHED!$E48,IF(MATCHED!AM48=3,MATCHED!$F48,IF(MATCHED!AM48=6,MATCHED!$G48,IF(MATCHED!AM48=7,MATCHED!$H48,"")))))))&amp;IF(MATCHED!AM48=8,MATCHED!$I48,IF(MATCHED!AM48=9,MATCHED!$J48,IF(MATCHED!AM48=10,MATCHED!$K48,IF(MATCHED!AM48=11,MATCHED!$L48,IF(MATCHED!AM48=12,MATCHED!$M48,IF(MATCHED!AM48=13,MATCHED!$N48,IF(MATCHED!AM48=14,MATCHED!$O48,"")))))))&amp;IF(MATCHED!AM48=15,MATCHED!$P48,IF(MATCHED!AM48=16,MATCHED!$Q48,IF(MATCHED!AM48=17,MATCHED!$R48,IF(MATCHED!AM48=18,MATCHED!$S48,IF(MATCHED!AM48=19,MATCHED!$T48,IF(MATCHED!AM48=20,MATCHED!$U48,IF(MATCHED!AM48=21,MATCHED!$V48,)))))))&amp;IF(MATCHED!AM48=22,MATCHED!$W48,IF(MATCHED!AM48=23,MATCHED!$X48,IF(MATCHED!AM48=24,MATCHED!$Y48,IF(MATCHED!AM48=25,MATCHED!$Z48,IF(MATCHED!AM48=26,MATCHED!$AA48,IF(MATCHED!AM48=27,MATCHED!$AB48,"."))))))</f>
        <v>#N/A</v>
      </c>
      <c r="L48" s="356" t="e">
        <f>IF(MATCHED!AN48=1,MATCHED!$B48,IF(MATCHED!AN48=2,MATCHED!$C48,IF(MATCHED!AN48=3,MATCHED!$D48,IF(MATCHED!AN48=4,MATCHED!$E48,IF(MATCHED!AN48=3,MATCHED!$F48,IF(MATCHED!AN48=6,MATCHED!$G48,IF(MATCHED!AN48=7,MATCHED!$H48,"")))))))&amp;IF(MATCHED!AN48=8,MATCHED!$I48,IF(MATCHED!AN48=9,MATCHED!$J48,IF(MATCHED!AN48=10,MATCHED!$K48,IF(MATCHED!AN48=11,MATCHED!$L48,IF(MATCHED!AN48=12,MATCHED!$M48,IF(MATCHED!AN48=13,MATCHED!$N48,IF(MATCHED!AN48=14,MATCHED!$O48,"")))))))&amp;IF(MATCHED!AN48=15,MATCHED!$P48,IF(MATCHED!AN48=16,MATCHED!$Q48,IF(MATCHED!AN48=17,MATCHED!$R48,IF(MATCHED!AN48=18,MATCHED!$S48,IF(MATCHED!AN48=19,MATCHED!$T48,IF(MATCHED!AN48=20,MATCHED!$U48,IF(MATCHED!AN48=21,MATCHED!$V48,)))))))&amp;IF(MATCHED!AN48=22,MATCHED!$W48,IF(MATCHED!AN48=23,MATCHED!$X48,IF(MATCHED!AN48=24,MATCHED!$Y48,IF(MATCHED!AN48=25,MATCHED!$Z48,IF(MATCHED!AN48=26,MATCHED!$AA48,IF(MATCHED!AN48=27,MATCHED!$AB48,"."))))))</f>
        <v>#N/A</v>
      </c>
      <c r="M48" s="356" t="e">
        <f>IF(MATCHED!AO48=1,MATCHED!$B48,IF(MATCHED!AO48=2,MATCHED!$C48,IF(MATCHED!AO48=3,MATCHED!$D48,IF(MATCHED!AO48=4,MATCHED!$E48,IF(MATCHED!AO48=3,MATCHED!$F48,IF(MATCHED!AO48=6,MATCHED!$G48,IF(MATCHED!AO48=7,MATCHED!$H48,"")))))))&amp;IF(MATCHED!AO48=8,MATCHED!$I48,IF(MATCHED!AO48=9,MATCHED!$J48,IF(MATCHED!AO48=10,MATCHED!$K48,IF(MATCHED!AO48=11,MATCHED!$L48,IF(MATCHED!AO48=12,MATCHED!$M48,IF(MATCHED!AO48=13,MATCHED!$N48,IF(MATCHED!AO48=14,MATCHED!$O48,"")))))))&amp;IF(MATCHED!AO48=15,MATCHED!$P48,IF(MATCHED!AO48=16,MATCHED!$Q48,IF(MATCHED!AO48=17,MATCHED!$R48,IF(MATCHED!AO48=18,MATCHED!$S48,IF(MATCHED!AO48=19,MATCHED!$T48,IF(MATCHED!AO48=20,MATCHED!$U48,IF(MATCHED!AO48=21,MATCHED!$V48,)))))))&amp;IF(MATCHED!AO48=22,MATCHED!$W48,IF(MATCHED!AO48=23,MATCHED!$X48,IF(MATCHED!AO48=24,MATCHED!$Y48,IF(MATCHED!AO48=25,MATCHED!$Z48,IF(MATCHED!AO48=26,MATCHED!$AA48,IF(MATCHED!AO48=27,MATCHED!$AB48,"."))))))</f>
        <v>#N/A</v>
      </c>
      <c r="N48" s="356" t="e">
        <f>IF(MATCHED!AP48=1,MATCHED!$B48,IF(MATCHED!AP48=2,MATCHED!$C48,IF(MATCHED!AP48=3,MATCHED!$D48,IF(MATCHED!AP48=4,MATCHED!$E48,IF(MATCHED!AP48=3,MATCHED!$F48,IF(MATCHED!AP48=6,MATCHED!$G48,IF(MATCHED!AP48=7,MATCHED!$H48,"")))))))&amp;IF(MATCHED!AP48=8,MATCHED!$I48,IF(MATCHED!AP48=9,MATCHED!$J48,IF(MATCHED!AP48=10,MATCHED!$K48,IF(MATCHED!AP48=11,MATCHED!$L48,IF(MATCHED!AP48=12,MATCHED!$M48,IF(MATCHED!AP48=13,MATCHED!$N48,IF(MATCHED!AP48=14,MATCHED!$O48,"")))))))&amp;IF(MATCHED!AP48=15,MATCHED!$P48,IF(MATCHED!AP48=16,MATCHED!$Q48,IF(MATCHED!AP48=17,MATCHED!$R48,IF(MATCHED!AP48=18,MATCHED!$S48,IF(MATCHED!AP48=19,MATCHED!$T48,IF(MATCHED!AP48=20,MATCHED!$U48,IF(MATCHED!AP48=21,MATCHED!$V48,)))))))&amp;IF(MATCHED!AP48=22,MATCHED!$W48,IF(MATCHED!AP48=23,MATCHED!$X48,IF(MATCHED!AP48=24,MATCHED!$Y48,IF(MATCHED!AP48=25,MATCHED!$Z48,IF(MATCHED!AP48=26,MATCHED!$AA48,IF(MATCHED!AP48=27,MATCHED!$AB48,"."))))))</f>
        <v>#N/A</v>
      </c>
      <c r="O48" s="356" t="e">
        <f>IF(MATCHED!AQ48=1,MATCHED!$B48,IF(MATCHED!AQ48=2,MATCHED!$C48,IF(MATCHED!AQ48=3,MATCHED!$D48,IF(MATCHED!AQ48=4,MATCHED!$E48,IF(MATCHED!AQ48=3,MATCHED!$F48,IF(MATCHED!AQ48=6,MATCHED!$G48,IF(MATCHED!AQ48=7,MATCHED!$H48,"")))))))&amp;IF(MATCHED!AQ48=8,MATCHED!$I48,IF(MATCHED!AQ48=9,MATCHED!$J48,IF(MATCHED!AQ48=10,MATCHED!$K48,IF(MATCHED!AQ48=11,MATCHED!$L48,IF(MATCHED!AQ48=12,MATCHED!$M48,IF(MATCHED!AQ48=13,MATCHED!$N48,IF(MATCHED!AQ48=14,MATCHED!$O48,"")))))))&amp;IF(MATCHED!AQ48=15,MATCHED!$P48,IF(MATCHED!AQ48=16,MATCHED!$Q48,IF(MATCHED!AQ48=17,MATCHED!$R48,IF(MATCHED!AQ48=18,MATCHED!$S48,IF(MATCHED!AQ48=19,MATCHED!$T48,IF(MATCHED!AQ48=20,MATCHED!$U48,IF(MATCHED!AQ48=21,MATCHED!$V48,)))))))&amp;IF(MATCHED!AQ48=22,MATCHED!$W48,IF(MATCHED!AQ48=23,MATCHED!$X48,IF(MATCHED!AQ48=24,MATCHED!$Y48,IF(MATCHED!AQ48=25,MATCHED!$Z48,IF(MATCHED!AQ48=26,MATCHED!$AA48,IF(MATCHED!AQ48=27,MATCHED!$AB48,"."))))))</f>
        <v>#N/A</v>
      </c>
      <c r="P48" s="356" t="e">
        <f>IF(MATCHED!AR48=1,MATCHED!$B48,IF(MATCHED!AR48=2,MATCHED!$C48,IF(MATCHED!AR48=3,MATCHED!$D48,IF(MATCHED!AR48=4,MATCHED!$E48,IF(MATCHED!AR48=3,MATCHED!$F48,IF(MATCHED!AR48=6,MATCHED!$G48,IF(MATCHED!AR48=7,MATCHED!$H48,"")))))))&amp;IF(MATCHED!AR48=8,MATCHED!$I48,IF(MATCHED!AR48=9,MATCHED!$J48,IF(MATCHED!AR48=10,MATCHED!$K48,IF(MATCHED!AR48=11,MATCHED!$L48,IF(MATCHED!AR48=12,MATCHED!$M48,IF(MATCHED!AR48=13,MATCHED!$N48,IF(MATCHED!AR48=14,MATCHED!$O48,"")))))))&amp;IF(MATCHED!AR48=15,MATCHED!$P48,IF(MATCHED!AR48=16,MATCHED!$Q48,IF(MATCHED!AR48=17,MATCHED!$R48,IF(MATCHED!AR48=18,MATCHED!$S48,IF(MATCHED!AR48=19,MATCHED!$T48,IF(MATCHED!AR48=20,MATCHED!$U48,IF(MATCHED!AR48=21,MATCHED!$V48,)))))))&amp;IF(MATCHED!AR48=22,MATCHED!$W48,IF(MATCHED!AR48=23,MATCHED!$X48,IF(MATCHED!AR48=24,MATCHED!$Y48,IF(MATCHED!AR48=25,MATCHED!$Z48,IF(MATCHED!AR48=26,MATCHED!$AA48,IF(MATCHED!AR48=27,MATCHED!$AB48,"."))))))</f>
        <v>#N/A</v>
      </c>
      <c r="Q48" s="357" t="e">
        <f>IF(MATCHED!AS48=1,MATCHED!$B48,IF(MATCHED!AS48=2,MATCHED!$C48,IF(MATCHED!AS48=3,MATCHED!$D48,IF(MATCHED!AS48=4,MATCHED!$E48,IF(MATCHED!AS48=3,MATCHED!$F48,IF(MATCHED!AS48=6,MATCHED!$G48,IF(MATCHED!AS48=7,MATCHED!$H48,"")))))))&amp;IF(MATCHED!AS48=8,MATCHED!$I48,IF(MATCHED!AS48=9,MATCHED!$J48,IF(MATCHED!AS48=10,MATCHED!$K48,IF(MATCHED!AS48=11,MATCHED!$L48,IF(MATCHED!AS48=12,MATCHED!$M48,IF(MATCHED!AS48=13,MATCHED!$N48,IF(MATCHED!AS48=14,MATCHED!$O48,"")))))))&amp;IF(MATCHED!AS48=15,MATCHED!$P48,IF(MATCHED!AS48=16,MATCHED!$Q48,IF(MATCHED!AS48=17,MATCHED!$R48,IF(MATCHED!AS48=18,MATCHED!$S48,IF(MATCHED!AS48=19,MATCHED!$T48,IF(MATCHED!AS48=20,MATCHED!$U48,IF(MATCHED!AS48=21,MATCHED!$V48,)))))))&amp;IF(MATCHED!AS48=22,MATCHED!$W48,IF(MATCHED!AS48=23,MATCHED!$X48,IF(MATCHED!AS48=24,MATCHED!$Y48,IF(MATCHED!AS48=25,MATCHED!$Z48,IF(MATCHED!AS48=26,MATCHED!$AA48,IF(MATCHED!AS48=27,MATCHED!$AB48,"."))))))</f>
        <v>#N/A</v>
      </c>
      <c r="R48" s="356" t="e">
        <f>IF(MATCHED!AT48=1,MATCHED!$B48,IF(MATCHED!AT48=2,MATCHED!$C48,IF(MATCHED!AT48=3,MATCHED!$D48,IF(MATCHED!AT48=4,MATCHED!$E48,IF(MATCHED!AT48=3,MATCHED!$F48,IF(MATCHED!AT48=6,MATCHED!$G48,IF(MATCHED!AT48=7,MATCHED!$H48,"")))))))&amp;IF(MATCHED!AT48=8,MATCHED!$I48,IF(MATCHED!AT48=9,MATCHED!$J48,IF(MATCHED!AT48=10,MATCHED!$K48,IF(MATCHED!AT48=11,MATCHED!$L48,IF(MATCHED!AT48=12,MATCHED!$M48,IF(MATCHED!AT48=13,MATCHED!$N48,IF(MATCHED!AT48=14,MATCHED!$O48,"")))))))&amp;IF(MATCHED!AT48=15,MATCHED!$P48,IF(MATCHED!AT48=16,MATCHED!$Q48,IF(MATCHED!AT48=17,MATCHED!$R48,IF(MATCHED!AT48=18,MATCHED!$S48,IF(MATCHED!AT48=19,MATCHED!$T48,IF(MATCHED!AT48=20,MATCHED!$U48,IF(MATCHED!AT48=21,MATCHED!$V48,)))))))&amp;IF(MATCHED!AT48=22,MATCHED!$W48,IF(MATCHED!AT48=23,MATCHED!$X48,IF(MATCHED!AT48=24,MATCHED!$Y48,IF(MATCHED!AT48=25,MATCHED!$Z48,IF(MATCHED!AT48=26,MATCHED!$AA48,IF(MATCHED!AT48=27,MATCHED!$AB48,"."))))))</f>
        <v>#N/A</v>
      </c>
      <c r="S48" s="356" t="e">
        <f>IF(MATCHED!AU48=1,MATCHED!$B48,IF(MATCHED!AU48=2,MATCHED!$C48,IF(MATCHED!AU48=3,MATCHED!$D48,IF(MATCHED!AU48=4,MATCHED!$E48,IF(MATCHED!AU48=3,MATCHED!$F48,IF(MATCHED!AU48=6,MATCHED!$G48,IF(MATCHED!AU48=7,MATCHED!$H48,"")))))))&amp;IF(MATCHED!AU48=8,MATCHED!$I48,IF(MATCHED!AU48=9,MATCHED!$J48,IF(MATCHED!AU48=10,MATCHED!$K48,IF(MATCHED!AU48=11,MATCHED!$L48,IF(MATCHED!AU48=12,MATCHED!$M48,IF(MATCHED!AU48=13,MATCHED!$N48,IF(MATCHED!AU48=14,MATCHED!$O48,"")))))))&amp;IF(MATCHED!AU48=15,MATCHED!$P48,IF(MATCHED!AU48=16,MATCHED!$Q48,IF(MATCHED!AU48=17,MATCHED!$R48,IF(MATCHED!AU48=18,MATCHED!$S48,IF(MATCHED!AU48=19,MATCHED!$T48,IF(MATCHED!AU48=20,MATCHED!$U48,IF(MATCHED!AU48=21,MATCHED!$V48,)))))))&amp;IF(MATCHED!AU48=22,MATCHED!$W48,IF(MATCHED!AU48=23,MATCHED!$X48,IF(MATCHED!AU48=24,MATCHED!$Y48,IF(MATCHED!AU48=25,MATCHED!$Z48,IF(MATCHED!AU48=26,MATCHED!$AA48,IF(MATCHED!AU48=27,MATCHED!$AB48,"."))))))</f>
        <v>#N/A</v>
      </c>
      <c r="T48" s="356" t="e">
        <f>IF(MATCHED!AV48=1,MATCHED!$B48,IF(MATCHED!AV48=2,MATCHED!$C48,IF(MATCHED!AV48=3,MATCHED!$D48,IF(MATCHED!AV48=4,MATCHED!$E48,IF(MATCHED!AV48=3,MATCHED!$F48,IF(MATCHED!AV48=6,MATCHED!$G48,IF(MATCHED!AV48=7,MATCHED!$H48,"")))))))&amp;IF(MATCHED!AV48=8,MATCHED!$I48,IF(MATCHED!AV48=9,MATCHED!$J48,IF(MATCHED!AV48=10,MATCHED!$K48,IF(MATCHED!AV48=11,MATCHED!$L48,IF(MATCHED!AV48=12,MATCHED!$M48,IF(MATCHED!AV48=13,MATCHED!$N48,IF(MATCHED!AV48=14,MATCHED!$O48,"")))))))&amp;IF(MATCHED!AV48=15,MATCHED!$P48,IF(MATCHED!AV48=16,MATCHED!$Q48,IF(MATCHED!AV48=17,MATCHED!$R48,IF(MATCHED!AV48=18,MATCHED!$S48,IF(MATCHED!AV48=19,MATCHED!$T48,IF(MATCHED!AV48=20,MATCHED!$U48,IF(MATCHED!AV48=21,MATCHED!$V48,)))))))&amp;IF(MATCHED!AV48=22,MATCHED!$W48,IF(MATCHED!AV48=23,MATCHED!$X48,IF(MATCHED!AV48=24,MATCHED!$Y48,IF(MATCHED!AV48=25,MATCHED!$Z48,IF(MATCHED!AV48=26,MATCHED!$AA48,IF(MATCHED!AV48=27,MATCHED!$AB48,"."))))))</f>
        <v>#N/A</v>
      </c>
      <c r="U48" s="356" t="e">
        <f>IF(MATCHED!AW48=1,MATCHED!$B48,IF(MATCHED!AW48=2,MATCHED!$C48,IF(MATCHED!AW48=3,MATCHED!$D48,IF(MATCHED!AW48=4,MATCHED!$E48,IF(MATCHED!AW48=3,MATCHED!$F48,IF(MATCHED!AW48=6,MATCHED!$G48,IF(MATCHED!AW48=7,MATCHED!$H48,"")))))))&amp;IF(MATCHED!AW48=8,MATCHED!$I48,IF(MATCHED!AW48=9,MATCHED!$J48,IF(MATCHED!AW48=10,MATCHED!$K48,IF(MATCHED!AW48=11,MATCHED!$L48,IF(MATCHED!AW48=12,MATCHED!$M48,IF(MATCHED!AW48=13,MATCHED!$N48,IF(MATCHED!AW48=14,MATCHED!$O48,"")))))))&amp;IF(MATCHED!AW48=15,MATCHED!$P48,IF(MATCHED!AW48=16,MATCHED!$Q48,IF(MATCHED!AW48=17,MATCHED!$R48,IF(MATCHED!AW48=18,MATCHED!$S48,IF(MATCHED!AW48=19,MATCHED!$T48,IF(MATCHED!AW48=20,MATCHED!$U48,IF(MATCHED!AW48=21,MATCHED!$V48,)))))))&amp;IF(MATCHED!AW48=22,MATCHED!$W48,IF(MATCHED!AW48=23,MATCHED!$X48,IF(MATCHED!AW48=24,MATCHED!$Y48,IF(MATCHED!AW48=25,MATCHED!$Z48,IF(MATCHED!AW48=26,MATCHED!$AA48,IF(MATCHED!AW48=27,MATCHED!$AB48,"."))))))</f>
        <v>#N/A</v>
      </c>
      <c r="V48" s="356" t="e">
        <f>IF(MATCHED!AX48=1,MATCHED!$B48,IF(MATCHED!AX48=2,MATCHED!$C48,IF(MATCHED!AX48=3,MATCHED!$D48,IF(MATCHED!AX48=4,MATCHED!$E48,IF(MATCHED!AX48=3,MATCHED!$F48,IF(MATCHED!AX48=6,MATCHED!$G48,IF(MATCHED!AX48=7,MATCHED!$H48,"")))))))&amp;IF(MATCHED!AX48=8,MATCHED!$I48,IF(MATCHED!AX48=9,MATCHED!$J48,IF(MATCHED!AX48=10,MATCHED!$K48,IF(MATCHED!AX48=11,MATCHED!$L48,IF(MATCHED!AX48=12,MATCHED!$M48,IF(MATCHED!AX48=13,MATCHED!$N48,IF(MATCHED!AX48=14,MATCHED!$O48,"")))))))&amp;IF(MATCHED!AX48=15,MATCHED!$P48,IF(MATCHED!AX48=16,MATCHED!$Q48,IF(MATCHED!AX48=17,MATCHED!$R48,IF(MATCHED!AX48=18,MATCHED!$S48,IF(MATCHED!AX48=19,MATCHED!$T48,IF(MATCHED!AX48=20,MATCHED!$U48,IF(MATCHED!AX48=21,MATCHED!$V48,)))))))&amp;IF(MATCHED!AX48=22,MATCHED!$W48,IF(MATCHED!AX48=23,MATCHED!$X48,IF(MATCHED!AX48=24,MATCHED!$Y48,IF(MATCHED!AX48=25,MATCHED!$Z48,IF(MATCHED!AX48=26,MATCHED!$AA48,IF(MATCHED!AX48=27,MATCHED!$AB48,"."))))))</f>
        <v>#N/A</v>
      </c>
      <c r="W48" s="356" t="e">
        <f>IF(MATCHED!AY48=1,MATCHED!$B48,IF(MATCHED!AY48=2,MATCHED!$C48,IF(MATCHED!AY48=3,MATCHED!$D48,IF(MATCHED!AY48=4,MATCHED!$E48,IF(MATCHED!AY48=3,MATCHED!$F48,IF(MATCHED!AY48=6,MATCHED!$G48,IF(MATCHED!AY48=7,MATCHED!$H48,"")))))))&amp;IF(MATCHED!AY48=8,MATCHED!$I48,IF(MATCHED!AY48=9,MATCHED!$J48,IF(MATCHED!AY48=10,MATCHED!$K48,IF(MATCHED!AY48=11,MATCHED!$L48,IF(MATCHED!AY48=12,MATCHED!$M48,IF(MATCHED!AY48=13,MATCHED!$N48,IF(MATCHED!AY48=14,MATCHED!$O48,"")))))))&amp;IF(MATCHED!AY48=15,MATCHED!$P48,IF(MATCHED!AY48=16,MATCHED!$Q48,IF(MATCHED!AY48=17,MATCHED!$R48,IF(MATCHED!AY48=18,MATCHED!$S48,IF(MATCHED!AY48=19,MATCHED!$T48,IF(MATCHED!AY48=20,MATCHED!$U48,IF(MATCHED!AY48=21,MATCHED!$V48,)))))))&amp;IF(MATCHED!AY48=22,MATCHED!$W48,IF(MATCHED!AY48=23,MATCHED!$X48,IF(MATCHED!AY48=24,MATCHED!$Y48,IF(MATCHED!AY48=25,MATCHED!$Z48,IF(MATCHED!AY48=26,MATCHED!$AA48,IF(MATCHED!AY48=27,MATCHED!$AB48,"."))))))</f>
        <v>#N/A</v>
      </c>
      <c r="X48" s="356" t="e">
        <f>IF(MATCHED!AZ48=1,MATCHED!$B48,IF(MATCHED!AZ48=2,MATCHED!$C48,IF(MATCHED!AZ48=3,MATCHED!$D48,IF(MATCHED!AZ48=4,MATCHED!$E48,IF(MATCHED!AZ48=3,MATCHED!$F48,IF(MATCHED!AZ48=6,MATCHED!$G48,IF(MATCHED!AZ48=7,MATCHED!$H48,"")))))))&amp;IF(MATCHED!AZ48=8,MATCHED!$I48,IF(MATCHED!AZ48=9,MATCHED!$J48,IF(MATCHED!AZ48=10,MATCHED!$K48,IF(MATCHED!AZ48=11,MATCHED!$L48,IF(MATCHED!AZ48=12,MATCHED!$M48,IF(MATCHED!AZ48=13,MATCHED!$N48,IF(MATCHED!AZ48=14,MATCHED!$O48,"")))))))&amp;IF(MATCHED!AZ48=15,MATCHED!$P48,IF(MATCHED!AZ48=16,MATCHED!$Q48,IF(MATCHED!AZ48=17,MATCHED!$R48,IF(MATCHED!AZ48=18,MATCHED!$S48,IF(MATCHED!AZ48=19,MATCHED!$T48,IF(MATCHED!AZ48=20,MATCHED!$U48,IF(MATCHED!AZ48=21,MATCHED!$V48,)))))))&amp;IF(MATCHED!AZ48=22,MATCHED!$W48,IF(MATCHED!AZ48=23,MATCHED!$X48,IF(MATCHED!AZ48=24,MATCHED!$Y48,IF(MATCHED!AZ48=25,MATCHED!$Z48,IF(MATCHED!AZ48=26,MATCHED!$AA48,IF(MATCHED!AZ48=27,MATCHED!$AB48,"."))))))</f>
        <v>#N/A</v>
      </c>
      <c r="Y48" s="356" t="e">
        <f>IF(MATCHED!BA48=1,MATCHED!$B48,IF(MATCHED!BA48=2,MATCHED!$C48,IF(MATCHED!BA48=3,MATCHED!$D48,IF(MATCHED!BA48=4,MATCHED!$E48,IF(MATCHED!BA48=3,MATCHED!$F48,IF(MATCHED!BA48=6,MATCHED!$G48,IF(MATCHED!BA48=7,MATCHED!$H48,"")))))))&amp;IF(MATCHED!BA48=8,MATCHED!$I48,IF(MATCHED!BA48=9,MATCHED!$J48,IF(MATCHED!BA48=10,MATCHED!$K48,IF(MATCHED!BA48=11,MATCHED!$L48,IF(MATCHED!BA48=12,MATCHED!$M48,IF(MATCHED!BA48=13,MATCHED!$N48,IF(MATCHED!BA48=14,MATCHED!$O48,"")))))))&amp;IF(MATCHED!BA48=15,MATCHED!$P48,IF(MATCHED!BA48=16,MATCHED!$Q48,IF(MATCHED!BA48=17,MATCHED!$R48,IF(MATCHED!BA48=18,MATCHED!$S48,IF(MATCHED!BA48=19,MATCHED!$T48,IF(MATCHED!BA48=20,MATCHED!$U48,IF(MATCHED!BA48=21,MATCHED!$V48,)))))))&amp;IF(MATCHED!BA48=22,MATCHED!$W48,IF(MATCHED!BA48=23,MATCHED!$X48,IF(MATCHED!BA48=24,MATCHED!$Y48,IF(MATCHED!BA48=25,MATCHED!$Z48,IF(MATCHED!BA48=26,MATCHED!$AA48,IF(MATCHED!BA48=27,MATCHED!$AB48,"."))))))</f>
        <v>#N/A</v>
      </c>
      <c r="Z48" s="356" t="e">
        <f>IF(MATCHED!BB48=1,MATCHED!$B48,IF(MATCHED!BB48=2,MATCHED!$C48,IF(MATCHED!BB48=3,MATCHED!$D48,IF(MATCHED!BB48=4,MATCHED!$E48,IF(MATCHED!BB48=3,MATCHED!$F48,IF(MATCHED!BB48=6,MATCHED!$G48,IF(MATCHED!BB48=7,MATCHED!$H48,"")))))))&amp;IF(MATCHED!BB48=8,MATCHED!$I48,IF(MATCHED!BB48=9,MATCHED!$J48,IF(MATCHED!BB48=10,MATCHED!$K48,IF(MATCHED!BB48=11,MATCHED!$L48,IF(MATCHED!BB48=12,MATCHED!$M48,IF(MATCHED!BB48=13,MATCHED!$N48,IF(MATCHED!BB48=14,MATCHED!$O48,"")))))))&amp;IF(MATCHED!BB48=15,MATCHED!$P48,IF(MATCHED!BB48=16,MATCHED!$Q48,IF(MATCHED!BB48=17,MATCHED!$R48,IF(MATCHED!BB48=18,MATCHED!$S48,IF(MATCHED!BB48=19,MATCHED!$T48,IF(MATCHED!BB48=20,MATCHED!$U48,IF(MATCHED!BB48=21,MATCHED!$V48,)))))))&amp;IF(MATCHED!BB48=22,MATCHED!$W48,IF(MATCHED!BB48=23,MATCHED!$X48,IF(MATCHED!BB48=24,MATCHED!$Y48,IF(MATCHED!BB48=25,MATCHED!$Z48,IF(MATCHED!BB48=26,MATCHED!$AA48,IF(MATCHED!BB48=27,MATCHED!$AB48,"."))))))</f>
        <v>#N/A</v>
      </c>
      <c r="AA48" s="356" t="e">
        <f>IF(MATCHED!BC48=1,MATCHED!$B48,IF(MATCHED!BC48=2,MATCHED!$C48,IF(MATCHED!BC48=3,MATCHED!$D48,IF(MATCHED!BC48=4,MATCHED!$E48,IF(MATCHED!BC48=3,MATCHED!$F48,IF(MATCHED!BC48=6,MATCHED!$G48,IF(MATCHED!BC48=7,MATCHED!$H48,"")))))))&amp;IF(MATCHED!BC48=8,MATCHED!$I48,IF(MATCHED!BC48=9,MATCHED!$J48,IF(MATCHED!BC48=10,MATCHED!$K48,IF(MATCHED!BC48=11,MATCHED!$L48,IF(MATCHED!BC48=12,MATCHED!$M48,IF(MATCHED!BC48=13,MATCHED!$N48,IF(MATCHED!BC48=14,MATCHED!$O48,"")))))))&amp;IF(MATCHED!BC48=15,MATCHED!$P48,IF(MATCHED!BC48=16,MATCHED!$Q48,IF(MATCHED!BC48=17,MATCHED!$R48,IF(MATCHED!BC48=18,MATCHED!$S48,IF(MATCHED!BC48=19,MATCHED!$T48,IF(MATCHED!BC48=20,MATCHED!$U48,IF(MATCHED!BC48=21,MATCHED!$V48,)))))))&amp;IF(MATCHED!BC48=22,MATCHED!$W48,IF(MATCHED!BC48=23,MATCHED!$X48,IF(MATCHED!BC48=24,MATCHED!$Y48,IF(MATCHED!BC48=25,MATCHED!$Z48,IF(MATCHED!BC48=26,MATCHED!$AA48,IF(MATCHED!BC48=27,MATCHED!$AB48,"."))))))</f>
        <v>#N/A</v>
      </c>
      <c r="AB48" s="356" t="e">
        <f>IF(MATCHED!BD48=1,MATCHED!$B48,IF(MATCHED!BD48=2,MATCHED!$C48,IF(MATCHED!BD48=3,MATCHED!$D48,IF(MATCHED!BD48=4,MATCHED!$E48,IF(MATCHED!BD48=3,MATCHED!$F48,IF(MATCHED!BD48=6,MATCHED!$G48,IF(MATCHED!BD48=7,MATCHED!$H48,"")))))))&amp;IF(MATCHED!BD48=8,MATCHED!$I48,IF(MATCHED!BD48=9,MATCHED!$J48,IF(MATCHED!BD48=10,MATCHED!$K48,IF(MATCHED!BD48=11,MATCHED!$L48,IF(MATCHED!BD48=12,MATCHED!$M48,IF(MATCHED!BD48=13,MATCHED!$N48,IF(MATCHED!BD48=14,MATCHED!$O48,"")))))))&amp;IF(MATCHED!BD48=15,MATCHED!$P48,IF(MATCHED!BD48=16,MATCHED!$Q48,IF(MATCHED!BD48=17,MATCHED!$R48,IF(MATCHED!BD48=18,MATCHED!$S48,IF(MATCHED!BD48=19,MATCHED!$T48,IF(MATCHED!BD48=20,MATCHED!$U48,IF(MATCHED!BD48=21,MATCHED!$V48,)))))))&amp;IF(MATCHED!BD48=22,MATCHED!$W48,IF(MATCHED!BD48=23,MATCHED!$X48,IF(MATCHED!BD48=24,MATCHED!$Y48,IF(MATCHED!BD48=25,MATCHED!$Z48,IF(MATCHED!BD48=26,MATCHED!$AA48,IF(MATCHED!BD48=27,MATCHED!$AB48,"."))))))</f>
        <v>#N/A</v>
      </c>
      <c r="AC48" s="356" t="e">
        <f>IF(MATCHED!BE48=1,MATCHED!$B48,IF(MATCHED!BE48=2,MATCHED!$C48,IF(MATCHED!BE48=3,MATCHED!$D48,IF(MATCHED!BE48=4,MATCHED!$E48,IF(MATCHED!BE48=3,MATCHED!$F48,IF(MATCHED!BE48=6,MATCHED!$G48,IF(MATCHED!BE48=7,MATCHED!$H48,"")))))))&amp;IF(MATCHED!BE48=8,MATCHED!$I48,IF(MATCHED!BE48=9,MATCHED!$J48,IF(MATCHED!BE48=10,MATCHED!$K48,IF(MATCHED!BE48=11,MATCHED!$L48,IF(MATCHED!BE48=12,MATCHED!$M48,IF(MATCHED!BE48=13,MATCHED!$N48,IF(MATCHED!BE48=14,MATCHED!$O48,"")))))))&amp;IF(MATCHED!BE48=15,MATCHED!$P48,IF(MATCHED!BE48=16,MATCHED!$Q48,IF(MATCHED!BE48=17,MATCHED!$R48,IF(MATCHED!BE48=18,MATCHED!$S48,IF(MATCHED!BE48=19,MATCHED!$T48,IF(MATCHED!BE48=20,MATCHED!$U48,IF(MATCHED!BE48=21,MATCHED!$V48,)))))))&amp;IF(MATCHED!BE48=22,MATCHED!$W48,IF(MATCHED!BE48=23,MATCHED!$X48,IF(MATCHED!BE48=24,MATCHED!$Y48,IF(MATCHED!BE48=25,MATCHED!$Z48,IF(MATCHED!BE48=26,MATCHED!$AA48,IF(MATCHED!BE48=27,MATCHED!$AB48,"."))))))</f>
        <v>#N/A</v>
      </c>
      <c r="AD48" s="356" t="e">
        <f>IF(MATCHED!BF48=1,MATCHED!$B48,IF(MATCHED!BF48=2,MATCHED!$C48,IF(MATCHED!BF48=3,MATCHED!$D48,IF(MATCHED!BF48=4,MATCHED!$E48,IF(MATCHED!BF48=3,MATCHED!$F48,IF(MATCHED!BF48=6,MATCHED!$G48,IF(MATCHED!BF48=7,MATCHED!$H48,"")))))))&amp;IF(MATCHED!BF48=8,MATCHED!$I48,IF(MATCHED!BF48=9,MATCHED!$J48,IF(MATCHED!BF48=10,MATCHED!$K48,IF(MATCHED!BF48=11,MATCHED!$L48,IF(MATCHED!BF48=12,MATCHED!$M48,IF(MATCHED!BF48=13,MATCHED!$N48,IF(MATCHED!BF48=14,MATCHED!$O48,"")))))))&amp;IF(MATCHED!BF48=15,MATCHED!$P48,IF(MATCHED!BF48=16,MATCHED!$Q48,IF(MATCHED!BF48=17,MATCHED!$R48,IF(MATCHED!BF48=18,MATCHED!$S48,IF(MATCHED!BF48=19,MATCHED!$T48,IF(MATCHED!BF48=20,MATCHED!$U48,IF(MATCHED!BF48=21,MATCHED!$V48,)))))))&amp;IF(MATCHED!BF48=22,MATCHED!$W48,IF(MATCHED!BF48=23,MATCHED!$X48,IF(MATCHED!BF48=24,MATCHED!$Y48,IF(MATCHED!BF48=25,MATCHED!$Z48,IF(MATCHED!BF48=26,MATCHED!$AA48,IF(MATCHED!BF48=27,MATCHED!$AB48,"."))))))</f>
        <v>#N/A</v>
      </c>
      <c r="AE48" s="356" t="e">
        <f>IF(MATCHED!BG48=1,MATCHED!$B48,IF(MATCHED!BG48=2,MATCHED!$C48,IF(MATCHED!BG48=3,MATCHED!$D48,IF(MATCHED!BG48=4,MATCHED!$E48,IF(MATCHED!BG48=3,MATCHED!$F48,IF(MATCHED!BG48=6,MATCHED!$G48,IF(MATCHED!BG48=7,MATCHED!$H48,"")))))))&amp;IF(MATCHED!BG48=8,MATCHED!$I48,IF(MATCHED!BG48=9,MATCHED!$J48,IF(MATCHED!BG48=10,MATCHED!$K48,IF(MATCHED!BG48=11,MATCHED!$L48,IF(MATCHED!BG48=12,MATCHED!$M48,IF(MATCHED!BG48=13,MATCHED!$N48,IF(MATCHED!BG48=14,MATCHED!$O48,"")))))))&amp;IF(MATCHED!BG48=15,MATCHED!$P48,IF(MATCHED!BG48=16,MATCHED!$Q48,IF(MATCHED!BG48=17,MATCHED!$R48,IF(MATCHED!BG48=18,MATCHED!$S48,IF(MATCHED!BG48=19,MATCHED!$T48,IF(MATCHED!BG48=20,MATCHED!$U48,IF(MATCHED!BG48=21,MATCHED!$V48,)))))))&amp;IF(MATCHED!BG48=22,MATCHED!$W48,IF(MATCHED!BG48=23,MATCHED!$X48,IF(MATCHED!BG48=24,MATCHED!$Y48,IF(MATCHED!BG48=25,MATCHED!$Z48,IF(MATCHED!BG48=26,MATCHED!$AA48,IF(MATCHED!BG48=27,MATCHED!$AB48,"."))))))</f>
        <v>#N/A</v>
      </c>
      <c r="AF48" s="356" t="e">
        <f>IF(MATCHED!BH48=1,MATCHED!$B48,IF(MATCHED!BH48=2,MATCHED!$C48,IF(MATCHED!BH48=3,MATCHED!$D48,IF(MATCHED!BH48=4,MATCHED!$E48,IF(MATCHED!BH48=3,MATCHED!$F48,IF(MATCHED!BH48=6,MATCHED!$G48,IF(MATCHED!BH48=7,MATCHED!$H48,"")))))))&amp;IF(MATCHED!BH48=8,MATCHED!$I48,IF(MATCHED!BH48=9,MATCHED!$J48,IF(MATCHED!BH48=10,MATCHED!$K48,IF(MATCHED!BH48=11,MATCHED!$L48,IF(MATCHED!BH48=12,MATCHED!$M48,IF(MATCHED!BH48=13,MATCHED!$N48,IF(MATCHED!BH48=14,MATCHED!$O48,"")))))))&amp;IF(MATCHED!BH48=15,MATCHED!$P48,IF(MATCHED!BH48=16,MATCHED!$Q48,IF(MATCHED!BH48=17,MATCHED!$R48,IF(MATCHED!BH48=18,MATCHED!$S48,IF(MATCHED!BH48=19,MATCHED!$T48,IF(MATCHED!BH48=20,MATCHED!$U48,IF(MATCHED!BH48=21,MATCHED!$V48,)))))))&amp;IF(MATCHED!BH48=22,MATCHED!$W48,IF(MATCHED!BH48=23,MATCHED!$X48,IF(MATCHED!BH48=24,MATCHED!$Y48,IF(MATCHED!BH48=25,MATCHED!$Z48,IF(MATCHED!BH48=26,MATCHED!$AA48,IF(MATCHED!BH48=27,MATCHED!$AB48,"."))))))</f>
        <v>#N/A</v>
      </c>
      <c r="AG48" s="356" t="e">
        <f>IF(MATCHED!BI48=1,MATCHED!$B48,IF(MATCHED!BI48=2,MATCHED!$C48,IF(MATCHED!BI48=3,MATCHED!$D48,IF(MATCHED!BI48=4,MATCHED!$E48,IF(MATCHED!BI48=3,MATCHED!$F48,IF(MATCHED!BI48=6,MATCHED!$G48,IF(MATCHED!BI48=7,MATCHED!$H48,"")))))))&amp;IF(MATCHED!BI48=8,MATCHED!$I48,IF(MATCHED!BI48=9,MATCHED!$J48,IF(MATCHED!BI48=10,MATCHED!$K48,IF(MATCHED!BI48=11,MATCHED!$L48,IF(MATCHED!BI48=12,MATCHED!$M48,IF(MATCHED!BI48=13,MATCHED!$N48,IF(MATCHED!BI48=14,MATCHED!$O48,"")))))))&amp;IF(MATCHED!BI48=15,MATCHED!$P48,IF(MATCHED!BI48=16,MATCHED!$Q48,IF(MATCHED!BI48=17,MATCHED!$R48,IF(MATCHED!BI48=18,MATCHED!$S48,IF(MATCHED!BI48=19,MATCHED!$T48,IF(MATCHED!BI48=20,MATCHED!$U48,IF(MATCHED!BI48=21,MATCHED!$V48,)))))))&amp;IF(MATCHED!BI48=22,MATCHED!$W48,IF(MATCHED!BI48=23,MATCHED!$X48,IF(MATCHED!BI48=24,MATCHED!$Y48,IF(MATCHED!BI48=25,MATCHED!$Z48,IF(MATCHED!BI48=26,MATCHED!$AA48,IF(MATCHED!BI48=27,MATCHED!$AB48,"."))))))</f>
        <v>#N/A</v>
      </c>
      <c r="AH48" s="356" t="e">
        <f>IF(MATCHED!BJ48=1,MATCHED!$B48,IF(MATCHED!BJ48=2,MATCHED!$C48,IF(MATCHED!BJ48=3,MATCHED!$D48,IF(MATCHED!BJ48=4,MATCHED!$E48,IF(MATCHED!BJ48=3,MATCHED!$F48,IF(MATCHED!BJ48=6,MATCHED!$G48,IF(MATCHED!BJ48=7,MATCHED!$H48,"")))))))&amp;IF(MATCHED!BJ48=8,MATCHED!$I48,IF(MATCHED!BJ48=9,MATCHED!$J48,IF(MATCHED!BJ48=10,MATCHED!$K48,IF(MATCHED!BJ48=11,MATCHED!$L48,IF(MATCHED!BJ48=12,MATCHED!$M48,IF(MATCHED!BJ48=13,MATCHED!$N48,IF(MATCHED!BJ48=14,MATCHED!$O48,"")))))))&amp;IF(MATCHED!BJ48=15,MATCHED!$P48,IF(MATCHED!BJ48=16,MATCHED!$Q48,IF(MATCHED!BJ48=17,MATCHED!$R48,IF(MATCHED!BJ48=18,MATCHED!$S48,IF(MATCHED!BJ48=19,MATCHED!$T48,IF(MATCHED!BJ48=20,MATCHED!$U48,IF(MATCHED!BJ48=21,MATCHED!$V48,)))))))&amp;IF(MATCHED!BJ48=22,MATCHED!$W48,IF(MATCHED!BJ48=23,MATCHED!$X48,IF(MATCHED!BJ48=24,MATCHED!$Y48,IF(MATCHED!BJ48=25,MATCHED!$Z48,IF(MATCHED!BJ48=26,MATCHED!$AA48,IF(MATCHED!BJ48=27,MATCHED!$AB48,"."))))))</f>
        <v>#N/A</v>
      </c>
      <c r="AI48" s="356" t="e">
        <f>IF(MATCHED!BK48=1,MATCHED!$B48,IF(MATCHED!BK48=2,MATCHED!$C48,IF(MATCHED!BK48=3,MATCHED!$D48,IF(MATCHED!BK48=4,MATCHED!$E48,IF(MATCHED!BK48=3,MATCHED!$F48,IF(MATCHED!BK48=6,MATCHED!$G48,IF(MATCHED!BK48=7,MATCHED!$H48,"")))))))&amp;IF(MATCHED!BK48=8,MATCHED!$I48,IF(MATCHED!BK48=9,MATCHED!$J48,IF(MATCHED!BK48=10,MATCHED!$K48,IF(MATCHED!BK48=11,MATCHED!$L48,IF(MATCHED!BK48=12,MATCHED!$M48,IF(MATCHED!BK48=13,MATCHED!$N48,IF(MATCHED!BK48=14,MATCHED!$O48,"")))))))&amp;IF(MATCHED!BK48=15,MATCHED!$P48,IF(MATCHED!BK48=16,MATCHED!$Q48,IF(MATCHED!BK48=17,MATCHED!$R48,IF(MATCHED!BK48=18,MATCHED!$S48,IF(MATCHED!BK48=19,MATCHED!$T48,IF(MATCHED!BK48=20,MATCHED!$U48,IF(MATCHED!BK48=21,MATCHED!$V48,)))))))&amp;IF(MATCHED!BK48=22,MATCHED!$W48,IF(MATCHED!BK48=23,MATCHED!$X48,IF(MATCHED!BK48=24,MATCHED!$Y48,IF(MATCHED!BK48=25,MATCHED!$Z48,IF(MATCHED!BK48=26,MATCHED!$AA48,IF(MATCHED!BK48=27,MATCHED!$AB48,"."))))))</f>
        <v>#N/A</v>
      </c>
      <c r="AJ48" s="535"/>
    </row>
    <row r="49" spans="1:36" s="338" customFormat="1" x14ac:dyDescent="0.25">
      <c r="A49" s="535"/>
      <c r="B49" s="355" t="e">
        <f>IF(MATCHED!AD49=1,MATCHED!$B49,IF(MATCHED!AD49=2,MATCHED!$C49,IF(MATCHED!AD49=3,MATCHED!$D49,IF(MATCHED!AD49=4,MATCHED!$E49,IF(MATCHED!AD49=3,MATCHED!$F49,IF(MATCHED!AD49=6,MATCHED!$G49,IF(MATCHED!AD49=7,MATCHED!$H49,"")))))))&amp;IF(MATCHED!AD49=8,MATCHED!$I49,IF(MATCHED!AD49=9,MATCHED!$J49,IF(MATCHED!AD49=10,MATCHED!$K49,IF(MATCHED!AD49=11,MATCHED!$L49,IF(MATCHED!AD49=12,MATCHED!$M49,IF(MATCHED!AD49=13,MATCHED!$N49,IF(MATCHED!AD49=14,MATCHED!$O49,"")))))))&amp;IF(MATCHED!AD49=15,MATCHED!$P49,IF(MATCHED!AD49=16,MATCHED!$Q49,IF(MATCHED!AD49=17,MATCHED!$R49,IF(MATCHED!AD49=18,MATCHED!$S49,IF(MATCHED!AD49=19,MATCHED!$T49,IF(MATCHED!AD49=20,MATCHED!$U49,IF(MATCHED!AD49=21,MATCHED!$V49,)))))))&amp;IF(MATCHED!AD49=22,MATCHED!$W49,IF(MATCHED!AD49=23,MATCHED!$X49,IF(MATCHED!AD49=24,MATCHED!$Y49,IF(MATCHED!AD49=25,MATCHED!$Z49,IF(MATCHED!AD49=26,MATCHED!$AA49,IF(MATCHED!AD49=27,MATCHED!$AB49,"."))))))</f>
        <v>#N/A</v>
      </c>
      <c r="C49" s="356" t="e">
        <f>IF(MATCHED!AE49=1,MATCHED!$B49,IF(MATCHED!AE49=2,MATCHED!$C49,IF(MATCHED!AE49=3,MATCHED!$D49,IF(MATCHED!AE49=4,MATCHED!$E49,IF(MATCHED!AE49=3,MATCHED!$F49,IF(MATCHED!AE49=6,MATCHED!$G49,IF(MATCHED!AE49=7,MATCHED!$H49,"")))))))&amp;IF(MATCHED!AE49=8,MATCHED!$I49,IF(MATCHED!AE49=9,MATCHED!$J49,IF(MATCHED!AE49=10,MATCHED!$K49,IF(MATCHED!AE49=11,MATCHED!$L49,IF(MATCHED!AE49=12,MATCHED!$M49,IF(MATCHED!AE49=13,MATCHED!$N49,IF(MATCHED!AE49=14,MATCHED!$O49,"")))))))&amp;IF(MATCHED!AE49=15,MATCHED!$P49,IF(MATCHED!AE49=16,MATCHED!$Q49,IF(MATCHED!AE49=17,MATCHED!$R49,IF(MATCHED!AE49=18,MATCHED!$S49,IF(MATCHED!AE49=19,MATCHED!$T49,IF(MATCHED!AE49=20,MATCHED!$U49,IF(MATCHED!AE49=21,MATCHED!$V49,)))))))&amp;IF(MATCHED!AE49=22,MATCHED!$W49,IF(MATCHED!AE49=23,MATCHED!$X49,IF(MATCHED!AE49=24,MATCHED!$Y49,IF(MATCHED!AE49=25,MATCHED!$Z49,IF(MATCHED!AE49=26,MATCHED!$AA49,IF(MATCHED!AE49=27,MATCHED!$AB49,"."))))))</f>
        <v>#N/A</v>
      </c>
      <c r="D49" s="356" t="e">
        <f>IF(MATCHED!AF49=1,MATCHED!$B49,IF(MATCHED!AF49=2,MATCHED!$C49,IF(MATCHED!AF49=3,MATCHED!$D49,IF(MATCHED!AF49=4,MATCHED!$E49,IF(MATCHED!AF49=3,MATCHED!$F49,IF(MATCHED!AF49=6,MATCHED!$G49,IF(MATCHED!AF49=7,MATCHED!$H49,"")))))))&amp;IF(MATCHED!AF49=8,MATCHED!$I49,IF(MATCHED!AF49=9,MATCHED!$J49,IF(MATCHED!AF49=10,MATCHED!$K49,IF(MATCHED!AF49=11,MATCHED!$L49,IF(MATCHED!AF49=12,MATCHED!$M49,IF(MATCHED!AF49=13,MATCHED!$N49,IF(MATCHED!AF49=14,MATCHED!$O49,"")))))))&amp;IF(MATCHED!AF49=15,MATCHED!$P49,IF(MATCHED!AF49=16,MATCHED!$Q49,IF(MATCHED!AF49=17,MATCHED!$R49,IF(MATCHED!AF49=18,MATCHED!$S49,IF(MATCHED!AF49=19,MATCHED!$T49,IF(MATCHED!AF49=20,MATCHED!$U49,IF(MATCHED!AF49=21,MATCHED!$V49,)))))))&amp;IF(MATCHED!AF49=22,MATCHED!$W49,IF(MATCHED!AF49=23,MATCHED!$X49,IF(MATCHED!AF49=24,MATCHED!$Y49,IF(MATCHED!AF49=25,MATCHED!$Z49,IF(MATCHED!AF49=26,MATCHED!$AA49,IF(MATCHED!AF49=27,MATCHED!$AB49,"."))))))</f>
        <v>#N/A</v>
      </c>
      <c r="E49" s="356" t="e">
        <f>IF(MATCHED!AG49=1,MATCHED!$B49,IF(MATCHED!AG49=2,MATCHED!$C49,IF(MATCHED!AG49=3,MATCHED!$D49,IF(MATCHED!AG49=4,MATCHED!$E49,IF(MATCHED!AG49=3,MATCHED!$F49,IF(MATCHED!AG49=6,MATCHED!$G49,IF(MATCHED!AG49=7,MATCHED!$H49,"")))))))&amp;IF(MATCHED!AG49=8,MATCHED!$I49,IF(MATCHED!AG49=9,MATCHED!$J49,IF(MATCHED!AG49=10,MATCHED!$K49,IF(MATCHED!AG49=11,MATCHED!$L49,IF(MATCHED!AG49=12,MATCHED!$M49,IF(MATCHED!AG49=13,MATCHED!$N49,IF(MATCHED!AG49=14,MATCHED!$O49,"")))))))&amp;IF(MATCHED!AG49=15,MATCHED!$P49,IF(MATCHED!AG49=16,MATCHED!$Q49,IF(MATCHED!AG49=17,MATCHED!$R49,IF(MATCHED!AG49=18,MATCHED!$S49,IF(MATCHED!AG49=19,MATCHED!$T49,IF(MATCHED!AG49=20,MATCHED!$U49,IF(MATCHED!AG49=21,MATCHED!$V49,)))))))&amp;IF(MATCHED!AG49=22,MATCHED!$W49,IF(MATCHED!AG49=23,MATCHED!$X49,IF(MATCHED!AG49=24,MATCHED!$Y49,IF(MATCHED!AG49=25,MATCHED!$Z49,IF(MATCHED!AG49=26,MATCHED!$AA49,IF(MATCHED!AG49=27,MATCHED!$AB49,"."))))))</f>
        <v>#N/A</v>
      </c>
      <c r="F49" s="356" t="e">
        <f>IF(MATCHED!AH49=1,MATCHED!$B49,IF(MATCHED!AH49=2,MATCHED!$C49,IF(MATCHED!AH49=3,MATCHED!$D49,IF(MATCHED!AH49=4,MATCHED!$E49,IF(MATCHED!AH49=3,MATCHED!$F49,IF(MATCHED!AH49=6,MATCHED!$G49,IF(MATCHED!AH49=7,MATCHED!$H49,"")))))))&amp;IF(MATCHED!AH49=8,MATCHED!$I49,IF(MATCHED!AH49=9,MATCHED!$J49,IF(MATCHED!AH49=10,MATCHED!$K49,IF(MATCHED!AH49=11,MATCHED!$L49,IF(MATCHED!AH49=12,MATCHED!$M49,IF(MATCHED!AH49=13,MATCHED!$N49,IF(MATCHED!AH49=14,MATCHED!$O49,"")))))))&amp;IF(MATCHED!AH49=15,MATCHED!$P49,IF(MATCHED!AH49=16,MATCHED!$Q49,IF(MATCHED!AH49=17,MATCHED!$R49,IF(MATCHED!AH49=18,MATCHED!$S49,IF(MATCHED!AH49=19,MATCHED!$T49,IF(MATCHED!AH49=20,MATCHED!$U49,IF(MATCHED!AH49=21,MATCHED!$V49,)))))))&amp;IF(MATCHED!AH49=22,MATCHED!$W49,IF(MATCHED!AH49=23,MATCHED!$X49,IF(MATCHED!AH49=24,MATCHED!$Y49,IF(MATCHED!AH49=25,MATCHED!$Z49,IF(MATCHED!AH49=26,MATCHED!$AA49,IF(MATCHED!AH49=27,MATCHED!$AB49,"."))))))</f>
        <v>#N/A</v>
      </c>
      <c r="G49" s="356" t="e">
        <f>IF(MATCHED!AI49=1,MATCHED!$B49,IF(MATCHED!AI49=2,MATCHED!$C49,IF(MATCHED!AI49=3,MATCHED!$D49,IF(MATCHED!AI49=4,MATCHED!$E49,IF(MATCHED!AI49=3,MATCHED!$F49,IF(MATCHED!AI49=6,MATCHED!$G49,IF(MATCHED!AI49=7,MATCHED!$H49,"")))))))&amp;IF(MATCHED!AI49=8,MATCHED!$I49,IF(MATCHED!AI49=9,MATCHED!$J49,IF(MATCHED!AI49=10,MATCHED!$K49,IF(MATCHED!AI49=11,MATCHED!$L49,IF(MATCHED!AI49=12,MATCHED!$M49,IF(MATCHED!AI49=13,MATCHED!$N49,IF(MATCHED!AI49=14,MATCHED!$O49,"")))))))&amp;IF(MATCHED!AI49=15,MATCHED!$P49,IF(MATCHED!AI49=16,MATCHED!$Q49,IF(MATCHED!AI49=17,MATCHED!$R49,IF(MATCHED!AI49=18,MATCHED!$S49,IF(MATCHED!AI49=19,MATCHED!$T49,IF(MATCHED!AI49=20,MATCHED!$U49,IF(MATCHED!AI49=21,MATCHED!$V49,)))))))&amp;IF(MATCHED!AI49=22,MATCHED!$W49,IF(MATCHED!AI49=23,MATCHED!$X49,IF(MATCHED!AI49=24,MATCHED!$Y49,IF(MATCHED!AI49=25,MATCHED!$Z49,IF(MATCHED!AI49=26,MATCHED!$AA49,IF(MATCHED!AI49=27,MATCHED!$AB49,"."))))))</f>
        <v>#N/A</v>
      </c>
      <c r="H49" s="356" t="e">
        <f>IF(MATCHED!AJ49=1,MATCHED!$B49,IF(MATCHED!AJ49=2,MATCHED!$C49,IF(MATCHED!AJ49=3,MATCHED!$D49,IF(MATCHED!AJ49=4,MATCHED!$E49,IF(MATCHED!AJ49=3,MATCHED!$F49,IF(MATCHED!AJ49=6,MATCHED!$G49,IF(MATCHED!AJ49=7,MATCHED!$H49,"")))))))&amp;IF(MATCHED!AJ49=8,MATCHED!$I49,IF(MATCHED!AJ49=9,MATCHED!$J49,IF(MATCHED!AJ49=10,MATCHED!$K49,IF(MATCHED!AJ49=11,MATCHED!$L49,IF(MATCHED!AJ49=12,MATCHED!$M49,IF(MATCHED!AJ49=13,MATCHED!$N49,IF(MATCHED!AJ49=14,MATCHED!$O49,"")))))))&amp;IF(MATCHED!AJ49=15,MATCHED!$P49,IF(MATCHED!AJ49=16,MATCHED!$Q49,IF(MATCHED!AJ49=17,MATCHED!$R49,IF(MATCHED!AJ49=18,MATCHED!$S49,IF(MATCHED!AJ49=19,MATCHED!$T49,IF(MATCHED!AJ49=20,MATCHED!$U49,IF(MATCHED!AJ49=21,MATCHED!$V49,)))))))&amp;IF(MATCHED!AJ49=22,MATCHED!$W49,IF(MATCHED!AJ49=23,MATCHED!$X49,IF(MATCHED!AJ49=24,MATCHED!$Y49,IF(MATCHED!AJ49=25,MATCHED!$Z49,IF(MATCHED!AJ49=26,MATCHED!$AA49,IF(MATCHED!AJ49=27,MATCHED!$AB49,"."))))))</f>
        <v>#N/A</v>
      </c>
      <c r="I49" s="356" t="e">
        <f>IF(MATCHED!AK49=1,MATCHED!$B49,IF(MATCHED!AK49=2,MATCHED!$C49,IF(MATCHED!AK49=3,MATCHED!$D49,IF(MATCHED!AK49=4,MATCHED!$E49,IF(MATCHED!AK49=3,MATCHED!$F49,IF(MATCHED!AK49=6,MATCHED!$G49,IF(MATCHED!AK49=7,MATCHED!$H49,"")))))))&amp;IF(MATCHED!AK49=8,MATCHED!$I49,IF(MATCHED!AK49=9,MATCHED!$J49,IF(MATCHED!AK49=10,MATCHED!$K49,IF(MATCHED!AK49=11,MATCHED!$L49,IF(MATCHED!AK49=12,MATCHED!$M49,IF(MATCHED!AK49=13,MATCHED!$N49,IF(MATCHED!AK49=14,MATCHED!$O49,"")))))))&amp;IF(MATCHED!AK49=15,MATCHED!$P49,IF(MATCHED!AK49=16,MATCHED!$Q49,IF(MATCHED!AK49=17,MATCHED!$R49,IF(MATCHED!AK49=18,MATCHED!$S49,IF(MATCHED!AK49=19,MATCHED!$T49,IF(MATCHED!AK49=20,MATCHED!$U49,IF(MATCHED!AK49=21,MATCHED!$V49,)))))))&amp;IF(MATCHED!AK49=22,MATCHED!$W49,IF(MATCHED!AK49=23,MATCHED!$X49,IF(MATCHED!AK49=24,MATCHED!$Y49,IF(MATCHED!AK49=25,MATCHED!$Z49,IF(MATCHED!AK49=26,MATCHED!$AA49,IF(MATCHED!AK49=27,MATCHED!$AB49,"."))))))</f>
        <v>#N/A</v>
      </c>
      <c r="J49" s="356" t="e">
        <f>IF(MATCHED!AL49=1,MATCHED!$B49,IF(MATCHED!AL49=2,MATCHED!$C49,IF(MATCHED!AL49=3,MATCHED!$D49,IF(MATCHED!AL49=4,MATCHED!$E49,IF(MATCHED!AL49=3,MATCHED!$F49,IF(MATCHED!AL49=6,MATCHED!$G49,IF(MATCHED!AL49=7,MATCHED!$H49,"")))))))&amp;IF(MATCHED!AL49=8,MATCHED!$I49,IF(MATCHED!AL49=9,MATCHED!$J49,IF(MATCHED!AL49=10,MATCHED!$K49,IF(MATCHED!AL49=11,MATCHED!$L49,IF(MATCHED!AL49=12,MATCHED!$M49,IF(MATCHED!AL49=13,MATCHED!$N49,IF(MATCHED!AL49=14,MATCHED!$O49,"")))))))&amp;IF(MATCHED!AL49=15,MATCHED!$P49,IF(MATCHED!AL49=16,MATCHED!$Q49,IF(MATCHED!AL49=17,MATCHED!$R49,IF(MATCHED!AL49=18,MATCHED!$S49,IF(MATCHED!AL49=19,MATCHED!$T49,IF(MATCHED!AL49=20,MATCHED!$U49,IF(MATCHED!AL49=21,MATCHED!$V49,)))))))&amp;IF(MATCHED!AL49=22,MATCHED!$W49,IF(MATCHED!AL49=23,MATCHED!$X49,IF(MATCHED!AL49=24,MATCHED!$Y49,IF(MATCHED!AL49=25,MATCHED!$Z49,IF(MATCHED!AL49=26,MATCHED!$AA49,IF(MATCHED!AL49=27,MATCHED!$AB49,"."))))))</f>
        <v>#N/A</v>
      </c>
      <c r="K49" s="356" t="e">
        <f>IF(MATCHED!AM49=1,MATCHED!$B49,IF(MATCHED!AM49=2,MATCHED!$C49,IF(MATCHED!AM49=3,MATCHED!$D49,IF(MATCHED!AM49=4,MATCHED!$E49,IF(MATCHED!AM49=3,MATCHED!$F49,IF(MATCHED!AM49=6,MATCHED!$G49,IF(MATCHED!AM49=7,MATCHED!$H49,"")))))))&amp;IF(MATCHED!AM49=8,MATCHED!$I49,IF(MATCHED!AM49=9,MATCHED!$J49,IF(MATCHED!AM49=10,MATCHED!$K49,IF(MATCHED!AM49=11,MATCHED!$L49,IF(MATCHED!AM49=12,MATCHED!$M49,IF(MATCHED!AM49=13,MATCHED!$N49,IF(MATCHED!AM49=14,MATCHED!$O49,"")))))))&amp;IF(MATCHED!AM49=15,MATCHED!$P49,IF(MATCHED!AM49=16,MATCHED!$Q49,IF(MATCHED!AM49=17,MATCHED!$R49,IF(MATCHED!AM49=18,MATCHED!$S49,IF(MATCHED!AM49=19,MATCHED!$T49,IF(MATCHED!AM49=20,MATCHED!$U49,IF(MATCHED!AM49=21,MATCHED!$V49,)))))))&amp;IF(MATCHED!AM49=22,MATCHED!$W49,IF(MATCHED!AM49=23,MATCHED!$X49,IF(MATCHED!AM49=24,MATCHED!$Y49,IF(MATCHED!AM49=25,MATCHED!$Z49,IF(MATCHED!AM49=26,MATCHED!$AA49,IF(MATCHED!AM49=27,MATCHED!$AB49,"."))))))</f>
        <v>#N/A</v>
      </c>
      <c r="L49" s="356" t="e">
        <f>IF(MATCHED!AN49=1,MATCHED!$B49,IF(MATCHED!AN49=2,MATCHED!$C49,IF(MATCHED!AN49=3,MATCHED!$D49,IF(MATCHED!AN49=4,MATCHED!$E49,IF(MATCHED!AN49=3,MATCHED!$F49,IF(MATCHED!AN49=6,MATCHED!$G49,IF(MATCHED!AN49=7,MATCHED!$H49,"")))))))&amp;IF(MATCHED!AN49=8,MATCHED!$I49,IF(MATCHED!AN49=9,MATCHED!$J49,IF(MATCHED!AN49=10,MATCHED!$K49,IF(MATCHED!AN49=11,MATCHED!$L49,IF(MATCHED!AN49=12,MATCHED!$M49,IF(MATCHED!AN49=13,MATCHED!$N49,IF(MATCHED!AN49=14,MATCHED!$O49,"")))))))&amp;IF(MATCHED!AN49=15,MATCHED!$P49,IF(MATCHED!AN49=16,MATCHED!$Q49,IF(MATCHED!AN49=17,MATCHED!$R49,IF(MATCHED!AN49=18,MATCHED!$S49,IF(MATCHED!AN49=19,MATCHED!$T49,IF(MATCHED!AN49=20,MATCHED!$U49,IF(MATCHED!AN49=21,MATCHED!$V49,)))))))&amp;IF(MATCHED!AN49=22,MATCHED!$W49,IF(MATCHED!AN49=23,MATCHED!$X49,IF(MATCHED!AN49=24,MATCHED!$Y49,IF(MATCHED!AN49=25,MATCHED!$Z49,IF(MATCHED!AN49=26,MATCHED!$AA49,IF(MATCHED!AN49=27,MATCHED!$AB49,"."))))))</f>
        <v>#N/A</v>
      </c>
      <c r="M49" s="356" t="e">
        <f>IF(MATCHED!AO49=1,MATCHED!$B49,IF(MATCHED!AO49=2,MATCHED!$C49,IF(MATCHED!AO49=3,MATCHED!$D49,IF(MATCHED!AO49=4,MATCHED!$E49,IF(MATCHED!AO49=3,MATCHED!$F49,IF(MATCHED!AO49=6,MATCHED!$G49,IF(MATCHED!AO49=7,MATCHED!$H49,"")))))))&amp;IF(MATCHED!AO49=8,MATCHED!$I49,IF(MATCHED!AO49=9,MATCHED!$J49,IF(MATCHED!AO49=10,MATCHED!$K49,IF(MATCHED!AO49=11,MATCHED!$L49,IF(MATCHED!AO49=12,MATCHED!$M49,IF(MATCHED!AO49=13,MATCHED!$N49,IF(MATCHED!AO49=14,MATCHED!$O49,"")))))))&amp;IF(MATCHED!AO49=15,MATCHED!$P49,IF(MATCHED!AO49=16,MATCHED!$Q49,IF(MATCHED!AO49=17,MATCHED!$R49,IF(MATCHED!AO49=18,MATCHED!$S49,IF(MATCHED!AO49=19,MATCHED!$T49,IF(MATCHED!AO49=20,MATCHED!$U49,IF(MATCHED!AO49=21,MATCHED!$V49,)))))))&amp;IF(MATCHED!AO49=22,MATCHED!$W49,IF(MATCHED!AO49=23,MATCHED!$X49,IF(MATCHED!AO49=24,MATCHED!$Y49,IF(MATCHED!AO49=25,MATCHED!$Z49,IF(MATCHED!AO49=26,MATCHED!$AA49,IF(MATCHED!AO49=27,MATCHED!$AB49,"."))))))</f>
        <v>#N/A</v>
      </c>
      <c r="N49" s="356" t="e">
        <f>IF(MATCHED!AP49=1,MATCHED!$B49,IF(MATCHED!AP49=2,MATCHED!$C49,IF(MATCHED!AP49=3,MATCHED!$D49,IF(MATCHED!AP49=4,MATCHED!$E49,IF(MATCHED!AP49=3,MATCHED!$F49,IF(MATCHED!AP49=6,MATCHED!$G49,IF(MATCHED!AP49=7,MATCHED!$H49,"")))))))&amp;IF(MATCHED!AP49=8,MATCHED!$I49,IF(MATCHED!AP49=9,MATCHED!$J49,IF(MATCHED!AP49=10,MATCHED!$K49,IF(MATCHED!AP49=11,MATCHED!$L49,IF(MATCHED!AP49=12,MATCHED!$M49,IF(MATCHED!AP49=13,MATCHED!$N49,IF(MATCHED!AP49=14,MATCHED!$O49,"")))))))&amp;IF(MATCHED!AP49=15,MATCHED!$P49,IF(MATCHED!AP49=16,MATCHED!$Q49,IF(MATCHED!AP49=17,MATCHED!$R49,IF(MATCHED!AP49=18,MATCHED!$S49,IF(MATCHED!AP49=19,MATCHED!$T49,IF(MATCHED!AP49=20,MATCHED!$U49,IF(MATCHED!AP49=21,MATCHED!$V49,)))))))&amp;IF(MATCHED!AP49=22,MATCHED!$W49,IF(MATCHED!AP49=23,MATCHED!$X49,IF(MATCHED!AP49=24,MATCHED!$Y49,IF(MATCHED!AP49=25,MATCHED!$Z49,IF(MATCHED!AP49=26,MATCHED!$AA49,IF(MATCHED!AP49=27,MATCHED!$AB49,"."))))))</f>
        <v>#N/A</v>
      </c>
      <c r="O49" s="356" t="e">
        <f>IF(MATCHED!AQ49=1,MATCHED!$B49,IF(MATCHED!AQ49=2,MATCHED!$C49,IF(MATCHED!AQ49=3,MATCHED!$D49,IF(MATCHED!AQ49=4,MATCHED!$E49,IF(MATCHED!AQ49=3,MATCHED!$F49,IF(MATCHED!AQ49=6,MATCHED!$G49,IF(MATCHED!AQ49=7,MATCHED!$H49,"")))))))&amp;IF(MATCHED!AQ49=8,MATCHED!$I49,IF(MATCHED!AQ49=9,MATCHED!$J49,IF(MATCHED!AQ49=10,MATCHED!$K49,IF(MATCHED!AQ49=11,MATCHED!$L49,IF(MATCHED!AQ49=12,MATCHED!$M49,IF(MATCHED!AQ49=13,MATCHED!$N49,IF(MATCHED!AQ49=14,MATCHED!$O49,"")))))))&amp;IF(MATCHED!AQ49=15,MATCHED!$P49,IF(MATCHED!AQ49=16,MATCHED!$Q49,IF(MATCHED!AQ49=17,MATCHED!$R49,IF(MATCHED!AQ49=18,MATCHED!$S49,IF(MATCHED!AQ49=19,MATCHED!$T49,IF(MATCHED!AQ49=20,MATCHED!$U49,IF(MATCHED!AQ49=21,MATCHED!$V49,)))))))&amp;IF(MATCHED!AQ49=22,MATCHED!$W49,IF(MATCHED!AQ49=23,MATCHED!$X49,IF(MATCHED!AQ49=24,MATCHED!$Y49,IF(MATCHED!AQ49=25,MATCHED!$Z49,IF(MATCHED!AQ49=26,MATCHED!$AA49,IF(MATCHED!AQ49=27,MATCHED!$AB49,"."))))))</f>
        <v>#N/A</v>
      </c>
      <c r="P49" s="356" t="e">
        <f>IF(MATCHED!AR49=1,MATCHED!$B49,IF(MATCHED!AR49=2,MATCHED!$C49,IF(MATCHED!AR49=3,MATCHED!$D49,IF(MATCHED!AR49=4,MATCHED!$E49,IF(MATCHED!AR49=3,MATCHED!$F49,IF(MATCHED!AR49=6,MATCHED!$G49,IF(MATCHED!AR49=7,MATCHED!$H49,"")))))))&amp;IF(MATCHED!AR49=8,MATCHED!$I49,IF(MATCHED!AR49=9,MATCHED!$J49,IF(MATCHED!AR49=10,MATCHED!$K49,IF(MATCHED!AR49=11,MATCHED!$L49,IF(MATCHED!AR49=12,MATCHED!$M49,IF(MATCHED!AR49=13,MATCHED!$N49,IF(MATCHED!AR49=14,MATCHED!$O49,"")))))))&amp;IF(MATCHED!AR49=15,MATCHED!$P49,IF(MATCHED!AR49=16,MATCHED!$Q49,IF(MATCHED!AR49=17,MATCHED!$R49,IF(MATCHED!AR49=18,MATCHED!$S49,IF(MATCHED!AR49=19,MATCHED!$T49,IF(MATCHED!AR49=20,MATCHED!$U49,IF(MATCHED!AR49=21,MATCHED!$V49,)))))))&amp;IF(MATCHED!AR49=22,MATCHED!$W49,IF(MATCHED!AR49=23,MATCHED!$X49,IF(MATCHED!AR49=24,MATCHED!$Y49,IF(MATCHED!AR49=25,MATCHED!$Z49,IF(MATCHED!AR49=26,MATCHED!$AA49,IF(MATCHED!AR49=27,MATCHED!$AB49,"."))))))</f>
        <v>#N/A</v>
      </c>
      <c r="Q49" s="357" t="e">
        <f>IF(MATCHED!AS49=1,MATCHED!$B49,IF(MATCHED!AS49=2,MATCHED!$C49,IF(MATCHED!AS49=3,MATCHED!$D49,IF(MATCHED!AS49=4,MATCHED!$E49,IF(MATCHED!AS49=3,MATCHED!$F49,IF(MATCHED!AS49=6,MATCHED!$G49,IF(MATCHED!AS49=7,MATCHED!$H49,"")))))))&amp;IF(MATCHED!AS49=8,MATCHED!$I49,IF(MATCHED!AS49=9,MATCHED!$J49,IF(MATCHED!AS49=10,MATCHED!$K49,IF(MATCHED!AS49=11,MATCHED!$L49,IF(MATCHED!AS49=12,MATCHED!$M49,IF(MATCHED!AS49=13,MATCHED!$N49,IF(MATCHED!AS49=14,MATCHED!$O49,"")))))))&amp;IF(MATCHED!AS49=15,MATCHED!$P49,IF(MATCHED!AS49=16,MATCHED!$Q49,IF(MATCHED!AS49=17,MATCHED!$R49,IF(MATCHED!AS49=18,MATCHED!$S49,IF(MATCHED!AS49=19,MATCHED!$T49,IF(MATCHED!AS49=20,MATCHED!$U49,IF(MATCHED!AS49=21,MATCHED!$V49,)))))))&amp;IF(MATCHED!AS49=22,MATCHED!$W49,IF(MATCHED!AS49=23,MATCHED!$X49,IF(MATCHED!AS49=24,MATCHED!$Y49,IF(MATCHED!AS49=25,MATCHED!$Z49,IF(MATCHED!AS49=26,MATCHED!$AA49,IF(MATCHED!AS49=27,MATCHED!$AB49,"."))))))</f>
        <v>#N/A</v>
      </c>
      <c r="R49" s="356" t="e">
        <f>IF(MATCHED!AT49=1,MATCHED!$B49,IF(MATCHED!AT49=2,MATCHED!$C49,IF(MATCHED!AT49=3,MATCHED!$D49,IF(MATCHED!AT49=4,MATCHED!$E49,IF(MATCHED!AT49=3,MATCHED!$F49,IF(MATCHED!AT49=6,MATCHED!$G49,IF(MATCHED!AT49=7,MATCHED!$H49,"")))))))&amp;IF(MATCHED!AT49=8,MATCHED!$I49,IF(MATCHED!AT49=9,MATCHED!$J49,IF(MATCHED!AT49=10,MATCHED!$K49,IF(MATCHED!AT49=11,MATCHED!$L49,IF(MATCHED!AT49=12,MATCHED!$M49,IF(MATCHED!AT49=13,MATCHED!$N49,IF(MATCHED!AT49=14,MATCHED!$O49,"")))))))&amp;IF(MATCHED!AT49=15,MATCHED!$P49,IF(MATCHED!AT49=16,MATCHED!$Q49,IF(MATCHED!AT49=17,MATCHED!$R49,IF(MATCHED!AT49=18,MATCHED!$S49,IF(MATCHED!AT49=19,MATCHED!$T49,IF(MATCHED!AT49=20,MATCHED!$U49,IF(MATCHED!AT49=21,MATCHED!$V49,)))))))&amp;IF(MATCHED!AT49=22,MATCHED!$W49,IF(MATCHED!AT49=23,MATCHED!$X49,IF(MATCHED!AT49=24,MATCHED!$Y49,IF(MATCHED!AT49=25,MATCHED!$Z49,IF(MATCHED!AT49=26,MATCHED!$AA49,IF(MATCHED!AT49=27,MATCHED!$AB49,"."))))))</f>
        <v>#N/A</v>
      </c>
      <c r="S49" s="356" t="e">
        <f>IF(MATCHED!AU49=1,MATCHED!$B49,IF(MATCHED!AU49=2,MATCHED!$C49,IF(MATCHED!AU49=3,MATCHED!$D49,IF(MATCHED!AU49=4,MATCHED!$E49,IF(MATCHED!AU49=3,MATCHED!$F49,IF(MATCHED!AU49=6,MATCHED!$G49,IF(MATCHED!AU49=7,MATCHED!$H49,"")))))))&amp;IF(MATCHED!AU49=8,MATCHED!$I49,IF(MATCHED!AU49=9,MATCHED!$J49,IF(MATCHED!AU49=10,MATCHED!$K49,IF(MATCHED!AU49=11,MATCHED!$L49,IF(MATCHED!AU49=12,MATCHED!$M49,IF(MATCHED!AU49=13,MATCHED!$N49,IF(MATCHED!AU49=14,MATCHED!$O49,"")))))))&amp;IF(MATCHED!AU49=15,MATCHED!$P49,IF(MATCHED!AU49=16,MATCHED!$Q49,IF(MATCHED!AU49=17,MATCHED!$R49,IF(MATCHED!AU49=18,MATCHED!$S49,IF(MATCHED!AU49=19,MATCHED!$T49,IF(MATCHED!AU49=20,MATCHED!$U49,IF(MATCHED!AU49=21,MATCHED!$V49,)))))))&amp;IF(MATCHED!AU49=22,MATCHED!$W49,IF(MATCHED!AU49=23,MATCHED!$X49,IF(MATCHED!AU49=24,MATCHED!$Y49,IF(MATCHED!AU49=25,MATCHED!$Z49,IF(MATCHED!AU49=26,MATCHED!$AA49,IF(MATCHED!AU49=27,MATCHED!$AB49,"."))))))</f>
        <v>#N/A</v>
      </c>
      <c r="T49" s="356" t="e">
        <f>IF(MATCHED!AV49=1,MATCHED!$B49,IF(MATCHED!AV49=2,MATCHED!$C49,IF(MATCHED!AV49=3,MATCHED!$D49,IF(MATCHED!AV49=4,MATCHED!$E49,IF(MATCHED!AV49=3,MATCHED!$F49,IF(MATCHED!AV49=6,MATCHED!$G49,IF(MATCHED!AV49=7,MATCHED!$H49,"")))))))&amp;IF(MATCHED!AV49=8,MATCHED!$I49,IF(MATCHED!AV49=9,MATCHED!$J49,IF(MATCHED!AV49=10,MATCHED!$K49,IF(MATCHED!AV49=11,MATCHED!$L49,IF(MATCHED!AV49=12,MATCHED!$M49,IF(MATCHED!AV49=13,MATCHED!$N49,IF(MATCHED!AV49=14,MATCHED!$O49,"")))))))&amp;IF(MATCHED!AV49=15,MATCHED!$P49,IF(MATCHED!AV49=16,MATCHED!$Q49,IF(MATCHED!AV49=17,MATCHED!$R49,IF(MATCHED!AV49=18,MATCHED!$S49,IF(MATCHED!AV49=19,MATCHED!$T49,IF(MATCHED!AV49=20,MATCHED!$U49,IF(MATCHED!AV49=21,MATCHED!$V49,)))))))&amp;IF(MATCHED!AV49=22,MATCHED!$W49,IF(MATCHED!AV49=23,MATCHED!$X49,IF(MATCHED!AV49=24,MATCHED!$Y49,IF(MATCHED!AV49=25,MATCHED!$Z49,IF(MATCHED!AV49=26,MATCHED!$AA49,IF(MATCHED!AV49=27,MATCHED!$AB49,"."))))))</f>
        <v>#N/A</v>
      </c>
      <c r="U49" s="356" t="e">
        <f>IF(MATCHED!AW49=1,MATCHED!$B49,IF(MATCHED!AW49=2,MATCHED!$C49,IF(MATCHED!AW49=3,MATCHED!$D49,IF(MATCHED!AW49=4,MATCHED!$E49,IF(MATCHED!AW49=3,MATCHED!$F49,IF(MATCHED!AW49=6,MATCHED!$G49,IF(MATCHED!AW49=7,MATCHED!$H49,"")))))))&amp;IF(MATCHED!AW49=8,MATCHED!$I49,IF(MATCHED!AW49=9,MATCHED!$J49,IF(MATCHED!AW49=10,MATCHED!$K49,IF(MATCHED!AW49=11,MATCHED!$L49,IF(MATCHED!AW49=12,MATCHED!$M49,IF(MATCHED!AW49=13,MATCHED!$N49,IF(MATCHED!AW49=14,MATCHED!$O49,"")))))))&amp;IF(MATCHED!AW49=15,MATCHED!$P49,IF(MATCHED!AW49=16,MATCHED!$Q49,IF(MATCHED!AW49=17,MATCHED!$R49,IF(MATCHED!AW49=18,MATCHED!$S49,IF(MATCHED!AW49=19,MATCHED!$T49,IF(MATCHED!AW49=20,MATCHED!$U49,IF(MATCHED!AW49=21,MATCHED!$V49,)))))))&amp;IF(MATCHED!AW49=22,MATCHED!$W49,IF(MATCHED!AW49=23,MATCHED!$X49,IF(MATCHED!AW49=24,MATCHED!$Y49,IF(MATCHED!AW49=25,MATCHED!$Z49,IF(MATCHED!AW49=26,MATCHED!$AA49,IF(MATCHED!AW49=27,MATCHED!$AB49,"."))))))</f>
        <v>#N/A</v>
      </c>
      <c r="V49" s="356" t="e">
        <f>IF(MATCHED!AX49=1,MATCHED!$B49,IF(MATCHED!AX49=2,MATCHED!$C49,IF(MATCHED!AX49=3,MATCHED!$D49,IF(MATCHED!AX49=4,MATCHED!$E49,IF(MATCHED!AX49=3,MATCHED!$F49,IF(MATCHED!AX49=6,MATCHED!$G49,IF(MATCHED!AX49=7,MATCHED!$H49,"")))))))&amp;IF(MATCHED!AX49=8,MATCHED!$I49,IF(MATCHED!AX49=9,MATCHED!$J49,IF(MATCHED!AX49=10,MATCHED!$K49,IF(MATCHED!AX49=11,MATCHED!$L49,IF(MATCHED!AX49=12,MATCHED!$M49,IF(MATCHED!AX49=13,MATCHED!$N49,IF(MATCHED!AX49=14,MATCHED!$O49,"")))))))&amp;IF(MATCHED!AX49=15,MATCHED!$P49,IF(MATCHED!AX49=16,MATCHED!$Q49,IF(MATCHED!AX49=17,MATCHED!$R49,IF(MATCHED!AX49=18,MATCHED!$S49,IF(MATCHED!AX49=19,MATCHED!$T49,IF(MATCHED!AX49=20,MATCHED!$U49,IF(MATCHED!AX49=21,MATCHED!$V49,)))))))&amp;IF(MATCHED!AX49=22,MATCHED!$W49,IF(MATCHED!AX49=23,MATCHED!$X49,IF(MATCHED!AX49=24,MATCHED!$Y49,IF(MATCHED!AX49=25,MATCHED!$Z49,IF(MATCHED!AX49=26,MATCHED!$AA49,IF(MATCHED!AX49=27,MATCHED!$AB49,"."))))))</f>
        <v>#N/A</v>
      </c>
      <c r="W49" s="356" t="e">
        <f>IF(MATCHED!AY49=1,MATCHED!$B49,IF(MATCHED!AY49=2,MATCHED!$C49,IF(MATCHED!AY49=3,MATCHED!$D49,IF(MATCHED!AY49=4,MATCHED!$E49,IF(MATCHED!AY49=3,MATCHED!$F49,IF(MATCHED!AY49=6,MATCHED!$G49,IF(MATCHED!AY49=7,MATCHED!$H49,"")))))))&amp;IF(MATCHED!AY49=8,MATCHED!$I49,IF(MATCHED!AY49=9,MATCHED!$J49,IF(MATCHED!AY49=10,MATCHED!$K49,IF(MATCHED!AY49=11,MATCHED!$L49,IF(MATCHED!AY49=12,MATCHED!$M49,IF(MATCHED!AY49=13,MATCHED!$N49,IF(MATCHED!AY49=14,MATCHED!$O49,"")))))))&amp;IF(MATCHED!AY49=15,MATCHED!$P49,IF(MATCHED!AY49=16,MATCHED!$Q49,IF(MATCHED!AY49=17,MATCHED!$R49,IF(MATCHED!AY49=18,MATCHED!$S49,IF(MATCHED!AY49=19,MATCHED!$T49,IF(MATCHED!AY49=20,MATCHED!$U49,IF(MATCHED!AY49=21,MATCHED!$V49,)))))))&amp;IF(MATCHED!AY49=22,MATCHED!$W49,IF(MATCHED!AY49=23,MATCHED!$X49,IF(MATCHED!AY49=24,MATCHED!$Y49,IF(MATCHED!AY49=25,MATCHED!$Z49,IF(MATCHED!AY49=26,MATCHED!$AA49,IF(MATCHED!AY49=27,MATCHED!$AB49,"."))))))</f>
        <v>#N/A</v>
      </c>
      <c r="X49" s="356" t="e">
        <f>IF(MATCHED!AZ49=1,MATCHED!$B49,IF(MATCHED!AZ49=2,MATCHED!$C49,IF(MATCHED!AZ49=3,MATCHED!$D49,IF(MATCHED!AZ49=4,MATCHED!$E49,IF(MATCHED!AZ49=3,MATCHED!$F49,IF(MATCHED!AZ49=6,MATCHED!$G49,IF(MATCHED!AZ49=7,MATCHED!$H49,"")))))))&amp;IF(MATCHED!AZ49=8,MATCHED!$I49,IF(MATCHED!AZ49=9,MATCHED!$J49,IF(MATCHED!AZ49=10,MATCHED!$K49,IF(MATCHED!AZ49=11,MATCHED!$L49,IF(MATCHED!AZ49=12,MATCHED!$M49,IF(MATCHED!AZ49=13,MATCHED!$N49,IF(MATCHED!AZ49=14,MATCHED!$O49,"")))))))&amp;IF(MATCHED!AZ49=15,MATCHED!$P49,IF(MATCHED!AZ49=16,MATCHED!$Q49,IF(MATCHED!AZ49=17,MATCHED!$R49,IF(MATCHED!AZ49=18,MATCHED!$S49,IF(MATCHED!AZ49=19,MATCHED!$T49,IF(MATCHED!AZ49=20,MATCHED!$U49,IF(MATCHED!AZ49=21,MATCHED!$V49,)))))))&amp;IF(MATCHED!AZ49=22,MATCHED!$W49,IF(MATCHED!AZ49=23,MATCHED!$X49,IF(MATCHED!AZ49=24,MATCHED!$Y49,IF(MATCHED!AZ49=25,MATCHED!$Z49,IF(MATCHED!AZ49=26,MATCHED!$AA49,IF(MATCHED!AZ49=27,MATCHED!$AB49,"."))))))</f>
        <v>#N/A</v>
      </c>
      <c r="Y49" s="356" t="e">
        <f>IF(MATCHED!BA49=1,MATCHED!$B49,IF(MATCHED!BA49=2,MATCHED!$C49,IF(MATCHED!BA49=3,MATCHED!$D49,IF(MATCHED!BA49=4,MATCHED!$E49,IF(MATCHED!BA49=3,MATCHED!$F49,IF(MATCHED!BA49=6,MATCHED!$G49,IF(MATCHED!BA49=7,MATCHED!$H49,"")))))))&amp;IF(MATCHED!BA49=8,MATCHED!$I49,IF(MATCHED!BA49=9,MATCHED!$J49,IF(MATCHED!BA49=10,MATCHED!$K49,IF(MATCHED!BA49=11,MATCHED!$L49,IF(MATCHED!BA49=12,MATCHED!$M49,IF(MATCHED!BA49=13,MATCHED!$N49,IF(MATCHED!BA49=14,MATCHED!$O49,"")))))))&amp;IF(MATCHED!BA49=15,MATCHED!$P49,IF(MATCHED!BA49=16,MATCHED!$Q49,IF(MATCHED!BA49=17,MATCHED!$R49,IF(MATCHED!BA49=18,MATCHED!$S49,IF(MATCHED!BA49=19,MATCHED!$T49,IF(MATCHED!BA49=20,MATCHED!$U49,IF(MATCHED!BA49=21,MATCHED!$V49,)))))))&amp;IF(MATCHED!BA49=22,MATCHED!$W49,IF(MATCHED!BA49=23,MATCHED!$X49,IF(MATCHED!BA49=24,MATCHED!$Y49,IF(MATCHED!BA49=25,MATCHED!$Z49,IF(MATCHED!BA49=26,MATCHED!$AA49,IF(MATCHED!BA49=27,MATCHED!$AB49,"."))))))</f>
        <v>#N/A</v>
      </c>
      <c r="Z49" s="356" t="e">
        <f>IF(MATCHED!BB49=1,MATCHED!$B49,IF(MATCHED!BB49=2,MATCHED!$C49,IF(MATCHED!BB49=3,MATCHED!$D49,IF(MATCHED!BB49=4,MATCHED!$E49,IF(MATCHED!BB49=3,MATCHED!$F49,IF(MATCHED!BB49=6,MATCHED!$G49,IF(MATCHED!BB49=7,MATCHED!$H49,"")))))))&amp;IF(MATCHED!BB49=8,MATCHED!$I49,IF(MATCHED!BB49=9,MATCHED!$J49,IF(MATCHED!BB49=10,MATCHED!$K49,IF(MATCHED!BB49=11,MATCHED!$L49,IF(MATCHED!BB49=12,MATCHED!$M49,IF(MATCHED!BB49=13,MATCHED!$N49,IF(MATCHED!BB49=14,MATCHED!$O49,"")))))))&amp;IF(MATCHED!BB49=15,MATCHED!$P49,IF(MATCHED!BB49=16,MATCHED!$Q49,IF(MATCHED!BB49=17,MATCHED!$R49,IF(MATCHED!BB49=18,MATCHED!$S49,IF(MATCHED!BB49=19,MATCHED!$T49,IF(MATCHED!BB49=20,MATCHED!$U49,IF(MATCHED!BB49=21,MATCHED!$V49,)))))))&amp;IF(MATCHED!BB49=22,MATCHED!$W49,IF(MATCHED!BB49=23,MATCHED!$X49,IF(MATCHED!BB49=24,MATCHED!$Y49,IF(MATCHED!BB49=25,MATCHED!$Z49,IF(MATCHED!BB49=26,MATCHED!$AA49,IF(MATCHED!BB49=27,MATCHED!$AB49,"."))))))</f>
        <v>#N/A</v>
      </c>
      <c r="AA49" s="356" t="e">
        <f>IF(MATCHED!BC49=1,MATCHED!$B49,IF(MATCHED!BC49=2,MATCHED!$C49,IF(MATCHED!BC49=3,MATCHED!$D49,IF(MATCHED!BC49=4,MATCHED!$E49,IF(MATCHED!BC49=3,MATCHED!$F49,IF(MATCHED!BC49=6,MATCHED!$G49,IF(MATCHED!BC49=7,MATCHED!$H49,"")))))))&amp;IF(MATCHED!BC49=8,MATCHED!$I49,IF(MATCHED!BC49=9,MATCHED!$J49,IF(MATCHED!BC49=10,MATCHED!$K49,IF(MATCHED!BC49=11,MATCHED!$L49,IF(MATCHED!BC49=12,MATCHED!$M49,IF(MATCHED!BC49=13,MATCHED!$N49,IF(MATCHED!BC49=14,MATCHED!$O49,"")))))))&amp;IF(MATCHED!BC49=15,MATCHED!$P49,IF(MATCHED!BC49=16,MATCHED!$Q49,IF(MATCHED!BC49=17,MATCHED!$R49,IF(MATCHED!BC49=18,MATCHED!$S49,IF(MATCHED!BC49=19,MATCHED!$T49,IF(MATCHED!BC49=20,MATCHED!$U49,IF(MATCHED!BC49=21,MATCHED!$V49,)))))))&amp;IF(MATCHED!BC49=22,MATCHED!$W49,IF(MATCHED!BC49=23,MATCHED!$X49,IF(MATCHED!BC49=24,MATCHED!$Y49,IF(MATCHED!BC49=25,MATCHED!$Z49,IF(MATCHED!BC49=26,MATCHED!$AA49,IF(MATCHED!BC49=27,MATCHED!$AB49,"."))))))</f>
        <v>#N/A</v>
      </c>
      <c r="AB49" s="356" t="e">
        <f>IF(MATCHED!BD49=1,MATCHED!$B49,IF(MATCHED!BD49=2,MATCHED!$C49,IF(MATCHED!BD49=3,MATCHED!$D49,IF(MATCHED!BD49=4,MATCHED!$E49,IF(MATCHED!BD49=3,MATCHED!$F49,IF(MATCHED!BD49=6,MATCHED!$G49,IF(MATCHED!BD49=7,MATCHED!$H49,"")))))))&amp;IF(MATCHED!BD49=8,MATCHED!$I49,IF(MATCHED!BD49=9,MATCHED!$J49,IF(MATCHED!BD49=10,MATCHED!$K49,IF(MATCHED!BD49=11,MATCHED!$L49,IF(MATCHED!BD49=12,MATCHED!$M49,IF(MATCHED!BD49=13,MATCHED!$N49,IF(MATCHED!BD49=14,MATCHED!$O49,"")))))))&amp;IF(MATCHED!BD49=15,MATCHED!$P49,IF(MATCHED!BD49=16,MATCHED!$Q49,IF(MATCHED!BD49=17,MATCHED!$R49,IF(MATCHED!BD49=18,MATCHED!$S49,IF(MATCHED!BD49=19,MATCHED!$T49,IF(MATCHED!BD49=20,MATCHED!$U49,IF(MATCHED!BD49=21,MATCHED!$V49,)))))))&amp;IF(MATCHED!BD49=22,MATCHED!$W49,IF(MATCHED!BD49=23,MATCHED!$X49,IF(MATCHED!BD49=24,MATCHED!$Y49,IF(MATCHED!BD49=25,MATCHED!$Z49,IF(MATCHED!BD49=26,MATCHED!$AA49,IF(MATCHED!BD49=27,MATCHED!$AB49,"."))))))</f>
        <v>#N/A</v>
      </c>
      <c r="AC49" s="356" t="e">
        <f>IF(MATCHED!BE49=1,MATCHED!$B49,IF(MATCHED!BE49=2,MATCHED!$C49,IF(MATCHED!BE49=3,MATCHED!$D49,IF(MATCHED!BE49=4,MATCHED!$E49,IF(MATCHED!BE49=3,MATCHED!$F49,IF(MATCHED!BE49=6,MATCHED!$G49,IF(MATCHED!BE49=7,MATCHED!$H49,"")))))))&amp;IF(MATCHED!BE49=8,MATCHED!$I49,IF(MATCHED!BE49=9,MATCHED!$J49,IF(MATCHED!BE49=10,MATCHED!$K49,IF(MATCHED!BE49=11,MATCHED!$L49,IF(MATCHED!BE49=12,MATCHED!$M49,IF(MATCHED!BE49=13,MATCHED!$N49,IF(MATCHED!BE49=14,MATCHED!$O49,"")))))))&amp;IF(MATCHED!BE49=15,MATCHED!$P49,IF(MATCHED!BE49=16,MATCHED!$Q49,IF(MATCHED!BE49=17,MATCHED!$R49,IF(MATCHED!BE49=18,MATCHED!$S49,IF(MATCHED!BE49=19,MATCHED!$T49,IF(MATCHED!BE49=20,MATCHED!$U49,IF(MATCHED!BE49=21,MATCHED!$V49,)))))))&amp;IF(MATCHED!BE49=22,MATCHED!$W49,IF(MATCHED!BE49=23,MATCHED!$X49,IF(MATCHED!BE49=24,MATCHED!$Y49,IF(MATCHED!BE49=25,MATCHED!$Z49,IF(MATCHED!BE49=26,MATCHED!$AA49,IF(MATCHED!BE49=27,MATCHED!$AB49,"."))))))</f>
        <v>#N/A</v>
      </c>
      <c r="AD49" s="356" t="e">
        <f>IF(MATCHED!BF49=1,MATCHED!$B49,IF(MATCHED!BF49=2,MATCHED!$C49,IF(MATCHED!BF49=3,MATCHED!$D49,IF(MATCHED!BF49=4,MATCHED!$E49,IF(MATCHED!BF49=3,MATCHED!$F49,IF(MATCHED!BF49=6,MATCHED!$G49,IF(MATCHED!BF49=7,MATCHED!$H49,"")))))))&amp;IF(MATCHED!BF49=8,MATCHED!$I49,IF(MATCHED!BF49=9,MATCHED!$J49,IF(MATCHED!BF49=10,MATCHED!$K49,IF(MATCHED!BF49=11,MATCHED!$L49,IF(MATCHED!BF49=12,MATCHED!$M49,IF(MATCHED!BF49=13,MATCHED!$N49,IF(MATCHED!BF49=14,MATCHED!$O49,"")))))))&amp;IF(MATCHED!BF49=15,MATCHED!$P49,IF(MATCHED!BF49=16,MATCHED!$Q49,IF(MATCHED!BF49=17,MATCHED!$R49,IF(MATCHED!BF49=18,MATCHED!$S49,IF(MATCHED!BF49=19,MATCHED!$T49,IF(MATCHED!BF49=20,MATCHED!$U49,IF(MATCHED!BF49=21,MATCHED!$V49,)))))))&amp;IF(MATCHED!BF49=22,MATCHED!$W49,IF(MATCHED!BF49=23,MATCHED!$X49,IF(MATCHED!BF49=24,MATCHED!$Y49,IF(MATCHED!BF49=25,MATCHED!$Z49,IF(MATCHED!BF49=26,MATCHED!$AA49,IF(MATCHED!BF49=27,MATCHED!$AB49,"."))))))</f>
        <v>#N/A</v>
      </c>
      <c r="AE49" s="356" t="e">
        <f>IF(MATCHED!BG49=1,MATCHED!$B49,IF(MATCHED!BG49=2,MATCHED!$C49,IF(MATCHED!BG49=3,MATCHED!$D49,IF(MATCHED!BG49=4,MATCHED!$E49,IF(MATCHED!BG49=3,MATCHED!$F49,IF(MATCHED!BG49=6,MATCHED!$G49,IF(MATCHED!BG49=7,MATCHED!$H49,"")))))))&amp;IF(MATCHED!BG49=8,MATCHED!$I49,IF(MATCHED!BG49=9,MATCHED!$J49,IF(MATCHED!BG49=10,MATCHED!$K49,IF(MATCHED!BG49=11,MATCHED!$L49,IF(MATCHED!BG49=12,MATCHED!$M49,IF(MATCHED!BG49=13,MATCHED!$N49,IF(MATCHED!BG49=14,MATCHED!$O49,"")))))))&amp;IF(MATCHED!BG49=15,MATCHED!$P49,IF(MATCHED!BG49=16,MATCHED!$Q49,IF(MATCHED!BG49=17,MATCHED!$R49,IF(MATCHED!BG49=18,MATCHED!$S49,IF(MATCHED!BG49=19,MATCHED!$T49,IF(MATCHED!BG49=20,MATCHED!$U49,IF(MATCHED!BG49=21,MATCHED!$V49,)))))))&amp;IF(MATCHED!BG49=22,MATCHED!$W49,IF(MATCHED!BG49=23,MATCHED!$X49,IF(MATCHED!BG49=24,MATCHED!$Y49,IF(MATCHED!BG49=25,MATCHED!$Z49,IF(MATCHED!BG49=26,MATCHED!$AA49,IF(MATCHED!BG49=27,MATCHED!$AB49,"."))))))</f>
        <v>#N/A</v>
      </c>
      <c r="AF49" s="356" t="e">
        <f>IF(MATCHED!BH49=1,MATCHED!$B49,IF(MATCHED!BH49=2,MATCHED!$C49,IF(MATCHED!BH49=3,MATCHED!$D49,IF(MATCHED!BH49=4,MATCHED!$E49,IF(MATCHED!BH49=3,MATCHED!$F49,IF(MATCHED!BH49=6,MATCHED!$G49,IF(MATCHED!BH49=7,MATCHED!$H49,"")))))))&amp;IF(MATCHED!BH49=8,MATCHED!$I49,IF(MATCHED!BH49=9,MATCHED!$J49,IF(MATCHED!BH49=10,MATCHED!$K49,IF(MATCHED!BH49=11,MATCHED!$L49,IF(MATCHED!BH49=12,MATCHED!$M49,IF(MATCHED!BH49=13,MATCHED!$N49,IF(MATCHED!BH49=14,MATCHED!$O49,"")))))))&amp;IF(MATCHED!BH49=15,MATCHED!$P49,IF(MATCHED!BH49=16,MATCHED!$Q49,IF(MATCHED!BH49=17,MATCHED!$R49,IF(MATCHED!BH49=18,MATCHED!$S49,IF(MATCHED!BH49=19,MATCHED!$T49,IF(MATCHED!BH49=20,MATCHED!$U49,IF(MATCHED!BH49=21,MATCHED!$V49,)))))))&amp;IF(MATCHED!BH49=22,MATCHED!$W49,IF(MATCHED!BH49=23,MATCHED!$X49,IF(MATCHED!BH49=24,MATCHED!$Y49,IF(MATCHED!BH49=25,MATCHED!$Z49,IF(MATCHED!BH49=26,MATCHED!$AA49,IF(MATCHED!BH49=27,MATCHED!$AB49,"."))))))</f>
        <v>#N/A</v>
      </c>
      <c r="AG49" s="356" t="e">
        <f>IF(MATCHED!BI49=1,MATCHED!$B49,IF(MATCHED!BI49=2,MATCHED!$C49,IF(MATCHED!BI49=3,MATCHED!$D49,IF(MATCHED!BI49=4,MATCHED!$E49,IF(MATCHED!BI49=3,MATCHED!$F49,IF(MATCHED!BI49=6,MATCHED!$G49,IF(MATCHED!BI49=7,MATCHED!$H49,"")))))))&amp;IF(MATCHED!BI49=8,MATCHED!$I49,IF(MATCHED!BI49=9,MATCHED!$J49,IF(MATCHED!BI49=10,MATCHED!$K49,IF(MATCHED!BI49=11,MATCHED!$L49,IF(MATCHED!BI49=12,MATCHED!$M49,IF(MATCHED!BI49=13,MATCHED!$N49,IF(MATCHED!BI49=14,MATCHED!$O49,"")))))))&amp;IF(MATCHED!BI49=15,MATCHED!$P49,IF(MATCHED!BI49=16,MATCHED!$Q49,IF(MATCHED!BI49=17,MATCHED!$R49,IF(MATCHED!BI49=18,MATCHED!$S49,IF(MATCHED!BI49=19,MATCHED!$T49,IF(MATCHED!BI49=20,MATCHED!$U49,IF(MATCHED!BI49=21,MATCHED!$V49,)))))))&amp;IF(MATCHED!BI49=22,MATCHED!$W49,IF(MATCHED!BI49=23,MATCHED!$X49,IF(MATCHED!BI49=24,MATCHED!$Y49,IF(MATCHED!BI49=25,MATCHED!$Z49,IF(MATCHED!BI49=26,MATCHED!$AA49,IF(MATCHED!BI49=27,MATCHED!$AB49,"."))))))</f>
        <v>#N/A</v>
      </c>
      <c r="AH49" s="356" t="e">
        <f>IF(MATCHED!BJ49=1,MATCHED!$B49,IF(MATCHED!BJ49=2,MATCHED!$C49,IF(MATCHED!BJ49=3,MATCHED!$D49,IF(MATCHED!BJ49=4,MATCHED!$E49,IF(MATCHED!BJ49=3,MATCHED!$F49,IF(MATCHED!BJ49=6,MATCHED!$G49,IF(MATCHED!BJ49=7,MATCHED!$H49,"")))))))&amp;IF(MATCHED!BJ49=8,MATCHED!$I49,IF(MATCHED!BJ49=9,MATCHED!$J49,IF(MATCHED!BJ49=10,MATCHED!$K49,IF(MATCHED!BJ49=11,MATCHED!$L49,IF(MATCHED!BJ49=12,MATCHED!$M49,IF(MATCHED!BJ49=13,MATCHED!$N49,IF(MATCHED!BJ49=14,MATCHED!$O49,"")))))))&amp;IF(MATCHED!BJ49=15,MATCHED!$P49,IF(MATCHED!BJ49=16,MATCHED!$Q49,IF(MATCHED!BJ49=17,MATCHED!$R49,IF(MATCHED!BJ49=18,MATCHED!$S49,IF(MATCHED!BJ49=19,MATCHED!$T49,IF(MATCHED!BJ49=20,MATCHED!$U49,IF(MATCHED!BJ49=21,MATCHED!$V49,)))))))&amp;IF(MATCHED!BJ49=22,MATCHED!$W49,IF(MATCHED!BJ49=23,MATCHED!$X49,IF(MATCHED!BJ49=24,MATCHED!$Y49,IF(MATCHED!BJ49=25,MATCHED!$Z49,IF(MATCHED!BJ49=26,MATCHED!$AA49,IF(MATCHED!BJ49=27,MATCHED!$AB49,"."))))))</f>
        <v>#N/A</v>
      </c>
      <c r="AI49" s="356" t="e">
        <f>IF(MATCHED!BK49=1,MATCHED!$B49,IF(MATCHED!BK49=2,MATCHED!$C49,IF(MATCHED!BK49=3,MATCHED!$D49,IF(MATCHED!BK49=4,MATCHED!$E49,IF(MATCHED!BK49=3,MATCHED!$F49,IF(MATCHED!BK49=6,MATCHED!$G49,IF(MATCHED!BK49=7,MATCHED!$H49,"")))))))&amp;IF(MATCHED!BK49=8,MATCHED!$I49,IF(MATCHED!BK49=9,MATCHED!$J49,IF(MATCHED!BK49=10,MATCHED!$K49,IF(MATCHED!BK49=11,MATCHED!$L49,IF(MATCHED!BK49=12,MATCHED!$M49,IF(MATCHED!BK49=13,MATCHED!$N49,IF(MATCHED!BK49=14,MATCHED!$O49,"")))))))&amp;IF(MATCHED!BK49=15,MATCHED!$P49,IF(MATCHED!BK49=16,MATCHED!$Q49,IF(MATCHED!BK49=17,MATCHED!$R49,IF(MATCHED!BK49=18,MATCHED!$S49,IF(MATCHED!BK49=19,MATCHED!$T49,IF(MATCHED!BK49=20,MATCHED!$U49,IF(MATCHED!BK49=21,MATCHED!$V49,)))))))&amp;IF(MATCHED!BK49=22,MATCHED!$W49,IF(MATCHED!BK49=23,MATCHED!$X49,IF(MATCHED!BK49=24,MATCHED!$Y49,IF(MATCHED!BK49=25,MATCHED!$Z49,IF(MATCHED!BK49=26,MATCHED!$AA49,IF(MATCHED!BK49=27,MATCHED!$AB49,"."))))))</f>
        <v>#N/A</v>
      </c>
      <c r="AJ49" s="535"/>
    </row>
    <row r="50" spans="1:36" s="338" customFormat="1" x14ac:dyDescent="0.25">
      <c r="A50" s="535"/>
      <c r="B50" s="355" t="e">
        <f>IF(MATCHED!AD50=1,MATCHED!$B50,IF(MATCHED!AD50=2,MATCHED!$C50,IF(MATCHED!AD50=3,MATCHED!$D50,IF(MATCHED!AD50=4,MATCHED!$E50,IF(MATCHED!AD50=3,MATCHED!$F50,IF(MATCHED!AD50=6,MATCHED!$G50,IF(MATCHED!AD50=7,MATCHED!$H50,"")))))))&amp;IF(MATCHED!AD50=8,MATCHED!$I50,IF(MATCHED!AD50=9,MATCHED!$J50,IF(MATCHED!AD50=10,MATCHED!$K50,IF(MATCHED!AD50=11,MATCHED!$L50,IF(MATCHED!AD50=12,MATCHED!$M50,IF(MATCHED!AD50=13,MATCHED!$N50,IF(MATCHED!AD50=14,MATCHED!$O50,"")))))))&amp;IF(MATCHED!AD50=15,MATCHED!$P50,IF(MATCHED!AD50=16,MATCHED!$Q50,IF(MATCHED!AD50=17,MATCHED!$R50,IF(MATCHED!AD50=18,MATCHED!$S50,IF(MATCHED!AD50=19,MATCHED!$T50,IF(MATCHED!AD50=20,MATCHED!$U50,IF(MATCHED!AD50=21,MATCHED!$V50,)))))))&amp;IF(MATCHED!AD50=22,MATCHED!$W50,IF(MATCHED!AD50=23,MATCHED!$X50,IF(MATCHED!AD50=24,MATCHED!$Y50,IF(MATCHED!AD50=25,MATCHED!$Z50,IF(MATCHED!AD50=26,MATCHED!$AA50,IF(MATCHED!AD50=27,MATCHED!$AB50,"."))))))</f>
        <v>#N/A</v>
      </c>
      <c r="C50" s="356" t="e">
        <f>IF(MATCHED!AE50=1,MATCHED!$B50,IF(MATCHED!AE50=2,MATCHED!$C50,IF(MATCHED!AE50=3,MATCHED!$D50,IF(MATCHED!AE50=4,MATCHED!$E50,IF(MATCHED!AE50=3,MATCHED!$F50,IF(MATCHED!AE50=6,MATCHED!$G50,IF(MATCHED!AE50=7,MATCHED!$H50,"")))))))&amp;IF(MATCHED!AE50=8,MATCHED!$I50,IF(MATCHED!AE50=9,MATCHED!$J50,IF(MATCHED!AE50=10,MATCHED!$K50,IF(MATCHED!AE50=11,MATCHED!$L50,IF(MATCHED!AE50=12,MATCHED!$M50,IF(MATCHED!AE50=13,MATCHED!$N50,IF(MATCHED!AE50=14,MATCHED!$O50,"")))))))&amp;IF(MATCHED!AE50=15,MATCHED!$P50,IF(MATCHED!AE50=16,MATCHED!$Q50,IF(MATCHED!AE50=17,MATCHED!$R50,IF(MATCHED!AE50=18,MATCHED!$S50,IF(MATCHED!AE50=19,MATCHED!$T50,IF(MATCHED!AE50=20,MATCHED!$U50,IF(MATCHED!AE50=21,MATCHED!$V50,)))))))&amp;IF(MATCHED!AE50=22,MATCHED!$W50,IF(MATCHED!AE50=23,MATCHED!$X50,IF(MATCHED!AE50=24,MATCHED!$Y50,IF(MATCHED!AE50=25,MATCHED!$Z50,IF(MATCHED!AE50=26,MATCHED!$AA50,IF(MATCHED!AE50=27,MATCHED!$AB50,"."))))))</f>
        <v>#N/A</v>
      </c>
      <c r="D50" s="356" t="e">
        <f>IF(MATCHED!AF50=1,MATCHED!$B50,IF(MATCHED!AF50=2,MATCHED!$C50,IF(MATCHED!AF50=3,MATCHED!$D50,IF(MATCHED!AF50=4,MATCHED!$E50,IF(MATCHED!AF50=3,MATCHED!$F50,IF(MATCHED!AF50=6,MATCHED!$G50,IF(MATCHED!AF50=7,MATCHED!$H50,"")))))))&amp;IF(MATCHED!AF50=8,MATCHED!$I50,IF(MATCHED!AF50=9,MATCHED!$J50,IF(MATCHED!AF50=10,MATCHED!$K50,IF(MATCHED!AF50=11,MATCHED!$L50,IF(MATCHED!AF50=12,MATCHED!$M50,IF(MATCHED!AF50=13,MATCHED!$N50,IF(MATCHED!AF50=14,MATCHED!$O50,"")))))))&amp;IF(MATCHED!AF50=15,MATCHED!$P50,IF(MATCHED!AF50=16,MATCHED!$Q50,IF(MATCHED!AF50=17,MATCHED!$R50,IF(MATCHED!AF50=18,MATCHED!$S50,IF(MATCHED!AF50=19,MATCHED!$T50,IF(MATCHED!AF50=20,MATCHED!$U50,IF(MATCHED!AF50=21,MATCHED!$V50,)))))))&amp;IF(MATCHED!AF50=22,MATCHED!$W50,IF(MATCHED!AF50=23,MATCHED!$X50,IF(MATCHED!AF50=24,MATCHED!$Y50,IF(MATCHED!AF50=25,MATCHED!$Z50,IF(MATCHED!AF50=26,MATCHED!$AA50,IF(MATCHED!AF50=27,MATCHED!$AB50,"."))))))</f>
        <v>#N/A</v>
      </c>
      <c r="E50" s="356" t="e">
        <f>IF(MATCHED!AG50=1,MATCHED!$B50,IF(MATCHED!AG50=2,MATCHED!$C50,IF(MATCHED!AG50=3,MATCHED!$D50,IF(MATCHED!AG50=4,MATCHED!$E50,IF(MATCHED!AG50=3,MATCHED!$F50,IF(MATCHED!AG50=6,MATCHED!$G50,IF(MATCHED!AG50=7,MATCHED!$H50,"")))))))&amp;IF(MATCHED!AG50=8,MATCHED!$I50,IF(MATCHED!AG50=9,MATCHED!$J50,IF(MATCHED!AG50=10,MATCHED!$K50,IF(MATCHED!AG50=11,MATCHED!$L50,IF(MATCHED!AG50=12,MATCHED!$M50,IF(MATCHED!AG50=13,MATCHED!$N50,IF(MATCHED!AG50=14,MATCHED!$O50,"")))))))&amp;IF(MATCHED!AG50=15,MATCHED!$P50,IF(MATCHED!AG50=16,MATCHED!$Q50,IF(MATCHED!AG50=17,MATCHED!$R50,IF(MATCHED!AG50=18,MATCHED!$S50,IF(MATCHED!AG50=19,MATCHED!$T50,IF(MATCHED!AG50=20,MATCHED!$U50,IF(MATCHED!AG50=21,MATCHED!$V50,)))))))&amp;IF(MATCHED!AG50=22,MATCHED!$W50,IF(MATCHED!AG50=23,MATCHED!$X50,IF(MATCHED!AG50=24,MATCHED!$Y50,IF(MATCHED!AG50=25,MATCHED!$Z50,IF(MATCHED!AG50=26,MATCHED!$AA50,IF(MATCHED!AG50=27,MATCHED!$AB50,"."))))))</f>
        <v>#N/A</v>
      </c>
      <c r="F50" s="356" t="e">
        <f>IF(MATCHED!AH50=1,MATCHED!$B50,IF(MATCHED!AH50=2,MATCHED!$C50,IF(MATCHED!AH50=3,MATCHED!$D50,IF(MATCHED!AH50=4,MATCHED!$E50,IF(MATCHED!AH50=3,MATCHED!$F50,IF(MATCHED!AH50=6,MATCHED!$G50,IF(MATCHED!AH50=7,MATCHED!$H50,"")))))))&amp;IF(MATCHED!AH50=8,MATCHED!$I50,IF(MATCHED!AH50=9,MATCHED!$J50,IF(MATCHED!AH50=10,MATCHED!$K50,IF(MATCHED!AH50=11,MATCHED!$L50,IF(MATCHED!AH50=12,MATCHED!$M50,IF(MATCHED!AH50=13,MATCHED!$N50,IF(MATCHED!AH50=14,MATCHED!$O50,"")))))))&amp;IF(MATCHED!AH50=15,MATCHED!$P50,IF(MATCHED!AH50=16,MATCHED!$Q50,IF(MATCHED!AH50=17,MATCHED!$R50,IF(MATCHED!AH50=18,MATCHED!$S50,IF(MATCHED!AH50=19,MATCHED!$T50,IF(MATCHED!AH50=20,MATCHED!$U50,IF(MATCHED!AH50=21,MATCHED!$V50,)))))))&amp;IF(MATCHED!AH50=22,MATCHED!$W50,IF(MATCHED!AH50=23,MATCHED!$X50,IF(MATCHED!AH50=24,MATCHED!$Y50,IF(MATCHED!AH50=25,MATCHED!$Z50,IF(MATCHED!AH50=26,MATCHED!$AA50,IF(MATCHED!AH50=27,MATCHED!$AB50,"."))))))</f>
        <v>#N/A</v>
      </c>
      <c r="G50" s="356" t="e">
        <f>IF(MATCHED!AI50=1,MATCHED!$B50,IF(MATCHED!AI50=2,MATCHED!$C50,IF(MATCHED!AI50=3,MATCHED!$D50,IF(MATCHED!AI50=4,MATCHED!$E50,IF(MATCHED!AI50=3,MATCHED!$F50,IF(MATCHED!AI50=6,MATCHED!$G50,IF(MATCHED!AI50=7,MATCHED!$H50,"")))))))&amp;IF(MATCHED!AI50=8,MATCHED!$I50,IF(MATCHED!AI50=9,MATCHED!$J50,IF(MATCHED!AI50=10,MATCHED!$K50,IF(MATCHED!AI50=11,MATCHED!$L50,IF(MATCHED!AI50=12,MATCHED!$M50,IF(MATCHED!AI50=13,MATCHED!$N50,IF(MATCHED!AI50=14,MATCHED!$O50,"")))))))&amp;IF(MATCHED!AI50=15,MATCHED!$P50,IF(MATCHED!AI50=16,MATCHED!$Q50,IF(MATCHED!AI50=17,MATCHED!$R50,IF(MATCHED!AI50=18,MATCHED!$S50,IF(MATCHED!AI50=19,MATCHED!$T50,IF(MATCHED!AI50=20,MATCHED!$U50,IF(MATCHED!AI50=21,MATCHED!$V50,)))))))&amp;IF(MATCHED!AI50=22,MATCHED!$W50,IF(MATCHED!AI50=23,MATCHED!$X50,IF(MATCHED!AI50=24,MATCHED!$Y50,IF(MATCHED!AI50=25,MATCHED!$Z50,IF(MATCHED!AI50=26,MATCHED!$AA50,IF(MATCHED!AI50=27,MATCHED!$AB50,"."))))))</f>
        <v>#N/A</v>
      </c>
      <c r="H50" s="356" t="e">
        <f>IF(MATCHED!AJ50=1,MATCHED!$B50,IF(MATCHED!AJ50=2,MATCHED!$C50,IF(MATCHED!AJ50=3,MATCHED!$D50,IF(MATCHED!AJ50=4,MATCHED!$E50,IF(MATCHED!AJ50=3,MATCHED!$F50,IF(MATCHED!AJ50=6,MATCHED!$G50,IF(MATCHED!AJ50=7,MATCHED!$H50,"")))))))&amp;IF(MATCHED!AJ50=8,MATCHED!$I50,IF(MATCHED!AJ50=9,MATCHED!$J50,IF(MATCHED!AJ50=10,MATCHED!$K50,IF(MATCHED!AJ50=11,MATCHED!$L50,IF(MATCHED!AJ50=12,MATCHED!$M50,IF(MATCHED!AJ50=13,MATCHED!$N50,IF(MATCHED!AJ50=14,MATCHED!$O50,"")))))))&amp;IF(MATCHED!AJ50=15,MATCHED!$P50,IF(MATCHED!AJ50=16,MATCHED!$Q50,IF(MATCHED!AJ50=17,MATCHED!$R50,IF(MATCHED!AJ50=18,MATCHED!$S50,IF(MATCHED!AJ50=19,MATCHED!$T50,IF(MATCHED!AJ50=20,MATCHED!$U50,IF(MATCHED!AJ50=21,MATCHED!$V50,)))))))&amp;IF(MATCHED!AJ50=22,MATCHED!$W50,IF(MATCHED!AJ50=23,MATCHED!$X50,IF(MATCHED!AJ50=24,MATCHED!$Y50,IF(MATCHED!AJ50=25,MATCHED!$Z50,IF(MATCHED!AJ50=26,MATCHED!$AA50,IF(MATCHED!AJ50=27,MATCHED!$AB50,"."))))))</f>
        <v>#N/A</v>
      </c>
      <c r="I50" s="356" t="e">
        <f>IF(MATCHED!AK50=1,MATCHED!$B50,IF(MATCHED!AK50=2,MATCHED!$C50,IF(MATCHED!AK50=3,MATCHED!$D50,IF(MATCHED!AK50=4,MATCHED!$E50,IF(MATCHED!AK50=3,MATCHED!$F50,IF(MATCHED!AK50=6,MATCHED!$G50,IF(MATCHED!AK50=7,MATCHED!$H50,"")))))))&amp;IF(MATCHED!AK50=8,MATCHED!$I50,IF(MATCHED!AK50=9,MATCHED!$J50,IF(MATCHED!AK50=10,MATCHED!$K50,IF(MATCHED!AK50=11,MATCHED!$L50,IF(MATCHED!AK50=12,MATCHED!$M50,IF(MATCHED!AK50=13,MATCHED!$N50,IF(MATCHED!AK50=14,MATCHED!$O50,"")))))))&amp;IF(MATCHED!AK50=15,MATCHED!$P50,IF(MATCHED!AK50=16,MATCHED!$Q50,IF(MATCHED!AK50=17,MATCHED!$R50,IF(MATCHED!AK50=18,MATCHED!$S50,IF(MATCHED!AK50=19,MATCHED!$T50,IF(MATCHED!AK50=20,MATCHED!$U50,IF(MATCHED!AK50=21,MATCHED!$V50,)))))))&amp;IF(MATCHED!AK50=22,MATCHED!$W50,IF(MATCHED!AK50=23,MATCHED!$X50,IF(MATCHED!AK50=24,MATCHED!$Y50,IF(MATCHED!AK50=25,MATCHED!$Z50,IF(MATCHED!AK50=26,MATCHED!$AA50,IF(MATCHED!AK50=27,MATCHED!$AB50,"."))))))</f>
        <v>#N/A</v>
      </c>
      <c r="J50" s="356" t="e">
        <f>IF(MATCHED!AL50=1,MATCHED!$B50,IF(MATCHED!AL50=2,MATCHED!$C50,IF(MATCHED!AL50=3,MATCHED!$D50,IF(MATCHED!AL50=4,MATCHED!$E50,IF(MATCHED!AL50=3,MATCHED!$F50,IF(MATCHED!AL50=6,MATCHED!$G50,IF(MATCHED!AL50=7,MATCHED!$H50,"")))))))&amp;IF(MATCHED!AL50=8,MATCHED!$I50,IF(MATCHED!AL50=9,MATCHED!$J50,IF(MATCHED!AL50=10,MATCHED!$K50,IF(MATCHED!AL50=11,MATCHED!$L50,IF(MATCHED!AL50=12,MATCHED!$M50,IF(MATCHED!AL50=13,MATCHED!$N50,IF(MATCHED!AL50=14,MATCHED!$O50,"")))))))&amp;IF(MATCHED!AL50=15,MATCHED!$P50,IF(MATCHED!AL50=16,MATCHED!$Q50,IF(MATCHED!AL50=17,MATCHED!$R50,IF(MATCHED!AL50=18,MATCHED!$S50,IF(MATCHED!AL50=19,MATCHED!$T50,IF(MATCHED!AL50=20,MATCHED!$U50,IF(MATCHED!AL50=21,MATCHED!$V50,)))))))&amp;IF(MATCHED!AL50=22,MATCHED!$W50,IF(MATCHED!AL50=23,MATCHED!$X50,IF(MATCHED!AL50=24,MATCHED!$Y50,IF(MATCHED!AL50=25,MATCHED!$Z50,IF(MATCHED!AL50=26,MATCHED!$AA50,IF(MATCHED!AL50=27,MATCHED!$AB50,"."))))))</f>
        <v>#N/A</v>
      </c>
      <c r="K50" s="356" t="e">
        <f>IF(MATCHED!AM50=1,MATCHED!$B50,IF(MATCHED!AM50=2,MATCHED!$C50,IF(MATCHED!AM50=3,MATCHED!$D50,IF(MATCHED!AM50=4,MATCHED!$E50,IF(MATCHED!AM50=3,MATCHED!$F50,IF(MATCHED!AM50=6,MATCHED!$G50,IF(MATCHED!AM50=7,MATCHED!$H50,"")))))))&amp;IF(MATCHED!AM50=8,MATCHED!$I50,IF(MATCHED!AM50=9,MATCHED!$J50,IF(MATCHED!AM50=10,MATCHED!$K50,IF(MATCHED!AM50=11,MATCHED!$L50,IF(MATCHED!AM50=12,MATCHED!$M50,IF(MATCHED!AM50=13,MATCHED!$N50,IF(MATCHED!AM50=14,MATCHED!$O50,"")))))))&amp;IF(MATCHED!AM50=15,MATCHED!$P50,IF(MATCHED!AM50=16,MATCHED!$Q50,IF(MATCHED!AM50=17,MATCHED!$R50,IF(MATCHED!AM50=18,MATCHED!$S50,IF(MATCHED!AM50=19,MATCHED!$T50,IF(MATCHED!AM50=20,MATCHED!$U50,IF(MATCHED!AM50=21,MATCHED!$V50,)))))))&amp;IF(MATCHED!AM50=22,MATCHED!$W50,IF(MATCHED!AM50=23,MATCHED!$X50,IF(MATCHED!AM50=24,MATCHED!$Y50,IF(MATCHED!AM50=25,MATCHED!$Z50,IF(MATCHED!AM50=26,MATCHED!$AA50,IF(MATCHED!AM50=27,MATCHED!$AB50,"."))))))</f>
        <v>#N/A</v>
      </c>
      <c r="L50" s="356" t="e">
        <f>IF(MATCHED!AN50=1,MATCHED!$B50,IF(MATCHED!AN50=2,MATCHED!$C50,IF(MATCHED!AN50=3,MATCHED!$D50,IF(MATCHED!AN50=4,MATCHED!$E50,IF(MATCHED!AN50=3,MATCHED!$F50,IF(MATCHED!AN50=6,MATCHED!$G50,IF(MATCHED!AN50=7,MATCHED!$H50,"")))))))&amp;IF(MATCHED!AN50=8,MATCHED!$I50,IF(MATCHED!AN50=9,MATCHED!$J50,IF(MATCHED!AN50=10,MATCHED!$K50,IF(MATCHED!AN50=11,MATCHED!$L50,IF(MATCHED!AN50=12,MATCHED!$M50,IF(MATCHED!AN50=13,MATCHED!$N50,IF(MATCHED!AN50=14,MATCHED!$O50,"")))))))&amp;IF(MATCHED!AN50=15,MATCHED!$P50,IF(MATCHED!AN50=16,MATCHED!$Q50,IF(MATCHED!AN50=17,MATCHED!$R50,IF(MATCHED!AN50=18,MATCHED!$S50,IF(MATCHED!AN50=19,MATCHED!$T50,IF(MATCHED!AN50=20,MATCHED!$U50,IF(MATCHED!AN50=21,MATCHED!$V50,)))))))&amp;IF(MATCHED!AN50=22,MATCHED!$W50,IF(MATCHED!AN50=23,MATCHED!$X50,IF(MATCHED!AN50=24,MATCHED!$Y50,IF(MATCHED!AN50=25,MATCHED!$Z50,IF(MATCHED!AN50=26,MATCHED!$AA50,IF(MATCHED!AN50=27,MATCHED!$AB50,"."))))))</f>
        <v>#N/A</v>
      </c>
      <c r="M50" s="356" t="e">
        <f>IF(MATCHED!AO50=1,MATCHED!$B50,IF(MATCHED!AO50=2,MATCHED!$C50,IF(MATCHED!AO50=3,MATCHED!$D50,IF(MATCHED!AO50=4,MATCHED!$E50,IF(MATCHED!AO50=3,MATCHED!$F50,IF(MATCHED!AO50=6,MATCHED!$G50,IF(MATCHED!AO50=7,MATCHED!$H50,"")))))))&amp;IF(MATCHED!AO50=8,MATCHED!$I50,IF(MATCHED!AO50=9,MATCHED!$J50,IF(MATCHED!AO50=10,MATCHED!$K50,IF(MATCHED!AO50=11,MATCHED!$L50,IF(MATCHED!AO50=12,MATCHED!$M50,IF(MATCHED!AO50=13,MATCHED!$N50,IF(MATCHED!AO50=14,MATCHED!$O50,"")))))))&amp;IF(MATCHED!AO50=15,MATCHED!$P50,IF(MATCHED!AO50=16,MATCHED!$Q50,IF(MATCHED!AO50=17,MATCHED!$R50,IF(MATCHED!AO50=18,MATCHED!$S50,IF(MATCHED!AO50=19,MATCHED!$T50,IF(MATCHED!AO50=20,MATCHED!$U50,IF(MATCHED!AO50=21,MATCHED!$V50,)))))))&amp;IF(MATCHED!AO50=22,MATCHED!$W50,IF(MATCHED!AO50=23,MATCHED!$X50,IF(MATCHED!AO50=24,MATCHED!$Y50,IF(MATCHED!AO50=25,MATCHED!$Z50,IF(MATCHED!AO50=26,MATCHED!$AA50,IF(MATCHED!AO50=27,MATCHED!$AB50,"."))))))</f>
        <v>#N/A</v>
      </c>
      <c r="N50" s="356" t="e">
        <f>IF(MATCHED!AP50=1,MATCHED!$B50,IF(MATCHED!AP50=2,MATCHED!$C50,IF(MATCHED!AP50=3,MATCHED!$D50,IF(MATCHED!AP50=4,MATCHED!$E50,IF(MATCHED!AP50=3,MATCHED!$F50,IF(MATCHED!AP50=6,MATCHED!$G50,IF(MATCHED!AP50=7,MATCHED!$H50,"")))))))&amp;IF(MATCHED!AP50=8,MATCHED!$I50,IF(MATCHED!AP50=9,MATCHED!$J50,IF(MATCHED!AP50=10,MATCHED!$K50,IF(MATCHED!AP50=11,MATCHED!$L50,IF(MATCHED!AP50=12,MATCHED!$M50,IF(MATCHED!AP50=13,MATCHED!$N50,IF(MATCHED!AP50=14,MATCHED!$O50,"")))))))&amp;IF(MATCHED!AP50=15,MATCHED!$P50,IF(MATCHED!AP50=16,MATCHED!$Q50,IF(MATCHED!AP50=17,MATCHED!$R50,IF(MATCHED!AP50=18,MATCHED!$S50,IF(MATCHED!AP50=19,MATCHED!$T50,IF(MATCHED!AP50=20,MATCHED!$U50,IF(MATCHED!AP50=21,MATCHED!$V50,)))))))&amp;IF(MATCHED!AP50=22,MATCHED!$W50,IF(MATCHED!AP50=23,MATCHED!$X50,IF(MATCHED!AP50=24,MATCHED!$Y50,IF(MATCHED!AP50=25,MATCHED!$Z50,IF(MATCHED!AP50=26,MATCHED!$AA50,IF(MATCHED!AP50=27,MATCHED!$AB50,"."))))))</f>
        <v>#N/A</v>
      </c>
      <c r="O50" s="356" t="e">
        <f>IF(MATCHED!AQ50=1,MATCHED!$B50,IF(MATCHED!AQ50=2,MATCHED!$C50,IF(MATCHED!AQ50=3,MATCHED!$D50,IF(MATCHED!AQ50=4,MATCHED!$E50,IF(MATCHED!AQ50=3,MATCHED!$F50,IF(MATCHED!AQ50=6,MATCHED!$G50,IF(MATCHED!AQ50=7,MATCHED!$H50,"")))))))&amp;IF(MATCHED!AQ50=8,MATCHED!$I50,IF(MATCHED!AQ50=9,MATCHED!$J50,IF(MATCHED!AQ50=10,MATCHED!$K50,IF(MATCHED!AQ50=11,MATCHED!$L50,IF(MATCHED!AQ50=12,MATCHED!$M50,IF(MATCHED!AQ50=13,MATCHED!$N50,IF(MATCHED!AQ50=14,MATCHED!$O50,"")))))))&amp;IF(MATCHED!AQ50=15,MATCHED!$P50,IF(MATCHED!AQ50=16,MATCHED!$Q50,IF(MATCHED!AQ50=17,MATCHED!$R50,IF(MATCHED!AQ50=18,MATCHED!$S50,IF(MATCHED!AQ50=19,MATCHED!$T50,IF(MATCHED!AQ50=20,MATCHED!$U50,IF(MATCHED!AQ50=21,MATCHED!$V50,)))))))&amp;IF(MATCHED!AQ50=22,MATCHED!$W50,IF(MATCHED!AQ50=23,MATCHED!$X50,IF(MATCHED!AQ50=24,MATCHED!$Y50,IF(MATCHED!AQ50=25,MATCHED!$Z50,IF(MATCHED!AQ50=26,MATCHED!$AA50,IF(MATCHED!AQ50=27,MATCHED!$AB50,"."))))))</f>
        <v>#N/A</v>
      </c>
      <c r="P50" s="356" t="e">
        <f>IF(MATCHED!AR50=1,MATCHED!$B50,IF(MATCHED!AR50=2,MATCHED!$C50,IF(MATCHED!AR50=3,MATCHED!$D50,IF(MATCHED!AR50=4,MATCHED!$E50,IF(MATCHED!AR50=3,MATCHED!$F50,IF(MATCHED!AR50=6,MATCHED!$G50,IF(MATCHED!AR50=7,MATCHED!$H50,"")))))))&amp;IF(MATCHED!AR50=8,MATCHED!$I50,IF(MATCHED!AR50=9,MATCHED!$J50,IF(MATCHED!AR50=10,MATCHED!$K50,IF(MATCHED!AR50=11,MATCHED!$L50,IF(MATCHED!AR50=12,MATCHED!$M50,IF(MATCHED!AR50=13,MATCHED!$N50,IF(MATCHED!AR50=14,MATCHED!$O50,"")))))))&amp;IF(MATCHED!AR50=15,MATCHED!$P50,IF(MATCHED!AR50=16,MATCHED!$Q50,IF(MATCHED!AR50=17,MATCHED!$R50,IF(MATCHED!AR50=18,MATCHED!$S50,IF(MATCHED!AR50=19,MATCHED!$T50,IF(MATCHED!AR50=20,MATCHED!$U50,IF(MATCHED!AR50=21,MATCHED!$V50,)))))))&amp;IF(MATCHED!AR50=22,MATCHED!$W50,IF(MATCHED!AR50=23,MATCHED!$X50,IF(MATCHED!AR50=24,MATCHED!$Y50,IF(MATCHED!AR50=25,MATCHED!$Z50,IF(MATCHED!AR50=26,MATCHED!$AA50,IF(MATCHED!AR50=27,MATCHED!$AB50,"."))))))</f>
        <v>#N/A</v>
      </c>
      <c r="Q50" s="357" t="e">
        <f>IF(MATCHED!AS50=1,MATCHED!$B50,IF(MATCHED!AS50=2,MATCHED!$C50,IF(MATCHED!AS50=3,MATCHED!$D50,IF(MATCHED!AS50=4,MATCHED!$E50,IF(MATCHED!AS50=3,MATCHED!$F50,IF(MATCHED!AS50=6,MATCHED!$G50,IF(MATCHED!AS50=7,MATCHED!$H50,"")))))))&amp;IF(MATCHED!AS50=8,MATCHED!$I50,IF(MATCHED!AS50=9,MATCHED!$J50,IF(MATCHED!AS50=10,MATCHED!$K50,IF(MATCHED!AS50=11,MATCHED!$L50,IF(MATCHED!AS50=12,MATCHED!$M50,IF(MATCHED!AS50=13,MATCHED!$N50,IF(MATCHED!AS50=14,MATCHED!$O50,"")))))))&amp;IF(MATCHED!AS50=15,MATCHED!$P50,IF(MATCHED!AS50=16,MATCHED!$Q50,IF(MATCHED!AS50=17,MATCHED!$R50,IF(MATCHED!AS50=18,MATCHED!$S50,IF(MATCHED!AS50=19,MATCHED!$T50,IF(MATCHED!AS50=20,MATCHED!$U50,IF(MATCHED!AS50=21,MATCHED!$V50,)))))))&amp;IF(MATCHED!AS50=22,MATCHED!$W50,IF(MATCHED!AS50=23,MATCHED!$X50,IF(MATCHED!AS50=24,MATCHED!$Y50,IF(MATCHED!AS50=25,MATCHED!$Z50,IF(MATCHED!AS50=26,MATCHED!$AA50,IF(MATCHED!AS50=27,MATCHED!$AB50,"."))))))</f>
        <v>#N/A</v>
      </c>
      <c r="R50" s="356" t="e">
        <f>IF(MATCHED!AT50=1,MATCHED!$B50,IF(MATCHED!AT50=2,MATCHED!$C50,IF(MATCHED!AT50=3,MATCHED!$D50,IF(MATCHED!AT50=4,MATCHED!$E50,IF(MATCHED!AT50=3,MATCHED!$F50,IF(MATCHED!AT50=6,MATCHED!$G50,IF(MATCHED!AT50=7,MATCHED!$H50,"")))))))&amp;IF(MATCHED!AT50=8,MATCHED!$I50,IF(MATCHED!AT50=9,MATCHED!$J50,IF(MATCHED!AT50=10,MATCHED!$K50,IF(MATCHED!AT50=11,MATCHED!$L50,IF(MATCHED!AT50=12,MATCHED!$M50,IF(MATCHED!AT50=13,MATCHED!$N50,IF(MATCHED!AT50=14,MATCHED!$O50,"")))))))&amp;IF(MATCHED!AT50=15,MATCHED!$P50,IF(MATCHED!AT50=16,MATCHED!$Q50,IF(MATCHED!AT50=17,MATCHED!$R50,IF(MATCHED!AT50=18,MATCHED!$S50,IF(MATCHED!AT50=19,MATCHED!$T50,IF(MATCHED!AT50=20,MATCHED!$U50,IF(MATCHED!AT50=21,MATCHED!$V50,)))))))&amp;IF(MATCHED!AT50=22,MATCHED!$W50,IF(MATCHED!AT50=23,MATCHED!$X50,IF(MATCHED!AT50=24,MATCHED!$Y50,IF(MATCHED!AT50=25,MATCHED!$Z50,IF(MATCHED!AT50=26,MATCHED!$AA50,IF(MATCHED!AT50=27,MATCHED!$AB50,"."))))))</f>
        <v>#N/A</v>
      </c>
      <c r="S50" s="356" t="e">
        <f>IF(MATCHED!AU50=1,MATCHED!$B50,IF(MATCHED!AU50=2,MATCHED!$C50,IF(MATCHED!AU50=3,MATCHED!$D50,IF(MATCHED!AU50=4,MATCHED!$E50,IF(MATCHED!AU50=3,MATCHED!$F50,IF(MATCHED!AU50=6,MATCHED!$G50,IF(MATCHED!AU50=7,MATCHED!$H50,"")))))))&amp;IF(MATCHED!AU50=8,MATCHED!$I50,IF(MATCHED!AU50=9,MATCHED!$J50,IF(MATCHED!AU50=10,MATCHED!$K50,IF(MATCHED!AU50=11,MATCHED!$L50,IF(MATCHED!AU50=12,MATCHED!$M50,IF(MATCHED!AU50=13,MATCHED!$N50,IF(MATCHED!AU50=14,MATCHED!$O50,"")))))))&amp;IF(MATCHED!AU50=15,MATCHED!$P50,IF(MATCHED!AU50=16,MATCHED!$Q50,IF(MATCHED!AU50=17,MATCHED!$R50,IF(MATCHED!AU50=18,MATCHED!$S50,IF(MATCHED!AU50=19,MATCHED!$T50,IF(MATCHED!AU50=20,MATCHED!$U50,IF(MATCHED!AU50=21,MATCHED!$V50,)))))))&amp;IF(MATCHED!AU50=22,MATCHED!$W50,IF(MATCHED!AU50=23,MATCHED!$X50,IF(MATCHED!AU50=24,MATCHED!$Y50,IF(MATCHED!AU50=25,MATCHED!$Z50,IF(MATCHED!AU50=26,MATCHED!$AA50,IF(MATCHED!AU50=27,MATCHED!$AB50,"."))))))</f>
        <v>#N/A</v>
      </c>
      <c r="T50" s="356" t="e">
        <f>IF(MATCHED!AV50=1,MATCHED!$B50,IF(MATCHED!AV50=2,MATCHED!$C50,IF(MATCHED!AV50=3,MATCHED!$D50,IF(MATCHED!AV50=4,MATCHED!$E50,IF(MATCHED!AV50=3,MATCHED!$F50,IF(MATCHED!AV50=6,MATCHED!$G50,IF(MATCHED!AV50=7,MATCHED!$H50,"")))))))&amp;IF(MATCHED!AV50=8,MATCHED!$I50,IF(MATCHED!AV50=9,MATCHED!$J50,IF(MATCHED!AV50=10,MATCHED!$K50,IF(MATCHED!AV50=11,MATCHED!$L50,IF(MATCHED!AV50=12,MATCHED!$M50,IF(MATCHED!AV50=13,MATCHED!$N50,IF(MATCHED!AV50=14,MATCHED!$O50,"")))))))&amp;IF(MATCHED!AV50=15,MATCHED!$P50,IF(MATCHED!AV50=16,MATCHED!$Q50,IF(MATCHED!AV50=17,MATCHED!$R50,IF(MATCHED!AV50=18,MATCHED!$S50,IF(MATCHED!AV50=19,MATCHED!$T50,IF(MATCHED!AV50=20,MATCHED!$U50,IF(MATCHED!AV50=21,MATCHED!$V50,)))))))&amp;IF(MATCHED!AV50=22,MATCHED!$W50,IF(MATCHED!AV50=23,MATCHED!$X50,IF(MATCHED!AV50=24,MATCHED!$Y50,IF(MATCHED!AV50=25,MATCHED!$Z50,IF(MATCHED!AV50=26,MATCHED!$AA50,IF(MATCHED!AV50=27,MATCHED!$AB50,"."))))))</f>
        <v>#N/A</v>
      </c>
      <c r="U50" s="356" t="e">
        <f>IF(MATCHED!AW50=1,MATCHED!$B50,IF(MATCHED!AW50=2,MATCHED!$C50,IF(MATCHED!AW50=3,MATCHED!$D50,IF(MATCHED!AW50=4,MATCHED!$E50,IF(MATCHED!AW50=3,MATCHED!$F50,IF(MATCHED!AW50=6,MATCHED!$G50,IF(MATCHED!AW50=7,MATCHED!$H50,"")))))))&amp;IF(MATCHED!AW50=8,MATCHED!$I50,IF(MATCHED!AW50=9,MATCHED!$J50,IF(MATCHED!AW50=10,MATCHED!$K50,IF(MATCHED!AW50=11,MATCHED!$L50,IF(MATCHED!AW50=12,MATCHED!$M50,IF(MATCHED!AW50=13,MATCHED!$N50,IF(MATCHED!AW50=14,MATCHED!$O50,"")))))))&amp;IF(MATCHED!AW50=15,MATCHED!$P50,IF(MATCHED!AW50=16,MATCHED!$Q50,IF(MATCHED!AW50=17,MATCHED!$R50,IF(MATCHED!AW50=18,MATCHED!$S50,IF(MATCHED!AW50=19,MATCHED!$T50,IF(MATCHED!AW50=20,MATCHED!$U50,IF(MATCHED!AW50=21,MATCHED!$V50,)))))))&amp;IF(MATCHED!AW50=22,MATCHED!$W50,IF(MATCHED!AW50=23,MATCHED!$X50,IF(MATCHED!AW50=24,MATCHED!$Y50,IF(MATCHED!AW50=25,MATCHED!$Z50,IF(MATCHED!AW50=26,MATCHED!$AA50,IF(MATCHED!AW50=27,MATCHED!$AB50,"."))))))</f>
        <v>#N/A</v>
      </c>
      <c r="V50" s="356" t="e">
        <f>IF(MATCHED!AX50=1,MATCHED!$B50,IF(MATCHED!AX50=2,MATCHED!$C50,IF(MATCHED!AX50=3,MATCHED!$D50,IF(MATCHED!AX50=4,MATCHED!$E50,IF(MATCHED!AX50=3,MATCHED!$F50,IF(MATCHED!AX50=6,MATCHED!$G50,IF(MATCHED!AX50=7,MATCHED!$H50,"")))))))&amp;IF(MATCHED!AX50=8,MATCHED!$I50,IF(MATCHED!AX50=9,MATCHED!$J50,IF(MATCHED!AX50=10,MATCHED!$K50,IF(MATCHED!AX50=11,MATCHED!$L50,IF(MATCHED!AX50=12,MATCHED!$M50,IF(MATCHED!AX50=13,MATCHED!$N50,IF(MATCHED!AX50=14,MATCHED!$O50,"")))))))&amp;IF(MATCHED!AX50=15,MATCHED!$P50,IF(MATCHED!AX50=16,MATCHED!$Q50,IF(MATCHED!AX50=17,MATCHED!$R50,IF(MATCHED!AX50=18,MATCHED!$S50,IF(MATCHED!AX50=19,MATCHED!$T50,IF(MATCHED!AX50=20,MATCHED!$U50,IF(MATCHED!AX50=21,MATCHED!$V50,)))))))&amp;IF(MATCHED!AX50=22,MATCHED!$W50,IF(MATCHED!AX50=23,MATCHED!$X50,IF(MATCHED!AX50=24,MATCHED!$Y50,IF(MATCHED!AX50=25,MATCHED!$Z50,IF(MATCHED!AX50=26,MATCHED!$AA50,IF(MATCHED!AX50=27,MATCHED!$AB50,"."))))))</f>
        <v>#N/A</v>
      </c>
      <c r="W50" s="356" t="e">
        <f>IF(MATCHED!AY50=1,MATCHED!$B50,IF(MATCHED!AY50=2,MATCHED!$C50,IF(MATCHED!AY50=3,MATCHED!$D50,IF(MATCHED!AY50=4,MATCHED!$E50,IF(MATCHED!AY50=3,MATCHED!$F50,IF(MATCHED!AY50=6,MATCHED!$G50,IF(MATCHED!AY50=7,MATCHED!$H50,"")))))))&amp;IF(MATCHED!AY50=8,MATCHED!$I50,IF(MATCHED!AY50=9,MATCHED!$J50,IF(MATCHED!AY50=10,MATCHED!$K50,IF(MATCHED!AY50=11,MATCHED!$L50,IF(MATCHED!AY50=12,MATCHED!$M50,IF(MATCHED!AY50=13,MATCHED!$N50,IF(MATCHED!AY50=14,MATCHED!$O50,"")))))))&amp;IF(MATCHED!AY50=15,MATCHED!$P50,IF(MATCHED!AY50=16,MATCHED!$Q50,IF(MATCHED!AY50=17,MATCHED!$R50,IF(MATCHED!AY50=18,MATCHED!$S50,IF(MATCHED!AY50=19,MATCHED!$T50,IF(MATCHED!AY50=20,MATCHED!$U50,IF(MATCHED!AY50=21,MATCHED!$V50,)))))))&amp;IF(MATCHED!AY50=22,MATCHED!$W50,IF(MATCHED!AY50=23,MATCHED!$X50,IF(MATCHED!AY50=24,MATCHED!$Y50,IF(MATCHED!AY50=25,MATCHED!$Z50,IF(MATCHED!AY50=26,MATCHED!$AA50,IF(MATCHED!AY50=27,MATCHED!$AB50,"."))))))</f>
        <v>#N/A</v>
      </c>
      <c r="X50" s="356" t="e">
        <f>IF(MATCHED!AZ50=1,MATCHED!$B50,IF(MATCHED!AZ50=2,MATCHED!$C50,IF(MATCHED!AZ50=3,MATCHED!$D50,IF(MATCHED!AZ50=4,MATCHED!$E50,IF(MATCHED!AZ50=3,MATCHED!$F50,IF(MATCHED!AZ50=6,MATCHED!$G50,IF(MATCHED!AZ50=7,MATCHED!$H50,"")))))))&amp;IF(MATCHED!AZ50=8,MATCHED!$I50,IF(MATCHED!AZ50=9,MATCHED!$J50,IF(MATCHED!AZ50=10,MATCHED!$K50,IF(MATCHED!AZ50=11,MATCHED!$L50,IF(MATCHED!AZ50=12,MATCHED!$M50,IF(MATCHED!AZ50=13,MATCHED!$N50,IF(MATCHED!AZ50=14,MATCHED!$O50,"")))))))&amp;IF(MATCHED!AZ50=15,MATCHED!$P50,IF(MATCHED!AZ50=16,MATCHED!$Q50,IF(MATCHED!AZ50=17,MATCHED!$R50,IF(MATCHED!AZ50=18,MATCHED!$S50,IF(MATCHED!AZ50=19,MATCHED!$T50,IF(MATCHED!AZ50=20,MATCHED!$U50,IF(MATCHED!AZ50=21,MATCHED!$V50,)))))))&amp;IF(MATCHED!AZ50=22,MATCHED!$W50,IF(MATCHED!AZ50=23,MATCHED!$X50,IF(MATCHED!AZ50=24,MATCHED!$Y50,IF(MATCHED!AZ50=25,MATCHED!$Z50,IF(MATCHED!AZ50=26,MATCHED!$AA50,IF(MATCHED!AZ50=27,MATCHED!$AB50,"."))))))</f>
        <v>#N/A</v>
      </c>
      <c r="Y50" s="356" t="e">
        <f>IF(MATCHED!BA50=1,MATCHED!$B50,IF(MATCHED!BA50=2,MATCHED!$C50,IF(MATCHED!BA50=3,MATCHED!$D50,IF(MATCHED!BA50=4,MATCHED!$E50,IF(MATCHED!BA50=3,MATCHED!$F50,IF(MATCHED!BA50=6,MATCHED!$G50,IF(MATCHED!BA50=7,MATCHED!$H50,"")))))))&amp;IF(MATCHED!BA50=8,MATCHED!$I50,IF(MATCHED!BA50=9,MATCHED!$J50,IF(MATCHED!BA50=10,MATCHED!$K50,IF(MATCHED!BA50=11,MATCHED!$L50,IF(MATCHED!BA50=12,MATCHED!$M50,IF(MATCHED!BA50=13,MATCHED!$N50,IF(MATCHED!BA50=14,MATCHED!$O50,"")))))))&amp;IF(MATCHED!BA50=15,MATCHED!$P50,IF(MATCHED!BA50=16,MATCHED!$Q50,IF(MATCHED!BA50=17,MATCHED!$R50,IF(MATCHED!BA50=18,MATCHED!$S50,IF(MATCHED!BA50=19,MATCHED!$T50,IF(MATCHED!BA50=20,MATCHED!$U50,IF(MATCHED!BA50=21,MATCHED!$V50,)))))))&amp;IF(MATCHED!BA50=22,MATCHED!$W50,IF(MATCHED!BA50=23,MATCHED!$X50,IF(MATCHED!BA50=24,MATCHED!$Y50,IF(MATCHED!BA50=25,MATCHED!$Z50,IF(MATCHED!BA50=26,MATCHED!$AA50,IF(MATCHED!BA50=27,MATCHED!$AB50,"."))))))</f>
        <v>#N/A</v>
      </c>
      <c r="Z50" s="356" t="e">
        <f>IF(MATCHED!BB50=1,MATCHED!$B50,IF(MATCHED!BB50=2,MATCHED!$C50,IF(MATCHED!BB50=3,MATCHED!$D50,IF(MATCHED!BB50=4,MATCHED!$E50,IF(MATCHED!BB50=3,MATCHED!$F50,IF(MATCHED!BB50=6,MATCHED!$G50,IF(MATCHED!BB50=7,MATCHED!$H50,"")))))))&amp;IF(MATCHED!BB50=8,MATCHED!$I50,IF(MATCHED!BB50=9,MATCHED!$J50,IF(MATCHED!BB50=10,MATCHED!$K50,IF(MATCHED!BB50=11,MATCHED!$L50,IF(MATCHED!BB50=12,MATCHED!$M50,IF(MATCHED!BB50=13,MATCHED!$N50,IF(MATCHED!BB50=14,MATCHED!$O50,"")))))))&amp;IF(MATCHED!BB50=15,MATCHED!$P50,IF(MATCHED!BB50=16,MATCHED!$Q50,IF(MATCHED!BB50=17,MATCHED!$R50,IF(MATCHED!BB50=18,MATCHED!$S50,IF(MATCHED!BB50=19,MATCHED!$T50,IF(MATCHED!BB50=20,MATCHED!$U50,IF(MATCHED!BB50=21,MATCHED!$V50,)))))))&amp;IF(MATCHED!BB50=22,MATCHED!$W50,IF(MATCHED!BB50=23,MATCHED!$X50,IF(MATCHED!BB50=24,MATCHED!$Y50,IF(MATCHED!BB50=25,MATCHED!$Z50,IF(MATCHED!BB50=26,MATCHED!$AA50,IF(MATCHED!BB50=27,MATCHED!$AB50,"."))))))</f>
        <v>#N/A</v>
      </c>
      <c r="AA50" s="356" t="e">
        <f>IF(MATCHED!BC50=1,MATCHED!$B50,IF(MATCHED!BC50=2,MATCHED!$C50,IF(MATCHED!BC50=3,MATCHED!$D50,IF(MATCHED!BC50=4,MATCHED!$E50,IF(MATCHED!BC50=3,MATCHED!$F50,IF(MATCHED!BC50=6,MATCHED!$G50,IF(MATCHED!BC50=7,MATCHED!$H50,"")))))))&amp;IF(MATCHED!BC50=8,MATCHED!$I50,IF(MATCHED!BC50=9,MATCHED!$J50,IF(MATCHED!BC50=10,MATCHED!$K50,IF(MATCHED!BC50=11,MATCHED!$L50,IF(MATCHED!BC50=12,MATCHED!$M50,IF(MATCHED!BC50=13,MATCHED!$N50,IF(MATCHED!BC50=14,MATCHED!$O50,"")))))))&amp;IF(MATCHED!BC50=15,MATCHED!$P50,IF(MATCHED!BC50=16,MATCHED!$Q50,IF(MATCHED!BC50=17,MATCHED!$R50,IF(MATCHED!BC50=18,MATCHED!$S50,IF(MATCHED!BC50=19,MATCHED!$T50,IF(MATCHED!BC50=20,MATCHED!$U50,IF(MATCHED!BC50=21,MATCHED!$V50,)))))))&amp;IF(MATCHED!BC50=22,MATCHED!$W50,IF(MATCHED!BC50=23,MATCHED!$X50,IF(MATCHED!BC50=24,MATCHED!$Y50,IF(MATCHED!BC50=25,MATCHED!$Z50,IF(MATCHED!BC50=26,MATCHED!$AA50,IF(MATCHED!BC50=27,MATCHED!$AB50,"."))))))</f>
        <v>#N/A</v>
      </c>
      <c r="AB50" s="356" t="e">
        <f>IF(MATCHED!BD50=1,MATCHED!$B50,IF(MATCHED!BD50=2,MATCHED!$C50,IF(MATCHED!BD50=3,MATCHED!$D50,IF(MATCHED!BD50=4,MATCHED!$E50,IF(MATCHED!BD50=3,MATCHED!$F50,IF(MATCHED!BD50=6,MATCHED!$G50,IF(MATCHED!BD50=7,MATCHED!$H50,"")))))))&amp;IF(MATCHED!BD50=8,MATCHED!$I50,IF(MATCHED!BD50=9,MATCHED!$J50,IF(MATCHED!BD50=10,MATCHED!$K50,IF(MATCHED!BD50=11,MATCHED!$L50,IF(MATCHED!BD50=12,MATCHED!$M50,IF(MATCHED!BD50=13,MATCHED!$N50,IF(MATCHED!BD50=14,MATCHED!$O50,"")))))))&amp;IF(MATCHED!BD50=15,MATCHED!$P50,IF(MATCHED!BD50=16,MATCHED!$Q50,IF(MATCHED!BD50=17,MATCHED!$R50,IF(MATCHED!BD50=18,MATCHED!$S50,IF(MATCHED!BD50=19,MATCHED!$T50,IF(MATCHED!BD50=20,MATCHED!$U50,IF(MATCHED!BD50=21,MATCHED!$V50,)))))))&amp;IF(MATCHED!BD50=22,MATCHED!$W50,IF(MATCHED!BD50=23,MATCHED!$X50,IF(MATCHED!BD50=24,MATCHED!$Y50,IF(MATCHED!BD50=25,MATCHED!$Z50,IF(MATCHED!BD50=26,MATCHED!$AA50,IF(MATCHED!BD50=27,MATCHED!$AB50,"."))))))</f>
        <v>#N/A</v>
      </c>
      <c r="AC50" s="356" t="e">
        <f>IF(MATCHED!BE50=1,MATCHED!$B50,IF(MATCHED!BE50=2,MATCHED!$C50,IF(MATCHED!BE50=3,MATCHED!$D50,IF(MATCHED!BE50=4,MATCHED!$E50,IF(MATCHED!BE50=3,MATCHED!$F50,IF(MATCHED!BE50=6,MATCHED!$G50,IF(MATCHED!BE50=7,MATCHED!$H50,"")))))))&amp;IF(MATCHED!BE50=8,MATCHED!$I50,IF(MATCHED!BE50=9,MATCHED!$J50,IF(MATCHED!BE50=10,MATCHED!$K50,IF(MATCHED!BE50=11,MATCHED!$L50,IF(MATCHED!BE50=12,MATCHED!$M50,IF(MATCHED!BE50=13,MATCHED!$N50,IF(MATCHED!BE50=14,MATCHED!$O50,"")))))))&amp;IF(MATCHED!BE50=15,MATCHED!$P50,IF(MATCHED!BE50=16,MATCHED!$Q50,IF(MATCHED!BE50=17,MATCHED!$R50,IF(MATCHED!BE50=18,MATCHED!$S50,IF(MATCHED!BE50=19,MATCHED!$T50,IF(MATCHED!BE50=20,MATCHED!$U50,IF(MATCHED!BE50=21,MATCHED!$V50,)))))))&amp;IF(MATCHED!BE50=22,MATCHED!$W50,IF(MATCHED!BE50=23,MATCHED!$X50,IF(MATCHED!BE50=24,MATCHED!$Y50,IF(MATCHED!BE50=25,MATCHED!$Z50,IF(MATCHED!BE50=26,MATCHED!$AA50,IF(MATCHED!BE50=27,MATCHED!$AB50,"."))))))</f>
        <v>#N/A</v>
      </c>
      <c r="AD50" s="356" t="e">
        <f>IF(MATCHED!BF50=1,MATCHED!$B50,IF(MATCHED!BF50=2,MATCHED!$C50,IF(MATCHED!BF50=3,MATCHED!$D50,IF(MATCHED!BF50=4,MATCHED!$E50,IF(MATCHED!BF50=3,MATCHED!$F50,IF(MATCHED!BF50=6,MATCHED!$G50,IF(MATCHED!BF50=7,MATCHED!$H50,"")))))))&amp;IF(MATCHED!BF50=8,MATCHED!$I50,IF(MATCHED!BF50=9,MATCHED!$J50,IF(MATCHED!BF50=10,MATCHED!$K50,IF(MATCHED!BF50=11,MATCHED!$L50,IF(MATCHED!BF50=12,MATCHED!$M50,IF(MATCHED!BF50=13,MATCHED!$N50,IF(MATCHED!BF50=14,MATCHED!$O50,"")))))))&amp;IF(MATCHED!BF50=15,MATCHED!$P50,IF(MATCHED!BF50=16,MATCHED!$Q50,IF(MATCHED!BF50=17,MATCHED!$R50,IF(MATCHED!BF50=18,MATCHED!$S50,IF(MATCHED!BF50=19,MATCHED!$T50,IF(MATCHED!BF50=20,MATCHED!$U50,IF(MATCHED!BF50=21,MATCHED!$V50,)))))))&amp;IF(MATCHED!BF50=22,MATCHED!$W50,IF(MATCHED!BF50=23,MATCHED!$X50,IF(MATCHED!BF50=24,MATCHED!$Y50,IF(MATCHED!BF50=25,MATCHED!$Z50,IF(MATCHED!BF50=26,MATCHED!$AA50,IF(MATCHED!BF50=27,MATCHED!$AB50,"."))))))</f>
        <v>#N/A</v>
      </c>
      <c r="AE50" s="356" t="e">
        <f>IF(MATCHED!BG50=1,MATCHED!$B50,IF(MATCHED!BG50=2,MATCHED!$C50,IF(MATCHED!BG50=3,MATCHED!$D50,IF(MATCHED!BG50=4,MATCHED!$E50,IF(MATCHED!BG50=3,MATCHED!$F50,IF(MATCHED!BG50=6,MATCHED!$G50,IF(MATCHED!BG50=7,MATCHED!$H50,"")))))))&amp;IF(MATCHED!BG50=8,MATCHED!$I50,IF(MATCHED!BG50=9,MATCHED!$J50,IF(MATCHED!BG50=10,MATCHED!$K50,IF(MATCHED!BG50=11,MATCHED!$L50,IF(MATCHED!BG50=12,MATCHED!$M50,IF(MATCHED!BG50=13,MATCHED!$N50,IF(MATCHED!BG50=14,MATCHED!$O50,"")))))))&amp;IF(MATCHED!BG50=15,MATCHED!$P50,IF(MATCHED!BG50=16,MATCHED!$Q50,IF(MATCHED!BG50=17,MATCHED!$R50,IF(MATCHED!BG50=18,MATCHED!$S50,IF(MATCHED!BG50=19,MATCHED!$T50,IF(MATCHED!BG50=20,MATCHED!$U50,IF(MATCHED!BG50=21,MATCHED!$V50,)))))))&amp;IF(MATCHED!BG50=22,MATCHED!$W50,IF(MATCHED!BG50=23,MATCHED!$X50,IF(MATCHED!BG50=24,MATCHED!$Y50,IF(MATCHED!BG50=25,MATCHED!$Z50,IF(MATCHED!BG50=26,MATCHED!$AA50,IF(MATCHED!BG50=27,MATCHED!$AB50,"."))))))</f>
        <v>#N/A</v>
      </c>
      <c r="AF50" s="356" t="e">
        <f>IF(MATCHED!BH50=1,MATCHED!$B50,IF(MATCHED!BH50=2,MATCHED!$C50,IF(MATCHED!BH50=3,MATCHED!$D50,IF(MATCHED!BH50=4,MATCHED!$E50,IF(MATCHED!BH50=3,MATCHED!$F50,IF(MATCHED!BH50=6,MATCHED!$G50,IF(MATCHED!BH50=7,MATCHED!$H50,"")))))))&amp;IF(MATCHED!BH50=8,MATCHED!$I50,IF(MATCHED!BH50=9,MATCHED!$J50,IF(MATCHED!BH50=10,MATCHED!$K50,IF(MATCHED!BH50=11,MATCHED!$L50,IF(MATCHED!BH50=12,MATCHED!$M50,IF(MATCHED!BH50=13,MATCHED!$N50,IF(MATCHED!BH50=14,MATCHED!$O50,"")))))))&amp;IF(MATCHED!BH50=15,MATCHED!$P50,IF(MATCHED!BH50=16,MATCHED!$Q50,IF(MATCHED!BH50=17,MATCHED!$R50,IF(MATCHED!BH50=18,MATCHED!$S50,IF(MATCHED!BH50=19,MATCHED!$T50,IF(MATCHED!BH50=20,MATCHED!$U50,IF(MATCHED!BH50=21,MATCHED!$V50,)))))))&amp;IF(MATCHED!BH50=22,MATCHED!$W50,IF(MATCHED!BH50=23,MATCHED!$X50,IF(MATCHED!BH50=24,MATCHED!$Y50,IF(MATCHED!BH50=25,MATCHED!$Z50,IF(MATCHED!BH50=26,MATCHED!$AA50,IF(MATCHED!BH50=27,MATCHED!$AB50,"."))))))</f>
        <v>#N/A</v>
      </c>
      <c r="AG50" s="356" t="e">
        <f>IF(MATCHED!BI50=1,MATCHED!$B50,IF(MATCHED!BI50=2,MATCHED!$C50,IF(MATCHED!BI50=3,MATCHED!$D50,IF(MATCHED!BI50=4,MATCHED!$E50,IF(MATCHED!BI50=3,MATCHED!$F50,IF(MATCHED!BI50=6,MATCHED!$G50,IF(MATCHED!BI50=7,MATCHED!$H50,"")))))))&amp;IF(MATCHED!BI50=8,MATCHED!$I50,IF(MATCHED!BI50=9,MATCHED!$J50,IF(MATCHED!BI50=10,MATCHED!$K50,IF(MATCHED!BI50=11,MATCHED!$L50,IF(MATCHED!BI50=12,MATCHED!$M50,IF(MATCHED!BI50=13,MATCHED!$N50,IF(MATCHED!BI50=14,MATCHED!$O50,"")))))))&amp;IF(MATCHED!BI50=15,MATCHED!$P50,IF(MATCHED!BI50=16,MATCHED!$Q50,IF(MATCHED!BI50=17,MATCHED!$R50,IF(MATCHED!BI50=18,MATCHED!$S50,IF(MATCHED!BI50=19,MATCHED!$T50,IF(MATCHED!BI50=20,MATCHED!$U50,IF(MATCHED!BI50=21,MATCHED!$V50,)))))))&amp;IF(MATCHED!BI50=22,MATCHED!$W50,IF(MATCHED!BI50=23,MATCHED!$X50,IF(MATCHED!BI50=24,MATCHED!$Y50,IF(MATCHED!BI50=25,MATCHED!$Z50,IF(MATCHED!BI50=26,MATCHED!$AA50,IF(MATCHED!BI50=27,MATCHED!$AB50,"."))))))</f>
        <v>#N/A</v>
      </c>
      <c r="AH50" s="356" t="e">
        <f>IF(MATCHED!BJ50=1,MATCHED!$B50,IF(MATCHED!BJ50=2,MATCHED!$C50,IF(MATCHED!BJ50=3,MATCHED!$D50,IF(MATCHED!BJ50=4,MATCHED!$E50,IF(MATCHED!BJ50=3,MATCHED!$F50,IF(MATCHED!BJ50=6,MATCHED!$G50,IF(MATCHED!BJ50=7,MATCHED!$H50,"")))))))&amp;IF(MATCHED!BJ50=8,MATCHED!$I50,IF(MATCHED!BJ50=9,MATCHED!$J50,IF(MATCHED!BJ50=10,MATCHED!$K50,IF(MATCHED!BJ50=11,MATCHED!$L50,IF(MATCHED!BJ50=12,MATCHED!$M50,IF(MATCHED!BJ50=13,MATCHED!$N50,IF(MATCHED!BJ50=14,MATCHED!$O50,"")))))))&amp;IF(MATCHED!BJ50=15,MATCHED!$P50,IF(MATCHED!BJ50=16,MATCHED!$Q50,IF(MATCHED!BJ50=17,MATCHED!$R50,IF(MATCHED!BJ50=18,MATCHED!$S50,IF(MATCHED!BJ50=19,MATCHED!$T50,IF(MATCHED!BJ50=20,MATCHED!$U50,IF(MATCHED!BJ50=21,MATCHED!$V50,)))))))&amp;IF(MATCHED!BJ50=22,MATCHED!$W50,IF(MATCHED!BJ50=23,MATCHED!$X50,IF(MATCHED!BJ50=24,MATCHED!$Y50,IF(MATCHED!BJ50=25,MATCHED!$Z50,IF(MATCHED!BJ50=26,MATCHED!$AA50,IF(MATCHED!BJ50=27,MATCHED!$AB50,"."))))))</f>
        <v>#N/A</v>
      </c>
      <c r="AI50" s="356" t="e">
        <f>IF(MATCHED!BK50=1,MATCHED!$B50,IF(MATCHED!BK50=2,MATCHED!$C50,IF(MATCHED!BK50=3,MATCHED!$D50,IF(MATCHED!BK50=4,MATCHED!$E50,IF(MATCHED!BK50=3,MATCHED!$F50,IF(MATCHED!BK50=6,MATCHED!$G50,IF(MATCHED!BK50=7,MATCHED!$H50,"")))))))&amp;IF(MATCHED!BK50=8,MATCHED!$I50,IF(MATCHED!BK50=9,MATCHED!$J50,IF(MATCHED!BK50=10,MATCHED!$K50,IF(MATCHED!BK50=11,MATCHED!$L50,IF(MATCHED!BK50=12,MATCHED!$M50,IF(MATCHED!BK50=13,MATCHED!$N50,IF(MATCHED!BK50=14,MATCHED!$O50,"")))))))&amp;IF(MATCHED!BK50=15,MATCHED!$P50,IF(MATCHED!BK50=16,MATCHED!$Q50,IF(MATCHED!BK50=17,MATCHED!$R50,IF(MATCHED!BK50=18,MATCHED!$S50,IF(MATCHED!BK50=19,MATCHED!$T50,IF(MATCHED!BK50=20,MATCHED!$U50,IF(MATCHED!BK50=21,MATCHED!$V50,)))))))&amp;IF(MATCHED!BK50=22,MATCHED!$W50,IF(MATCHED!BK50=23,MATCHED!$X50,IF(MATCHED!BK50=24,MATCHED!$Y50,IF(MATCHED!BK50=25,MATCHED!$Z50,IF(MATCHED!BK50=26,MATCHED!$AA50,IF(MATCHED!BK50=27,MATCHED!$AB50,"."))))))</f>
        <v>#N/A</v>
      </c>
      <c r="AJ50" s="535"/>
    </row>
    <row r="51" spans="1:36" s="338" customFormat="1" ht="15.6" thickBot="1" x14ac:dyDescent="0.3">
      <c r="A51" s="535"/>
      <c r="B51" s="358" t="e">
        <f>IF(MATCHED!AD51=1,MATCHED!$B51,IF(MATCHED!AD51=2,MATCHED!$C51,IF(MATCHED!AD51=3,MATCHED!$D51,IF(MATCHED!AD51=4,MATCHED!$E51,IF(MATCHED!AD51=3,MATCHED!$F51,IF(MATCHED!AD51=6,MATCHED!$G51,IF(MATCHED!AD51=7,MATCHED!$H51,"")))))))&amp;IF(MATCHED!AD51=8,MATCHED!$I51,IF(MATCHED!AD51=9,MATCHED!$J51,IF(MATCHED!AD51=10,MATCHED!$K51,IF(MATCHED!AD51=11,MATCHED!$L51,IF(MATCHED!AD51=12,MATCHED!$M51,IF(MATCHED!AD51=13,MATCHED!$N51,IF(MATCHED!AD51=14,MATCHED!$O51,"")))))))&amp;IF(MATCHED!AD51=15,MATCHED!$P51,IF(MATCHED!AD51=16,MATCHED!$Q51,IF(MATCHED!AD51=17,MATCHED!$R51,IF(MATCHED!AD51=18,MATCHED!$S51,IF(MATCHED!AD51=19,MATCHED!$T51,IF(MATCHED!AD51=20,MATCHED!$U51,IF(MATCHED!AD51=21,MATCHED!$V51,)))))))&amp;IF(MATCHED!AD51=22,MATCHED!$W51,IF(MATCHED!AD51=23,MATCHED!$X51,IF(MATCHED!AD51=24,MATCHED!$Y51,IF(MATCHED!AD51=25,MATCHED!$Z51,IF(MATCHED!AD51=26,MATCHED!$AA51,IF(MATCHED!AD51=27,MATCHED!$AB51,"."))))))</f>
        <v>#N/A</v>
      </c>
      <c r="C51" s="358" t="e">
        <f>IF(MATCHED!AE51=1,MATCHED!$B51,IF(MATCHED!AE51=2,MATCHED!$C51,IF(MATCHED!AE51=3,MATCHED!$D51,IF(MATCHED!AE51=4,MATCHED!$E51,IF(MATCHED!AE51=3,MATCHED!$F51,IF(MATCHED!AE51=6,MATCHED!$G51,IF(MATCHED!AE51=7,MATCHED!$H51,"")))))))&amp;IF(MATCHED!AE51=8,MATCHED!$I51,IF(MATCHED!AE51=9,MATCHED!$J51,IF(MATCHED!AE51=10,MATCHED!$K51,IF(MATCHED!AE51=11,MATCHED!$L51,IF(MATCHED!AE51=12,MATCHED!$M51,IF(MATCHED!AE51=13,MATCHED!$N51,IF(MATCHED!AE51=14,MATCHED!$O51,"")))))))&amp;IF(MATCHED!AE51=15,MATCHED!$P51,IF(MATCHED!AE51=16,MATCHED!$Q51,IF(MATCHED!AE51=17,MATCHED!$R51,IF(MATCHED!AE51=18,MATCHED!$S51,IF(MATCHED!AE51=19,MATCHED!$T51,IF(MATCHED!AE51=20,MATCHED!$U51,IF(MATCHED!AE51=21,MATCHED!$V51,)))))))&amp;IF(MATCHED!AE51=22,MATCHED!$W51,IF(MATCHED!AE51=23,MATCHED!$X51,IF(MATCHED!AE51=24,MATCHED!$Y51,IF(MATCHED!AE51=25,MATCHED!$Z51,IF(MATCHED!AE51=26,MATCHED!$AA51,IF(MATCHED!AE51=27,MATCHED!$AB51,"."))))))</f>
        <v>#N/A</v>
      </c>
      <c r="D51" s="358" t="e">
        <f>IF(MATCHED!AF51=1,MATCHED!$B51,IF(MATCHED!AF51=2,MATCHED!$C51,IF(MATCHED!AF51=3,MATCHED!$D51,IF(MATCHED!AF51=4,MATCHED!$E51,IF(MATCHED!AF51=3,MATCHED!$F51,IF(MATCHED!AF51=6,MATCHED!$G51,IF(MATCHED!AF51=7,MATCHED!$H51,"")))))))&amp;IF(MATCHED!AF51=8,MATCHED!$I51,IF(MATCHED!AF51=9,MATCHED!$J51,IF(MATCHED!AF51=10,MATCHED!$K51,IF(MATCHED!AF51=11,MATCHED!$L51,IF(MATCHED!AF51=12,MATCHED!$M51,IF(MATCHED!AF51=13,MATCHED!$N51,IF(MATCHED!AF51=14,MATCHED!$O51,"")))))))&amp;IF(MATCHED!AF51=15,MATCHED!$P51,IF(MATCHED!AF51=16,MATCHED!$Q51,IF(MATCHED!AF51=17,MATCHED!$R51,IF(MATCHED!AF51=18,MATCHED!$S51,IF(MATCHED!AF51=19,MATCHED!$T51,IF(MATCHED!AF51=20,MATCHED!$U51,IF(MATCHED!AF51=21,MATCHED!$V51,)))))))&amp;IF(MATCHED!AF51=22,MATCHED!$W51,IF(MATCHED!AF51=23,MATCHED!$X51,IF(MATCHED!AF51=24,MATCHED!$Y51,IF(MATCHED!AF51=25,MATCHED!$Z51,IF(MATCHED!AF51=26,MATCHED!$AA51,IF(MATCHED!AF51=27,MATCHED!$AB51,"."))))))</f>
        <v>#N/A</v>
      </c>
      <c r="E51" s="358" t="e">
        <f>IF(MATCHED!AG51=1,MATCHED!$B51,IF(MATCHED!AG51=2,MATCHED!$C51,IF(MATCHED!AG51=3,MATCHED!$D51,IF(MATCHED!AG51=4,MATCHED!$E51,IF(MATCHED!AG51=3,MATCHED!$F51,IF(MATCHED!AG51=6,MATCHED!$G51,IF(MATCHED!AG51=7,MATCHED!$H51,"")))))))&amp;IF(MATCHED!AG51=8,MATCHED!$I51,IF(MATCHED!AG51=9,MATCHED!$J51,IF(MATCHED!AG51=10,MATCHED!$K51,IF(MATCHED!AG51=11,MATCHED!$L51,IF(MATCHED!AG51=12,MATCHED!$M51,IF(MATCHED!AG51=13,MATCHED!$N51,IF(MATCHED!AG51=14,MATCHED!$O51,"")))))))&amp;IF(MATCHED!AG51=15,MATCHED!$P51,IF(MATCHED!AG51=16,MATCHED!$Q51,IF(MATCHED!AG51=17,MATCHED!$R51,IF(MATCHED!AG51=18,MATCHED!$S51,IF(MATCHED!AG51=19,MATCHED!$T51,IF(MATCHED!AG51=20,MATCHED!$U51,IF(MATCHED!AG51=21,MATCHED!$V51,)))))))&amp;IF(MATCHED!AG51=22,MATCHED!$W51,IF(MATCHED!AG51=23,MATCHED!$X51,IF(MATCHED!AG51=24,MATCHED!$Y51,IF(MATCHED!AG51=25,MATCHED!$Z51,IF(MATCHED!AG51=26,MATCHED!$AA51,IF(MATCHED!AG51=27,MATCHED!$AB51,"."))))))</f>
        <v>#N/A</v>
      </c>
      <c r="F51" s="358" t="e">
        <f>IF(MATCHED!AH51=1,MATCHED!$B51,IF(MATCHED!AH51=2,MATCHED!$C51,IF(MATCHED!AH51=3,MATCHED!$D51,IF(MATCHED!AH51=4,MATCHED!$E51,IF(MATCHED!AH51=3,MATCHED!$F51,IF(MATCHED!AH51=6,MATCHED!$G51,IF(MATCHED!AH51=7,MATCHED!$H51,"")))))))&amp;IF(MATCHED!AH51=8,MATCHED!$I51,IF(MATCHED!AH51=9,MATCHED!$J51,IF(MATCHED!AH51=10,MATCHED!$K51,IF(MATCHED!AH51=11,MATCHED!$L51,IF(MATCHED!AH51=12,MATCHED!$M51,IF(MATCHED!AH51=13,MATCHED!$N51,IF(MATCHED!AH51=14,MATCHED!$O51,"")))))))&amp;IF(MATCHED!AH51=15,MATCHED!$P51,IF(MATCHED!AH51=16,MATCHED!$Q51,IF(MATCHED!AH51=17,MATCHED!$R51,IF(MATCHED!AH51=18,MATCHED!$S51,IF(MATCHED!AH51=19,MATCHED!$T51,IF(MATCHED!AH51=20,MATCHED!$U51,IF(MATCHED!AH51=21,MATCHED!$V51,)))))))&amp;IF(MATCHED!AH51=22,MATCHED!$W51,IF(MATCHED!AH51=23,MATCHED!$X51,IF(MATCHED!AH51=24,MATCHED!$Y51,IF(MATCHED!AH51=25,MATCHED!$Z51,IF(MATCHED!AH51=26,MATCHED!$AA51,IF(MATCHED!AH51=27,MATCHED!$AB51,"."))))))</f>
        <v>#N/A</v>
      </c>
      <c r="G51" s="358" t="e">
        <f>IF(MATCHED!AI51=1,MATCHED!$B51,IF(MATCHED!AI51=2,MATCHED!$C51,IF(MATCHED!AI51=3,MATCHED!$D51,IF(MATCHED!AI51=4,MATCHED!$E51,IF(MATCHED!AI51=3,MATCHED!$F51,IF(MATCHED!AI51=6,MATCHED!$G51,IF(MATCHED!AI51=7,MATCHED!$H51,"")))))))&amp;IF(MATCHED!AI51=8,MATCHED!$I51,IF(MATCHED!AI51=9,MATCHED!$J51,IF(MATCHED!AI51=10,MATCHED!$K51,IF(MATCHED!AI51=11,MATCHED!$L51,IF(MATCHED!AI51=12,MATCHED!$M51,IF(MATCHED!AI51=13,MATCHED!$N51,IF(MATCHED!AI51=14,MATCHED!$O51,"")))))))&amp;IF(MATCHED!AI51=15,MATCHED!$P51,IF(MATCHED!AI51=16,MATCHED!$Q51,IF(MATCHED!AI51=17,MATCHED!$R51,IF(MATCHED!AI51=18,MATCHED!$S51,IF(MATCHED!AI51=19,MATCHED!$T51,IF(MATCHED!AI51=20,MATCHED!$U51,IF(MATCHED!AI51=21,MATCHED!$V51,)))))))&amp;IF(MATCHED!AI51=22,MATCHED!$W51,IF(MATCHED!AI51=23,MATCHED!$X51,IF(MATCHED!AI51=24,MATCHED!$Y51,IF(MATCHED!AI51=25,MATCHED!$Z51,IF(MATCHED!AI51=26,MATCHED!$AA51,IF(MATCHED!AI51=27,MATCHED!$AB51,"."))))))</f>
        <v>#N/A</v>
      </c>
      <c r="H51" s="358" t="e">
        <f>IF(MATCHED!AJ51=1,MATCHED!$B51,IF(MATCHED!AJ51=2,MATCHED!$C51,IF(MATCHED!AJ51=3,MATCHED!$D51,IF(MATCHED!AJ51=4,MATCHED!$E51,IF(MATCHED!AJ51=3,MATCHED!$F51,IF(MATCHED!AJ51=6,MATCHED!$G51,IF(MATCHED!AJ51=7,MATCHED!$H51,"")))))))&amp;IF(MATCHED!AJ51=8,MATCHED!$I51,IF(MATCHED!AJ51=9,MATCHED!$J51,IF(MATCHED!AJ51=10,MATCHED!$K51,IF(MATCHED!AJ51=11,MATCHED!$L51,IF(MATCHED!AJ51=12,MATCHED!$M51,IF(MATCHED!AJ51=13,MATCHED!$N51,IF(MATCHED!AJ51=14,MATCHED!$O51,"")))))))&amp;IF(MATCHED!AJ51=15,MATCHED!$P51,IF(MATCHED!AJ51=16,MATCHED!$Q51,IF(MATCHED!AJ51=17,MATCHED!$R51,IF(MATCHED!AJ51=18,MATCHED!$S51,IF(MATCHED!AJ51=19,MATCHED!$T51,IF(MATCHED!AJ51=20,MATCHED!$U51,IF(MATCHED!AJ51=21,MATCHED!$V51,)))))))&amp;IF(MATCHED!AJ51=22,MATCHED!$W51,IF(MATCHED!AJ51=23,MATCHED!$X51,IF(MATCHED!AJ51=24,MATCHED!$Y51,IF(MATCHED!AJ51=25,MATCHED!$Z51,IF(MATCHED!AJ51=26,MATCHED!$AA51,IF(MATCHED!AJ51=27,MATCHED!$AB51,"."))))))</f>
        <v>#N/A</v>
      </c>
      <c r="I51" s="358" t="e">
        <f>IF(MATCHED!AK51=1,MATCHED!$B51,IF(MATCHED!AK51=2,MATCHED!$C51,IF(MATCHED!AK51=3,MATCHED!$D51,IF(MATCHED!AK51=4,MATCHED!$E51,IF(MATCHED!AK51=3,MATCHED!$F51,IF(MATCHED!AK51=6,MATCHED!$G51,IF(MATCHED!AK51=7,MATCHED!$H51,"")))))))&amp;IF(MATCHED!AK51=8,MATCHED!$I51,IF(MATCHED!AK51=9,MATCHED!$J51,IF(MATCHED!AK51=10,MATCHED!$K51,IF(MATCHED!AK51=11,MATCHED!$L51,IF(MATCHED!AK51=12,MATCHED!$M51,IF(MATCHED!AK51=13,MATCHED!$N51,IF(MATCHED!AK51=14,MATCHED!$O51,"")))))))&amp;IF(MATCHED!AK51=15,MATCHED!$P51,IF(MATCHED!AK51=16,MATCHED!$Q51,IF(MATCHED!AK51=17,MATCHED!$R51,IF(MATCHED!AK51=18,MATCHED!$S51,IF(MATCHED!AK51=19,MATCHED!$T51,IF(MATCHED!AK51=20,MATCHED!$U51,IF(MATCHED!AK51=21,MATCHED!$V51,)))))))&amp;IF(MATCHED!AK51=22,MATCHED!$W51,IF(MATCHED!AK51=23,MATCHED!$X51,IF(MATCHED!AK51=24,MATCHED!$Y51,IF(MATCHED!AK51=25,MATCHED!$Z51,IF(MATCHED!AK51=26,MATCHED!$AA51,IF(MATCHED!AK51=27,MATCHED!$AB51,"."))))))</f>
        <v>#N/A</v>
      </c>
      <c r="J51" s="358" t="e">
        <f>IF(MATCHED!AL51=1,MATCHED!$B51,IF(MATCHED!AL51=2,MATCHED!$C51,IF(MATCHED!AL51=3,MATCHED!$D51,IF(MATCHED!AL51=4,MATCHED!$E51,IF(MATCHED!AL51=3,MATCHED!$F51,IF(MATCHED!AL51=6,MATCHED!$G51,IF(MATCHED!AL51=7,MATCHED!$H51,"")))))))&amp;IF(MATCHED!AL51=8,MATCHED!$I51,IF(MATCHED!AL51=9,MATCHED!$J51,IF(MATCHED!AL51=10,MATCHED!$K51,IF(MATCHED!AL51=11,MATCHED!$L51,IF(MATCHED!AL51=12,MATCHED!$M51,IF(MATCHED!AL51=13,MATCHED!$N51,IF(MATCHED!AL51=14,MATCHED!$O51,"")))))))&amp;IF(MATCHED!AL51=15,MATCHED!$P51,IF(MATCHED!AL51=16,MATCHED!$Q51,IF(MATCHED!AL51=17,MATCHED!$R51,IF(MATCHED!AL51=18,MATCHED!$S51,IF(MATCHED!AL51=19,MATCHED!$T51,IF(MATCHED!AL51=20,MATCHED!$U51,IF(MATCHED!AL51=21,MATCHED!$V51,)))))))&amp;IF(MATCHED!AL51=22,MATCHED!$W51,IF(MATCHED!AL51=23,MATCHED!$X51,IF(MATCHED!AL51=24,MATCHED!$Y51,IF(MATCHED!AL51=25,MATCHED!$Z51,IF(MATCHED!AL51=26,MATCHED!$AA51,IF(MATCHED!AL51=27,MATCHED!$AB51,"."))))))</f>
        <v>#N/A</v>
      </c>
      <c r="K51" s="358" t="e">
        <f>IF(MATCHED!AM51=1,MATCHED!$B51,IF(MATCHED!AM51=2,MATCHED!$C51,IF(MATCHED!AM51=3,MATCHED!$D51,IF(MATCHED!AM51=4,MATCHED!$E51,IF(MATCHED!AM51=3,MATCHED!$F51,IF(MATCHED!AM51=6,MATCHED!$G51,IF(MATCHED!AM51=7,MATCHED!$H51,"")))))))&amp;IF(MATCHED!AM51=8,MATCHED!$I51,IF(MATCHED!AM51=9,MATCHED!$J51,IF(MATCHED!AM51=10,MATCHED!$K51,IF(MATCHED!AM51=11,MATCHED!$L51,IF(MATCHED!AM51=12,MATCHED!$M51,IF(MATCHED!AM51=13,MATCHED!$N51,IF(MATCHED!AM51=14,MATCHED!$O51,"")))))))&amp;IF(MATCHED!AM51=15,MATCHED!$P51,IF(MATCHED!AM51=16,MATCHED!$Q51,IF(MATCHED!AM51=17,MATCHED!$R51,IF(MATCHED!AM51=18,MATCHED!$S51,IF(MATCHED!AM51=19,MATCHED!$T51,IF(MATCHED!AM51=20,MATCHED!$U51,IF(MATCHED!AM51=21,MATCHED!$V51,)))))))&amp;IF(MATCHED!AM51=22,MATCHED!$W51,IF(MATCHED!AM51=23,MATCHED!$X51,IF(MATCHED!AM51=24,MATCHED!$Y51,IF(MATCHED!AM51=25,MATCHED!$Z51,IF(MATCHED!AM51=26,MATCHED!$AA51,IF(MATCHED!AM51=27,MATCHED!$AB51,"."))))))</f>
        <v>#N/A</v>
      </c>
      <c r="L51" s="358" t="e">
        <f>IF(MATCHED!AN51=1,MATCHED!$B51,IF(MATCHED!AN51=2,MATCHED!$C51,IF(MATCHED!AN51=3,MATCHED!$D51,IF(MATCHED!AN51=4,MATCHED!$E51,IF(MATCHED!AN51=3,MATCHED!$F51,IF(MATCHED!AN51=6,MATCHED!$G51,IF(MATCHED!AN51=7,MATCHED!$H51,"")))))))&amp;IF(MATCHED!AN51=8,MATCHED!$I51,IF(MATCHED!AN51=9,MATCHED!$J51,IF(MATCHED!AN51=10,MATCHED!$K51,IF(MATCHED!AN51=11,MATCHED!$L51,IF(MATCHED!AN51=12,MATCHED!$M51,IF(MATCHED!AN51=13,MATCHED!$N51,IF(MATCHED!AN51=14,MATCHED!$O51,"")))))))&amp;IF(MATCHED!AN51=15,MATCHED!$P51,IF(MATCHED!AN51=16,MATCHED!$Q51,IF(MATCHED!AN51=17,MATCHED!$R51,IF(MATCHED!AN51=18,MATCHED!$S51,IF(MATCHED!AN51=19,MATCHED!$T51,IF(MATCHED!AN51=20,MATCHED!$U51,IF(MATCHED!AN51=21,MATCHED!$V51,)))))))&amp;IF(MATCHED!AN51=22,MATCHED!$W51,IF(MATCHED!AN51=23,MATCHED!$X51,IF(MATCHED!AN51=24,MATCHED!$Y51,IF(MATCHED!AN51=25,MATCHED!$Z51,IF(MATCHED!AN51=26,MATCHED!$AA51,IF(MATCHED!AN51=27,MATCHED!$AB51,"."))))))</f>
        <v>#N/A</v>
      </c>
      <c r="M51" s="358" t="e">
        <f>IF(MATCHED!AO51=1,MATCHED!$B51,IF(MATCHED!AO51=2,MATCHED!$C51,IF(MATCHED!AO51=3,MATCHED!$D51,IF(MATCHED!AO51=4,MATCHED!$E51,IF(MATCHED!AO51=3,MATCHED!$F51,IF(MATCHED!AO51=6,MATCHED!$G51,IF(MATCHED!AO51=7,MATCHED!$H51,"")))))))&amp;IF(MATCHED!AO51=8,MATCHED!$I51,IF(MATCHED!AO51=9,MATCHED!$J51,IF(MATCHED!AO51=10,MATCHED!$K51,IF(MATCHED!AO51=11,MATCHED!$L51,IF(MATCHED!AO51=12,MATCHED!$M51,IF(MATCHED!AO51=13,MATCHED!$N51,IF(MATCHED!AO51=14,MATCHED!$O51,"")))))))&amp;IF(MATCHED!AO51=15,MATCHED!$P51,IF(MATCHED!AO51=16,MATCHED!$Q51,IF(MATCHED!AO51=17,MATCHED!$R51,IF(MATCHED!AO51=18,MATCHED!$S51,IF(MATCHED!AO51=19,MATCHED!$T51,IF(MATCHED!AO51=20,MATCHED!$U51,IF(MATCHED!AO51=21,MATCHED!$V51,)))))))&amp;IF(MATCHED!AO51=22,MATCHED!$W51,IF(MATCHED!AO51=23,MATCHED!$X51,IF(MATCHED!AO51=24,MATCHED!$Y51,IF(MATCHED!AO51=25,MATCHED!$Z51,IF(MATCHED!AO51=26,MATCHED!$AA51,IF(MATCHED!AO51=27,MATCHED!$AB51,"."))))))</f>
        <v>#N/A</v>
      </c>
      <c r="N51" s="358" t="e">
        <f>IF(MATCHED!AP51=1,MATCHED!$B51,IF(MATCHED!AP51=2,MATCHED!$C51,IF(MATCHED!AP51=3,MATCHED!$D51,IF(MATCHED!AP51=4,MATCHED!$E51,IF(MATCHED!AP51=3,MATCHED!$F51,IF(MATCHED!AP51=6,MATCHED!$G51,IF(MATCHED!AP51=7,MATCHED!$H51,"")))))))&amp;IF(MATCHED!AP51=8,MATCHED!$I51,IF(MATCHED!AP51=9,MATCHED!$J51,IF(MATCHED!AP51=10,MATCHED!$K51,IF(MATCHED!AP51=11,MATCHED!$L51,IF(MATCHED!AP51=12,MATCHED!$M51,IF(MATCHED!AP51=13,MATCHED!$N51,IF(MATCHED!AP51=14,MATCHED!$O51,"")))))))&amp;IF(MATCHED!AP51=15,MATCHED!$P51,IF(MATCHED!AP51=16,MATCHED!$Q51,IF(MATCHED!AP51=17,MATCHED!$R51,IF(MATCHED!AP51=18,MATCHED!$S51,IF(MATCHED!AP51=19,MATCHED!$T51,IF(MATCHED!AP51=20,MATCHED!$U51,IF(MATCHED!AP51=21,MATCHED!$V51,)))))))&amp;IF(MATCHED!AP51=22,MATCHED!$W51,IF(MATCHED!AP51=23,MATCHED!$X51,IF(MATCHED!AP51=24,MATCHED!$Y51,IF(MATCHED!AP51=25,MATCHED!$Z51,IF(MATCHED!AP51=26,MATCHED!$AA51,IF(MATCHED!AP51=27,MATCHED!$AB51,"."))))))</f>
        <v>#N/A</v>
      </c>
      <c r="O51" s="358" t="e">
        <f>IF(MATCHED!AQ51=1,MATCHED!$B51,IF(MATCHED!AQ51=2,MATCHED!$C51,IF(MATCHED!AQ51=3,MATCHED!$D51,IF(MATCHED!AQ51=4,MATCHED!$E51,IF(MATCHED!AQ51=3,MATCHED!$F51,IF(MATCHED!AQ51=6,MATCHED!$G51,IF(MATCHED!AQ51=7,MATCHED!$H51,"")))))))&amp;IF(MATCHED!AQ51=8,MATCHED!$I51,IF(MATCHED!AQ51=9,MATCHED!$J51,IF(MATCHED!AQ51=10,MATCHED!$K51,IF(MATCHED!AQ51=11,MATCHED!$L51,IF(MATCHED!AQ51=12,MATCHED!$M51,IF(MATCHED!AQ51=13,MATCHED!$N51,IF(MATCHED!AQ51=14,MATCHED!$O51,"")))))))&amp;IF(MATCHED!AQ51=15,MATCHED!$P51,IF(MATCHED!AQ51=16,MATCHED!$Q51,IF(MATCHED!AQ51=17,MATCHED!$R51,IF(MATCHED!AQ51=18,MATCHED!$S51,IF(MATCHED!AQ51=19,MATCHED!$T51,IF(MATCHED!AQ51=20,MATCHED!$U51,IF(MATCHED!AQ51=21,MATCHED!$V51,)))))))&amp;IF(MATCHED!AQ51=22,MATCHED!$W51,IF(MATCHED!AQ51=23,MATCHED!$X51,IF(MATCHED!AQ51=24,MATCHED!$Y51,IF(MATCHED!AQ51=25,MATCHED!$Z51,IF(MATCHED!AQ51=26,MATCHED!$AA51,IF(MATCHED!AQ51=27,MATCHED!$AB51,"."))))))</f>
        <v>#N/A</v>
      </c>
      <c r="P51" s="358" t="e">
        <f>IF(MATCHED!AR51=1,MATCHED!$B51,IF(MATCHED!AR51=2,MATCHED!$C51,IF(MATCHED!AR51=3,MATCHED!$D51,IF(MATCHED!AR51=4,MATCHED!$E51,IF(MATCHED!AR51=3,MATCHED!$F51,IF(MATCHED!AR51=6,MATCHED!$G51,IF(MATCHED!AR51=7,MATCHED!$H51,"")))))))&amp;IF(MATCHED!AR51=8,MATCHED!$I51,IF(MATCHED!AR51=9,MATCHED!$J51,IF(MATCHED!AR51=10,MATCHED!$K51,IF(MATCHED!AR51=11,MATCHED!$L51,IF(MATCHED!AR51=12,MATCHED!$M51,IF(MATCHED!AR51=13,MATCHED!$N51,IF(MATCHED!AR51=14,MATCHED!$O51,"")))))))&amp;IF(MATCHED!AR51=15,MATCHED!$P51,IF(MATCHED!AR51=16,MATCHED!$Q51,IF(MATCHED!AR51=17,MATCHED!$R51,IF(MATCHED!AR51=18,MATCHED!$S51,IF(MATCHED!AR51=19,MATCHED!$T51,IF(MATCHED!AR51=20,MATCHED!$U51,IF(MATCHED!AR51=21,MATCHED!$V51,)))))))&amp;IF(MATCHED!AR51=22,MATCHED!$W51,IF(MATCHED!AR51=23,MATCHED!$X51,IF(MATCHED!AR51=24,MATCHED!$Y51,IF(MATCHED!AR51=25,MATCHED!$Z51,IF(MATCHED!AR51=26,MATCHED!$AA51,IF(MATCHED!AR51=27,MATCHED!$AB51,"."))))))</f>
        <v>#N/A</v>
      </c>
      <c r="Q51" s="359" t="e">
        <f>IF(MATCHED!AS51=1,MATCHED!$B51,IF(MATCHED!AS51=2,MATCHED!$C51,IF(MATCHED!AS51=3,MATCHED!$D51,IF(MATCHED!AS51=4,MATCHED!$E51,IF(MATCHED!AS51=3,MATCHED!$F51,IF(MATCHED!AS51=6,MATCHED!$G51,IF(MATCHED!AS51=7,MATCHED!$H51,"")))))))&amp;IF(MATCHED!AS51=8,MATCHED!$I51,IF(MATCHED!AS51=9,MATCHED!$J51,IF(MATCHED!AS51=10,MATCHED!$K51,IF(MATCHED!AS51=11,MATCHED!$L51,IF(MATCHED!AS51=12,MATCHED!$M51,IF(MATCHED!AS51=13,MATCHED!$N51,IF(MATCHED!AS51=14,MATCHED!$O51,"")))))))&amp;IF(MATCHED!AS51=15,MATCHED!$P51,IF(MATCHED!AS51=16,MATCHED!$Q51,IF(MATCHED!AS51=17,MATCHED!$R51,IF(MATCHED!AS51=18,MATCHED!$S51,IF(MATCHED!AS51=19,MATCHED!$T51,IF(MATCHED!AS51=20,MATCHED!$U51,IF(MATCHED!AS51=21,MATCHED!$V51,)))))))&amp;IF(MATCHED!AS51=22,MATCHED!$W51,IF(MATCHED!AS51=23,MATCHED!$X51,IF(MATCHED!AS51=24,MATCHED!$Y51,IF(MATCHED!AS51=25,MATCHED!$Z51,IF(MATCHED!AS51=26,MATCHED!$AA51,IF(MATCHED!AS51=27,MATCHED!$AB51,"."))))))</f>
        <v>#N/A</v>
      </c>
      <c r="R51" s="358" t="e">
        <f>IF(MATCHED!AT51=1,MATCHED!$B51,IF(MATCHED!AT51=2,MATCHED!$C51,IF(MATCHED!AT51=3,MATCHED!$D51,IF(MATCHED!AT51=4,MATCHED!$E51,IF(MATCHED!AT51=3,MATCHED!$F51,IF(MATCHED!AT51=6,MATCHED!$G51,IF(MATCHED!AT51=7,MATCHED!$H51,"")))))))&amp;IF(MATCHED!AT51=8,MATCHED!$I51,IF(MATCHED!AT51=9,MATCHED!$J51,IF(MATCHED!AT51=10,MATCHED!$K51,IF(MATCHED!AT51=11,MATCHED!$L51,IF(MATCHED!AT51=12,MATCHED!$M51,IF(MATCHED!AT51=13,MATCHED!$N51,IF(MATCHED!AT51=14,MATCHED!$O51,"")))))))&amp;IF(MATCHED!AT51=15,MATCHED!$P51,IF(MATCHED!AT51=16,MATCHED!$Q51,IF(MATCHED!AT51=17,MATCHED!$R51,IF(MATCHED!AT51=18,MATCHED!$S51,IF(MATCHED!AT51=19,MATCHED!$T51,IF(MATCHED!AT51=20,MATCHED!$U51,IF(MATCHED!AT51=21,MATCHED!$V51,)))))))&amp;IF(MATCHED!AT51=22,MATCHED!$W51,IF(MATCHED!AT51=23,MATCHED!$X51,IF(MATCHED!AT51=24,MATCHED!$Y51,IF(MATCHED!AT51=25,MATCHED!$Z51,IF(MATCHED!AT51=26,MATCHED!$AA51,IF(MATCHED!AT51=27,MATCHED!$AB51,"."))))))</f>
        <v>#N/A</v>
      </c>
      <c r="S51" s="358" t="e">
        <f>IF(MATCHED!AU51=1,MATCHED!$B51,IF(MATCHED!AU51=2,MATCHED!$C51,IF(MATCHED!AU51=3,MATCHED!$D51,IF(MATCHED!AU51=4,MATCHED!$E51,IF(MATCHED!AU51=3,MATCHED!$F51,IF(MATCHED!AU51=6,MATCHED!$G51,IF(MATCHED!AU51=7,MATCHED!$H51,"")))))))&amp;IF(MATCHED!AU51=8,MATCHED!$I51,IF(MATCHED!AU51=9,MATCHED!$J51,IF(MATCHED!AU51=10,MATCHED!$K51,IF(MATCHED!AU51=11,MATCHED!$L51,IF(MATCHED!AU51=12,MATCHED!$M51,IF(MATCHED!AU51=13,MATCHED!$N51,IF(MATCHED!AU51=14,MATCHED!$O51,"")))))))&amp;IF(MATCHED!AU51=15,MATCHED!$P51,IF(MATCHED!AU51=16,MATCHED!$Q51,IF(MATCHED!AU51=17,MATCHED!$R51,IF(MATCHED!AU51=18,MATCHED!$S51,IF(MATCHED!AU51=19,MATCHED!$T51,IF(MATCHED!AU51=20,MATCHED!$U51,IF(MATCHED!AU51=21,MATCHED!$V51,)))))))&amp;IF(MATCHED!AU51=22,MATCHED!$W51,IF(MATCHED!AU51=23,MATCHED!$X51,IF(MATCHED!AU51=24,MATCHED!$Y51,IF(MATCHED!AU51=25,MATCHED!$Z51,IF(MATCHED!AU51=26,MATCHED!$AA51,IF(MATCHED!AU51=27,MATCHED!$AB51,"."))))))</f>
        <v>#N/A</v>
      </c>
      <c r="T51" s="358" t="e">
        <f>IF(MATCHED!AV51=1,MATCHED!$B51,IF(MATCHED!AV51=2,MATCHED!$C51,IF(MATCHED!AV51=3,MATCHED!$D51,IF(MATCHED!AV51=4,MATCHED!$E51,IF(MATCHED!AV51=3,MATCHED!$F51,IF(MATCHED!AV51=6,MATCHED!$G51,IF(MATCHED!AV51=7,MATCHED!$H51,"")))))))&amp;IF(MATCHED!AV51=8,MATCHED!$I51,IF(MATCHED!AV51=9,MATCHED!$J51,IF(MATCHED!AV51=10,MATCHED!$K51,IF(MATCHED!AV51=11,MATCHED!$L51,IF(MATCHED!AV51=12,MATCHED!$M51,IF(MATCHED!AV51=13,MATCHED!$N51,IF(MATCHED!AV51=14,MATCHED!$O51,"")))))))&amp;IF(MATCHED!AV51=15,MATCHED!$P51,IF(MATCHED!AV51=16,MATCHED!$Q51,IF(MATCHED!AV51=17,MATCHED!$R51,IF(MATCHED!AV51=18,MATCHED!$S51,IF(MATCHED!AV51=19,MATCHED!$T51,IF(MATCHED!AV51=20,MATCHED!$U51,IF(MATCHED!AV51=21,MATCHED!$V51,)))))))&amp;IF(MATCHED!AV51=22,MATCHED!$W51,IF(MATCHED!AV51=23,MATCHED!$X51,IF(MATCHED!AV51=24,MATCHED!$Y51,IF(MATCHED!AV51=25,MATCHED!$Z51,IF(MATCHED!AV51=26,MATCHED!$AA51,IF(MATCHED!AV51=27,MATCHED!$AB51,"."))))))</f>
        <v>#N/A</v>
      </c>
      <c r="U51" s="358" t="e">
        <f>IF(MATCHED!AW51=1,MATCHED!$B51,IF(MATCHED!AW51=2,MATCHED!$C51,IF(MATCHED!AW51=3,MATCHED!$D51,IF(MATCHED!AW51=4,MATCHED!$E51,IF(MATCHED!AW51=3,MATCHED!$F51,IF(MATCHED!AW51=6,MATCHED!$G51,IF(MATCHED!AW51=7,MATCHED!$H51,"")))))))&amp;IF(MATCHED!AW51=8,MATCHED!$I51,IF(MATCHED!AW51=9,MATCHED!$J51,IF(MATCHED!AW51=10,MATCHED!$K51,IF(MATCHED!AW51=11,MATCHED!$L51,IF(MATCHED!AW51=12,MATCHED!$M51,IF(MATCHED!AW51=13,MATCHED!$N51,IF(MATCHED!AW51=14,MATCHED!$O51,"")))))))&amp;IF(MATCHED!AW51=15,MATCHED!$P51,IF(MATCHED!AW51=16,MATCHED!$Q51,IF(MATCHED!AW51=17,MATCHED!$R51,IF(MATCHED!AW51=18,MATCHED!$S51,IF(MATCHED!AW51=19,MATCHED!$T51,IF(MATCHED!AW51=20,MATCHED!$U51,IF(MATCHED!AW51=21,MATCHED!$V51,)))))))&amp;IF(MATCHED!AW51=22,MATCHED!$W51,IF(MATCHED!AW51=23,MATCHED!$X51,IF(MATCHED!AW51=24,MATCHED!$Y51,IF(MATCHED!AW51=25,MATCHED!$Z51,IF(MATCHED!AW51=26,MATCHED!$AA51,IF(MATCHED!AW51=27,MATCHED!$AB51,"."))))))</f>
        <v>#N/A</v>
      </c>
      <c r="V51" s="358" t="e">
        <f>IF(MATCHED!AX51=1,MATCHED!$B51,IF(MATCHED!AX51=2,MATCHED!$C51,IF(MATCHED!AX51=3,MATCHED!$D51,IF(MATCHED!AX51=4,MATCHED!$E51,IF(MATCHED!AX51=3,MATCHED!$F51,IF(MATCHED!AX51=6,MATCHED!$G51,IF(MATCHED!AX51=7,MATCHED!$H51,"")))))))&amp;IF(MATCHED!AX51=8,MATCHED!$I51,IF(MATCHED!AX51=9,MATCHED!$J51,IF(MATCHED!AX51=10,MATCHED!$K51,IF(MATCHED!AX51=11,MATCHED!$L51,IF(MATCHED!AX51=12,MATCHED!$M51,IF(MATCHED!AX51=13,MATCHED!$N51,IF(MATCHED!AX51=14,MATCHED!$O51,"")))))))&amp;IF(MATCHED!AX51=15,MATCHED!$P51,IF(MATCHED!AX51=16,MATCHED!$Q51,IF(MATCHED!AX51=17,MATCHED!$R51,IF(MATCHED!AX51=18,MATCHED!$S51,IF(MATCHED!AX51=19,MATCHED!$T51,IF(MATCHED!AX51=20,MATCHED!$U51,IF(MATCHED!AX51=21,MATCHED!$V51,)))))))&amp;IF(MATCHED!AX51=22,MATCHED!$W51,IF(MATCHED!AX51=23,MATCHED!$X51,IF(MATCHED!AX51=24,MATCHED!$Y51,IF(MATCHED!AX51=25,MATCHED!$Z51,IF(MATCHED!AX51=26,MATCHED!$AA51,IF(MATCHED!AX51=27,MATCHED!$AB51,"."))))))</f>
        <v>#N/A</v>
      </c>
      <c r="W51" s="358" t="e">
        <f>IF(MATCHED!AY51=1,MATCHED!$B51,IF(MATCHED!AY51=2,MATCHED!$C51,IF(MATCHED!AY51=3,MATCHED!$D51,IF(MATCHED!AY51=4,MATCHED!$E51,IF(MATCHED!AY51=3,MATCHED!$F51,IF(MATCHED!AY51=6,MATCHED!$G51,IF(MATCHED!AY51=7,MATCHED!$H51,"")))))))&amp;IF(MATCHED!AY51=8,MATCHED!$I51,IF(MATCHED!AY51=9,MATCHED!$J51,IF(MATCHED!AY51=10,MATCHED!$K51,IF(MATCHED!AY51=11,MATCHED!$L51,IF(MATCHED!AY51=12,MATCHED!$M51,IF(MATCHED!AY51=13,MATCHED!$N51,IF(MATCHED!AY51=14,MATCHED!$O51,"")))))))&amp;IF(MATCHED!AY51=15,MATCHED!$P51,IF(MATCHED!AY51=16,MATCHED!$Q51,IF(MATCHED!AY51=17,MATCHED!$R51,IF(MATCHED!AY51=18,MATCHED!$S51,IF(MATCHED!AY51=19,MATCHED!$T51,IF(MATCHED!AY51=20,MATCHED!$U51,IF(MATCHED!AY51=21,MATCHED!$V51,)))))))&amp;IF(MATCHED!AY51=22,MATCHED!$W51,IF(MATCHED!AY51=23,MATCHED!$X51,IF(MATCHED!AY51=24,MATCHED!$Y51,IF(MATCHED!AY51=25,MATCHED!$Z51,IF(MATCHED!AY51=26,MATCHED!$AA51,IF(MATCHED!AY51=27,MATCHED!$AB51,"."))))))</f>
        <v>#N/A</v>
      </c>
      <c r="X51" s="358" t="e">
        <f>IF(MATCHED!AZ51=1,MATCHED!$B51,IF(MATCHED!AZ51=2,MATCHED!$C51,IF(MATCHED!AZ51=3,MATCHED!$D51,IF(MATCHED!AZ51=4,MATCHED!$E51,IF(MATCHED!AZ51=3,MATCHED!$F51,IF(MATCHED!AZ51=6,MATCHED!$G51,IF(MATCHED!AZ51=7,MATCHED!$H51,"")))))))&amp;IF(MATCHED!AZ51=8,MATCHED!$I51,IF(MATCHED!AZ51=9,MATCHED!$J51,IF(MATCHED!AZ51=10,MATCHED!$K51,IF(MATCHED!AZ51=11,MATCHED!$L51,IF(MATCHED!AZ51=12,MATCHED!$M51,IF(MATCHED!AZ51=13,MATCHED!$N51,IF(MATCHED!AZ51=14,MATCHED!$O51,"")))))))&amp;IF(MATCHED!AZ51=15,MATCHED!$P51,IF(MATCHED!AZ51=16,MATCHED!$Q51,IF(MATCHED!AZ51=17,MATCHED!$R51,IF(MATCHED!AZ51=18,MATCHED!$S51,IF(MATCHED!AZ51=19,MATCHED!$T51,IF(MATCHED!AZ51=20,MATCHED!$U51,IF(MATCHED!AZ51=21,MATCHED!$V51,)))))))&amp;IF(MATCHED!AZ51=22,MATCHED!$W51,IF(MATCHED!AZ51=23,MATCHED!$X51,IF(MATCHED!AZ51=24,MATCHED!$Y51,IF(MATCHED!AZ51=25,MATCHED!$Z51,IF(MATCHED!AZ51=26,MATCHED!$AA51,IF(MATCHED!AZ51=27,MATCHED!$AB51,"."))))))</f>
        <v>#N/A</v>
      </c>
      <c r="Y51" s="358" t="e">
        <f>IF(MATCHED!BA51=1,MATCHED!$B51,IF(MATCHED!BA51=2,MATCHED!$C51,IF(MATCHED!BA51=3,MATCHED!$D51,IF(MATCHED!BA51=4,MATCHED!$E51,IF(MATCHED!BA51=3,MATCHED!$F51,IF(MATCHED!BA51=6,MATCHED!$G51,IF(MATCHED!BA51=7,MATCHED!$H51,"")))))))&amp;IF(MATCHED!BA51=8,MATCHED!$I51,IF(MATCHED!BA51=9,MATCHED!$J51,IF(MATCHED!BA51=10,MATCHED!$K51,IF(MATCHED!BA51=11,MATCHED!$L51,IF(MATCHED!BA51=12,MATCHED!$M51,IF(MATCHED!BA51=13,MATCHED!$N51,IF(MATCHED!BA51=14,MATCHED!$O51,"")))))))&amp;IF(MATCHED!BA51=15,MATCHED!$P51,IF(MATCHED!BA51=16,MATCHED!$Q51,IF(MATCHED!BA51=17,MATCHED!$R51,IF(MATCHED!BA51=18,MATCHED!$S51,IF(MATCHED!BA51=19,MATCHED!$T51,IF(MATCHED!BA51=20,MATCHED!$U51,IF(MATCHED!BA51=21,MATCHED!$V51,)))))))&amp;IF(MATCHED!BA51=22,MATCHED!$W51,IF(MATCHED!BA51=23,MATCHED!$X51,IF(MATCHED!BA51=24,MATCHED!$Y51,IF(MATCHED!BA51=25,MATCHED!$Z51,IF(MATCHED!BA51=26,MATCHED!$AA51,IF(MATCHED!BA51=27,MATCHED!$AB51,"."))))))</f>
        <v>#N/A</v>
      </c>
      <c r="Z51" s="358" t="e">
        <f>IF(MATCHED!BB51=1,MATCHED!$B51,IF(MATCHED!BB51=2,MATCHED!$C51,IF(MATCHED!BB51=3,MATCHED!$D51,IF(MATCHED!BB51=4,MATCHED!$E51,IF(MATCHED!BB51=3,MATCHED!$F51,IF(MATCHED!BB51=6,MATCHED!$G51,IF(MATCHED!BB51=7,MATCHED!$H51,"")))))))&amp;IF(MATCHED!BB51=8,MATCHED!$I51,IF(MATCHED!BB51=9,MATCHED!$J51,IF(MATCHED!BB51=10,MATCHED!$K51,IF(MATCHED!BB51=11,MATCHED!$L51,IF(MATCHED!BB51=12,MATCHED!$M51,IF(MATCHED!BB51=13,MATCHED!$N51,IF(MATCHED!BB51=14,MATCHED!$O51,"")))))))&amp;IF(MATCHED!BB51=15,MATCHED!$P51,IF(MATCHED!BB51=16,MATCHED!$Q51,IF(MATCHED!BB51=17,MATCHED!$R51,IF(MATCHED!BB51=18,MATCHED!$S51,IF(MATCHED!BB51=19,MATCHED!$T51,IF(MATCHED!BB51=20,MATCHED!$U51,IF(MATCHED!BB51=21,MATCHED!$V51,)))))))&amp;IF(MATCHED!BB51=22,MATCHED!$W51,IF(MATCHED!BB51=23,MATCHED!$X51,IF(MATCHED!BB51=24,MATCHED!$Y51,IF(MATCHED!BB51=25,MATCHED!$Z51,IF(MATCHED!BB51=26,MATCHED!$AA51,IF(MATCHED!BB51=27,MATCHED!$AB51,"."))))))</f>
        <v>#N/A</v>
      </c>
      <c r="AA51" s="358" t="e">
        <f>IF(MATCHED!BC51=1,MATCHED!$B51,IF(MATCHED!BC51=2,MATCHED!$C51,IF(MATCHED!BC51=3,MATCHED!$D51,IF(MATCHED!BC51=4,MATCHED!$E51,IF(MATCHED!BC51=3,MATCHED!$F51,IF(MATCHED!BC51=6,MATCHED!$G51,IF(MATCHED!BC51=7,MATCHED!$H51,"")))))))&amp;IF(MATCHED!BC51=8,MATCHED!$I51,IF(MATCHED!BC51=9,MATCHED!$J51,IF(MATCHED!BC51=10,MATCHED!$K51,IF(MATCHED!BC51=11,MATCHED!$L51,IF(MATCHED!BC51=12,MATCHED!$M51,IF(MATCHED!BC51=13,MATCHED!$N51,IF(MATCHED!BC51=14,MATCHED!$O51,"")))))))&amp;IF(MATCHED!BC51=15,MATCHED!$P51,IF(MATCHED!BC51=16,MATCHED!$Q51,IF(MATCHED!BC51=17,MATCHED!$R51,IF(MATCHED!BC51=18,MATCHED!$S51,IF(MATCHED!BC51=19,MATCHED!$T51,IF(MATCHED!BC51=20,MATCHED!$U51,IF(MATCHED!BC51=21,MATCHED!$V51,)))))))&amp;IF(MATCHED!BC51=22,MATCHED!$W51,IF(MATCHED!BC51=23,MATCHED!$X51,IF(MATCHED!BC51=24,MATCHED!$Y51,IF(MATCHED!BC51=25,MATCHED!$Z51,IF(MATCHED!BC51=26,MATCHED!$AA51,IF(MATCHED!BC51=27,MATCHED!$AB51,"."))))))</f>
        <v>#N/A</v>
      </c>
      <c r="AB51" s="358" t="e">
        <f>IF(MATCHED!BD51=1,MATCHED!$B51,IF(MATCHED!BD51=2,MATCHED!$C51,IF(MATCHED!BD51=3,MATCHED!$D51,IF(MATCHED!BD51=4,MATCHED!$E51,IF(MATCHED!BD51=3,MATCHED!$F51,IF(MATCHED!BD51=6,MATCHED!$G51,IF(MATCHED!BD51=7,MATCHED!$H51,"")))))))&amp;IF(MATCHED!BD51=8,MATCHED!$I51,IF(MATCHED!BD51=9,MATCHED!$J51,IF(MATCHED!BD51=10,MATCHED!$K51,IF(MATCHED!BD51=11,MATCHED!$L51,IF(MATCHED!BD51=12,MATCHED!$M51,IF(MATCHED!BD51=13,MATCHED!$N51,IF(MATCHED!BD51=14,MATCHED!$O51,"")))))))&amp;IF(MATCHED!BD51=15,MATCHED!$P51,IF(MATCHED!BD51=16,MATCHED!$Q51,IF(MATCHED!BD51=17,MATCHED!$R51,IF(MATCHED!BD51=18,MATCHED!$S51,IF(MATCHED!BD51=19,MATCHED!$T51,IF(MATCHED!BD51=20,MATCHED!$U51,IF(MATCHED!BD51=21,MATCHED!$V51,)))))))&amp;IF(MATCHED!BD51=22,MATCHED!$W51,IF(MATCHED!BD51=23,MATCHED!$X51,IF(MATCHED!BD51=24,MATCHED!$Y51,IF(MATCHED!BD51=25,MATCHED!$Z51,IF(MATCHED!BD51=26,MATCHED!$AA51,IF(MATCHED!BD51=27,MATCHED!$AB51,"."))))))</f>
        <v>#N/A</v>
      </c>
      <c r="AC51" s="358" t="e">
        <f>IF(MATCHED!BE51=1,MATCHED!$B51,IF(MATCHED!BE51=2,MATCHED!$C51,IF(MATCHED!BE51=3,MATCHED!$D51,IF(MATCHED!BE51=4,MATCHED!$E51,IF(MATCHED!BE51=3,MATCHED!$F51,IF(MATCHED!BE51=6,MATCHED!$G51,IF(MATCHED!BE51=7,MATCHED!$H51,"")))))))&amp;IF(MATCHED!BE51=8,MATCHED!$I51,IF(MATCHED!BE51=9,MATCHED!$J51,IF(MATCHED!BE51=10,MATCHED!$K51,IF(MATCHED!BE51=11,MATCHED!$L51,IF(MATCHED!BE51=12,MATCHED!$M51,IF(MATCHED!BE51=13,MATCHED!$N51,IF(MATCHED!BE51=14,MATCHED!$O51,"")))))))&amp;IF(MATCHED!BE51=15,MATCHED!$P51,IF(MATCHED!BE51=16,MATCHED!$Q51,IF(MATCHED!BE51=17,MATCHED!$R51,IF(MATCHED!BE51=18,MATCHED!$S51,IF(MATCHED!BE51=19,MATCHED!$T51,IF(MATCHED!BE51=20,MATCHED!$U51,IF(MATCHED!BE51=21,MATCHED!$V51,)))))))&amp;IF(MATCHED!BE51=22,MATCHED!$W51,IF(MATCHED!BE51=23,MATCHED!$X51,IF(MATCHED!BE51=24,MATCHED!$Y51,IF(MATCHED!BE51=25,MATCHED!$Z51,IF(MATCHED!BE51=26,MATCHED!$AA51,IF(MATCHED!BE51=27,MATCHED!$AB51,"."))))))</f>
        <v>#N/A</v>
      </c>
      <c r="AD51" s="358" t="e">
        <f>IF(MATCHED!BF51=1,MATCHED!$B51,IF(MATCHED!BF51=2,MATCHED!$C51,IF(MATCHED!BF51=3,MATCHED!$D51,IF(MATCHED!BF51=4,MATCHED!$E51,IF(MATCHED!BF51=3,MATCHED!$F51,IF(MATCHED!BF51=6,MATCHED!$G51,IF(MATCHED!BF51=7,MATCHED!$H51,"")))))))&amp;IF(MATCHED!BF51=8,MATCHED!$I51,IF(MATCHED!BF51=9,MATCHED!$J51,IF(MATCHED!BF51=10,MATCHED!$K51,IF(MATCHED!BF51=11,MATCHED!$L51,IF(MATCHED!BF51=12,MATCHED!$M51,IF(MATCHED!BF51=13,MATCHED!$N51,IF(MATCHED!BF51=14,MATCHED!$O51,"")))))))&amp;IF(MATCHED!BF51=15,MATCHED!$P51,IF(MATCHED!BF51=16,MATCHED!$Q51,IF(MATCHED!BF51=17,MATCHED!$R51,IF(MATCHED!BF51=18,MATCHED!$S51,IF(MATCHED!BF51=19,MATCHED!$T51,IF(MATCHED!BF51=20,MATCHED!$U51,IF(MATCHED!BF51=21,MATCHED!$V51,)))))))&amp;IF(MATCHED!BF51=22,MATCHED!$W51,IF(MATCHED!BF51=23,MATCHED!$X51,IF(MATCHED!BF51=24,MATCHED!$Y51,IF(MATCHED!BF51=25,MATCHED!$Z51,IF(MATCHED!BF51=26,MATCHED!$AA51,IF(MATCHED!BF51=27,MATCHED!$AB51,"."))))))</f>
        <v>#N/A</v>
      </c>
      <c r="AE51" s="358" t="e">
        <f>IF(MATCHED!BG51=1,MATCHED!$B51,IF(MATCHED!BG51=2,MATCHED!$C51,IF(MATCHED!BG51=3,MATCHED!$D51,IF(MATCHED!BG51=4,MATCHED!$E51,IF(MATCHED!BG51=3,MATCHED!$F51,IF(MATCHED!BG51=6,MATCHED!$G51,IF(MATCHED!BG51=7,MATCHED!$H51,"")))))))&amp;IF(MATCHED!BG51=8,MATCHED!$I51,IF(MATCHED!BG51=9,MATCHED!$J51,IF(MATCHED!BG51=10,MATCHED!$K51,IF(MATCHED!BG51=11,MATCHED!$L51,IF(MATCHED!BG51=12,MATCHED!$M51,IF(MATCHED!BG51=13,MATCHED!$N51,IF(MATCHED!BG51=14,MATCHED!$O51,"")))))))&amp;IF(MATCHED!BG51=15,MATCHED!$P51,IF(MATCHED!BG51=16,MATCHED!$Q51,IF(MATCHED!BG51=17,MATCHED!$R51,IF(MATCHED!BG51=18,MATCHED!$S51,IF(MATCHED!BG51=19,MATCHED!$T51,IF(MATCHED!BG51=20,MATCHED!$U51,IF(MATCHED!BG51=21,MATCHED!$V51,)))))))&amp;IF(MATCHED!BG51=22,MATCHED!$W51,IF(MATCHED!BG51=23,MATCHED!$X51,IF(MATCHED!BG51=24,MATCHED!$Y51,IF(MATCHED!BG51=25,MATCHED!$Z51,IF(MATCHED!BG51=26,MATCHED!$AA51,IF(MATCHED!BG51=27,MATCHED!$AB51,"."))))))</f>
        <v>#N/A</v>
      </c>
      <c r="AF51" s="358" t="e">
        <f>IF(MATCHED!BH51=1,MATCHED!$B51,IF(MATCHED!BH51=2,MATCHED!$C51,IF(MATCHED!BH51=3,MATCHED!$D51,IF(MATCHED!BH51=4,MATCHED!$E51,IF(MATCHED!BH51=3,MATCHED!$F51,IF(MATCHED!BH51=6,MATCHED!$G51,IF(MATCHED!BH51=7,MATCHED!$H51,"")))))))&amp;IF(MATCHED!BH51=8,MATCHED!$I51,IF(MATCHED!BH51=9,MATCHED!$J51,IF(MATCHED!BH51=10,MATCHED!$K51,IF(MATCHED!BH51=11,MATCHED!$L51,IF(MATCHED!BH51=12,MATCHED!$M51,IF(MATCHED!BH51=13,MATCHED!$N51,IF(MATCHED!BH51=14,MATCHED!$O51,"")))))))&amp;IF(MATCHED!BH51=15,MATCHED!$P51,IF(MATCHED!BH51=16,MATCHED!$Q51,IF(MATCHED!BH51=17,MATCHED!$R51,IF(MATCHED!BH51=18,MATCHED!$S51,IF(MATCHED!BH51=19,MATCHED!$T51,IF(MATCHED!BH51=20,MATCHED!$U51,IF(MATCHED!BH51=21,MATCHED!$V51,)))))))&amp;IF(MATCHED!BH51=22,MATCHED!$W51,IF(MATCHED!BH51=23,MATCHED!$X51,IF(MATCHED!BH51=24,MATCHED!$Y51,IF(MATCHED!BH51=25,MATCHED!$Z51,IF(MATCHED!BH51=26,MATCHED!$AA51,IF(MATCHED!BH51=27,MATCHED!$AB51,"."))))))</f>
        <v>#N/A</v>
      </c>
      <c r="AG51" s="358" t="e">
        <f>IF(MATCHED!BI51=1,MATCHED!$B51,IF(MATCHED!BI51=2,MATCHED!$C51,IF(MATCHED!BI51=3,MATCHED!$D51,IF(MATCHED!BI51=4,MATCHED!$E51,IF(MATCHED!BI51=3,MATCHED!$F51,IF(MATCHED!BI51=6,MATCHED!$G51,IF(MATCHED!BI51=7,MATCHED!$H51,"")))))))&amp;IF(MATCHED!BI51=8,MATCHED!$I51,IF(MATCHED!BI51=9,MATCHED!$J51,IF(MATCHED!BI51=10,MATCHED!$K51,IF(MATCHED!BI51=11,MATCHED!$L51,IF(MATCHED!BI51=12,MATCHED!$M51,IF(MATCHED!BI51=13,MATCHED!$N51,IF(MATCHED!BI51=14,MATCHED!$O51,"")))))))&amp;IF(MATCHED!BI51=15,MATCHED!$P51,IF(MATCHED!BI51=16,MATCHED!$Q51,IF(MATCHED!BI51=17,MATCHED!$R51,IF(MATCHED!BI51=18,MATCHED!$S51,IF(MATCHED!BI51=19,MATCHED!$T51,IF(MATCHED!BI51=20,MATCHED!$U51,IF(MATCHED!BI51=21,MATCHED!$V51,)))))))&amp;IF(MATCHED!BI51=22,MATCHED!$W51,IF(MATCHED!BI51=23,MATCHED!$X51,IF(MATCHED!BI51=24,MATCHED!$Y51,IF(MATCHED!BI51=25,MATCHED!$Z51,IF(MATCHED!BI51=26,MATCHED!$AA51,IF(MATCHED!BI51=27,MATCHED!$AB51,"."))))))</f>
        <v>#N/A</v>
      </c>
      <c r="AH51" s="358" t="e">
        <f>IF(MATCHED!BJ51=1,MATCHED!$B51,IF(MATCHED!BJ51=2,MATCHED!$C51,IF(MATCHED!BJ51=3,MATCHED!$D51,IF(MATCHED!BJ51=4,MATCHED!$E51,IF(MATCHED!BJ51=3,MATCHED!$F51,IF(MATCHED!BJ51=6,MATCHED!$G51,IF(MATCHED!BJ51=7,MATCHED!$H51,"")))))))&amp;IF(MATCHED!BJ51=8,MATCHED!$I51,IF(MATCHED!BJ51=9,MATCHED!$J51,IF(MATCHED!BJ51=10,MATCHED!$K51,IF(MATCHED!BJ51=11,MATCHED!$L51,IF(MATCHED!BJ51=12,MATCHED!$M51,IF(MATCHED!BJ51=13,MATCHED!$N51,IF(MATCHED!BJ51=14,MATCHED!$O51,"")))))))&amp;IF(MATCHED!BJ51=15,MATCHED!$P51,IF(MATCHED!BJ51=16,MATCHED!$Q51,IF(MATCHED!BJ51=17,MATCHED!$R51,IF(MATCHED!BJ51=18,MATCHED!$S51,IF(MATCHED!BJ51=19,MATCHED!$T51,IF(MATCHED!BJ51=20,MATCHED!$U51,IF(MATCHED!BJ51=21,MATCHED!$V51,)))))))&amp;IF(MATCHED!BJ51=22,MATCHED!$W51,IF(MATCHED!BJ51=23,MATCHED!$X51,IF(MATCHED!BJ51=24,MATCHED!$Y51,IF(MATCHED!BJ51=25,MATCHED!$Z51,IF(MATCHED!BJ51=26,MATCHED!$AA51,IF(MATCHED!BJ51=27,MATCHED!$AB51,"."))))))</f>
        <v>#N/A</v>
      </c>
      <c r="AI51" s="358" t="e">
        <f>IF(MATCHED!BK51=1,MATCHED!$B51,IF(MATCHED!BK51=2,MATCHED!$C51,IF(MATCHED!BK51=3,MATCHED!$D51,IF(MATCHED!BK51=4,MATCHED!$E51,IF(MATCHED!BK51=3,MATCHED!$F51,IF(MATCHED!BK51=6,MATCHED!$G51,IF(MATCHED!BK51=7,MATCHED!$H51,"")))))))&amp;IF(MATCHED!BK51=8,MATCHED!$I51,IF(MATCHED!BK51=9,MATCHED!$J51,IF(MATCHED!BK51=10,MATCHED!$K51,IF(MATCHED!BK51=11,MATCHED!$L51,IF(MATCHED!BK51=12,MATCHED!$M51,IF(MATCHED!BK51=13,MATCHED!$N51,IF(MATCHED!BK51=14,MATCHED!$O51,"")))))))&amp;IF(MATCHED!BK51=15,MATCHED!$P51,IF(MATCHED!BK51=16,MATCHED!$Q51,IF(MATCHED!BK51=17,MATCHED!$R51,IF(MATCHED!BK51=18,MATCHED!$S51,IF(MATCHED!BK51=19,MATCHED!$T51,IF(MATCHED!BK51=20,MATCHED!$U51,IF(MATCHED!BK51=21,MATCHED!$V51,)))))))&amp;IF(MATCHED!BK51=22,MATCHED!$W51,IF(MATCHED!BK51=23,MATCHED!$X51,IF(MATCHED!BK51=24,MATCHED!$Y51,IF(MATCHED!BK51=25,MATCHED!$Z51,IF(MATCHED!BK51=26,MATCHED!$AA51,IF(MATCHED!BK51=27,MATCHED!$AB51,"."))))))</f>
        <v>#N/A</v>
      </c>
      <c r="AJ51" s="535"/>
    </row>
    <row r="52" spans="1:36" s="338" customFormat="1" ht="27" thickBot="1" x14ac:dyDescent="0.3">
      <c r="A52" s="535"/>
      <c r="B52" s="360" t="e">
        <f>IF(MATCHED!AD52=1,MATCHED!$B52,IF(MATCHED!AD52=2,MATCHED!$C52,IF(MATCHED!AD52=3,MATCHED!$D52,IF(MATCHED!AD52=4,MATCHED!$E52,IF(MATCHED!AD52=3,MATCHED!$F52,IF(MATCHED!AD52=6,MATCHED!$G52,IF(MATCHED!AD52=7,MATCHED!$H52,"")))))))&amp;IF(MATCHED!AD52=8,MATCHED!$I52,IF(MATCHED!AD52=9,MATCHED!$J52,IF(MATCHED!AD52=10,MATCHED!$K52,IF(MATCHED!AD52=11,MATCHED!$L52,IF(MATCHED!AD52=12,MATCHED!$M52,IF(MATCHED!AD52=13,MATCHED!$N52,IF(MATCHED!AD52=14,MATCHED!$O52,"")))))))&amp;IF(MATCHED!AD52=15,MATCHED!$P52,IF(MATCHED!AD52=16,MATCHED!$Q52,IF(MATCHED!AD52=17,MATCHED!$R52,IF(MATCHED!AD52=18,MATCHED!$S52,IF(MATCHED!AD52=19,MATCHED!$T52,IF(MATCHED!AD52=20,MATCHED!$U52,IF(MATCHED!AD52=21,MATCHED!$V52,)))))))&amp;IF(MATCHED!AD52=22,MATCHED!$W52,IF(MATCHED!AD52=23,MATCHED!$X52,IF(MATCHED!AD52=24,MATCHED!$Y52,IF(MATCHED!AD52=25,MATCHED!$Z52,IF(MATCHED!AD52=26,MATCHED!$AA52,IF(MATCHED!AD52=27,MATCHED!$AB52,"."))))))</f>
        <v>#N/A</v>
      </c>
      <c r="C52" s="360" t="e">
        <f>IF(MATCHED!AE52=1,MATCHED!$B52,IF(MATCHED!AE52=2,MATCHED!$C52,IF(MATCHED!AE52=3,MATCHED!$D52,IF(MATCHED!AE52=4,MATCHED!$E52,IF(MATCHED!AE52=3,MATCHED!$F52,IF(MATCHED!AE52=6,MATCHED!$G52,IF(MATCHED!AE52=7,MATCHED!$H52,"")))))))&amp;IF(MATCHED!AE52=8,MATCHED!$I52,IF(MATCHED!AE52=9,MATCHED!$J52,IF(MATCHED!AE52=10,MATCHED!$K52,IF(MATCHED!AE52=11,MATCHED!$L52,IF(MATCHED!AE52=12,MATCHED!$M52,IF(MATCHED!AE52=13,MATCHED!$N52,IF(MATCHED!AE52=14,MATCHED!$O52,"")))))))&amp;IF(MATCHED!AE52=15,MATCHED!$P52,IF(MATCHED!AE52=16,MATCHED!$Q52,IF(MATCHED!AE52=17,MATCHED!$R52,IF(MATCHED!AE52=18,MATCHED!$S52,IF(MATCHED!AE52=19,MATCHED!$T52,IF(MATCHED!AE52=20,MATCHED!$U52,IF(MATCHED!AE52=21,MATCHED!$V52,)))))))&amp;IF(MATCHED!AE52=22,MATCHED!$W52,IF(MATCHED!AE52=23,MATCHED!$X52,IF(MATCHED!AE52=24,MATCHED!$Y52,IF(MATCHED!AE52=25,MATCHED!$Z52,IF(MATCHED!AE52=26,MATCHED!$AA52,IF(MATCHED!AE52=27,MATCHED!$AB52,"."))))))</f>
        <v>#N/A</v>
      </c>
      <c r="D52" s="360" t="e">
        <f>IF(MATCHED!AF52=1,MATCHED!$B52,IF(MATCHED!AF52=2,MATCHED!$C52,IF(MATCHED!AF52=3,MATCHED!$D52,IF(MATCHED!AF52=4,MATCHED!$E52,IF(MATCHED!AF52=3,MATCHED!$F52,IF(MATCHED!AF52=6,MATCHED!$G52,IF(MATCHED!AF52=7,MATCHED!$H52,"")))))))&amp;IF(MATCHED!AF52=8,MATCHED!$I52,IF(MATCHED!AF52=9,MATCHED!$J52,IF(MATCHED!AF52=10,MATCHED!$K52,IF(MATCHED!AF52=11,MATCHED!$L52,IF(MATCHED!AF52=12,MATCHED!$M52,IF(MATCHED!AF52=13,MATCHED!$N52,IF(MATCHED!AF52=14,MATCHED!$O52,"")))))))&amp;IF(MATCHED!AF52=15,MATCHED!$P52,IF(MATCHED!AF52=16,MATCHED!$Q52,IF(MATCHED!AF52=17,MATCHED!$R52,IF(MATCHED!AF52=18,MATCHED!$S52,IF(MATCHED!AF52=19,MATCHED!$T52,IF(MATCHED!AF52=20,MATCHED!$U52,IF(MATCHED!AF52=21,MATCHED!$V52,)))))))&amp;IF(MATCHED!AF52=22,MATCHED!$W52,IF(MATCHED!AF52=23,MATCHED!$X52,IF(MATCHED!AF52=24,MATCHED!$Y52,IF(MATCHED!AF52=25,MATCHED!$Z52,IF(MATCHED!AF52=26,MATCHED!$AA52,IF(MATCHED!AF52=27,MATCHED!$AB52,"."))))))</f>
        <v>#N/A</v>
      </c>
      <c r="E52" s="360" t="e">
        <f>IF(MATCHED!AG52=1,MATCHED!$B52,IF(MATCHED!AG52=2,MATCHED!$C52,IF(MATCHED!AG52=3,MATCHED!$D52,IF(MATCHED!AG52=4,MATCHED!$E52,IF(MATCHED!AG52=3,MATCHED!$F52,IF(MATCHED!AG52=6,MATCHED!$G52,IF(MATCHED!AG52=7,MATCHED!$H52,"")))))))&amp;IF(MATCHED!AG52=8,MATCHED!$I52,IF(MATCHED!AG52=9,MATCHED!$J52,IF(MATCHED!AG52=10,MATCHED!$K52,IF(MATCHED!AG52=11,MATCHED!$L52,IF(MATCHED!AG52=12,MATCHED!$M52,IF(MATCHED!AG52=13,MATCHED!$N52,IF(MATCHED!AG52=14,MATCHED!$O52,"")))))))&amp;IF(MATCHED!AG52=15,MATCHED!$P52,IF(MATCHED!AG52=16,MATCHED!$Q52,IF(MATCHED!AG52=17,MATCHED!$R52,IF(MATCHED!AG52=18,MATCHED!$S52,IF(MATCHED!AG52=19,MATCHED!$T52,IF(MATCHED!AG52=20,MATCHED!$U52,IF(MATCHED!AG52=21,MATCHED!$V52,)))))))&amp;IF(MATCHED!AG52=22,MATCHED!$W52,IF(MATCHED!AG52=23,MATCHED!$X52,IF(MATCHED!AG52=24,MATCHED!$Y52,IF(MATCHED!AG52=25,MATCHED!$Z52,IF(MATCHED!AG52=26,MATCHED!$AA52,IF(MATCHED!AG52=27,MATCHED!$AB52,"."))))))</f>
        <v>#N/A</v>
      </c>
      <c r="F52" s="360" t="e">
        <f>IF(MATCHED!AH52=1,MATCHED!$B52,IF(MATCHED!AH52=2,MATCHED!$C52,IF(MATCHED!AH52=3,MATCHED!$D52,IF(MATCHED!AH52=4,MATCHED!$E52,IF(MATCHED!AH52=3,MATCHED!$F52,IF(MATCHED!AH52=6,MATCHED!$G52,IF(MATCHED!AH52=7,MATCHED!$H52,"")))))))&amp;IF(MATCHED!AH52=8,MATCHED!$I52,IF(MATCHED!AH52=9,MATCHED!$J52,IF(MATCHED!AH52=10,MATCHED!$K52,IF(MATCHED!AH52=11,MATCHED!$L52,IF(MATCHED!AH52=12,MATCHED!$M52,IF(MATCHED!AH52=13,MATCHED!$N52,IF(MATCHED!AH52=14,MATCHED!$O52,"")))))))&amp;IF(MATCHED!AH52=15,MATCHED!$P52,IF(MATCHED!AH52=16,MATCHED!$Q52,IF(MATCHED!AH52=17,MATCHED!$R52,IF(MATCHED!AH52=18,MATCHED!$S52,IF(MATCHED!AH52=19,MATCHED!$T52,IF(MATCHED!AH52=20,MATCHED!$U52,IF(MATCHED!AH52=21,MATCHED!$V52,)))))))&amp;IF(MATCHED!AH52=22,MATCHED!$W52,IF(MATCHED!AH52=23,MATCHED!$X52,IF(MATCHED!AH52=24,MATCHED!$Y52,IF(MATCHED!AH52=25,MATCHED!$Z52,IF(MATCHED!AH52=26,MATCHED!$AA52,IF(MATCHED!AH52=27,MATCHED!$AB52,"."))))))</f>
        <v>#N/A</v>
      </c>
      <c r="G52" s="360" t="e">
        <f>IF(MATCHED!AI52=1,MATCHED!$B52,IF(MATCHED!AI52=2,MATCHED!$C52,IF(MATCHED!AI52=3,MATCHED!$D52,IF(MATCHED!AI52=4,MATCHED!$E52,IF(MATCHED!AI52=3,MATCHED!$F52,IF(MATCHED!AI52=6,MATCHED!$G52,IF(MATCHED!AI52=7,MATCHED!$H52,"")))))))&amp;IF(MATCHED!AI52=8,MATCHED!$I52,IF(MATCHED!AI52=9,MATCHED!$J52,IF(MATCHED!AI52=10,MATCHED!$K52,IF(MATCHED!AI52=11,MATCHED!$L52,IF(MATCHED!AI52=12,MATCHED!$M52,IF(MATCHED!AI52=13,MATCHED!$N52,IF(MATCHED!AI52=14,MATCHED!$O52,"")))))))&amp;IF(MATCHED!AI52=15,MATCHED!$P52,IF(MATCHED!AI52=16,MATCHED!$Q52,IF(MATCHED!AI52=17,MATCHED!$R52,IF(MATCHED!AI52=18,MATCHED!$S52,IF(MATCHED!AI52=19,MATCHED!$T52,IF(MATCHED!AI52=20,MATCHED!$U52,IF(MATCHED!AI52=21,MATCHED!$V52,)))))))&amp;IF(MATCHED!AI52=22,MATCHED!$W52,IF(MATCHED!AI52=23,MATCHED!$X52,IF(MATCHED!AI52=24,MATCHED!$Y52,IF(MATCHED!AI52=25,MATCHED!$Z52,IF(MATCHED!AI52=26,MATCHED!$AA52,IF(MATCHED!AI52=27,MATCHED!$AB52,"."))))))</f>
        <v>#N/A</v>
      </c>
      <c r="H52" s="360" t="e">
        <f>IF(MATCHED!AJ52=1,MATCHED!$B52,IF(MATCHED!AJ52=2,MATCHED!$C52,IF(MATCHED!AJ52=3,MATCHED!$D52,IF(MATCHED!AJ52=4,MATCHED!$E52,IF(MATCHED!AJ52=3,MATCHED!$F52,IF(MATCHED!AJ52=6,MATCHED!$G52,IF(MATCHED!AJ52=7,MATCHED!$H52,"")))))))&amp;IF(MATCHED!AJ52=8,MATCHED!$I52,IF(MATCHED!AJ52=9,MATCHED!$J52,IF(MATCHED!AJ52=10,MATCHED!$K52,IF(MATCHED!AJ52=11,MATCHED!$L52,IF(MATCHED!AJ52=12,MATCHED!$M52,IF(MATCHED!AJ52=13,MATCHED!$N52,IF(MATCHED!AJ52=14,MATCHED!$O52,"")))))))&amp;IF(MATCHED!AJ52=15,MATCHED!$P52,IF(MATCHED!AJ52=16,MATCHED!$Q52,IF(MATCHED!AJ52=17,MATCHED!$R52,IF(MATCHED!AJ52=18,MATCHED!$S52,IF(MATCHED!AJ52=19,MATCHED!$T52,IF(MATCHED!AJ52=20,MATCHED!$U52,IF(MATCHED!AJ52=21,MATCHED!$V52,)))))))&amp;IF(MATCHED!AJ52=22,MATCHED!$W52,IF(MATCHED!AJ52=23,MATCHED!$X52,IF(MATCHED!AJ52=24,MATCHED!$Y52,IF(MATCHED!AJ52=25,MATCHED!$Z52,IF(MATCHED!AJ52=26,MATCHED!$AA52,IF(MATCHED!AJ52=27,MATCHED!$AB52,"."))))))</f>
        <v>#N/A</v>
      </c>
      <c r="I52" s="360" t="e">
        <f>IF(MATCHED!AK52=1,MATCHED!$B52,IF(MATCHED!AK52=2,MATCHED!$C52,IF(MATCHED!AK52=3,MATCHED!$D52,IF(MATCHED!AK52=4,MATCHED!$E52,IF(MATCHED!AK52=3,MATCHED!$F52,IF(MATCHED!AK52=6,MATCHED!$G52,IF(MATCHED!AK52=7,MATCHED!$H52,"")))))))&amp;IF(MATCHED!AK52=8,MATCHED!$I52,IF(MATCHED!AK52=9,MATCHED!$J52,IF(MATCHED!AK52=10,MATCHED!$K52,IF(MATCHED!AK52=11,MATCHED!$L52,IF(MATCHED!AK52=12,MATCHED!$M52,IF(MATCHED!AK52=13,MATCHED!$N52,IF(MATCHED!AK52=14,MATCHED!$O52,"")))))))&amp;IF(MATCHED!AK52=15,MATCHED!$P52,IF(MATCHED!AK52=16,MATCHED!$Q52,IF(MATCHED!AK52=17,MATCHED!$R52,IF(MATCHED!AK52=18,MATCHED!$S52,IF(MATCHED!AK52=19,MATCHED!$T52,IF(MATCHED!AK52=20,MATCHED!$U52,IF(MATCHED!AK52=21,MATCHED!$V52,)))))))&amp;IF(MATCHED!AK52=22,MATCHED!$W52,IF(MATCHED!AK52=23,MATCHED!$X52,IF(MATCHED!AK52=24,MATCHED!$Y52,IF(MATCHED!AK52=25,MATCHED!$Z52,IF(MATCHED!AK52=26,MATCHED!$AA52,IF(MATCHED!AK52=27,MATCHED!$AB52,"."))))))</f>
        <v>#N/A</v>
      </c>
      <c r="J52" s="360" t="e">
        <f>IF(MATCHED!AL52=1,MATCHED!$B52,IF(MATCHED!AL52=2,MATCHED!$C52,IF(MATCHED!AL52=3,MATCHED!$D52,IF(MATCHED!AL52=4,MATCHED!$E52,IF(MATCHED!AL52=3,MATCHED!$F52,IF(MATCHED!AL52=6,MATCHED!$G52,IF(MATCHED!AL52=7,MATCHED!$H52,"")))))))&amp;IF(MATCHED!AL52=8,MATCHED!$I52,IF(MATCHED!AL52=9,MATCHED!$J52,IF(MATCHED!AL52=10,MATCHED!$K52,IF(MATCHED!AL52=11,MATCHED!$L52,IF(MATCHED!AL52=12,MATCHED!$M52,IF(MATCHED!AL52=13,MATCHED!$N52,IF(MATCHED!AL52=14,MATCHED!$O52,"")))))))&amp;IF(MATCHED!AL52=15,MATCHED!$P52,IF(MATCHED!AL52=16,MATCHED!$Q52,IF(MATCHED!AL52=17,MATCHED!$R52,IF(MATCHED!AL52=18,MATCHED!$S52,IF(MATCHED!AL52=19,MATCHED!$T52,IF(MATCHED!AL52=20,MATCHED!$U52,IF(MATCHED!AL52=21,MATCHED!$V52,)))))))&amp;IF(MATCHED!AL52=22,MATCHED!$W52,IF(MATCHED!AL52=23,MATCHED!$X52,IF(MATCHED!AL52=24,MATCHED!$Y52,IF(MATCHED!AL52=25,MATCHED!$Z52,IF(MATCHED!AL52=26,MATCHED!$AA52,IF(MATCHED!AL52=27,MATCHED!$AB52,"."))))))</f>
        <v>#N/A</v>
      </c>
      <c r="K52" s="360" t="e">
        <f>IF(MATCHED!AM52=1,MATCHED!$B52,IF(MATCHED!AM52=2,MATCHED!$C52,IF(MATCHED!AM52=3,MATCHED!$D52,IF(MATCHED!AM52=4,MATCHED!$E52,IF(MATCHED!AM52=3,MATCHED!$F52,IF(MATCHED!AM52=6,MATCHED!$G52,IF(MATCHED!AM52=7,MATCHED!$H52,"")))))))&amp;IF(MATCHED!AM52=8,MATCHED!$I52,IF(MATCHED!AM52=9,MATCHED!$J52,IF(MATCHED!AM52=10,MATCHED!$K52,IF(MATCHED!AM52=11,MATCHED!$L52,IF(MATCHED!AM52=12,MATCHED!$M52,IF(MATCHED!AM52=13,MATCHED!$N52,IF(MATCHED!AM52=14,MATCHED!$O52,"")))))))&amp;IF(MATCHED!AM52=15,MATCHED!$P52,IF(MATCHED!AM52=16,MATCHED!$Q52,IF(MATCHED!AM52=17,MATCHED!$R52,IF(MATCHED!AM52=18,MATCHED!$S52,IF(MATCHED!AM52=19,MATCHED!$T52,IF(MATCHED!AM52=20,MATCHED!$U52,IF(MATCHED!AM52=21,MATCHED!$V52,)))))))&amp;IF(MATCHED!AM52=22,MATCHED!$W52,IF(MATCHED!AM52=23,MATCHED!$X52,IF(MATCHED!AM52=24,MATCHED!$Y52,IF(MATCHED!AM52=25,MATCHED!$Z52,IF(MATCHED!AM52=26,MATCHED!$AA52,IF(MATCHED!AM52=27,MATCHED!$AB52,"."))))))</f>
        <v>#N/A</v>
      </c>
      <c r="L52" s="360" t="e">
        <f>IF(MATCHED!AN52=1,MATCHED!$B52,IF(MATCHED!AN52=2,MATCHED!$C52,IF(MATCHED!AN52=3,MATCHED!$D52,IF(MATCHED!AN52=4,MATCHED!$E52,IF(MATCHED!AN52=3,MATCHED!$F52,IF(MATCHED!AN52=6,MATCHED!$G52,IF(MATCHED!AN52=7,MATCHED!$H52,"")))))))&amp;IF(MATCHED!AN52=8,MATCHED!$I52,IF(MATCHED!AN52=9,MATCHED!$J52,IF(MATCHED!AN52=10,MATCHED!$K52,IF(MATCHED!AN52=11,MATCHED!$L52,IF(MATCHED!AN52=12,MATCHED!$M52,IF(MATCHED!AN52=13,MATCHED!$N52,IF(MATCHED!AN52=14,MATCHED!$O52,"")))))))&amp;IF(MATCHED!AN52=15,MATCHED!$P52,IF(MATCHED!AN52=16,MATCHED!$Q52,IF(MATCHED!AN52=17,MATCHED!$R52,IF(MATCHED!AN52=18,MATCHED!$S52,IF(MATCHED!AN52=19,MATCHED!$T52,IF(MATCHED!AN52=20,MATCHED!$U52,IF(MATCHED!AN52=21,MATCHED!$V52,)))))))&amp;IF(MATCHED!AN52=22,MATCHED!$W52,IF(MATCHED!AN52=23,MATCHED!$X52,IF(MATCHED!AN52=24,MATCHED!$Y52,IF(MATCHED!AN52=25,MATCHED!$Z52,IF(MATCHED!AN52=26,MATCHED!$AA52,IF(MATCHED!AN52=27,MATCHED!$AB52,"."))))))</f>
        <v>#N/A</v>
      </c>
      <c r="M52" s="360" t="e">
        <f>IF(MATCHED!AO52=1,MATCHED!$B52,IF(MATCHED!AO52=2,MATCHED!$C52,IF(MATCHED!AO52=3,MATCHED!$D52,IF(MATCHED!AO52=4,MATCHED!$E52,IF(MATCHED!AO52=3,MATCHED!$F52,IF(MATCHED!AO52=6,MATCHED!$G52,IF(MATCHED!AO52=7,MATCHED!$H52,"")))))))&amp;IF(MATCHED!AO52=8,MATCHED!$I52,IF(MATCHED!AO52=9,MATCHED!$J52,IF(MATCHED!AO52=10,MATCHED!$K52,IF(MATCHED!AO52=11,MATCHED!$L52,IF(MATCHED!AO52=12,MATCHED!$M52,IF(MATCHED!AO52=13,MATCHED!$N52,IF(MATCHED!AO52=14,MATCHED!$O52,"")))))))&amp;IF(MATCHED!AO52=15,MATCHED!$P52,IF(MATCHED!AO52=16,MATCHED!$Q52,IF(MATCHED!AO52=17,MATCHED!$R52,IF(MATCHED!AO52=18,MATCHED!$S52,IF(MATCHED!AO52=19,MATCHED!$T52,IF(MATCHED!AO52=20,MATCHED!$U52,IF(MATCHED!AO52=21,MATCHED!$V52,)))))))&amp;IF(MATCHED!AO52=22,MATCHED!$W52,IF(MATCHED!AO52=23,MATCHED!$X52,IF(MATCHED!AO52=24,MATCHED!$Y52,IF(MATCHED!AO52=25,MATCHED!$Z52,IF(MATCHED!AO52=26,MATCHED!$AA52,IF(MATCHED!AO52=27,MATCHED!$AB52,"."))))))</f>
        <v>#N/A</v>
      </c>
      <c r="N52" s="360" t="e">
        <f>IF(MATCHED!AP52=1,MATCHED!$B52,IF(MATCHED!AP52=2,MATCHED!$C52,IF(MATCHED!AP52=3,MATCHED!$D52,IF(MATCHED!AP52=4,MATCHED!$E52,IF(MATCHED!AP52=3,MATCHED!$F52,IF(MATCHED!AP52=6,MATCHED!$G52,IF(MATCHED!AP52=7,MATCHED!$H52,"")))))))&amp;IF(MATCHED!AP52=8,MATCHED!$I52,IF(MATCHED!AP52=9,MATCHED!$J52,IF(MATCHED!AP52=10,MATCHED!$K52,IF(MATCHED!AP52=11,MATCHED!$L52,IF(MATCHED!AP52=12,MATCHED!$M52,IF(MATCHED!AP52=13,MATCHED!$N52,IF(MATCHED!AP52=14,MATCHED!$O52,"")))))))&amp;IF(MATCHED!AP52=15,MATCHED!$P52,IF(MATCHED!AP52=16,MATCHED!$Q52,IF(MATCHED!AP52=17,MATCHED!$R52,IF(MATCHED!AP52=18,MATCHED!$S52,IF(MATCHED!AP52=19,MATCHED!$T52,IF(MATCHED!AP52=20,MATCHED!$U52,IF(MATCHED!AP52=21,MATCHED!$V52,)))))))&amp;IF(MATCHED!AP52=22,MATCHED!$W52,IF(MATCHED!AP52=23,MATCHED!$X52,IF(MATCHED!AP52=24,MATCHED!$Y52,IF(MATCHED!AP52=25,MATCHED!$Z52,IF(MATCHED!AP52=26,MATCHED!$AA52,IF(MATCHED!AP52=27,MATCHED!$AB52,"."))))))</f>
        <v>#N/A</v>
      </c>
      <c r="O52" s="360" t="e">
        <f>IF(MATCHED!AQ52=1,MATCHED!$B52,IF(MATCHED!AQ52=2,MATCHED!$C52,IF(MATCHED!AQ52=3,MATCHED!$D52,IF(MATCHED!AQ52=4,MATCHED!$E52,IF(MATCHED!AQ52=3,MATCHED!$F52,IF(MATCHED!AQ52=6,MATCHED!$G52,IF(MATCHED!AQ52=7,MATCHED!$H52,"")))))))&amp;IF(MATCHED!AQ52=8,MATCHED!$I52,IF(MATCHED!AQ52=9,MATCHED!$J52,IF(MATCHED!AQ52=10,MATCHED!$K52,IF(MATCHED!AQ52=11,MATCHED!$L52,IF(MATCHED!AQ52=12,MATCHED!$M52,IF(MATCHED!AQ52=13,MATCHED!$N52,IF(MATCHED!AQ52=14,MATCHED!$O52,"")))))))&amp;IF(MATCHED!AQ52=15,MATCHED!$P52,IF(MATCHED!AQ52=16,MATCHED!$Q52,IF(MATCHED!AQ52=17,MATCHED!$R52,IF(MATCHED!AQ52=18,MATCHED!$S52,IF(MATCHED!AQ52=19,MATCHED!$T52,IF(MATCHED!AQ52=20,MATCHED!$U52,IF(MATCHED!AQ52=21,MATCHED!$V52,)))))))&amp;IF(MATCHED!AQ52=22,MATCHED!$W52,IF(MATCHED!AQ52=23,MATCHED!$X52,IF(MATCHED!AQ52=24,MATCHED!$Y52,IF(MATCHED!AQ52=25,MATCHED!$Z52,IF(MATCHED!AQ52=26,MATCHED!$AA52,IF(MATCHED!AQ52=27,MATCHED!$AB52,"."))))))</f>
        <v>#N/A</v>
      </c>
      <c r="P52" s="360" t="e">
        <f>IF(MATCHED!AR52=1,MATCHED!$B52,IF(MATCHED!AR52=2,MATCHED!$C52,IF(MATCHED!AR52=3,MATCHED!$D52,IF(MATCHED!AR52=4,MATCHED!$E52,IF(MATCHED!AR52=3,MATCHED!$F52,IF(MATCHED!AR52=6,MATCHED!$G52,IF(MATCHED!AR52=7,MATCHED!$H52,"")))))))&amp;IF(MATCHED!AR52=8,MATCHED!$I52,IF(MATCHED!AR52=9,MATCHED!$J52,IF(MATCHED!AR52=10,MATCHED!$K52,IF(MATCHED!AR52=11,MATCHED!$L52,IF(MATCHED!AR52=12,MATCHED!$M52,IF(MATCHED!AR52=13,MATCHED!$N52,IF(MATCHED!AR52=14,MATCHED!$O52,"")))))))&amp;IF(MATCHED!AR52=15,MATCHED!$P52,IF(MATCHED!AR52=16,MATCHED!$Q52,IF(MATCHED!AR52=17,MATCHED!$R52,IF(MATCHED!AR52=18,MATCHED!$S52,IF(MATCHED!AR52=19,MATCHED!$T52,IF(MATCHED!AR52=20,MATCHED!$U52,IF(MATCHED!AR52=21,MATCHED!$V52,)))))))&amp;IF(MATCHED!AR52=22,MATCHED!$W52,IF(MATCHED!AR52=23,MATCHED!$X52,IF(MATCHED!AR52=24,MATCHED!$Y52,IF(MATCHED!AR52=25,MATCHED!$Z52,IF(MATCHED!AR52=26,MATCHED!$AA52,IF(MATCHED!AR52=27,MATCHED!$AB52,"."))))))</f>
        <v>#N/A</v>
      </c>
      <c r="Q52" s="360" t="e">
        <f>IF(MATCHED!AS52=1,MATCHED!$B52,IF(MATCHED!AS52=2,MATCHED!$C52,IF(MATCHED!AS52=3,MATCHED!$D52,IF(MATCHED!AS52=4,MATCHED!$E52,IF(MATCHED!AS52=3,MATCHED!$F52,IF(MATCHED!AS52=6,MATCHED!$G52,IF(MATCHED!AS52=7,MATCHED!$H52,"")))))))&amp;IF(MATCHED!AS52=8,MATCHED!$I52,IF(MATCHED!AS52=9,MATCHED!$J52,IF(MATCHED!AS52=10,MATCHED!$K52,IF(MATCHED!AS52=11,MATCHED!$L52,IF(MATCHED!AS52=12,MATCHED!$M52,IF(MATCHED!AS52=13,MATCHED!$N52,IF(MATCHED!AS52=14,MATCHED!$O52,"")))))))&amp;IF(MATCHED!AS52=15,MATCHED!$P52,IF(MATCHED!AS52=16,MATCHED!$Q52,IF(MATCHED!AS52=17,MATCHED!$R52,IF(MATCHED!AS52=18,MATCHED!$S52,IF(MATCHED!AS52=19,MATCHED!$T52,IF(MATCHED!AS52=20,MATCHED!$U52,IF(MATCHED!AS52=21,MATCHED!$V52,)))))))&amp;IF(MATCHED!AS52=22,MATCHED!$W52,IF(MATCHED!AS52=23,MATCHED!$X52,IF(MATCHED!AS52=24,MATCHED!$Y52,IF(MATCHED!AS52=25,MATCHED!$Z52,IF(MATCHED!AS52=26,MATCHED!$AA52,IF(MATCHED!AS52=27,MATCHED!$AB52,"."))))))</f>
        <v>#N/A</v>
      </c>
      <c r="R52" s="360" t="e">
        <f>IF(MATCHED!AT52=1,MATCHED!$B52,IF(MATCHED!AT52=2,MATCHED!$C52,IF(MATCHED!AT52=3,MATCHED!$D52,IF(MATCHED!AT52=4,MATCHED!$E52,IF(MATCHED!AT52=3,MATCHED!$F52,IF(MATCHED!AT52=6,MATCHED!$G52,IF(MATCHED!AT52=7,MATCHED!$H52,"")))))))&amp;IF(MATCHED!AT52=8,MATCHED!$I52,IF(MATCHED!AT52=9,MATCHED!$J52,IF(MATCHED!AT52=10,MATCHED!$K52,IF(MATCHED!AT52=11,MATCHED!$L52,IF(MATCHED!AT52=12,MATCHED!$M52,IF(MATCHED!AT52=13,MATCHED!$N52,IF(MATCHED!AT52=14,MATCHED!$O52,"")))))))&amp;IF(MATCHED!AT52=15,MATCHED!$P52,IF(MATCHED!AT52=16,MATCHED!$Q52,IF(MATCHED!AT52=17,MATCHED!$R52,IF(MATCHED!AT52=18,MATCHED!$S52,IF(MATCHED!AT52=19,MATCHED!$T52,IF(MATCHED!AT52=20,MATCHED!$U52,IF(MATCHED!AT52=21,MATCHED!$V52,)))))))&amp;IF(MATCHED!AT52=22,MATCHED!$W52,IF(MATCHED!AT52=23,MATCHED!$X52,IF(MATCHED!AT52=24,MATCHED!$Y52,IF(MATCHED!AT52=25,MATCHED!$Z52,IF(MATCHED!AT52=26,MATCHED!$AA52,IF(MATCHED!AT52=27,MATCHED!$AB52,"."))))))</f>
        <v>#N/A</v>
      </c>
      <c r="S52" s="360" t="e">
        <f>IF(MATCHED!AU52=1,MATCHED!$B52,IF(MATCHED!AU52=2,MATCHED!$C52,IF(MATCHED!AU52=3,MATCHED!$D52,IF(MATCHED!AU52=4,MATCHED!$E52,IF(MATCHED!AU52=3,MATCHED!$F52,IF(MATCHED!AU52=6,MATCHED!$G52,IF(MATCHED!AU52=7,MATCHED!$H52,"")))))))&amp;IF(MATCHED!AU52=8,MATCHED!$I52,IF(MATCHED!AU52=9,MATCHED!$J52,IF(MATCHED!AU52=10,MATCHED!$K52,IF(MATCHED!AU52=11,MATCHED!$L52,IF(MATCHED!AU52=12,MATCHED!$M52,IF(MATCHED!AU52=13,MATCHED!$N52,IF(MATCHED!AU52=14,MATCHED!$O52,"")))))))&amp;IF(MATCHED!AU52=15,MATCHED!$P52,IF(MATCHED!AU52=16,MATCHED!$Q52,IF(MATCHED!AU52=17,MATCHED!$R52,IF(MATCHED!AU52=18,MATCHED!$S52,IF(MATCHED!AU52=19,MATCHED!$T52,IF(MATCHED!AU52=20,MATCHED!$U52,IF(MATCHED!AU52=21,MATCHED!$V52,)))))))&amp;IF(MATCHED!AU52=22,MATCHED!$W52,IF(MATCHED!AU52=23,MATCHED!$X52,IF(MATCHED!AU52=24,MATCHED!$Y52,IF(MATCHED!AU52=25,MATCHED!$Z52,IF(MATCHED!AU52=26,MATCHED!$AA52,IF(MATCHED!AU52=27,MATCHED!$AB52,"."))))))</f>
        <v>#N/A</v>
      </c>
      <c r="T52" s="360" t="e">
        <f>IF(MATCHED!AV52=1,MATCHED!$B52,IF(MATCHED!AV52=2,MATCHED!$C52,IF(MATCHED!AV52=3,MATCHED!$D52,IF(MATCHED!AV52=4,MATCHED!$E52,IF(MATCHED!AV52=3,MATCHED!$F52,IF(MATCHED!AV52=6,MATCHED!$G52,IF(MATCHED!AV52=7,MATCHED!$H52,"")))))))&amp;IF(MATCHED!AV52=8,MATCHED!$I52,IF(MATCHED!AV52=9,MATCHED!$J52,IF(MATCHED!AV52=10,MATCHED!$K52,IF(MATCHED!AV52=11,MATCHED!$L52,IF(MATCHED!AV52=12,MATCHED!$M52,IF(MATCHED!AV52=13,MATCHED!$N52,IF(MATCHED!AV52=14,MATCHED!$O52,"")))))))&amp;IF(MATCHED!AV52=15,MATCHED!$P52,IF(MATCHED!AV52=16,MATCHED!$Q52,IF(MATCHED!AV52=17,MATCHED!$R52,IF(MATCHED!AV52=18,MATCHED!$S52,IF(MATCHED!AV52=19,MATCHED!$T52,IF(MATCHED!AV52=20,MATCHED!$U52,IF(MATCHED!AV52=21,MATCHED!$V52,)))))))&amp;IF(MATCHED!AV52=22,MATCHED!$W52,IF(MATCHED!AV52=23,MATCHED!$X52,IF(MATCHED!AV52=24,MATCHED!$Y52,IF(MATCHED!AV52=25,MATCHED!$Z52,IF(MATCHED!AV52=26,MATCHED!$AA52,IF(MATCHED!AV52=27,MATCHED!$AB52,"."))))))</f>
        <v>#N/A</v>
      </c>
      <c r="U52" s="360" t="e">
        <f>IF(MATCHED!AW52=1,MATCHED!$B52,IF(MATCHED!AW52=2,MATCHED!$C52,IF(MATCHED!AW52=3,MATCHED!$D52,IF(MATCHED!AW52=4,MATCHED!$E52,IF(MATCHED!AW52=3,MATCHED!$F52,IF(MATCHED!AW52=6,MATCHED!$G52,IF(MATCHED!AW52=7,MATCHED!$H52,"")))))))&amp;IF(MATCHED!AW52=8,MATCHED!$I52,IF(MATCHED!AW52=9,MATCHED!$J52,IF(MATCHED!AW52=10,MATCHED!$K52,IF(MATCHED!AW52=11,MATCHED!$L52,IF(MATCHED!AW52=12,MATCHED!$M52,IF(MATCHED!AW52=13,MATCHED!$N52,IF(MATCHED!AW52=14,MATCHED!$O52,"")))))))&amp;IF(MATCHED!AW52=15,MATCHED!$P52,IF(MATCHED!AW52=16,MATCHED!$Q52,IF(MATCHED!AW52=17,MATCHED!$R52,IF(MATCHED!AW52=18,MATCHED!$S52,IF(MATCHED!AW52=19,MATCHED!$T52,IF(MATCHED!AW52=20,MATCHED!$U52,IF(MATCHED!AW52=21,MATCHED!$V52,)))))))&amp;IF(MATCHED!AW52=22,MATCHED!$W52,IF(MATCHED!AW52=23,MATCHED!$X52,IF(MATCHED!AW52=24,MATCHED!$Y52,IF(MATCHED!AW52=25,MATCHED!$Z52,IF(MATCHED!AW52=26,MATCHED!$AA52,IF(MATCHED!AW52=27,MATCHED!$AB52,"."))))))</f>
        <v>#N/A</v>
      </c>
      <c r="V52" s="360" t="e">
        <f>IF(MATCHED!AX52=1,MATCHED!$B52,IF(MATCHED!AX52=2,MATCHED!$C52,IF(MATCHED!AX52=3,MATCHED!$D52,IF(MATCHED!AX52=4,MATCHED!$E52,IF(MATCHED!AX52=3,MATCHED!$F52,IF(MATCHED!AX52=6,MATCHED!$G52,IF(MATCHED!AX52=7,MATCHED!$H52,"")))))))&amp;IF(MATCHED!AX52=8,MATCHED!$I52,IF(MATCHED!AX52=9,MATCHED!$J52,IF(MATCHED!AX52=10,MATCHED!$K52,IF(MATCHED!AX52=11,MATCHED!$L52,IF(MATCHED!AX52=12,MATCHED!$M52,IF(MATCHED!AX52=13,MATCHED!$N52,IF(MATCHED!AX52=14,MATCHED!$O52,"")))))))&amp;IF(MATCHED!AX52=15,MATCHED!$P52,IF(MATCHED!AX52=16,MATCHED!$Q52,IF(MATCHED!AX52=17,MATCHED!$R52,IF(MATCHED!AX52=18,MATCHED!$S52,IF(MATCHED!AX52=19,MATCHED!$T52,IF(MATCHED!AX52=20,MATCHED!$U52,IF(MATCHED!AX52=21,MATCHED!$V52,)))))))&amp;IF(MATCHED!AX52=22,MATCHED!$W52,IF(MATCHED!AX52=23,MATCHED!$X52,IF(MATCHED!AX52=24,MATCHED!$Y52,IF(MATCHED!AX52=25,MATCHED!$Z52,IF(MATCHED!AX52=26,MATCHED!$AA52,IF(MATCHED!AX52=27,MATCHED!$AB52,"."))))))</f>
        <v>#N/A</v>
      </c>
      <c r="W52" s="360" t="e">
        <f>IF(MATCHED!AY52=1,MATCHED!$B52,IF(MATCHED!AY52=2,MATCHED!$C52,IF(MATCHED!AY52=3,MATCHED!$D52,IF(MATCHED!AY52=4,MATCHED!$E52,IF(MATCHED!AY52=3,MATCHED!$F52,IF(MATCHED!AY52=6,MATCHED!$G52,IF(MATCHED!AY52=7,MATCHED!$H52,"")))))))&amp;IF(MATCHED!AY52=8,MATCHED!$I52,IF(MATCHED!AY52=9,MATCHED!$J52,IF(MATCHED!AY52=10,MATCHED!$K52,IF(MATCHED!AY52=11,MATCHED!$L52,IF(MATCHED!AY52=12,MATCHED!$M52,IF(MATCHED!AY52=13,MATCHED!$N52,IF(MATCHED!AY52=14,MATCHED!$O52,"")))))))&amp;IF(MATCHED!AY52=15,MATCHED!$P52,IF(MATCHED!AY52=16,MATCHED!$Q52,IF(MATCHED!AY52=17,MATCHED!$R52,IF(MATCHED!AY52=18,MATCHED!$S52,IF(MATCHED!AY52=19,MATCHED!$T52,IF(MATCHED!AY52=20,MATCHED!$U52,IF(MATCHED!AY52=21,MATCHED!$V52,)))))))&amp;IF(MATCHED!AY52=22,MATCHED!$W52,IF(MATCHED!AY52=23,MATCHED!$X52,IF(MATCHED!AY52=24,MATCHED!$Y52,IF(MATCHED!AY52=25,MATCHED!$Z52,IF(MATCHED!AY52=26,MATCHED!$AA52,IF(MATCHED!AY52=27,MATCHED!$AB52,"."))))))</f>
        <v>#N/A</v>
      </c>
      <c r="X52" s="360" t="e">
        <f>IF(MATCHED!AZ52=1,MATCHED!$B52,IF(MATCHED!AZ52=2,MATCHED!$C52,IF(MATCHED!AZ52=3,MATCHED!$D52,IF(MATCHED!AZ52=4,MATCHED!$E52,IF(MATCHED!AZ52=3,MATCHED!$F52,IF(MATCHED!AZ52=6,MATCHED!$G52,IF(MATCHED!AZ52=7,MATCHED!$H52,"")))))))&amp;IF(MATCHED!AZ52=8,MATCHED!$I52,IF(MATCHED!AZ52=9,MATCHED!$J52,IF(MATCHED!AZ52=10,MATCHED!$K52,IF(MATCHED!AZ52=11,MATCHED!$L52,IF(MATCHED!AZ52=12,MATCHED!$M52,IF(MATCHED!AZ52=13,MATCHED!$N52,IF(MATCHED!AZ52=14,MATCHED!$O52,"")))))))&amp;IF(MATCHED!AZ52=15,MATCHED!$P52,IF(MATCHED!AZ52=16,MATCHED!$Q52,IF(MATCHED!AZ52=17,MATCHED!$R52,IF(MATCHED!AZ52=18,MATCHED!$S52,IF(MATCHED!AZ52=19,MATCHED!$T52,IF(MATCHED!AZ52=20,MATCHED!$U52,IF(MATCHED!AZ52=21,MATCHED!$V52,)))))))&amp;IF(MATCHED!AZ52=22,MATCHED!$W52,IF(MATCHED!AZ52=23,MATCHED!$X52,IF(MATCHED!AZ52=24,MATCHED!$Y52,IF(MATCHED!AZ52=25,MATCHED!$Z52,IF(MATCHED!AZ52=26,MATCHED!$AA52,IF(MATCHED!AZ52=27,MATCHED!$AB52,"."))))))</f>
        <v>#N/A</v>
      </c>
      <c r="Y52" s="360" t="e">
        <f>IF(MATCHED!BA52=1,MATCHED!$B52,IF(MATCHED!BA52=2,MATCHED!$C52,IF(MATCHED!BA52=3,MATCHED!$D52,IF(MATCHED!BA52=4,MATCHED!$E52,IF(MATCHED!BA52=3,MATCHED!$F52,IF(MATCHED!BA52=6,MATCHED!$G52,IF(MATCHED!BA52=7,MATCHED!$H52,"")))))))&amp;IF(MATCHED!BA52=8,MATCHED!$I52,IF(MATCHED!BA52=9,MATCHED!$J52,IF(MATCHED!BA52=10,MATCHED!$K52,IF(MATCHED!BA52=11,MATCHED!$L52,IF(MATCHED!BA52=12,MATCHED!$M52,IF(MATCHED!BA52=13,MATCHED!$N52,IF(MATCHED!BA52=14,MATCHED!$O52,"")))))))&amp;IF(MATCHED!BA52=15,MATCHED!$P52,IF(MATCHED!BA52=16,MATCHED!$Q52,IF(MATCHED!BA52=17,MATCHED!$R52,IF(MATCHED!BA52=18,MATCHED!$S52,IF(MATCHED!BA52=19,MATCHED!$T52,IF(MATCHED!BA52=20,MATCHED!$U52,IF(MATCHED!BA52=21,MATCHED!$V52,)))))))&amp;IF(MATCHED!BA52=22,MATCHED!$W52,IF(MATCHED!BA52=23,MATCHED!$X52,IF(MATCHED!BA52=24,MATCHED!$Y52,IF(MATCHED!BA52=25,MATCHED!$Z52,IF(MATCHED!BA52=26,MATCHED!$AA52,IF(MATCHED!BA52=27,MATCHED!$AB52,"."))))))</f>
        <v>#N/A</v>
      </c>
      <c r="Z52" s="360" t="e">
        <f>IF(MATCHED!BB52=1,MATCHED!$B52,IF(MATCHED!BB52=2,MATCHED!$C52,IF(MATCHED!BB52=3,MATCHED!$D52,IF(MATCHED!BB52=4,MATCHED!$E52,IF(MATCHED!BB52=3,MATCHED!$F52,IF(MATCHED!BB52=6,MATCHED!$G52,IF(MATCHED!BB52=7,MATCHED!$H52,"")))))))&amp;IF(MATCHED!BB52=8,MATCHED!$I52,IF(MATCHED!BB52=9,MATCHED!$J52,IF(MATCHED!BB52=10,MATCHED!$K52,IF(MATCHED!BB52=11,MATCHED!$L52,IF(MATCHED!BB52=12,MATCHED!$M52,IF(MATCHED!BB52=13,MATCHED!$N52,IF(MATCHED!BB52=14,MATCHED!$O52,"")))))))&amp;IF(MATCHED!BB52=15,MATCHED!$P52,IF(MATCHED!BB52=16,MATCHED!$Q52,IF(MATCHED!BB52=17,MATCHED!$R52,IF(MATCHED!BB52=18,MATCHED!$S52,IF(MATCHED!BB52=19,MATCHED!$T52,IF(MATCHED!BB52=20,MATCHED!$U52,IF(MATCHED!BB52=21,MATCHED!$V52,)))))))&amp;IF(MATCHED!BB52=22,MATCHED!$W52,IF(MATCHED!BB52=23,MATCHED!$X52,IF(MATCHED!BB52=24,MATCHED!$Y52,IF(MATCHED!BB52=25,MATCHED!$Z52,IF(MATCHED!BB52=26,MATCHED!$AA52,IF(MATCHED!BB52=27,MATCHED!$AB52,"."))))))</f>
        <v>#N/A</v>
      </c>
      <c r="AA52" s="360" t="e">
        <f>IF(MATCHED!BC52=1,MATCHED!$B52,IF(MATCHED!BC52=2,MATCHED!$C52,IF(MATCHED!BC52=3,MATCHED!$D52,IF(MATCHED!BC52=4,MATCHED!$E52,IF(MATCHED!BC52=3,MATCHED!$F52,IF(MATCHED!BC52=6,MATCHED!$G52,IF(MATCHED!BC52=7,MATCHED!$H52,"")))))))&amp;IF(MATCHED!BC52=8,MATCHED!$I52,IF(MATCHED!BC52=9,MATCHED!$J52,IF(MATCHED!BC52=10,MATCHED!$K52,IF(MATCHED!BC52=11,MATCHED!$L52,IF(MATCHED!BC52=12,MATCHED!$M52,IF(MATCHED!BC52=13,MATCHED!$N52,IF(MATCHED!BC52=14,MATCHED!$O52,"")))))))&amp;IF(MATCHED!BC52=15,MATCHED!$P52,IF(MATCHED!BC52=16,MATCHED!$Q52,IF(MATCHED!BC52=17,MATCHED!$R52,IF(MATCHED!BC52=18,MATCHED!$S52,IF(MATCHED!BC52=19,MATCHED!$T52,IF(MATCHED!BC52=20,MATCHED!$U52,IF(MATCHED!BC52=21,MATCHED!$V52,)))))))&amp;IF(MATCHED!BC52=22,MATCHED!$W52,IF(MATCHED!BC52=23,MATCHED!$X52,IF(MATCHED!BC52=24,MATCHED!$Y52,IF(MATCHED!BC52=25,MATCHED!$Z52,IF(MATCHED!BC52=26,MATCHED!$AA52,IF(MATCHED!BC52=27,MATCHED!$AB52,"."))))))</f>
        <v>#N/A</v>
      </c>
      <c r="AB52" s="360" t="e">
        <f>IF(MATCHED!BD52=1,MATCHED!$B52,IF(MATCHED!BD52=2,MATCHED!$C52,IF(MATCHED!BD52=3,MATCHED!$D52,IF(MATCHED!BD52=4,MATCHED!$E52,IF(MATCHED!BD52=3,MATCHED!$F52,IF(MATCHED!BD52=6,MATCHED!$G52,IF(MATCHED!BD52=7,MATCHED!$H52,"")))))))&amp;IF(MATCHED!BD52=8,MATCHED!$I52,IF(MATCHED!BD52=9,MATCHED!$J52,IF(MATCHED!BD52=10,MATCHED!$K52,IF(MATCHED!BD52=11,MATCHED!$L52,IF(MATCHED!BD52=12,MATCHED!$M52,IF(MATCHED!BD52=13,MATCHED!$N52,IF(MATCHED!BD52=14,MATCHED!$O52,"")))))))&amp;IF(MATCHED!BD52=15,MATCHED!$P52,IF(MATCHED!BD52=16,MATCHED!$Q52,IF(MATCHED!BD52=17,MATCHED!$R52,IF(MATCHED!BD52=18,MATCHED!$S52,IF(MATCHED!BD52=19,MATCHED!$T52,IF(MATCHED!BD52=20,MATCHED!$U52,IF(MATCHED!BD52=21,MATCHED!$V52,)))))))&amp;IF(MATCHED!BD52=22,MATCHED!$W52,IF(MATCHED!BD52=23,MATCHED!$X52,IF(MATCHED!BD52=24,MATCHED!$Y52,IF(MATCHED!BD52=25,MATCHED!$Z52,IF(MATCHED!BD52=26,MATCHED!$AA52,IF(MATCHED!BD52=27,MATCHED!$AB52,"."))))))</f>
        <v>#N/A</v>
      </c>
      <c r="AC52" s="360" t="e">
        <f>IF(MATCHED!BE52=1,MATCHED!$B52,IF(MATCHED!BE52=2,MATCHED!$C52,IF(MATCHED!BE52=3,MATCHED!$D52,IF(MATCHED!BE52=4,MATCHED!$E52,IF(MATCHED!BE52=3,MATCHED!$F52,IF(MATCHED!BE52=6,MATCHED!$G52,IF(MATCHED!BE52=7,MATCHED!$H52,"")))))))&amp;IF(MATCHED!BE52=8,MATCHED!$I52,IF(MATCHED!BE52=9,MATCHED!$J52,IF(MATCHED!BE52=10,MATCHED!$K52,IF(MATCHED!BE52=11,MATCHED!$L52,IF(MATCHED!BE52=12,MATCHED!$M52,IF(MATCHED!BE52=13,MATCHED!$N52,IF(MATCHED!BE52=14,MATCHED!$O52,"")))))))&amp;IF(MATCHED!BE52=15,MATCHED!$P52,IF(MATCHED!BE52=16,MATCHED!$Q52,IF(MATCHED!BE52=17,MATCHED!$R52,IF(MATCHED!BE52=18,MATCHED!$S52,IF(MATCHED!BE52=19,MATCHED!$T52,IF(MATCHED!BE52=20,MATCHED!$U52,IF(MATCHED!BE52=21,MATCHED!$V52,)))))))&amp;IF(MATCHED!BE52=22,MATCHED!$W52,IF(MATCHED!BE52=23,MATCHED!$X52,IF(MATCHED!BE52=24,MATCHED!$Y52,IF(MATCHED!BE52=25,MATCHED!$Z52,IF(MATCHED!BE52=26,MATCHED!$AA52,IF(MATCHED!BE52=27,MATCHED!$AB52,"."))))))</f>
        <v>#N/A</v>
      </c>
      <c r="AD52" s="360" t="e">
        <f>IF(MATCHED!BF52=1,MATCHED!$B52,IF(MATCHED!BF52=2,MATCHED!$C52,IF(MATCHED!BF52=3,MATCHED!$D52,IF(MATCHED!BF52=4,MATCHED!$E52,IF(MATCHED!BF52=3,MATCHED!$F52,IF(MATCHED!BF52=6,MATCHED!$G52,IF(MATCHED!BF52=7,MATCHED!$H52,"")))))))&amp;IF(MATCHED!BF52=8,MATCHED!$I52,IF(MATCHED!BF52=9,MATCHED!$J52,IF(MATCHED!BF52=10,MATCHED!$K52,IF(MATCHED!BF52=11,MATCHED!$L52,IF(MATCHED!BF52=12,MATCHED!$M52,IF(MATCHED!BF52=13,MATCHED!$N52,IF(MATCHED!BF52=14,MATCHED!$O52,"")))))))&amp;IF(MATCHED!BF52=15,MATCHED!$P52,IF(MATCHED!BF52=16,MATCHED!$Q52,IF(MATCHED!BF52=17,MATCHED!$R52,IF(MATCHED!BF52=18,MATCHED!$S52,IF(MATCHED!BF52=19,MATCHED!$T52,IF(MATCHED!BF52=20,MATCHED!$U52,IF(MATCHED!BF52=21,MATCHED!$V52,)))))))&amp;IF(MATCHED!BF52=22,MATCHED!$W52,IF(MATCHED!BF52=23,MATCHED!$X52,IF(MATCHED!BF52=24,MATCHED!$Y52,IF(MATCHED!BF52=25,MATCHED!$Z52,IF(MATCHED!BF52=26,MATCHED!$AA52,IF(MATCHED!BF52=27,MATCHED!$AB52,"."))))))</f>
        <v>#N/A</v>
      </c>
      <c r="AE52" s="360" t="e">
        <f>IF(MATCHED!BG52=1,MATCHED!$B52,IF(MATCHED!BG52=2,MATCHED!$C52,IF(MATCHED!BG52=3,MATCHED!$D52,IF(MATCHED!BG52=4,MATCHED!$E52,IF(MATCHED!BG52=3,MATCHED!$F52,IF(MATCHED!BG52=6,MATCHED!$G52,IF(MATCHED!BG52=7,MATCHED!$H52,"")))))))&amp;IF(MATCHED!BG52=8,MATCHED!$I52,IF(MATCHED!BG52=9,MATCHED!$J52,IF(MATCHED!BG52=10,MATCHED!$K52,IF(MATCHED!BG52=11,MATCHED!$L52,IF(MATCHED!BG52=12,MATCHED!$M52,IF(MATCHED!BG52=13,MATCHED!$N52,IF(MATCHED!BG52=14,MATCHED!$O52,"")))))))&amp;IF(MATCHED!BG52=15,MATCHED!$P52,IF(MATCHED!BG52=16,MATCHED!$Q52,IF(MATCHED!BG52=17,MATCHED!$R52,IF(MATCHED!BG52=18,MATCHED!$S52,IF(MATCHED!BG52=19,MATCHED!$T52,IF(MATCHED!BG52=20,MATCHED!$U52,IF(MATCHED!BG52=21,MATCHED!$V52,)))))))&amp;IF(MATCHED!BG52=22,MATCHED!$W52,IF(MATCHED!BG52=23,MATCHED!$X52,IF(MATCHED!BG52=24,MATCHED!$Y52,IF(MATCHED!BG52=25,MATCHED!$Z52,IF(MATCHED!BG52=26,MATCHED!$AA52,IF(MATCHED!BG52=27,MATCHED!$AB52,"."))))))</f>
        <v>#N/A</v>
      </c>
      <c r="AF52" s="360" t="e">
        <f>IF(MATCHED!BH52=1,MATCHED!$B52,IF(MATCHED!BH52=2,MATCHED!$C52,IF(MATCHED!BH52=3,MATCHED!$D52,IF(MATCHED!BH52=4,MATCHED!$E52,IF(MATCHED!BH52=3,MATCHED!$F52,IF(MATCHED!BH52=6,MATCHED!$G52,IF(MATCHED!BH52=7,MATCHED!$H52,"")))))))&amp;IF(MATCHED!BH52=8,MATCHED!$I52,IF(MATCHED!BH52=9,MATCHED!$J52,IF(MATCHED!BH52=10,MATCHED!$K52,IF(MATCHED!BH52=11,MATCHED!$L52,IF(MATCHED!BH52=12,MATCHED!$M52,IF(MATCHED!BH52=13,MATCHED!$N52,IF(MATCHED!BH52=14,MATCHED!$O52,"")))))))&amp;IF(MATCHED!BH52=15,MATCHED!$P52,IF(MATCHED!BH52=16,MATCHED!$Q52,IF(MATCHED!BH52=17,MATCHED!$R52,IF(MATCHED!BH52=18,MATCHED!$S52,IF(MATCHED!BH52=19,MATCHED!$T52,IF(MATCHED!BH52=20,MATCHED!$U52,IF(MATCHED!BH52=21,MATCHED!$V52,)))))))&amp;IF(MATCHED!BH52=22,MATCHED!$W52,IF(MATCHED!BH52=23,MATCHED!$X52,IF(MATCHED!BH52=24,MATCHED!$Y52,IF(MATCHED!BH52=25,MATCHED!$Z52,IF(MATCHED!BH52=26,MATCHED!$AA52,IF(MATCHED!BH52=27,MATCHED!$AB52,"."))))))</f>
        <v>#N/A</v>
      </c>
      <c r="AG52" s="360" t="e">
        <f>IF(MATCHED!BI52=1,MATCHED!$B52,IF(MATCHED!BI52=2,MATCHED!$C52,IF(MATCHED!BI52=3,MATCHED!$D52,IF(MATCHED!BI52=4,MATCHED!$E52,IF(MATCHED!BI52=3,MATCHED!$F52,IF(MATCHED!BI52=6,MATCHED!$G52,IF(MATCHED!BI52=7,MATCHED!$H52,"")))))))&amp;IF(MATCHED!BI52=8,MATCHED!$I52,IF(MATCHED!BI52=9,MATCHED!$J52,IF(MATCHED!BI52=10,MATCHED!$K52,IF(MATCHED!BI52=11,MATCHED!$L52,IF(MATCHED!BI52=12,MATCHED!$M52,IF(MATCHED!BI52=13,MATCHED!$N52,IF(MATCHED!BI52=14,MATCHED!$O52,"")))))))&amp;IF(MATCHED!BI52=15,MATCHED!$P52,IF(MATCHED!BI52=16,MATCHED!$Q52,IF(MATCHED!BI52=17,MATCHED!$R52,IF(MATCHED!BI52=18,MATCHED!$S52,IF(MATCHED!BI52=19,MATCHED!$T52,IF(MATCHED!BI52=20,MATCHED!$U52,IF(MATCHED!BI52=21,MATCHED!$V52,)))))))&amp;IF(MATCHED!BI52=22,MATCHED!$W52,IF(MATCHED!BI52=23,MATCHED!$X52,IF(MATCHED!BI52=24,MATCHED!$Y52,IF(MATCHED!BI52=25,MATCHED!$Z52,IF(MATCHED!BI52=26,MATCHED!$AA52,IF(MATCHED!BI52=27,MATCHED!$AB52,"."))))))</f>
        <v>#N/A</v>
      </c>
      <c r="AH52" s="360" t="e">
        <f>IF(MATCHED!BJ52=1,MATCHED!$B52,IF(MATCHED!BJ52=2,MATCHED!$C52,IF(MATCHED!BJ52=3,MATCHED!$D52,IF(MATCHED!BJ52=4,MATCHED!$E52,IF(MATCHED!BJ52=3,MATCHED!$F52,IF(MATCHED!BJ52=6,MATCHED!$G52,IF(MATCHED!BJ52=7,MATCHED!$H52,"")))))))&amp;IF(MATCHED!BJ52=8,MATCHED!$I52,IF(MATCHED!BJ52=9,MATCHED!$J52,IF(MATCHED!BJ52=10,MATCHED!$K52,IF(MATCHED!BJ52=11,MATCHED!$L52,IF(MATCHED!BJ52=12,MATCHED!$M52,IF(MATCHED!BJ52=13,MATCHED!$N52,IF(MATCHED!BJ52=14,MATCHED!$O52,"")))))))&amp;IF(MATCHED!BJ52=15,MATCHED!$P52,IF(MATCHED!BJ52=16,MATCHED!$Q52,IF(MATCHED!BJ52=17,MATCHED!$R52,IF(MATCHED!BJ52=18,MATCHED!$S52,IF(MATCHED!BJ52=19,MATCHED!$T52,IF(MATCHED!BJ52=20,MATCHED!$U52,IF(MATCHED!BJ52=21,MATCHED!$V52,)))))))&amp;IF(MATCHED!BJ52=22,MATCHED!$W52,IF(MATCHED!BJ52=23,MATCHED!$X52,IF(MATCHED!BJ52=24,MATCHED!$Y52,IF(MATCHED!BJ52=25,MATCHED!$Z52,IF(MATCHED!BJ52=26,MATCHED!$AA52,IF(MATCHED!BJ52=27,MATCHED!$AB52,"."))))))</f>
        <v>#N/A</v>
      </c>
      <c r="AI52" s="360" t="e">
        <f>IF(MATCHED!BK52=1,MATCHED!$B52,IF(MATCHED!BK52=2,MATCHED!$C52,IF(MATCHED!BK52=3,MATCHED!$D52,IF(MATCHED!BK52=4,MATCHED!$E52,IF(MATCHED!BK52=3,MATCHED!$F52,IF(MATCHED!BK52=6,MATCHED!$G52,IF(MATCHED!BK52=7,MATCHED!$H52,"")))))))&amp;IF(MATCHED!BK52=8,MATCHED!$I52,IF(MATCHED!BK52=9,MATCHED!$J52,IF(MATCHED!BK52=10,MATCHED!$K52,IF(MATCHED!BK52=11,MATCHED!$L52,IF(MATCHED!BK52=12,MATCHED!$M52,IF(MATCHED!BK52=13,MATCHED!$N52,IF(MATCHED!BK52=14,MATCHED!$O52,"")))))))&amp;IF(MATCHED!BK52=15,MATCHED!$P52,IF(MATCHED!BK52=16,MATCHED!$Q52,IF(MATCHED!BK52=17,MATCHED!$R52,IF(MATCHED!BK52=18,MATCHED!$S52,IF(MATCHED!BK52=19,MATCHED!$T52,IF(MATCHED!BK52=20,MATCHED!$U52,IF(MATCHED!BK52=21,MATCHED!$V52,)))))))&amp;IF(MATCHED!BK52=22,MATCHED!$W52,IF(MATCHED!BK52=23,MATCHED!$X52,IF(MATCHED!BK52=24,MATCHED!$Y52,IF(MATCHED!BK52=25,MATCHED!$Z52,IF(MATCHED!BK52=26,MATCHED!$AA52,IF(MATCHED!BK52=27,MATCHED!$AB52,"."))))))</f>
        <v>#N/A</v>
      </c>
      <c r="AJ52" s="535"/>
    </row>
    <row r="53" spans="1:36" s="338" customFormat="1" x14ac:dyDescent="0.25">
      <c r="A53" s="535"/>
      <c r="B53" s="352" t="e">
        <f>IF(MATCHED!AD53=1,MATCHED!$B53,IF(MATCHED!AD53=2,MATCHED!$C53,IF(MATCHED!AD53=3,MATCHED!$D53,IF(MATCHED!AD53=4,MATCHED!$E53,IF(MATCHED!AD53=3,MATCHED!$F53,IF(MATCHED!AD53=6,MATCHED!$G53,IF(MATCHED!AD53=7,MATCHED!$H53,"")))))))&amp;IF(MATCHED!AD53=8,MATCHED!$I53,IF(MATCHED!AD53=9,MATCHED!$J53,IF(MATCHED!AD53=10,MATCHED!$K53,IF(MATCHED!AD53=11,MATCHED!$L53,IF(MATCHED!AD53=12,MATCHED!$M53,IF(MATCHED!AD53=13,MATCHED!$N53,IF(MATCHED!AD53=14,MATCHED!$O53,"")))))))&amp;IF(MATCHED!AD53=15,MATCHED!$P53,IF(MATCHED!AD53=16,MATCHED!$Q53,IF(MATCHED!AD53=17,MATCHED!$R53,IF(MATCHED!AD53=18,MATCHED!$S53,IF(MATCHED!AD53=19,MATCHED!$T53,IF(MATCHED!AD53=20,MATCHED!$U53,IF(MATCHED!AD53=21,MATCHED!$V53,)))))))&amp;IF(MATCHED!AD53=22,MATCHED!$W53,IF(MATCHED!AD53=23,MATCHED!$X53,IF(MATCHED!AD53=24,MATCHED!$Y53,IF(MATCHED!AD53=25,MATCHED!$Z53,IF(MATCHED!AD53=26,MATCHED!$AA53,IF(MATCHED!AD53=27,MATCHED!$AB53,"."))))))</f>
        <v>#N/A</v>
      </c>
      <c r="C53" s="353" t="e">
        <f>IF(MATCHED!AE53=1,MATCHED!$B53,IF(MATCHED!AE53=2,MATCHED!$C53,IF(MATCHED!AE53=3,MATCHED!$D53,IF(MATCHED!AE53=4,MATCHED!$E53,IF(MATCHED!AE53=3,MATCHED!$F53,IF(MATCHED!AE53=6,MATCHED!$G53,IF(MATCHED!AE53=7,MATCHED!$H53,"")))))))&amp;IF(MATCHED!AE53=8,MATCHED!$I53,IF(MATCHED!AE53=9,MATCHED!$J53,IF(MATCHED!AE53=10,MATCHED!$K53,IF(MATCHED!AE53=11,MATCHED!$L53,IF(MATCHED!AE53=12,MATCHED!$M53,IF(MATCHED!AE53=13,MATCHED!$N53,IF(MATCHED!AE53=14,MATCHED!$O53,"")))))))&amp;IF(MATCHED!AE53=15,MATCHED!$P53,IF(MATCHED!AE53=16,MATCHED!$Q53,IF(MATCHED!AE53=17,MATCHED!$R53,IF(MATCHED!AE53=18,MATCHED!$S53,IF(MATCHED!AE53=19,MATCHED!$T53,IF(MATCHED!AE53=20,MATCHED!$U53,IF(MATCHED!AE53=21,MATCHED!$V53,)))))))&amp;IF(MATCHED!AE53=22,MATCHED!$W53,IF(MATCHED!AE53=23,MATCHED!$X53,IF(MATCHED!AE53=24,MATCHED!$Y53,IF(MATCHED!AE53=25,MATCHED!$Z53,IF(MATCHED!AE53=26,MATCHED!$AA53,IF(MATCHED!AE53=27,MATCHED!$AB53,"."))))))</f>
        <v>#N/A</v>
      </c>
      <c r="D53" s="353" t="e">
        <f>IF(MATCHED!AF53=1,MATCHED!$B53,IF(MATCHED!AF53=2,MATCHED!$C53,IF(MATCHED!AF53=3,MATCHED!$D53,IF(MATCHED!AF53=4,MATCHED!$E53,IF(MATCHED!AF53=3,MATCHED!$F53,IF(MATCHED!AF53=6,MATCHED!$G53,IF(MATCHED!AF53=7,MATCHED!$H53,"")))))))&amp;IF(MATCHED!AF53=8,MATCHED!$I53,IF(MATCHED!AF53=9,MATCHED!$J53,IF(MATCHED!AF53=10,MATCHED!$K53,IF(MATCHED!AF53=11,MATCHED!$L53,IF(MATCHED!AF53=12,MATCHED!$M53,IF(MATCHED!AF53=13,MATCHED!$N53,IF(MATCHED!AF53=14,MATCHED!$O53,"")))))))&amp;IF(MATCHED!AF53=15,MATCHED!$P53,IF(MATCHED!AF53=16,MATCHED!$Q53,IF(MATCHED!AF53=17,MATCHED!$R53,IF(MATCHED!AF53=18,MATCHED!$S53,IF(MATCHED!AF53=19,MATCHED!$T53,IF(MATCHED!AF53=20,MATCHED!$U53,IF(MATCHED!AF53=21,MATCHED!$V53,)))))))&amp;IF(MATCHED!AF53=22,MATCHED!$W53,IF(MATCHED!AF53=23,MATCHED!$X53,IF(MATCHED!AF53=24,MATCHED!$Y53,IF(MATCHED!AF53=25,MATCHED!$Z53,IF(MATCHED!AF53=26,MATCHED!$AA53,IF(MATCHED!AF53=27,MATCHED!$AB53,"."))))))</f>
        <v>#N/A</v>
      </c>
      <c r="E53" s="353" t="e">
        <f>IF(MATCHED!AG53=1,MATCHED!$B53,IF(MATCHED!AG53=2,MATCHED!$C53,IF(MATCHED!AG53=3,MATCHED!$D53,IF(MATCHED!AG53=4,MATCHED!$E53,IF(MATCHED!AG53=3,MATCHED!$F53,IF(MATCHED!AG53=6,MATCHED!$G53,IF(MATCHED!AG53=7,MATCHED!$H53,"")))))))&amp;IF(MATCHED!AG53=8,MATCHED!$I53,IF(MATCHED!AG53=9,MATCHED!$J53,IF(MATCHED!AG53=10,MATCHED!$K53,IF(MATCHED!AG53=11,MATCHED!$L53,IF(MATCHED!AG53=12,MATCHED!$M53,IF(MATCHED!AG53=13,MATCHED!$N53,IF(MATCHED!AG53=14,MATCHED!$O53,"")))))))&amp;IF(MATCHED!AG53=15,MATCHED!$P53,IF(MATCHED!AG53=16,MATCHED!$Q53,IF(MATCHED!AG53=17,MATCHED!$R53,IF(MATCHED!AG53=18,MATCHED!$S53,IF(MATCHED!AG53=19,MATCHED!$T53,IF(MATCHED!AG53=20,MATCHED!$U53,IF(MATCHED!AG53=21,MATCHED!$V53,)))))))&amp;IF(MATCHED!AG53=22,MATCHED!$W53,IF(MATCHED!AG53=23,MATCHED!$X53,IF(MATCHED!AG53=24,MATCHED!$Y53,IF(MATCHED!AG53=25,MATCHED!$Z53,IF(MATCHED!AG53=26,MATCHED!$AA53,IF(MATCHED!AG53=27,MATCHED!$AB53,"."))))))</f>
        <v>#N/A</v>
      </c>
      <c r="F53" s="353" t="e">
        <f>IF(MATCHED!AH53=1,MATCHED!$B53,IF(MATCHED!AH53=2,MATCHED!$C53,IF(MATCHED!AH53=3,MATCHED!$D53,IF(MATCHED!AH53=4,MATCHED!$E53,IF(MATCHED!AH53=3,MATCHED!$F53,IF(MATCHED!AH53=6,MATCHED!$G53,IF(MATCHED!AH53=7,MATCHED!$H53,"")))))))&amp;IF(MATCHED!AH53=8,MATCHED!$I53,IF(MATCHED!AH53=9,MATCHED!$J53,IF(MATCHED!AH53=10,MATCHED!$K53,IF(MATCHED!AH53=11,MATCHED!$L53,IF(MATCHED!AH53=12,MATCHED!$M53,IF(MATCHED!AH53=13,MATCHED!$N53,IF(MATCHED!AH53=14,MATCHED!$O53,"")))))))&amp;IF(MATCHED!AH53=15,MATCHED!$P53,IF(MATCHED!AH53=16,MATCHED!$Q53,IF(MATCHED!AH53=17,MATCHED!$R53,IF(MATCHED!AH53=18,MATCHED!$S53,IF(MATCHED!AH53=19,MATCHED!$T53,IF(MATCHED!AH53=20,MATCHED!$U53,IF(MATCHED!AH53=21,MATCHED!$V53,)))))))&amp;IF(MATCHED!AH53=22,MATCHED!$W53,IF(MATCHED!AH53=23,MATCHED!$X53,IF(MATCHED!AH53=24,MATCHED!$Y53,IF(MATCHED!AH53=25,MATCHED!$Z53,IF(MATCHED!AH53=26,MATCHED!$AA53,IF(MATCHED!AH53=27,MATCHED!$AB53,"."))))))</f>
        <v>#N/A</v>
      </c>
      <c r="G53" s="353" t="e">
        <f>IF(MATCHED!AI53=1,MATCHED!$B53,IF(MATCHED!AI53=2,MATCHED!$C53,IF(MATCHED!AI53=3,MATCHED!$D53,IF(MATCHED!AI53=4,MATCHED!$E53,IF(MATCHED!AI53=3,MATCHED!$F53,IF(MATCHED!AI53=6,MATCHED!$G53,IF(MATCHED!AI53=7,MATCHED!$H53,"")))))))&amp;IF(MATCHED!AI53=8,MATCHED!$I53,IF(MATCHED!AI53=9,MATCHED!$J53,IF(MATCHED!AI53=10,MATCHED!$K53,IF(MATCHED!AI53=11,MATCHED!$L53,IF(MATCHED!AI53=12,MATCHED!$M53,IF(MATCHED!AI53=13,MATCHED!$N53,IF(MATCHED!AI53=14,MATCHED!$O53,"")))))))&amp;IF(MATCHED!AI53=15,MATCHED!$P53,IF(MATCHED!AI53=16,MATCHED!$Q53,IF(MATCHED!AI53=17,MATCHED!$R53,IF(MATCHED!AI53=18,MATCHED!$S53,IF(MATCHED!AI53=19,MATCHED!$T53,IF(MATCHED!AI53=20,MATCHED!$U53,IF(MATCHED!AI53=21,MATCHED!$V53,)))))))&amp;IF(MATCHED!AI53=22,MATCHED!$W53,IF(MATCHED!AI53=23,MATCHED!$X53,IF(MATCHED!AI53=24,MATCHED!$Y53,IF(MATCHED!AI53=25,MATCHED!$Z53,IF(MATCHED!AI53=26,MATCHED!$AA53,IF(MATCHED!AI53=27,MATCHED!$AB53,"."))))))</f>
        <v>#N/A</v>
      </c>
      <c r="H53" s="353" t="e">
        <f>IF(MATCHED!AJ53=1,MATCHED!$B53,IF(MATCHED!AJ53=2,MATCHED!$C53,IF(MATCHED!AJ53=3,MATCHED!$D53,IF(MATCHED!AJ53=4,MATCHED!$E53,IF(MATCHED!AJ53=3,MATCHED!$F53,IF(MATCHED!AJ53=6,MATCHED!$G53,IF(MATCHED!AJ53=7,MATCHED!$H53,"")))))))&amp;IF(MATCHED!AJ53=8,MATCHED!$I53,IF(MATCHED!AJ53=9,MATCHED!$J53,IF(MATCHED!AJ53=10,MATCHED!$K53,IF(MATCHED!AJ53=11,MATCHED!$L53,IF(MATCHED!AJ53=12,MATCHED!$M53,IF(MATCHED!AJ53=13,MATCHED!$N53,IF(MATCHED!AJ53=14,MATCHED!$O53,"")))))))&amp;IF(MATCHED!AJ53=15,MATCHED!$P53,IF(MATCHED!AJ53=16,MATCHED!$Q53,IF(MATCHED!AJ53=17,MATCHED!$R53,IF(MATCHED!AJ53=18,MATCHED!$S53,IF(MATCHED!AJ53=19,MATCHED!$T53,IF(MATCHED!AJ53=20,MATCHED!$U53,IF(MATCHED!AJ53=21,MATCHED!$V53,)))))))&amp;IF(MATCHED!AJ53=22,MATCHED!$W53,IF(MATCHED!AJ53=23,MATCHED!$X53,IF(MATCHED!AJ53=24,MATCHED!$Y53,IF(MATCHED!AJ53=25,MATCHED!$Z53,IF(MATCHED!AJ53=26,MATCHED!$AA53,IF(MATCHED!AJ53=27,MATCHED!$AB53,"."))))))</f>
        <v>#N/A</v>
      </c>
      <c r="I53" s="353" t="e">
        <f>IF(MATCHED!AK53=1,MATCHED!$B53,IF(MATCHED!AK53=2,MATCHED!$C53,IF(MATCHED!AK53=3,MATCHED!$D53,IF(MATCHED!AK53=4,MATCHED!$E53,IF(MATCHED!AK53=3,MATCHED!$F53,IF(MATCHED!AK53=6,MATCHED!$G53,IF(MATCHED!AK53=7,MATCHED!$H53,"")))))))&amp;IF(MATCHED!AK53=8,MATCHED!$I53,IF(MATCHED!AK53=9,MATCHED!$J53,IF(MATCHED!AK53=10,MATCHED!$K53,IF(MATCHED!AK53=11,MATCHED!$L53,IF(MATCHED!AK53=12,MATCHED!$M53,IF(MATCHED!AK53=13,MATCHED!$N53,IF(MATCHED!AK53=14,MATCHED!$O53,"")))))))&amp;IF(MATCHED!AK53=15,MATCHED!$P53,IF(MATCHED!AK53=16,MATCHED!$Q53,IF(MATCHED!AK53=17,MATCHED!$R53,IF(MATCHED!AK53=18,MATCHED!$S53,IF(MATCHED!AK53=19,MATCHED!$T53,IF(MATCHED!AK53=20,MATCHED!$U53,IF(MATCHED!AK53=21,MATCHED!$V53,)))))))&amp;IF(MATCHED!AK53=22,MATCHED!$W53,IF(MATCHED!AK53=23,MATCHED!$X53,IF(MATCHED!AK53=24,MATCHED!$Y53,IF(MATCHED!AK53=25,MATCHED!$Z53,IF(MATCHED!AK53=26,MATCHED!$AA53,IF(MATCHED!AK53=27,MATCHED!$AB53,"."))))))</f>
        <v>#N/A</v>
      </c>
      <c r="J53" s="353" t="e">
        <f>IF(MATCHED!AL53=1,MATCHED!$B53,IF(MATCHED!AL53=2,MATCHED!$C53,IF(MATCHED!AL53=3,MATCHED!$D53,IF(MATCHED!AL53=4,MATCHED!$E53,IF(MATCHED!AL53=3,MATCHED!$F53,IF(MATCHED!AL53=6,MATCHED!$G53,IF(MATCHED!AL53=7,MATCHED!$H53,"")))))))&amp;IF(MATCHED!AL53=8,MATCHED!$I53,IF(MATCHED!AL53=9,MATCHED!$J53,IF(MATCHED!AL53=10,MATCHED!$K53,IF(MATCHED!AL53=11,MATCHED!$L53,IF(MATCHED!AL53=12,MATCHED!$M53,IF(MATCHED!AL53=13,MATCHED!$N53,IF(MATCHED!AL53=14,MATCHED!$O53,"")))))))&amp;IF(MATCHED!AL53=15,MATCHED!$P53,IF(MATCHED!AL53=16,MATCHED!$Q53,IF(MATCHED!AL53=17,MATCHED!$R53,IF(MATCHED!AL53=18,MATCHED!$S53,IF(MATCHED!AL53=19,MATCHED!$T53,IF(MATCHED!AL53=20,MATCHED!$U53,IF(MATCHED!AL53=21,MATCHED!$V53,)))))))&amp;IF(MATCHED!AL53=22,MATCHED!$W53,IF(MATCHED!AL53=23,MATCHED!$X53,IF(MATCHED!AL53=24,MATCHED!$Y53,IF(MATCHED!AL53=25,MATCHED!$Z53,IF(MATCHED!AL53=26,MATCHED!$AA53,IF(MATCHED!AL53=27,MATCHED!$AB53,"."))))))</f>
        <v>#N/A</v>
      </c>
      <c r="K53" s="353" t="e">
        <f>IF(MATCHED!AM53=1,MATCHED!$B53,IF(MATCHED!AM53=2,MATCHED!$C53,IF(MATCHED!AM53=3,MATCHED!$D53,IF(MATCHED!AM53=4,MATCHED!$E53,IF(MATCHED!AM53=3,MATCHED!$F53,IF(MATCHED!AM53=6,MATCHED!$G53,IF(MATCHED!AM53=7,MATCHED!$H53,"")))))))&amp;IF(MATCHED!AM53=8,MATCHED!$I53,IF(MATCHED!AM53=9,MATCHED!$J53,IF(MATCHED!AM53=10,MATCHED!$K53,IF(MATCHED!AM53=11,MATCHED!$L53,IF(MATCHED!AM53=12,MATCHED!$M53,IF(MATCHED!AM53=13,MATCHED!$N53,IF(MATCHED!AM53=14,MATCHED!$O53,"")))))))&amp;IF(MATCHED!AM53=15,MATCHED!$P53,IF(MATCHED!AM53=16,MATCHED!$Q53,IF(MATCHED!AM53=17,MATCHED!$R53,IF(MATCHED!AM53=18,MATCHED!$S53,IF(MATCHED!AM53=19,MATCHED!$T53,IF(MATCHED!AM53=20,MATCHED!$U53,IF(MATCHED!AM53=21,MATCHED!$V53,)))))))&amp;IF(MATCHED!AM53=22,MATCHED!$W53,IF(MATCHED!AM53=23,MATCHED!$X53,IF(MATCHED!AM53=24,MATCHED!$Y53,IF(MATCHED!AM53=25,MATCHED!$Z53,IF(MATCHED!AM53=26,MATCHED!$AA53,IF(MATCHED!AM53=27,MATCHED!$AB53,"."))))))</f>
        <v>#N/A</v>
      </c>
      <c r="L53" s="353" t="e">
        <f>IF(MATCHED!AN53=1,MATCHED!$B53,IF(MATCHED!AN53=2,MATCHED!$C53,IF(MATCHED!AN53=3,MATCHED!$D53,IF(MATCHED!AN53=4,MATCHED!$E53,IF(MATCHED!AN53=3,MATCHED!$F53,IF(MATCHED!AN53=6,MATCHED!$G53,IF(MATCHED!AN53=7,MATCHED!$H53,"")))))))&amp;IF(MATCHED!AN53=8,MATCHED!$I53,IF(MATCHED!AN53=9,MATCHED!$J53,IF(MATCHED!AN53=10,MATCHED!$K53,IF(MATCHED!AN53=11,MATCHED!$L53,IF(MATCHED!AN53=12,MATCHED!$M53,IF(MATCHED!AN53=13,MATCHED!$N53,IF(MATCHED!AN53=14,MATCHED!$O53,"")))))))&amp;IF(MATCHED!AN53=15,MATCHED!$P53,IF(MATCHED!AN53=16,MATCHED!$Q53,IF(MATCHED!AN53=17,MATCHED!$R53,IF(MATCHED!AN53=18,MATCHED!$S53,IF(MATCHED!AN53=19,MATCHED!$T53,IF(MATCHED!AN53=20,MATCHED!$U53,IF(MATCHED!AN53=21,MATCHED!$V53,)))))))&amp;IF(MATCHED!AN53=22,MATCHED!$W53,IF(MATCHED!AN53=23,MATCHED!$X53,IF(MATCHED!AN53=24,MATCHED!$Y53,IF(MATCHED!AN53=25,MATCHED!$Z53,IF(MATCHED!AN53=26,MATCHED!$AA53,IF(MATCHED!AN53=27,MATCHED!$AB53,"."))))))</f>
        <v>#N/A</v>
      </c>
      <c r="M53" s="353" t="e">
        <f>IF(MATCHED!AO53=1,MATCHED!$B53,IF(MATCHED!AO53=2,MATCHED!$C53,IF(MATCHED!AO53=3,MATCHED!$D53,IF(MATCHED!AO53=4,MATCHED!$E53,IF(MATCHED!AO53=3,MATCHED!$F53,IF(MATCHED!AO53=6,MATCHED!$G53,IF(MATCHED!AO53=7,MATCHED!$H53,"")))))))&amp;IF(MATCHED!AO53=8,MATCHED!$I53,IF(MATCHED!AO53=9,MATCHED!$J53,IF(MATCHED!AO53=10,MATCHED!$K53,IF(MATCHED!AO53=11,MATCHED!$L53,IF(MATCHED!AO53=12,MATCHED!$M53,IF(MATCHED!AO53=13,MATCHED!$N53,IF(MATCHED!AO53=14,MATCHED!$O53,"")))))))&amp;IF(MATCHED!AO53=15,MATCHED!$P53,IF(MATCHED!AO53=16,MATCHED!$Q53,IF(MATCHED!AO53=17,MATCHED!$R53,IF(MATCHED!AO53=18,MATCHED!$S53,IF(MATCHED!AO53=19,MATCHED!$T53,IF(MATCHED!AO53=20,MATCHED!$U53,IF(MATCHED!AO53=21,MATCHED!$V53,)))))))&amp;IF(MATCHED!AO53=22,MATCHED!$W53,IF(MATCHED!AO53=23,MATCHED!$X53,IF(MATCHED!AO53=24,MATCHED!$Y53,IF(MATCHED!AO53=25,MATCHED!$Z53,IF(MATCHED!AO53=26,MATCHED!$AA53,IF(MATCHED!AO53=27,MATCHED!$AB53,"."))))))</f>
        <v>#N/A</v>
      </c>
      <c r="N53" s="353" t="e">
        <f>IF(MATCHED!AP53=1,MATCHED!$B53,IF(MATCHED!AP53=2,MATCHED!$C53,IF(MATCHED!AP53=3,MATCHED!$D53,IF(MATCHED!AP53=4,MATCHED!$E53,IF(MATCHED!AP53=3,MATCHED!$F53,IF(MATCHED!AP53=6,MATCHED!$G53,IF(MATCHED!AP53=7,MATCHED!$H53,"")))))))&amp;IF(MATCHED!AP53=8,MATCHED!$I53,IF(MATCHED!AP53=9,MATCHED!$J53,IF(MATCHED!AP53=10,MATCHED!$K53,IF(MATCHED!AP53=11,MATCHED!$L53,IF(MATCHED!AP53=12,MATCHED!$M53,IF(MATCHED!AP53=13,MATCHED!$N53,IF(MATCHED!AP53=14,MATCHED!$O53,"")))))))&amp;IF(MATCHED!AP53=15,MATCHED!$P53,IF(MATCHED!AP53=16,MATCHED!$Q53,IF(MATCHED!AP53=17,MATCHED!$R53,IF(MATCHED!AP53=18,MATCHED!$S53,IF(MATCHED!AP53=19,MATCHED!$T53,IF(MATCHED!AP53=20,MATCHED!$U53,IF(MATCHED!AP53=21,MATCHED!$V53,)))))))&amp;IF(MATCHED!AP53=22,MATCHED!$W53,IF(MATCHED!AP53=23,MATCHED!$X53,IF(MATCHED!AP53=24,MATCHED!$Y53,IF(MATCHED!AP53=25,MATCHED!$Z53,IF(MATCHED!AP53=26,MATCHED!$AA53,IF(MATCHED!AP53=27,MATCHED!$AB53,"."))))))</f>
        <v>#N/A</v>
      </c>
      <c r="O53" s="353" t="e">
        <f>IF(MATCHED!AQ53=1,MATCHED!$B53,IF(MATCHED!AQ53=2,MATCHED!$C53,IF(MATCHED!AQ53=3,MATCHED!$D53,IF(MATCHED!AQ53=4,MATCHED!$E53,IF(MATCHED!AQ53=3,MATCHED!$F53,IF(MATCHED!AQ53=6,MATCHED!$G53,IF(MATCHED!AQ53=7,MATCHED!$H53,"")))))))&amp;IF(MATCHED!AQ53=8,MATCHED!$I53,IF(MATCHED!AQ53=9,MATCHED!$J53,IF(MATCHED!AQ53=10,MATCHED!$K53,IF(MATCHED!AQ53=11,MATCHED!$L53,IF(MATCHED!AQ53=12,MATCHED!$M53,IF(MATCHED!AQ53=13,MATCHED!$N53,IF(MATCHED!AQ53=14,MATCHED!$O53,"")))))))&amp;IF(MATCHED!AQ53=15,MATCHED!$P53,IF(MATCHED!AQ53=16,MATCHED!$Q53,IF(MATCHED!AQ53=17,MATCHED!$R53,IF(MATCHED!AQ53=18,MATCHED!$S53,IF(MATCHED!AQ53=19,MATCHED!$T53,IF(MATCHED!AQ53=20,MATCHED!$U53,IF(MATCHED!AQ53=21,MATCHED!$V53,)))))))&amp;IF(MATCHED!AQ53=22,MATCHED!$W53,IF(MATCHED!AQ53=23,MATCHED!$X53,IF(MATCHED!AQ53=24,MATCHED!$Y53,IF(MATCHED!AQ53=25,MATCHED!$Z53,IF(MATCHED!AQ53=26,MATCHED!$AA53,IF(MATCHED!AQ53=27,MATCHED!$AB53,"."))))))</f>
        <v>#N/A</v>
      </c>
      <c r="P53" s="353" t="e">
        <f>IF(MATCHED!AR53=1,MATCHED!$B53,IF(MATCHED!AR53=2,MATCHED!$C53,IF(MATCHED!AR53=3,MATCHED!$D53,IF(MATCHED!AR53=4,MATCHED!$E53,IF(MATCHED!AR53=3,MATCHED!$F53,IF(MATCHED!AR53=6,MATCHED!$G53,IF(MATCHED!AR53=7,MATCHED!$H53,"")))))))&amp;IF(MATCHED!AR53=8,MATCHED!$I53,IF(MATCHED!AR53=9,MATCHED!$J53,IF(MATCHED!AR53=10,MATCHED!$K53,IF(MATCHED!AR53=11,MATCHED!$L53,IF(MATCHED!AR53=12,MATCHED!$M53,IF(MATCHED!AR53=13,MATCHED!$N53,IF(MATCHED!AR53=14,MATCHED!$O53,"")))))))&amp;IF(MATCHED!AR53=15,MATCHED!$P53,IF(MATCHED!AR53=16,MATCHED!$Q53,IF(MATCHED!AR53=17,MATCHED!$R53,IF(MATCHED!AR53=18,MATCHED!$S53,IF(MATCHED!AR53=19,MATCHED!$T53,IF(MATCHED!AR53=20,MATCHED!$U53,IF(MATCHED!AR53=21,MATCHED!$V53,)))))))&amp;IF(MATCHED!AR53=22,MATCHED!$W53,IF(MATCHED!AR53=23,MATCHED!$X53,IF(MATCHED!AR53=24,MATCHED!$Y53,IF(MATCHED!AR53=25,MATCHED!$Z53,IF(MATCHED!AR53=26,MATCHED!$AA53,IF(MATCHED!AR53=27,MATCHED!$AB53,"."))))))</f>
        <v>#N/A</v>
      </c>
      <c r="Q53" s="354" t="e">
        <f>IF(MATCHED!AS53=1,MATCHED!$B53,IF(MATCHED!AS53=2,MATCHED!$C53,IF(MATCHED!AS53=3,MATCHED!$D53,IF(MATCHED!AS53=4,MATCHED!$E53,IF(MATCHED!AS53=3,MATCHED!$F53,IF(MATCHED!AS53=6,MATCHED!$G53,IF(MATCHED!AS53=7,MATCHED!$H53,"")))))))&amp;IF(MATCHED!AS53=8,MATCHED!$I53,IF(MATCHED!AS53=9,MATCHED!$J53,IF(MATCHED!AS53=10,MATCHED!$K53,IF(MATCHED!AS53=11,MATCHED!$L53,IF(MATCHED!AS53=12,MATCHED!$M53,IF(MATCHED!AS53=13,MATCHED!$N53,IF(MATCHED!AS53=14,MATCHED!$O53,"")))))))&amp;IF(MATCHED!AS53=15,MATCHED!$P53,IF(MATCHED!AS53=16,MATCHED!$Q53,IF(MATCHED!AS53=17,MATCHED!$R53,IF(MATCHED!AS53=18,MATCHED!$S53,IF(MATCHED!AS53=19,MATCHED!$T53,IF(MATCHED!AS53=20,MATCHED!$U53,IF(MATCHED!AS53=21,MATCHED!$V53,)))))))&amp;IF(MATCHED!AS53=22,MATCHED!$W53,IF(MATCHED!AS53=23,MATCHED!$X53,IF(MATCHED!AS53=24,MATCHED!$Y53,IF(MATCHED!AS53=25,MATCHED!$Z53,IF(MATCHED!AS53=26,MATCHED!$AA53,IF(MATCHED!AS53=27,MATCHED!$AB53,"."))))))</f>
        <v>#N/A</v>
      </c>
      <c r="R53" s="353" t="e">
        <f>IF(MATCHED!AT53=1,MATCHED!$B53,IF(MATCHED!AT53=2,MATCHED!$C53,IF(MATCHED!AT53=3,MATCHED!$D53,IF(MATCHED!AT53=4,MATCHED!$E53,IF(MATCHED!AT53=3,MATCHED!$F53,IF(MATCHED!AT53=6,MATCHED!$G53,IF(MATCHED!AT53=7,MATCHED!$H53,"")))))))&amp;IF(MATCHED!AT53=8,MATCHED!$I53,IF(MATCHED!AT53=9,MATCHED!$J53,IF(MATCHED!AT53=10,MATCHED!$K53,IF(MATCHED!AT53=11,MATCHED!$L53,IF(MATCHED!AT53=12,MATCHED!$M53,IF(MATCHED!AT53=13,MATCHED!$N53,IF(MATCHED!AT53=14,MATCHED!$O53,"")))))))&amp;IF(MATCHED!AT53=15,MATCHED!$P53,IF(MATCHED!AT53=16,MATCHED!$Q53,IF(MATCHED!AT53=17,MATCHED!$R53,IF(MATCHED!AT53=18,MATCHED!$S53,IF(MATCHED!AT53=19,MATCHED!$T53,IF(MATCHED!AT53=20,MATCHED!$U53,IF(MATCHED!AT53=21,MATCHED!$V53,)))))))&amp;IF(MATCHED!AT53=22,MATCHED!$W53,IF(MATCHED!AT53=23,MATCHED!$X53,IF(MATCHED!AT53=24,MATCHED!$Y53,IF(MATCHED!AT53=25,MATCHED!$Z53,IF(MATCHED!AT53=26,MATCHED!$AA53,IF(MATCHED!AT53=27,MATCHED!$AB53,"."))))))</f>
        <v>#N/A</v>
      </c>
      <c r="S53" s="353" t="e">
        <f>IF(MATCHED!AU53=1,MATCHED!$B53,IF(MATCHED!AU53=2,MATCHED!$C53,IF(MATCHED!AU53=3,MATCHED!$D53,IF(MATCHED!AU53=4,MATCHED!$E53,IF(MATCHED!AU53=3,MATCHED!$F53,IF(MATCHED!AU53=6,MATCHED!$G53,IF(MATCHED!AU53=7,MATCHED!$H53,"")))))))&amp;IF(MATCHED!AU53=8,MATCHED!$I53,IF(MATCHED!AU53=9,MATCHED!$J53,IF(MATCHED!AU53=10,MATCHED!$K53,IF(MATCHED!AU53=11,MATCHED!$L53,IF(MATCHED!AU53=12,MATCHED!$M53,IF(MATCHED!AU53=13,MATCHED!$N53,IF(MATCHED!AU53=14,MATCHED!$O53,"")))))))&amp;IF(MATCHED!AU53=15,MATCHED!$P53,IF(MATCHED!AU53=16,MATCHED!$Q53,IF(MATCHED!AU53=17,MATCHED!$R53,IF(MATCHED!AU53=18,MATCHED!$S53,IF(MATCHED!AU53=19,MATCHED!$T53,IF(MATCHED!AU53=20,MATCHED!$U53,IF(MATCHED!AU53=21,MATCHED!$V53,)))))))&amp;IF(MATCHED!AU53=22,MATCHED!$W53,IF(MATCHED!AU53=23,MATCHED!$X53,IF(MATCHED!AU53=24,MATCHED!$Y53,IF(MATCHED!AU53=25,MATCHED!$Z53,IF(MATCHED!AU53=26,MATCHED!$AA53,IF(MATCHED!AU53=27,MATCHED!$AB53,"."))))))</f>
        <v>#N/A</v>
      </c>
      <c r="T53" s="353" t="e">
        <f>IF(MATCHED!AV53=1,MATCHED!$B53,IF(MATCHED!AV53=2,MATCHED!$C53,IF(MATCHED!AV53=3,MATCHED!$D53,IF(MATCHED!AV53=4,MATCHED!$E53,IF(MATCHED!AV53=3,MATCHED!$F53,IF(MATCHED!AV53=6,MATCHED!$G53,IF(MATCHED!AV53=7,MATCHED!$H53,"")))))))&amp;IF(MATCHED!AV53=8,MATCHED!$I53,IF(MATCHED!AV53=9,MATCHED!$J53,IF(MATCHED!AV53=10,MATCHED!$K53,IF(MATCHED!AV53=11,MATCHED!$L53,IF(MATCHED!AV53=12,MATCHED!$M53,IF(MATCHED!AV53=13,MATCHED!$N53,IF(MATCHED!AV53=14,MATCHED!$O53,"")))))))&amp;IF(MATCHED!AV53=15,MATCHED!$P53,IF(MATCHED!AV53=16,MATCHED!$Q53,IF(MATCHED!AV53=17,MATCHED!$R53,IF(MATCHED!AV53=18,MATCHED!$S53,IF(MATCHED!AV53=19,MATCHED!$T53,IF(MATCHED!AV53=20,MATCHED!$U53,IF(MATCHED!AV53=21,MATCHED!$V53,)))))))&amp;IF(MATCHED!AV53=22,MATCHED!$W53,IF(MATCHED!AV53=23,MATCHED!$X53,IF(MATCHED!AV53=24,MATCHED!$Y53,IF(MATCHED!AV53=25,MATCHED!$Z53,IF(MATCHED!AV53=26,MATCHED!$AA53,IF(MATCHED!AV53=27,MATCHED!$AB53,"."))))))</f>
        <v>#N/A</v>
      </c>
      <c r="U53" s="353" t="e">
        <f>IF(MATCHED!AW53=1,MATCHED!$B53,IF(MATCHED!AW53=2,MATCHED!$C53,IF(MATCHED!AW53=3,MATCHED!$D53,IF(MATCHED!AW53=4,MATCHED!$E53,IF(MATCHED!AW53=3,MATCHED!$F53,IF(MATCHED!AW53=6,MATCHED!$G53,IF(MATCHED!AW53=7,MATCHED!$H53,"")))))))&amp;IF(MATCHED!AW53=8,MATCHED!$I53,IF(MATCHED!AW53=9,MATCHED!$J53,IF(MATCHED!AW53=10,MATCHED!$K53,IF(MATCHED!AW53=11,MATCHED!$L53,IF(MATCHED!AW53=12,MATCHED!$M53,IF(MATCHED!AW53=13,MATCHED!$N53,IF(MATCHED!AW53=14,MATCHED!$O53,"")))))))&amp;IF(MATCHED!AW53=15,MATCHED!$P53,IF(MATCHED!AW53=16,MATCHED!$Q53,IF(MATCHED!AW53=17,MATCHED!$R53,IF(MATCHED!AW53=18,MATCHED!$S53,IF(MATCHED!AW53=19,MATCHED!$T53,IF(MATCHED!AW53=20,MATCHED!$U53,IF(MATCHED!AW53=21,MATCHED!$V53,)))))))&amp;IF(MATCHED!AW53=22,MATCHED!$W53,IF(MATCHED!AW53=23,MATCHED!$X53,IF(MATCHED!AW53=24,MATCHED!$Y53,IF(MATCHED!AW53=25,MATCHED!$Z53,IF(MATCHED!AW53=26,MATCHED!$AA53,IF(MATCHED!AW53=27,MATCHED!$AB53,"."))))))</f>
        <v>#N/A</v>
      </c>
      <c r="V53" s="353" t="e">
        <f>IF(MATCHED!AX53=1,MATCHED!$B53,IF(MATCHED!AX53=2,MATCHED!$C53,IF(MATCHED!AX53=3,MATCHED!$D53,IF(MATCHED!AX53=4,MATCHED!$E53,IF(MATCHED!AX53=3,MATCHED!$F53,IF(MATCHED!AX53=6,MATCHED!$G53,IF(MATCHED!AX53=7,MATCHED!$H53,"")))))))&amp;IF(MATCHED!AX53=8,MATCHED!$I53,IF(MATCHED!AX53=9,MATCHED!$J53,IF(MATCHED!AX53=10,MATCHED!$K53,IF(MATCHED!AX53=11,MATCHED!$L53,IF(MATCHED!AX53=12,MATCHED!$M53,IF(MATCHED!AX53=13,MATCHED!$N53,IF(MATCHED!AX53=14,MATCHED!$O53,"")))))))&amp;IF(MATCHED!AX53=15,MATCHED!$P53,IF(MATCHED!AX53=16,MATCHED!$Q53,IF(MATCHED!AX53=17,MATCHED!$R53,IF(MATCHED!AX53=18,MATCHED!$S53,IF(MATCHED!AX53=19,MATCHED!$T53,IF(MATCHED!AX53=20,MATCHED!$U53,IF(MATCHED!AX53=21,MATCHED!$V53,)))))))&amp;IF(MATCHED!AX53=22,MATCHED!$W53,IF(MATCHED!AX53=23,MATCHED!$X53,IF(MATCHED!AX53=24,MATCHED!$Y53,IF(MATCHED!AX53=25,MATCHED!$Z53,IF(MATCHED!AX53=26,MATCHED!$AA53,IF(MATCHED!AX53=27,MATCHED!$AB53,"."))))))</f>
        <v>#N/A</v>
      </c>
      <c r="W53" s="353" t="e">
        <f>IF(MATCHED!AY53=1,MATCHED!$B53,IF(MATCHED!AY53=2,MATCHED!$C53,IF(MATCHED!AY53=3,MATCHED!$D53,IF(MATCHED!AY53=4,MATCHED!$E53,IF(MATCHED!AY53=3,MATCHED!$F53,IF(MATCHED!AY53=6,MATCHED!$G53,IF(MATCHED!AY53=7,MATCHED!$H53,"")))))))&amp;IF(MATCHED!AY53=8,MATCHED!$I53,IF(MATCHED!AY53=9,MATCHED!$J53,IF(MATCHED!AY53=10,MATCHED!$K53,IF(MATCHED!AY53=11,MATCHED!$L53,IF(MATCHED!AY53=12,MATCHED!$M53,IF(MATCHED!AY53=13,MATCHED!$N53,IF(MATCHED!AY53=14,MATCHED!$O53,"")))))))&amp;IF(MATCHED!AY53=15,MATCHED!$P53,IF(MATCHED!AY53=16,MATCHED!$Q53,IF(MATCHED!AY53=17,MATCHED!$R53,IF(MATCHED!AY53=18,MATCHED!$S53,IF(MATCHED!AY53=19,MATCHED!$T53,IF(MATCHED!AY53=20,MATCHED!$U53,IF(MATCHED!AY53=21,MATCHED!$V53,)))))))&amp;IF(MATCHED!AY53=22,MATCHED!$W53,IF(MATCHED!AY53=23,MATCHED!$X53,IF(MATCHED!AY53=24,MATCHED!$Y53,IF(MATCHED!AY53=25,MATCHED!$Z53,IF(MATCHED!AY53=26,MATCHED!$AA53,IF(MATCHED!AY53=27,MATCHED!$AB53,"."))))))</f>
        <v>#N/A</v>
      </c>
      <c r="X53" s="353" t="e">
        <f>IF(MATCHED!AZ53=1,MATCHED!$B53,IF(MATCHED!AZ53=2,MATCHED!$C53,IF(MATCHED!AZ53=3,MATCHED!$D53,IF(MATCHED!AZ53=4,MATCHED!$E53,IF(MATCHED!AZ53=3,MATCHED!$F53,IF(MATCHED!AZ53=6,MATCHED!$G53,IF(MATCHED!AZ53=7,MATCHED!$H53,"")))))))&amp;IF(MATCHED!AZ53=8,MATCHED!$I53,IF(MATCHED!AZ53=9,MATCHED!$J53,IF(MATCHED!AZ53=10,MATCHED!$K53,IF(MATCHED!AZ53=11,MATCHED!$L53,IF(MATCHED!AZ53=12,MATCHED!$M53,IF(MATCHED!AZ53=13,MATCHED!$N53,IF(MATCHED!AZ53=14,MATCHED!$O53,"")))))))&amp;IF(MATCHED!AZ53=15,MATCHED!$P53,IF(MATCHED!AZ53=16,MATCHED!$Q53,IF(MATCHED!AZ53=17,MATCHED!$R53,IF(MATCHED!AZ53=18,MATCHED!$S53,IF(MATCHED!AZ53=19,MATCHED!$T53,IF(MATCHED!AZ53=20,MATCHED!$U53,IF(MATCHED!AZ53=21,MATCHED!$V53,)))))))&amp;IF(MATCHED!AZ53=22,MATCHED!$W53,IF(MATCHED!AZ53=23,MATCHED!$X53,IF(MATCHED!AZ53=24,MATCHED!$Y53,IF(MATCHED!AZ53=25,MATCHED!$Z53,IF(MATCHED!AZ53=26,MATCHED!$AA53,IF(MATCHED!AZ53=27,MATCHED!$AB53,"."))))))</f>
        <v>#N/A</v>
      </c>
      <c r="Y53" s="353" t="e">
        <f>IF(MATCHED!BA53=1,MATCHED!$B53,IF(MATCHED!BA53=2,MATCHED!$C53,IF(MATCHED!BA53=3,MATCHED!$D53,IF(MATCHED!BA53=4,MATCHED!$E53,IF(MATCHED!BA53=3,MATCHED!$F53,IF(MATCHED!BA53=6,MATCHED!$G53,IF(MATCHED!BA53=7,MATCHED!$H53,"")))))))&amp;IF(MATCHED!BA53=8,MATCHED!$I53,IF(MATCHED!BA53=9,MATCHED!$J53,IF(MATCHED!BA53=10,MATCHED!$K53,IF(MATCHED!BA53=11,MATCHED!$L53,IF(MATCHED!BA53=12,MATCHED!$M53,IF(MATCHED!BA53=13,MATCHED!$N53,IF(MATCHED!BA53=14,MATCHED!$O53,"")))))))&amp;IF(MATCHED!BA53=15,MATCHED!$P53,IF(MATCHED!BA53=16,MATCHED!$Q53,IF(MATCHED!BA53=17,MATCHED!$R53,IF(MATCHED!BA53=18,MATCHED!$S53,IF(MATCHED!BA53=19,MATCHED!$T53,IF(MATCHED!BA53=20,MATCHED!$U53,IF(MATCHED!BA53=21,MATCHED!$V53,)))))))&amp;IF(MATCHED!BA53=22,MATCHED!$W53,IF(MATCHED!BA53=23,MATCHED!$X53,IF(MATCHED!BA53=24,MATCHED!$Y53,IF(MATCHED!BA53=25,MATCHED!$Z53,IF(MATCHED!BA53=26,MATCHED!$AA53,IF(MATCHED!BA53=27,MATCHED!$AB53,"."))))))</f>
        <v>#N/A</v>
      </c>
      <c r="Z53" s="353" t="e">
        <f>IF(MATCHED!BB53=1,MATCHED!$B53,IF(MATCHED!BB53=2,MATCHED!$C53,IF(MATCHED!BB53=3,MATCHED!$D53,IF(MATCHED!BB53=4,MATCHED!$E53,IF(MATCHED!BB53=3,MATCHED!$F53,IF(MATCHED!BB53=6,MATCHED!$G53,IF(MATCHED!BB53=7,MATCHED!$H53,"")))))))&amp;IF(MATCHED!BB53=8,MATCHED!$I53,IF(MATCHED!BB53=9,MATCHED!$J53,IF(MATCHED!BB53=10,MATCHED!$K53,IF(MATCHED!BB53=11,MATCHED!$L53,IF(MATCHED!BB53=12,MATCHED!$M53,IF(MATCHED!BB53=13,MATCHED!$N53,IF(MATCHED!BB53=14,MATCHED!$O53,"")))))))&amp;IF(MATCHED!BB53=15,MATCHED!$P53,IF(MATCHED!BB53=16,MATCHED!$Q53,IF(MATCHED!BB53=17,MATCHED!$R53,IF(MATCHED!BB53=18,MATCHED!$S53,IF(MATCHED!BB53=19,MATCHED!$T53,IF(MATCHED!BB53=20,MATCHED!$U53,IF(MATCHED!BB53=21,MATCHED!$V53,)))))))&amp;IF(MATCHED!BB53=22,MATCHED!$W53,IF(MATCHED!BB53=23,MATCHED!$X53,IF(MATCHED!BB53=24,MATCHED!$Y53,IF(MATCHED!BB53=25,MATCHED!$Z53,IF(MATCHED!BB53=26,MATCHED!$AA53,IF(MATCHED!BB53=27,MATCHED!$AB53,"."))))))</f>
        <v>#N/A</v>
      </c>
      <c r="AA53" s="353" t="e">
        <f>IF(MATCHED!BC53=1,MATCHED!$B53,IF(MATCHED!BC53=2,MATCHED!$C53,IF(MATCHED!BC53=3,MATCHED!$D53,IF(MATCHED!BC53=4,MATCHED!$E53,IF(MATCHED!BC53=3,MATCHED!$F53,IF(MATCHED!BC53=6,MATCHED!$G53,IF(MATCHED!BC53=7,MATCHED!$H53,"")))))))&amp;IF(MATCHED!BC53=8,MATCHED!$I53,IF(MATCHED!BC53=9,MATCHED!$J53,IF(MATCHED!BC53=10,MATCHED!$K53,IF(MATCHED!BC53=11,MATCHED!$L53,IF(MATCHED!BC53=12,MATCHED!$M53,IF(MATCHED!BC53=13,MATCHED!$N53,IF(MATCHED!BC53=14,MATCHED!$O53,"")))))))&amp;IF(MATCHED!BC53=15,MATCHED!$P53,IF(MATCHED!BC53=16,MATCHED!$Q53,IF(MATCHED!BC53=17,MATCHED!$R53,IF(MATCHED!BC53=18,MATCHED!$S53,IF(MATCHED!BC53=19,MATCHED!$T53,IF(MATCHED!BC53=20,MATCHED!$U53,IF(MATCHED!BC53=21,MATCHED!$V53,)))))))&amp;IF(MATCHED!BC53=22,MATCHED!$W53,IF(MATCHED!BC53=23,MATCHED!$X53,IF(MATCHED!BC53=24,MATCHED!$Y53,IF(MATCHED!BC53=25,MATCHED!$Z53,IF(MATCHED!BC53=26,MATCHED!$AA53,IF(MATCHED!BC53=27,MATCHED!$AB53,"."))))))</f>
        <v>#N/A</v>
      </c>
      <c r="AB53" s="353" t="e">
        <f>IF(MATCHED!BD53=1,MATCHED!$B53,IF(MATCHED!BD53=2,MATCHED!$C53,IF(MATCHED!BD53=3,MATCHED!$D53,IF(MATCHED!BD53=4,MATCHED!$E53,IF(MATCHED!BD53=3,MATCHED!$F53,IF(MATCHED!BD53=6,MATCHED!$G53,IF(MATCHED!BD53=7,MATCHED!$H53,"")))))))&amp;IF(MATCHED!BD53=8,MATCHED!$I53,IF(MATCHED!BD53=9,MATCHED!$J53,IF(MATCHED!BD53=10,MATCHED!$K53,IF(MATCHED!BD53=11,MATCHED!$L53,IF(MATCHED!BD53=12,MATCHED!$M53,IF(MATCHED!BD53=13,MATCHED!$N53,IF(MATCHED!BD53=14,MATCHED!$O53,"")))))))&amp;IF(MATCHED!BD53=15,MATCHED!$P53,IF(MATCHED!BD53=16,MATCHED!$Q53,IF(MATCHED!BD53=17,MATCHED!$R53,IF(MATCHED!BD53=18,MATCHED!$S53,IF(MATCHED!BD53=19,MATCHED!$T53,IF(MATCHED!BD53=20,MATCHED!$U53,IF(MATCHED!BD53=21,MATCHED!$V53,)))))))&amp;IF(MATCHED!BD53=22,MATCHED!$W53,IF(MATCHED!BD53=23,MATCHED!$X53,IF(MATCHED!BD53=24,MATCHED!$Y53,IF(MATCHED!BD53=25,MATCHED!$Z53,IF(MATCHED!BD53=26,MATCHED!$AA53,IF(MATCHED!BD53=27,MATCHED!$AB53,"."))))))</f>
        <v>#N/A</v>
      </c>
      <c r="AC53" s="353" t="e">
        <f>IF(MATCHED!BE53=1,MATCHED!$B53,IF(MATCHED!BE53=2,MATCHED!$C53,IF(MATCHED!BE53=3,MATCHED!$D53,IF(MATCHED!BE53=4,MATCHED!$E53,IF(MATCHED!BE53=3,MATCHED!$F53,IF(MATCHED!BE53=6,MATCHED!$G53,IF(MATCHED!BE53=7,MATCHED!$H53,"")))))))&amp;IF(MATCHED!BE53=8,MATCHED!$I53,IF(MATCHED!BE53=9,MATCHED!$J53,IF(MATCHED!BE53=10,MATCHED!$K53,IF(MATCHED!BE53=11,MATCHED!$L53,IF(MATCHED!BE53=12,MATCHED!$M53,IF(MATCHED!BE53=13,MATCHED!$N53,IF(MATCHED!BE53=14,MATCHED!$O53,"")))))))&amp;IF(MATCHED!BE53=15,MATCHED!$P53,IF(MATCHED!BE53=16,MATCHED!$Q53,IF(MATCHED!BE53=17,MATCHED!$R53,IF(MATCHED!BE53=18,MATCHED!$S53,IF(MATCHED!BE53=19,MATCHED!$T53,IF(MATCHED!BE53=20,MATCHED!$U53,IF(MATCHED!BE53=21,MATCHED!$V53,)))))))&amp;IF(MATCHED!BE53=22,MATCHED!$W53,IF(MATCHED!BE53=23,MATCHED!$X53,IF(MATCHED!BE53=24,MATCHED!$Y53,IF(MATCHED!BE53=25,MATCHED!$Z53,IF(MATCHED!BE53=26,MATCHED!$AA53,IF(MATCHED!BE53=27,MATCHED!$AB53,"."))))))</f>
        <v>#N/A</v>
      </c>
      <c r="AD53" s="353" t="e">
        <f>IF(MATCHED!BF53=1,MATCHED!$B53,IF(MATCHED!BF53=2,MATCHED!$C53,IF(MATCHED!BF53=3,MATCHED!$D53,IF(MATCHED!BF53=4,MATCHED!$E53,IF(MATCHED!BF53=3,MATCHED!$F53,IF(MATCHED!BF53=6,MATCHED!$G53,IF(MATCHED!BF53=7,MATCHED!$H53,"")))))))&amp;IF(MATCHED!BF53=8,MATCHED!$I53,IF(MATCHED!BF53=9,MATCHED!$J53,IF(MATCHED!BF53=10,MATCHED!$K53,IF(MATCHED!BF53=11,MATCHED!$L53,IF(MATCHED!BF53=12,MATCHED!$M53,IF(MATCHED!BF53=13,MATCHED!$N53,IF(MATCHED!BF53=14,MATCHED!$O53,"")))))))&amp;IF(MATCHED!BF53=15,MATCHED!$P53,IF(MATCHED!BF53=16,MATCHED!$Q53,IF(MATCHED!BF53=17,MATCHED!$R53,IF(MATCHED!BF53=18,MATCHED!$S53,IF(MATCHED!BF53=19,MATCHED!$T53,IF(MATCHED!BF53=20,MATCHED!$U53,IF(MATCHED!BF53=21,MATCHED!$V53,)))))))&amp;IF(MATCHED!BF53=22,MATCHED!$W53,IF(MATCHED!BF53=23,MATCHED!$X53,IF(MATCHED!BF53=24,MATCHED!$Y53,IF(MATCHED!BF53=25,MATCHED!$Z53,IF(MATCHED!BF53=26,MATCHED!$AA53,IF(MATCHED!BF53=27,MATCHED!$AB53,"."))))))</f>
        <v>#N/A</v>
      </c>
      <c r="AE53" s="353" t="e">
        <f>IF(MATCHED!BG53=1,MATCHED!$B53,IF(MATCHED!BG53=2,MATCHED!$C53,IF(MATCHED!BG53=3,MATCHED!$D53,IF(MATCHED!BG53=4,MATCHED!$E53,IF(MATCHED!BG53=3,MATCHED!$F53,IF(MATCHED!BG53=6,MATCHED!$G53,IF(MATCHED!BG53=7,MATCHED!$H53,"")))))))&amp;IF(MATCHED!BG53=8,MATCHED!$I53,IF(MATCHED!BG53=9,MATCHED!$J53,IF(MATCHED!BG53=10,MATCHED!$K53,IF(MATCHED!BG53=11,MATCHED!$L53,IF(MATCHED!BG53=12,MATCHED!$M53,IF(MATCHED!BG53=13,MATCHED!$N53,IF(MATCHED!BG53=14,MATCHED!$O53,"")))))))&amp;IF(MATCHED!BG53=15,MATCHED!$P53,IF(MATCHED!BG53=16,MATCHED!$Q53,IF(MATCHED!BG53=17,MATCHED!$R53,IF(MATCHED!BG53=18,MATCHED!$S53,IF(MATCHED!BG53=19,MATCHED!$T53,IF(MATCHED!BG53=20,MATCHED!$U53,IF(MATCHED!BG53=21,MATCHED!$V53,)))))))&amp;IF(MATCHED!BG53=22,MATCHED!$W53,IF(MATCHED!BG53=23,MATCHED!$X53,IF(MATCHED!BG53=24,MATCHED!$Y53,IF(MATCHED!BG53=25,MATCHED!$Z53,IF(MATCHED!BG53=26,MATCHED!$AA53,IF(MATCHED!BG53=27,MATCHED!$AB53,"."))))))</f>
        <v>#N/A</v>
      </c>
      <c r="AF53" s="353" t="e">
        <f>IF(MATCHED!BH53=1,MATCHED!$B53,IF(MATCHED!BH53=2,MATCHED!$C53,IF(MATCHED!BH53=3,MATCHED!$D53,IF(MATCHED!BH53=4,MATCHED!$E53,IF(MATCHED!BH53=3,MATCHED!$F53,IF(MATCHED!BH53=6,MATCHED!$G53,IF(MATCHED!BH53=7,MATCHED!$H53,"")))))))&amp;IF(MATCHED!BH53=8,MATCHED!$I53,IF(MATCHED!BH53=9,MATCHED!$J53,IF(MATCHED!BH53=10,MATCHED!$K53,IF(MATCHED!BH53=11,MATCHED!$L53,IF(MATCHED!BH53=12,MATCHED!$M53,IF(MATCHED!BH53=13,MATCHED!$N53,IF(MATCHED!BH53=14,MATCHED!$O53,"")))))))&amp;IF(MATCHED!BH53=15,MATCHED!$P53,IF(MATCHED!BH53=16,MATCHED!$Q53,IF(MATCHED!BH53=17,MATCHED!$R53,IF(MATCHED!BH53=18,MATCHED!$S53,IF(MATCHED!BH53=19,MATCHED!$T53,IF(MATCHED!BH53=20,MATCHED!$U53,IF(MATCHED!BH53=21,MATCHED!$V53,)))))))&amp;IF(MATCHED!BH53=22,MATCHED!$W53,IF(MATCHED!BH53=23,MATCHED!$X53,IF(MATCHED!BH53=24,MATCHED!$Y53,IF(MATCHED!BH53=25,MATCHED!$Z53,IF(MATCHED!BH53=26,MATCHED!$AA53,IF(MATCHED!BH53=27,MATCHED!$AB53,"."))))))</f>
        <v>#N/A</v>
      </c>
      <c r="AG53" s="353" t="e">
        <f>IF(MATCHED!BI53=1,MATCHED!$B53,IF(MATCHED!BI53=2,MATCHED!$C53,IF(MATCHED!BI53=3,MATCHED!$D53,IF(MATCHED!BI53=4,MATCHED!$E53,IF(MATCHED!BI53=3,MATCHED!$F53,IF(MATCHED!BI53=6,MATCHED!$G53,IF(MATCHED!BI53=7,MATCHED!$H53,"")))))))&amp;IF(MATCHED!BI53=8,MATCHED!$I53,IF(MATCHED!BI53=9,MATCHED!$J53,IF(MATCHED!BI53=10,MATCHED!$K53,IF(MATCHED!BI53=11,MATCHED!$L53,IF(MATCHED!BI53=12,MATCHED!$M53,IF(MATCHED!BI53=13,MATCHED!$N53,IF(MATCHED!BI53=14,MATCHED!$O53,"")))))))&amp;IF(MATCHED!BI53=15,MATCHED!$P53,IF(MATCHED!BI53=16,MATCHED!$Q53,IF(MATCHED!BI53=17,MATCHED!$R53,IF(MATCHED!BI53=18,MATCHED!$S53,IF(MATCHED!BI53=19,MATCHED!$T53,IF(MATCHED!BI53=20,MATCHED!$U53,IF(MATCHED!BI53=21,MATCHED!$V53,)))))))&amp;IF(MATCHED!BI53=22,MATCHED!$W53,IF(MATCHED!BI53=23,MATCHED!$X53,IF(MATCHED!BI53=24,MATCHED!$Y53,IF(MATCHED!BI53=25,MATCHED!$Z53,IF(MATCHED!BI53=26,MATCHED!$AA53,IF(MATCHED!BI53=27,MATCHED!$AB53,"."))))))</f>
        <v>#N/A</v>
      </c>
      <c r="AH53" s="353" t="e">
        <f>IF(MATCHED!BJ53=1,MATCHED!$B53,IF(MATCHED!BJ53=2,MATCHED!$C53,IF(MATCHED!BJ53=3,MATCHED!$D53,IF(MATCHED!BJ53=4,MATCHED!$E53,IF(MATCHED!BJ53=3,MATCHED!$F53,IF(MATCHED!BJ53=6,MATCHED!$G53,IF(MATCHED!BJ53=7,MATCHED!$H53,"")))))))&amp;IF(MATCHED!BJ53=8,MATCHED!$I53,IF(MATCHED!BJ53=9,MATCHED!$J53,IF(MATCHED!BJ53=10,MATCHED!$K53,IF(MATCHED!BJ53=11,MATCHED!$L53,IF(MATCHED!BJ53=12,MATCHED!$M53,IF(MATCHED!BJ53=13,MATCHED!$N53,IF(MATCHED!BJ53=14,MATCHED!$O53,"")))))))&amp;IF(MATCHED!BJ53=15,MATCHED!$P53,IF(MATCHED!BJ53=16,MATCHED!$Q53,IF(MATCHED!BJ53=17,MATCHED!$R53,IF(MATCHED!BJ53=18,MATCHED!$S53,IF(MATCHED!BJ53=19,MATCHED!$T53,IF(MATCHED!BJ53=20,MATCHED!$U53,IF(MATCHED!BJ53=21,MATCHED!$V53,)))))))&amp;IF(MATCHED!BJ53=22,MATCHED!$W53,IF(MATCHED!BJ53=23,MATCHED!$X53,IF(MATCHED!BJ53=24,MATCHED!$Y53,IF(MATCHED!BJ53=25,MATCHED!$Z53,IF(MATCHED!BJ53=26,MATCHED!$AA53,IF(MATCHED!BJ53=27,MATCHED!$AB53,"."))))))</f>
        <v>#N/A</v>
      </c>
      <c r="AI53" s="353" t="e">
        <f>IF(MATCHED!BK53=1,MATCHED!$B53,IF(MATCHED!BK53=2,MATCHED!$C53,IF(MATCHED!BK53=3,MATCHED!$D53,IF(MATCHED!BK53=4,MATCHED!$E53,IF(MATCHED!BK53=3,MATCHED!$F53,IF(MATCHED!BK53=6,MATCHED!$G53,IF(MATCHED!BK53=7,MATCHED!$H53,"")))))))&amp;IF(MATCHED!BK53=8,MATCHED!$I53,IF(MATCHED!BK53=9,MATCHED!$J53,IF(MATCHED!BK53=10,MATCHED!$K53,IF(MATCHED!BK53=11,MATCHED!$L53,IF(MATCHED!BK53=12,MATCHED!$M53,IF(MATCHED!BK53=13,MATCHED!$N53,IF(MATCHED!BK53=14,MATCHED!$O53,"")))))))&amp;IF(MATCHED!BK53=15,MATCHED!$P53,IF(MATCHED!BK53=16,MATCHED!$Q53,IF(MATCHED!BK53=17,MATCHED!$R53,IF(MATCHED!BK53=18,MATCHED!$S53,IF(MATCHED!BK53=19,MATCHED!$T53,IF(MATCHED!BK53=20,MATCHED!$U53,IF(MATCHED!BK53=21,MATCHED!$V53,)))))))&amp;IF(MATCHED!BK53=22,MATCHED!$W53,IF(MATCHED!BK53=23,MATCHED!$X53,IF(MATCHED!BK53=24,MATCHED!$Y53,IF(MATCHED!BK53=25,MATCHED!$Z53,IF(MATCHED!BK53=26,MATCHED!$AA53,IF(MATCHED!BK53=27,MATCHED!$AB53,"."))))))</f>
        <v>#N/A</v>
      </c>
      <c r="AJ53" s="535"/>
    </row>
    <row r="54" spans="1:36" s="338" customFormat="1" x14ac:dyDescent="0.25">
      <c r="A54" s="535"/>
      <c r="B54" s="355" t="e">
        <f>IF(MATCHED!AD54=1,MATCHED!$B54,IF(MATCHED!AD54=2,MATCHED!$C54,IF(MATCHED!AD54=3,MATCHED!$D54,IF(MATCHED!AD54=4,MATCHED!$E54,IF(MATCHED!AD54=3,MATCHED!$F54,IF(MATCHED!AD54=6,MATCHED!$G54,IF(MATCHED!AD54=7,MATCHED!$H54,"")))))))&amp;IF(MATCHED!AD54=8,MATCHED!$I54,IF(MATCHED!AD54=9,MATCHED!$J54,IF(MATCHED!AD54=10,MATCHED!$K54,IF(MATCHED!AD54=11,MATCHED!$L54,IF(MATCHED!AD54=12,MATCHED!$M54,IF(MATCHED!AD54=13,MATCHED!$N54,IF(MATCHED!AD54=14,MATCHED!$O54,"")))))))&amp;IF(MATCHED!AD54=15,MATCHED!$P54,IF(MATCHED!AD54=16,MATCHED!$Q54,IF(MATCHED!AD54=17,MATCHED!$R54,IF(MATCHED!AD54=18,MATCHED!$S54,IF(MATCHED!AD54=19,MATCHED!$T54,IF(MATCHED!AD54=20,MATCHED!$U54,IF(MATCHED!AD54=21,MATCHED!$V54,)))))))&amp;IF(MATCHED!AD54=22,MATCHED!$W54,IF(MATCHED!AD54=23,MATCHED!$X54,IF(MATCHED!AD54=24,MATCHED!$Y54,IF(MATCHED!AD54=25,MATCHED!$Z54,IF(MATCHED!AD54=26,MATCHED!$AA54,IF(MATCHED!AD54=27,MATCHED!$AB54,"."))))))</f>
        <v>#N/A</v>
      </c>
      <c r="C54" s="356" t="e">
        <f>IF(MATCHED!AE54=1,MATCHED!$B54,IF(MATCHED!AE54=2,MATCHED!$C54,IF(MATCHED!AE54=3,MATCHED!$D54,IF(MATCHED!AE54=4,MATCHED!$E54,IF(MATCHED!AE54=3,MATCHED!$F54,IF(MATCHED!AE54=6,MATCHED!$G54,IF(MATCHED!AE54=7,MATCHED!$H54,"")))))))&amp;IF(MATCHED!AE54=8,MATCHED!$I54,IF(MATCHED!AE54=9,MATCHED!$J54,IF(MATCHED!AE54=10,MATCHED!$K54,IF(MATCHED!AE54=11,MATCHED!$L54,IF(MATCHED!AE54=12,MATCHED!$M54,IF(MATCHED!AE54=13,MATCHED!$N54,IF(MATCHED!AE54=14,MATCHED!$O54,"")))))))&amp;IF(MATCHED!AE54=15,MATCHED!$P54,IF(MATCHED!AE54=16,MATCHED!$Q54,IF(MATCHED!AE54=17,MATCHED!$R54,IF(MATCHED!AE54=18,MATCHED!$S54,IF(MATCHED!AE54=19,MATCHED!$T54,IF(MATCHED!AE54=20,MATCHED!$U54,IF(MATCHED!AE54=21,MATCHED!$V54,)))))))&amp;IF(MATCHED!AE54=22,MATCHED!$W54,IF(MATCHED!AE54=23,MATCHED!$X54,IF(MATCHED!AE54=24,MATCHED!$Y54,IF(MATCHED!AE54=25,MATCHED!$Z54,IF(MATCHED!AE54=26,MATCHED!$AA54,IF(MATCHED!AE54=27,MATCHED!$AB54,"."))))))</f>
        <v>#N/A</v>
      </c>
      <c r="D54" s="356" t="e">
        <f>IF(MATCHED!AF54=1,MATCHED!$B54,IF(MATCHED!AF54=2,MATCHED!$C54,IF(MATCHED!AF54=3,MATCHED!$D54,IF(MATCHED!AF54=4,MATCHED!$E54,IF(MATCHED!AF54=3,MATCHED!$F54,IF(MATCHED!AF54=6,MATCHED!$G54,IF(MATCHED!AF54=7,MATCHED!$H54,"")))))))&amp;IF(MATCHED!AF54=8,MATCHED!$I54,IF(MATCHED!AF54=9,MATCHED!$J54,IF(MATCHED!AF54=10,MATCHED!$K54,IF(MATCHED!AF54=11,MATCHED!$L54,IF(MATCHED!AF54=12,MATCHED!$M54,IF(MATCHED!AF54=13,MATCHED!$N54,IF(MATCHED!AF54=14,MATCHED!$O54,"")))))))&amp;IF(MATCHED!AF54=15,MATCHED!$P54,IF(MATCHED!AF54=16,MATCHED!$Q54,IF(MATCHED!AF54=17,MATCHED!$R54,IF(MATCHED!AF54=18,MATCHED!$S54,IF(MATCHED!AF54=19,MATCHED!$T54,IF(MATCHED!AF54=20,MATCHED!$U54,IF(MATCHED!AF54=21,MATCHED!$V54,)))))))&amp;IF(MATCHED!AF54=22,MATCHED!$W54,IF(MATCHED!AF54=23,MATCHED!$X54,IF(MATCHED!AF54=24,MATCHED!$Y54,IF(MATCHED!AF54=25,MATCHED!$Z54,IF(MATCHED!AF54=26,MATCHED!$AA54,IF(MATCHED!AF54=27,MATCHED!$AB54,"."))))))</f>
        <v>#N/A</v>
      </c>
      <c r="E54" s="356" t="e">
        <f>IF(MATCHED!AG54=1,MATCHED!$B54,IF(MATCHED!AG54=2,MATCHED!$C54,IF(MATCHED!AG54=3,MATCHED!$D54,IF(MATCHED!AG54=4,MATCHED!$E54,IF(MATCHED!AG54=3,MATCHED!$F54,IF(MATCHED!AG54=6,MATCHED!$G54,IF(MATCHED!AG54=7,MATCHED!$H54,"")))))))&amp;IF(MATCHED!AG54=8,MATCHED!$I54,IF(MATCHED!AG54=9,MATCHED!$J54,IF(MATCHED!AG54=10,MATCHED!$K54,IF(MATCHED!AG54=11,MATCHED!$L54,IF(MATCHED!AG54=12,MATCHED!$M54,IF(MATCHED!AG54=13,MATCHED!$N54,IF(MATCHED!AG54=14,MATCHED!$O54,"")))))))&amp;IF(MATCHED!AG54=15,MATCHED!$P54,IF(MATCHED!AG54=16,MATCHED!$Q54,IF(MATCHED!AG54=17,MATCHED!$R54,IF(MATCHED!AG54=18,MATCHED!$S54,IF(MATCHED!AG54=19,MATCHED!$T54,IF(MATCHED!AG54=20,MATCHED!$U54,IF(MATCHED!AG54=21,MATCHED!$V54,)))))))&amp;IF(MATCHED!AG54=22,MATCHED!$W54,IF(MATCHED!AG54=23,MATCHED!$X54,IF(MATCHED!AG54=24,MATCHED!$Y54,IF(MATCHED!AG54=25,MATCHED!$Z54,IF(MATCHED!AG54=26,MATCHED!$AA54,IF(MATCHED!AG54=27,MATCHED!$AB54,"."))))))</f>
        <v>#N/A</v>
      </c>
      <c r="F54" s="356" t="e">
        <f>IF(MATCHED!AH54=1,MATCHED!$B54,IF(MATCHED!AH54=2,MATCHED!$C54,IF(MATCHED!AH54=3,MATCHED!$D54,IF(MATCHED!AH54=4,MATCHED!$E54,IF(MATCHED!AH54=3,MATCHED!$F54,IF(MATCHED!AH54=6,MATCHED!$G54,IF(MATCHED!AH54=7,MATCHED!$H54,"")))))))&amp;IF(MATCHED!AH54=8,MATCHED!$I54,IF(MATCHED!AH54=9,MATCHED!$J54,IF(MATCHED!AH54=10,MATCHED!$K54,IF(MATCHED!AH54=11,MATCHED!$L54,IF(MATCHED!AH54=12,MATCHED!$M54,IF(MATCHED!AH54=13,MATCHED!$N54,IF(MATCHED!AH54=14,MATCHED!$O54,"")))))))&amp;IF(MATCHED!AH54=15,MATCHED!$P54,IF(MATCHED!AH54=16,MATCHED!$Q54,IF(MATCHED!AH54=17,MATCHED!$R54,IF(MATCHED!AH54=18,MATCHED!$S54,IF(MATCHED!AH54=19,MATCHED!$T54,IF(MATCHED!AH54=20,MATCHED!$U54,IF(MATCHED!AH54=21,MATCHED!$V54,)))))))&amp;IF(MATCHED!AH54=22,MATCHED!$W54,IF(MATCHED!AH54=23,MATCHED!$X54,IF(MATCHED!AH54=24,MATCHED!$Y54,IF(MATCHED!AH54=25,MATCHED!$Z54,IF(MATCHED!AH54=26,MATCHED!$AA54,IF(MATCHED!AH54=27,MATCHED!$AB54,"."))))))</f>
        <v>#N/A</v>
      </c>
      <c r="G54" s="356" t="e">
        <f>IF(MATCHED!AI54=1,MATCHED!$B54,IF(MATCHED!AI54=2,MATCHED!$C54,IF(MATCHED!AI54=3,MATCHED!$D54,IF(MATCHED!AI54=4,MATCHED!$E54,IF(MATCHED!AI54=3,MATCHED!$F54,IF(MATCHED!AI54=6,MATCHED!$G54,IF(MATCHED!AI54=7,MATCHED!$H54,"")))))))&amp;IF(MATCHED!AI54=8,MATCHED!$I54,IF(MATCHED!AI54=9,MATCHED!$J54,IF(MATCHED!AI54=10,MATCHED!$K54,IF(MATCHED!AI54=11,MATCHED!$L54,IF(MATCHED!AI54=12,MATCHED!$M54,IF(MATCHED!AI54=13,MATCHED!$N54,IF(MATCHED!AI54=14,MATCHED!$O54,"")))))))&amp;IF(MATCHED!AI54=15,MATCHED!$P54,IF(MATCHED!AI54=16,MATCHED!$Q54,IF(MATCHED!AI54=17,MATCHED!$R54,IF(MATCHED!AI54=18,MATCHED!$S54,IF(MATCHED!AI54=19,MATCHED!$T54,IF(MATCHED!AI54=20,MATCHED!$U54,IF(MATCHED!AI54=21,MATCHED!$V54,)))))))&amp;IF(MATCHED!AI54=22,MATCHED!$W54,IF(MATCHED!AI54=23,MATCHED!$X54,IF(MATCHED!AI54=24,MATCHED!$Y54,IF(MATCHED!AI54=25,MATCHED!$Z54,IF(MATCHED!AI54=26,MATCHED!$AA54,IF(MATCHED!AI54=27,MATCHED!$AB54,"."))))))</f>
        <v>#N/A</v>
      </c>
      <c r="H54" s="356" t="e">
        <f>IF(MATCHED!AJ54=1,MATCHED!$B54,IF(MATCHED!AJ54=2,MATCHED!$C54,IF(MATCHED!AJ54=3,MATCHED!$D54,IF(MATCHED!AJ54=4,MATCHED!$E54,IF(MATCHED!AJ54=3,MATCHED!$F54,IF(MATCHED!AJ54=6,MATCHED!$G54,IF(MATCHED!AJ54=7,MATCHED!$H54,"")))))))&amp;IF(MATCHED!AJ54=8,MATCHED!$I54,IF(MATCHED!AJ54=9,MATCHED!$J54,IF(MATCHED!AJ54=10,MATCHED!$K54,IF(MATCHED!AJ54=11,MATCHED!$L54,IF(MATCHED!AJ54=12,MATCHED!$M54,IF(MATCHED!AJ54=13,MATCHED!$N54,IF(MATCHED!AJ54=14,MATCHED!$O54,"")))))))&amp;IF(MATCHED!AJ54=15,MATCHED!$P54,IF(MATCHED!AJ54=16,MATCHED!$Q54,IF(MATCHED!AJ54=17,MATCHED!$R54,IF(MATCHED!AJ54=18,MATCHED!$S54,IF(MATCHED!AJ54=19,MATCHED!$T54,IF(MATCHED!AJ54=20,MATCHED!$U54,IF(MATCHED!AJ54=21,MATCHED!$V54,)))))))&amp;IF(MATCHED!AJ54=22,MATCHED!$W54,IF(MATCHED!AJ54=23,MATCHED!$X54,IF(MATCHED!AJ54=24,MATCHED!$Y54,IF(MATCHED!AJ54=25,MATCHED!$Z54,IF(MATCHED!AJ54=26,MATCHED!$AA54,IF(MATCHED!AJ54=27,MATCHED!$AB54,"."))))))</f>
        <v>#N/A</v>
      </c>
      <c r="I54" s="356" t="e">
        <f>IF(MATCHED!AK54=1,MATCHED!$B54,IF(MATCHED!AK54=2,MATCHED!$C54,IF(MATCHED!AK54=3,MATCHED!$D54,IF(MATCHED!AK54=4,MATCHED!$E54,IF(MATCHED!AK54=3,MATCHED!$F54,IF(MATCHED!AK54=6,MATCHED!$G54,IF(MATCHED!AK54=7,MATCHED!$H54,"")))))))&amp;IF(MATCHED!AK54=8,MATCHED!$I54,IF(MATCHED!AK54=9,MATCHED!$J54,IF(MATCHED!AK54=10,MATCHED!$K54,IF(MATCHED!AK54=11,MATCHED!$L54,IF(MATCHED!AK54=12,MATCHED!$M54,IF(MATCHED!AK54=13,MATCHED!$N54,IF(MATCHED!AK54=14,MATCHED!$O54,"")))))))&amp;IF(MATCHED!AK54=15,MATCHED!$P54,IF(MATCHED!AK54=16,MATCHED!$Q54,IF(MATCHED!AK54=17,MATCHED!$R54,IF(MATCHED!AK54=18,MATCHED!$S54,IF(MATCHED!AK54=19,MATCHED!$T54,IF(MATCHED!AK54=20,MATCHED!$U54,IF(MATCHED!AK54=21,MATCHED!$V54,)))))))&amp;IF(MATCHED!AK54=22,MATCHED!$W54,IF(MATCHED!AK54=23,MATCHED!$X54,IF(MATCHED!AK54=24,MATCHED!$Y54,IF(MATCHED!AK54=25,MATCHED!$Z54,IF(MATCHED!AK54=26,MATCHED!$AA54,IF(MATCHED!AK54=27,MATCHED!$AB54,"."))))))</f>
        <v>#N/A</v>
      </c>
      <c r="J54" s="356" t="e">
        <f>IF(MATCHED!AL54=1,MATCHED!$B54,IF(MATCHED!AL54=2,MATCHED!$C54,IF(MATCHED!AL54=3,MATCHED!$D54,IF(MATCHED!AL54=4,MATCHED!$E54,IF(MATCHED!AL54=3,MATCHED!$F54,IF(MATCHED!AL54=6,MATCHED!$G54,IF(MATCHED!AL54=7,MATCHED!$H54,"")))))))&amp;IF(MATCHED!AL54=8,MATCHED!$I54,IF(MATCHED!AL54=9,MATCHED!$J54,IF(MATCHED!AL54=10,MATCHED!$K54,IF(MATCHED!AL54=11,MATCHED!$L54,IF(MATCHED!AL54=12,MATCHED!$M54,IF(MATCHED!AL54=13,MATCHED!$N54,IF(MATCHED!AL54=14,MATCHED!$O54,"")))))))&amp;IF(MATCHED!AL54=15,MATCHED!$P54,IF(MATCHED!AL54=16,MATCHED!$Q54,IF(MATCHED!AL54=17,MATCHED!$R54,IF(MATCHED!AL54=18,MATCHED!$S54,IF(MATCHED!AL54=19,MATCHED!$T54,IF(MATCHED!AL54=20,MATCHED!$U54,IF(MATCHED!AL54=21,MATCHED!$V54,)))))))&amp;IF(MATCHED!AL54=22,MATCHED!$W54,IF(MATCHED!AL54=23,MATCHED!$X54,IF(MATCHED!AL54=24,MATCHED!$Y54,IF(MATCHED!AL54=25,MATCHED!$Z54,IF(MATCHED!AL54=26,MATCHED!$AA54,IF(MATCHED!AL54=27,MATCHED!$AB54,"."))))))</f>
        <v>#N/A</v>
      </c>
      <c r="K54" s="356" t="e">
        <f>IF(MATCHED!AM54=1,MATCHED!$B54,IF(MATCHED!AM54=2,MATCHED!$C54,IF(MATCHED!AM54=3,MATCHED!$D54,IF(MATCHED!AM54=4,MATCHED!$E54,IF(MATCHED!AM54=3,MATCHED!$F54,IF(MATCHED!AM54=6,MATCHED!$G54,IF(MATCHED!AM54=7,MATCHED!$H54,"")))))))&amp;IF(MATCHED!AM54=8,MATCHED!$I54,IF(MATCHED!AM54=9,MATCHED!$J54,IF(MATCHED!AM54=10,MATCHED!$K54,IF(MATCHED!AM54=11,MATCHED!$L54,IF(MATCHED!AM54=12,MATCHED!$M54,IF(MATCHED!AM54=13,MATCHED!$N54,IF(MATCHED!AM54=14,MATCHED!$O54,"")))))))&amp;IF(MATCHED!AM54=15,MATCHED!$P54,IF(MATCHED!AM54=16,MATCHED!$Q54,IF(MATCHED!AM54=17,MATCHED!$R54,IF(MATCHED!AM54=18,MATCHED!$S54,IF(MATCHED!AM54=19,MATCHED!$T54,IF(MATCHED!AM54=20,MATCHED!$U54,IF(MATCHED!AM54=21,MATCHED!$V54,)))))))&amp;IF(MATCHED!AM54=22,MATCHED!$W54,IF(MATCHED!AM54=23,MATCHED!$X54,IF(MATCHED!AM54=24,MATCHED!$Y54,IF(MATCHED!AM54=25,MATCHED!$Z54,IF(MATCHED!AM54=26,MATCHED!$AA54,IF(MATCHED!AM54=27,MATCHED!$AB54,"."))))))</f>
        <v>#N/A</v>
      </c>
      <c r="L54" s="356" t="e">
        <f>IF(MATCHED!AN54=1,MATCHED!$B54,IF(MATCHED!AN54=2,MATCHED!$C54,IF(MATCHED!AN54=3,MATCHED!$D54,IF(MATCHED!AN54=4,MATCHED!$E54,IF(MATCHED!AN54=3,MATCHED!$F54,IF(MATCHED!AN54=6,MATCHED!$G54,IF(MATCHED!AN54=7,MATCHED!$H54,"")))))))&amp;IF(MATCHED!AN54=8,MATCHED!$I54,IF(MATCHED!AN54=9,MATCHED!$J54,IF(MATCHED!AN54=10,MATCHED!$K54,IF(MATCHED!AN54=11,MATCHED!$L54,IF(MATCHED!AN54=12,MATCHED!$M54,IF(MATCHED!AN54=13,MATCHED!$N54,IF(MATCHED!AN54=14,MATCHED!$O54,"")))))))&amp;IF(MATCHED!AN54=15,MATCHED!$P54,IF(MATCHED!AN54=16,MATCHED!$Q54,IF(MATCHED!AN54=17,MATCHED!$R54,IF(MATCHED!AN54=18,MATCHED!$S54,IF(MATCHED!AN54=19,MATCHED!$T54,IF(MATCHED!AN54=20,MATCHED!$U54,IF(MATCHED!AN54=21,MATCHED!$V54,)))))))&amp;IF(MATCHED!AN54=22,MATCHED!$W54,IF(MATCHED!AN54=23,MATCHED!$X54,IF(MATCHED!AN54=24,MATCHED!$Y54,IF(MATCHED!AN54=25,MATCHED!$Z54,IF(MATCHED!AN54=26,MATCHED!$AA54,IF(MATCHED!AN54=27,MATCHED!$AB54,"."))))))</f>
        <v>#N/A</v>
      </c>
      <c r="M54" s="356" t="e">
        <f>IF(MATCHED!AO54=1,MATCHED!$B54,IF(MATCHED!AO54=2,MATCHED!$C54,IF(MATCHED!AO54=3,MATCHED!$D54,IF(MATCHED!AO54=4,MATCHED!$E54,IF(MATCHED!AO54=3,MATCHED!$F54,IF(MATCHED!AO54=6,MATCHED!$G54,IF(MATCHED!AO54=7,MATCHED!$H54,"")))))))&amp;IF(MATCHED!AO54=8,MATCHED!$I54,IF(MATCHED!AO54=9,MATCHED!$J54,IF(MATCHED!AO54=10,MATCHED!$K54,IF(MATCHED!AO54=11,MATCHED!$L54,IF(MATCHED!AO54=12,MATCHED!$M54,IF(MATCHED!AO54=13,MATCHED!$N54,IF(MATCHED!AO54=14,MATCHED!$O54,"")))))))&amp;IF(MATCHED!AO54=15,MATCHED!$P54,IF(MATCHED!AO54=16,MATCHED!$Q54,IF(MATCHED!AO54=17,MATCHED!$R54,IF(MATCHED!AO54=18,MATCHED!$S54,IF(MATCHED!AO54=19,MATCHED!$T54,IF(MATCHED!AO54=20,MATCHED!$U54,IF(MATCHED!AO54=21,MATCHED!$V54,)))))))&amp;IF(MATCHED!AO54=22,MATCHED!$W54,IF(MATCHED!AO54=23,MATCHED!$X54,IF(MATCHED!AO54=24,MATCHED!$Y54,IF(MATCHED!AO54=25,MATCHED!$Z54,IF(MATCHED!AO54=26,MATCHED!$AA54,IF(MATCHED!AO54=27,MATCHED!$AB54,"."))))))</f>
        <v>#N/A</v>
      </c>
      <c r="N54" s="356" t="e">
        <f>IF(MATCHED!AP54=1,MATCHED!$B54,IF(MATCHED!AP54=2,MATCHED!$C54,IF(MATCHED!AP54=3,MATCHED!$D54,IF(MATCHED!AP54=4,MATCHED!$E54,IF(MATCHED!AP54=3,MATCHED!$F54,IF(MATCHED!AP54=6,MATCHED!$G54,IF(MATCHED!AP54=7,MATCHED!$H54,"")))))))&amp;IF(MATCHED!AP54=8,MATCHED!$I54,IF(MATCHED!AP54=9,MATCHED!$J54,IF(MATCHED!AP54=10,MATCHED!$K54,IF(MATCHED!AP54=11,MATCHED!$L54,IF(MATCHED!AP54=12,MATCHED!$M54,IF(MATCHED!AP54=13,MATCHED!$N54,IF(MATCHED!AP54=14,MATCHED!$O54,"")))))))&amp;IF(MATCHED!AP54=15,MATCHED!$P54,IF(MATCHED!AP54=16,MATCHED!$Q54,IF(MATCHED!AP54=17,MATCHED!$R54,IF(MATCHED!AP54=18,MATCHED!$S54,IF(MATCHED!AP54=19,MATCHED!$T54,IF(MATCHED!AP54=20,MATCHED!$U54,IF(MATCHED!AP54=21,MATCHED!$V54,)))))))&amp;IF(MATCHED!AP54=22,MATCHED!$W54,IF(MATCHED!AP54=23,MATCHED!$X54,IF(MATCHED!AP54=24,MATCHED!$Y54,IF(MATCHED!AP54=25,MATCHED!$Z54,IF(MATCHED!AP54=26,MATCHED!$AA54,IF(MATCHED!AP54=27,MATCHED!$AB54,"."))))))</f>
        <v>#N/A</v>
      </c>
      <c r="O54" s="356" t="e">
        <f>IF(MATCHED!AQ54=1,MATCHED!$B54,IF(MATCHED!AQ54=2,MATCHED!$C54,IF(MATCHED!AQ54=3,MATCHED!$D54,IF(MATCHED!AQ54=4,MATCHED!$E54,IF(MATCHED!AQ54=3,MATCHED!$F54,IF(MATCHED!AQ54=6,MATCHED!$G54,IF(MATCHED!AQ54=7,MATCHED!$H54,"")))))))&amp;IF(MATCHED!AQ54=8,MATCHED!$I54,IF(MATCHED!AQ54=9,MATCHED!$J54,IF(MATCHED!AQ54=10,MATCHED!$K54,IF(MATCHED!AQ54=11,MATCHED!$L54,IF(MATCHED!AQ54=12,MATCHED!$M54,IF(MATCHED!AQ54=13,MATCHED!$N54,IF(MATCHED!AQ54=14,MATCHED!$O54,"")))))))&amp;IF(MATCHED!AQ54=15,MATCHED!$P54,IF(MATCHED!AQ54=16,MATCHED!$Q54,IF(MATCHED!AQ54=17,MATCHED!$R54,IF(MATCHED!AQ54=18,MATCHED!$S54,IF(MATCHED!AQ54=19,MATCHED!$T54,IF(MATCHED!AQ54=20,MATCHED!$U54,IF(MATCHED!AQ54=21,MATCHED!$V54,)))))))&amp;IF(MATCHED!AQ54=22,MATCHED!$W54,IF(MATCHED!AQ54=23,MATCHED!$X54,IF(MATCHED!AQ54=24,MATCHED!$Y54,IF(MATCHED!AQ54=25,MATCHED!$Z54,IF(MATCHED!AQ54=26,MATCHED!$AA54,IF(MATCHED!AQ54=27,MATCHED!$AB54,"."))))))</f>
        <v>#N/A</v>
      </c>
      <c r="P54" s="356" t="e">
        <f>IF(MATCHED!AR54=1,MATCHED!$B54,IF(MATCHED!AR54=2,MATCHED!$C54,IF(MATCHED!AR54=3,MATCHED!$D54,IF(MATCHED!AR54=4,MATCHED!$E54,IF(MATCHED!AR54=3,MATCHED!$F54,IF(MATCHED!AR54=6,MATCHED!$G54,IF(MATCHED!AR54=7,MATCHED!$H54,"")))))))&amp;IF(MATCHED!AR54=8,MATCHED!$I54,IF(MATCHED!AR54=9,MATCHED!$J54,IF(MATCHED!AR54=10,MATCHED!$K54,IF(MATCHED!AR54=11,MATCHED!$L54,IF(MATCHED!AR54=12,MATCHED!$M54,IF(MATCHED!AR54=13,MATCHED!$N54,IF(MATCHED!AR54=14,MATCHED!$O54,"")))))))&amp;IF(MATCHED!AR54=15,MATCHED!$P54,IF(MATCHED!AR54=16,MATCHED!$Q54,IF(MATCHED!AR54=17,MATCHED!$R54,IF(MATCHED!AR54=18,MATCHED!$S54,IF(MATCHED!AR54=19,MATCHED!$T54,IF(MATCHED!AR54=20,MATCHED!$U54,IF(MATCHED!AR54=21,MATCHED!$V54,)))))))&amp;IF(MATCHED!AR54=22,MATCHED!$W54,IF(MATCHED!AR54=23,MATCHED!$X54,IF(MATCHED!AR54=24,MATCHED!$Y54,IF(MATCHED!AR54=25,MATCHED!$Z54,IF(MATCHED!AR54=26,MATCHED!$AA54,IF(MATCHED!AR54=27,MATCHED!$AB54,"."))))))</f>
        <v>#N/A</v>
      </c>
      <c r="Q54" s="357" t="e">
        <f>IF(MATCHED!AS54=1,MATCHED!$B54,IF(MATCHED!AS54=2,MATCHED!$C54,IF(MATCHED!AS54=3,MATCHED!$D54,IF(MATCHED!AS54=4,MATCHED!$E54,IF(MATCHED!AS54=3,MATCHED!$F54,IF(MATCHED!AS54=6,MATCHED!$G54,IF(MATCHED!AS54=7,MATCHED!$H54,"")))))))&amp;IF(MATCHED!AS54=8,MATCHED!$I54,IF(MATCHED!AS54=9,MATCHED!$J54,IF(MATCHED!AS54=10,MATCHED!$K54,IF(MATCHED!AS54=11,MATCHED!$L54,IF(MATCHED!AS54=12,MATCHED!$M54,IF(MATCHED!AS54=13,MATCHED!$N54,IF(MATCHED!AS54=14,MATCHED!$O54,"")))))))&amp;IF(MATCHED!AS54=15,MATCHED!$P54,IF(MATCHED!AS54=16,MATCHED!$Q54,IF(MATCHED!AS54=17,MATCHED!$R54,IF(MATCHED!AS54=18,MATCHED!$S54,IF(MATCHED!AS54=19,MATCHED!$T54,IF(MATCHED!AS54=20,MATCHED!$U54,IF(MATCHED!AS54=21,MATCHED!$V54,)))))))&amp;IF(MATCHED!AS54=22,MATCHED!$W54,IF(MATCHED!AS54=23,MATCHED!$X54,IF(MATCHED!AS54=24,MATCHED!$Y54,IF(MATCHED!AS54=25,MATCHED!$Z54,IF(MATCHED!AS54=26,MATCHED!$AA54,IF(MATCHED!AS54=27,MATCHED!$AB54,"."))))))</f>
        <v>#N/A</v>
      </c>
      <c r="R54" s="356" t="e">
        <f>IF(MATCHED!AT54=1,MATCHED!$B54,IF(MATCHED!AT54=2,MATCHED!$C54,IF(MATCHED!AT54=3,MATCHED!$D54,IF(MATCHED!AT54=4,MATCHED!$E54,IF(MATCHED!AT54=3,MATCHED!$F54,IF(MATCHED!AT54=6,MATCHED!$G54,IF(MATCHED!AT54=7,MATCHED!$H54,"")))))))&amp;IF(MATCHED!AT54=8,MATCHED!$I54,IF(MATCHED!AT54=9,MATCHED!$J54,IF(MATCHED!AT54=10,MATCHED!$K54,IF(MATCHED!AT54=11,MATCHED!$L54,IF(MATCHED!AT54=12,MATCHED!$M54,IF(MATCHED!AT54=13,MATCHED!$N54,IF(MATCHED!AT54=14,MATCHED!$O54,"")))))))&amp;IF(MATCHED!AT54=15,MATCHED!$P54,IF(MATCHED!AT54=16,MATCHED!$Q54,IF(MATCHED!AT54=17,MATCHED!$R54,IF(MATCHED!AT54=18,MATCHED!$S54,IF(MATCHED!AT54=19,MATCHED!$T54,IF(MATCHED!AT54=20,MATCHED!$U54,IF(MATCHED!AT54=21,MATCHED!$V54,)))))))&amp;IF(MATCHED!AT54=22,MATCHED!$W54,IF(MATCHED!AT54=23,MATCHED!$X54,IF(MATCHED!AT54=24,MATCHED!$Y54,IF(MATCHED!AT54=25,MATCHED!$Z54,IF(MATCHED!AT54=26,MATCHED!$AA54,IF(MATCHED!AT54=27,MATCHED!$AB54,"."))))))</f>
        <v>#N/A</v>
      </c>
      <c r="S54" s="356" t="e">
        <f>IF(MATCHED!AU54=1,MATCHED!$B54,IF(MATCHED!AU54=2,MATCHED!$C54,IF(MATCHED!AU54=3,MATCHED!$D54,IF(MATCHED!AU54=4,MATCHED!$E54,IF(MATCHED!AU54=3,MATCHED!$F54,IF(MATCHED!AU54=6,MATCHED!$G54,IF(MATCHED!AU54=7,MATCHED!$H54,"")))))))&amp;IF(MATCHED!AU54=8,MATCHED!$I54,IF(MATCHED!AU54=9,MATCHED!$J54,IF(MATCHED!AU54=10,MATCHED!$K54,IF(MATCHED!AU54=11,MATCHED!$L54,IF(MATCHED!AU54=12,MATCHED!$M54,IF(MATCHED!AU54=13,MATCHED!$N54,IF(MATCHED!AU54=14,MATCHED!$O54,"")))))))&amp;IF(MATCHED!AU54=15,MATCHED!$P54,IF(MATCHED!AU54=16,MATCHED!$Q54,IF(MATCHED!AU54=17,MATCHED!$R54,IF(MATCHED!AU54=18,MATCHED!$S54,IF(MATCHED!AU54=19,MATCHED!$T54,IF(MATCHED!AU54=20,MATCHED!$U54,IF(MATCHED!AU54=21,MATCHED!$V54,)))))))&amp;IF(MATCHED!AU54=22,MATCHED!$W54,IF(MATCHED!AU54=23,MATCHED!$X54,IF(MATCHED!AU54=24,MATCHED!$Y54,IF(MATCHED!AU54=25,MATCHED!$Z54,IF(MATCHED!AU54=26,MATCHED!$AA54,IF(MATCHED!AU54=27,MATCHED!$AB54,"."))))))</f>
        <v>#N/A</v>
      </c>
      <c r="T54" s="356" t="e">
        <f>IF(MATCHED!AV54=1,MATCHED!$B54,IF(MATCHED!AV54=2,MATCHED!$C54,IF(MATCHED!AV54=3,MATCHED!$D54,IF(MATCHED!AV54=4,MATCHED!$E54,IF(MATCHED!AV54=3,MATCHED!$F54,IF(MATCHED!AV54=6,MATCHED!$G54,IF(MATCHED!AV54=7,MATCHED!$H54,"")))))))&amp;IF(MATCHED!AV54=8,MATCHED!$I54,IF(MATCHED!AV54=9,MATCHED!$J54,IF(MATCHED!AV54=10,MATCHED!$K54,IF(MATCHED!AV54=11,MATCHED!$L54,IF(MATCHED!AV54=12,MATCHED!$M54,IF(MATCHED!AV54=13,MATCHED!$N54,IF(MATCHED!AV54=14,MATCHED!$O54,"")))))))&amp;IF(MATCHED!AV54=15,MATCHED!$P54,IF(MATCHED!AV54=16,MATCHED!$Q54,IF(MATCHED!AV54=17,MATCHED!$R54,IF(MATCHED!AV54=18,MATCHED!$S54,IF(MATCHED!AV54=19,MATCHED!$T54,IF(MATCHED!AV54=20,MATCHED!$U54,IF(MATCHED!AV54=21,MATCHED!$V54,)))))))&amp;IF(MATCHED!AV54=22,MATCHED!$W54,IF(MATCHED!AV54=23,MATCHED!$X54,IF(MATCHED!AV54=24,MATCHED!$Y54,IF(MATCHED!AV54=25,MATCHED!$Z54,IF(MATCHED!AV54=26,MATCHED!$AA54,IF(MATCHED!AV54=27,MATCHED!$AB54,"."))))))</f>
        <v>#N/A</v>
      </c>
      <c r="U54" s="356" t="e">
        <f>IF(MATCHED!AW54=1,MATCHED!$B54,IF(MATCHED!AW54=2,MATCHED!$C54,IF(MATCHED!AW54=3,MATCHED!$D54,IF(MATCHED!AW54=4,MATCHED!$E54,IF(MATCHED!AW54=3,MATCHED!$F54,IF(MATCHED!AW54=6,MATCHED!$G54,IF(MATCHED!AW54=7,MATCHED!$H54,"")))))))&amp;IF(MATCHED!AW54=8,MATCHED!$I54,IF(MATCHED!AW54=9,MATCHED!$J54,IF(MATCHED!AW54=10,MATCHED!$K54,IF(MATCHED!AW54=11,MATCHED!$L54,IF(MATCHED!AW54=12,MATCHED!$M54,IF(MATCHED!AW54=13,MATCHED!$N54,IF(MATCHED!AW54=14,MATCHED!$O54,"")))))))&amp;IF(MATCHED!AW54=15,MATCHED!$P54,IF(MATCHED!AW54=16,MATCHED!$Q54,IF(MATCHED!AW54=17,MATCHED!$R54,IF(MATCHED!AW54=18,MATCHED!$S54,IF(MATCHED!AW54=19,MATCHED!$T54,IF(MATCHED!AW54=20,MATCHED!$U54,IF(MATCHED!AW54=21,MATCHED!$V54,)))))))&amp;IF(MATCHED!AW54=22,MATCHED!$W54,IF(MATCHED!AW54=23,MATCHED!$X54,IF(MATCHED!AW54=24,MATCHED!$Y54,IF(MATCHED!AW54=25,MATCHED!$Z54,IF(MATCHED!AW54=26,MATCHED!$AA54,IF(MATCHED!AW54=27,MATCHED!$AB54,"."))))))</f>
        <v>#N/A</v>
      </c>
      <c r="V54" s="356" t="e">
        <f>IF(MATCHED!AX54=1,MATCHED!$B54,IF(MATCHED!AX54=2,MATCHED!$C54,IF(MATCHED!AX54=3,MATCHED!$D54,IF(MATCHED!AX54=4,MATCHED!$E54,IF(MATCHED!AX54=3,MATCHED!$F54,IF(MATCHED!AX54=6,MATCHED!$G54,IF(MATCHED!AX54=7,MATCHED!$H54,"")))))))&amp;IF(MATCHED!AX54=8,MATCHED!$I54,IF(MATCHED!AX54=9,MATCHED!$J54,IF(MATCHED!AX54=10,MATCHED!$K54,IF(MATCHED!AX54=11,MATCHED!$L54,IF(MATCHED!AX54=12,MATCHED!$M54,IF(MATCHED!AX54=13,MATCHED!$N54,IF(MATCHED!AX54=14,MATCHED!$O54,"")))))))&amp;IF(MATCHED!AX54=15,MATCHED!$P54,IF(MATCHED!AX54=16,MATCHED!$Q54,IF(MATCHED!AX54=17,MATCHED!$R54,IF(MATCHED!AX54=18,MATCHED!$S54,IF(MATCHED!AX54=19,MATCHED!$T54,IF(MATCHED!AX54=20,MATCHED!$U54,IF(MATCHED!AX54=21,MATCHED!$V54,)))))))&amp;IF(MATCHED!AX54=22,MATCHED!$W54,IF(MATCHED!AX54=23,MATCHED!$X54,IF(MATCHED!AX54=24,MATCHED!$Y54,IF(MATCHED!AX54=25,MATCHED!$Z54,IF(MATCHED!AX54=26,MATCHED!$AA54,IF(MATCHED!AX54=27,MATCHED!$AB54,"."))))))</f>
        <v>#N/A</v>
      </c>
      <c r="W54" s="356" t="e">
        <f>IF(MATCHED!AY54=1,MATCHED!$B54,IF(MATCHED!AY54=2,MATCHED!$C54,IF(MATCHED!AY54=3,MATCHED!$D54,IF(MATCHED!AY54=4,MATCHED!$E54,IF(MATCHED!AY54=3,MATCHED!$F54,IF(MATCHED!AY54=6,MATCHED!$G54,IF(MATCHED!AY54=7,MATCHED!$H54,"")))))))&amp;IF(MATCHED!AY54=8,MATCHED!$I54,IF(MATCHED!AY54=9,MATCHED!$J54,IF(MATCHED!AY54=10,MATCHED!$K54,IF(MATCHED!AY54=11,MATCHED!$L54,IF(MATCHED!AY54=12,MATCHED!$M54,IF(MATCHED!AY54=13,MATCHED!$N54,IF(MATCHED!AY54=14,MATCHED!$O54,"")))))))&amp;IF(MATCHED!AY54=15,MATCHED!$P54,IF(MATCHED!AY54=16,MATCHED!$Q54,IF(MATCHED!AY54=17,MATCHED!$R54,IF(MATCHED!AY54=18,MATCHED!$S54,IF(MATCHED!AY54=19,MATCHED!$T54,IF(MATCHED!AY54=20,MATCHED!$U54,IF(MATCHED!AY54=21,MATCHED!$V54,)))))))&amp;IF(MATCHED!AY54=22,MATCHED!$W54,IF(MATCHED!AY54=23,MATCHED!$X54,IF(MATCHED!AY54=24,MATCHED!$Y54,IF(MATCHED!AY54=25,MATCHED!$Z54,IF(MATCHED!AY54=26,MATCHED!$AA54,IF(MATCHED!AY54=27,MATCHED!$AB54,"."))))))</f>
        <v>#N/A</v>
      </c>
      <c r="X54" s="356" t="e">
        <f>IF(MATCHED!AZ54=1,MATCHED!$B54,IF(MATCHED!AZ54=2,MATCHED!$C54,IF(MATCHED!AZ54=3,MATCHED!$D54,IF(MATCHED!AZ54=4,MATCHED!$E54,IF(MATCHED!AZ54=3,MATCHED!$F54,IF(MATCHED!AZ54=6,MATCHED!$G54,IF(MATCHED!AZ54=7,MATCHED!$H54,"")))))))&amp;IF(MATCHED!AZ54=8,MATCHED!$I54,IF(MATCHED!AZ54=9,MATCHED!$J54,IF(MATCHED!AZ54=10,MATCHED!$K54,IF(MATCHED!AZ54=11,MATCHED!$L54,IF(MATCHED!AZ54=12,MATCHED!$M54,IF(MATCHED!AZ54=13,MATCHED!$N54,IF(MATCHED!AZ54=14,MATCHED!$O54,"")))))))&amp;IF(MATCHED!AZ54=15,MATCHED!$P54,IF(MATCHED!AZ54=16,MATCHED!$Q54,IF(MATCHED!AZ54=17,MATCHED!$R54,IF(MATCHED!AZ54=18,MATCHED!$S54,IF(MATCHED!AZ54=19,MATCHED!$T54,IF(MATCHED!AZ54=20,MATCHED!$U54,IF(MATCHED!AZ54=21,MATCHED!$V54,)))))))&amp;IF(MATCHED!AZ54=22,MATCHED!$W54,IF(MATCHED!AZ54=23,MATCHED!$X54,IF(MATCHED!AZ54=24,MATCHED!$Y54,IF(MATCHED!AZ54=25,MATCHED!$Z54,IF(MATCHED!AZ54=26,MATCHED!$AA54,IF(MATCHED!AZ54=27,MATCHED!$AB54,"."))))))</f>
        <v>#N/A</v>
      </c>
      <c r="Y54" s="356" t="e">
        <f>IF(MATCHED!BA54=1,MATCHED!$B54,IF(MATCHED!BA54=2,MATCHED!$C54,IF(MATCHED!BA54=3,MATCHED!$D54,IF(MATCHED!BA54=4,MATCHED!$E54,IF(MATCHED!BA54=3,MATCHED!$F54,IF(MATCHED!BA54=6,MATCHED!$G54,IF(MATCHED!BA54=7,MATCHED!$H54,"")))))))&amp;IF(MATCHED!BA54=8,MATCHED!$I54,IF(MATCHED!BA54=9,MATCHED!$J54,IF(MATCHED!BA54=10,MATCHED!$K54,IF(MATCHED!BA54=11,MATCHED!$L54,IF(MATCHED!BA54=12,MATCHED!$M54,IF(MATCHED!BA54=13,MATCHED!$N54,IF(MATCHED!BA54=14,MATCHED!$O54,"")))))))&amp;IF(MATCHED!BA54=15,MATCHED!$P54,IF(MATCHED!BA54=16,MATCHED!$Q54,IF(MATCHED!BA54=17,MATCHED!$R54,IF(MATCHED!BA54=18,MATCHED!$S54,IF(MATCHED!BA54=19,MATCHED!$T54,IF(MATCHED!BA54=20,MATCHED!$U54,IF(MATCHED!BA54=21,MATCHED!$V54,)))))))&amp;IF(MATCHED!BA54=22,MATCHED!$W54,IF(MATCHED!BA54=23,MATCHED!$X54,IF(MATCHED!BA54=24,MATCHED!$Y54,IF(MATCHED!BA54=25,MATCHED!$Z54,IF(MATCHED!BA54=26,MATCHED!$AA54,IF(MATCHED!BA54=27,MATCHED!$AB54,"."))))))</f>
        <v>#N/A</v>
      </c>
      <c r="Z54" s="356" t="e">
        <f>IF(MATCHED!BB54=1,MATCHED!$B54,IF(MATCHED!BB54=2,MATCHED!$C54,IF(MATCHED!BB54=3,MATCHED!$D54,IF(MATCHED!BB54=4,MATCHED!$E54,IF(MATCHED!BB54=3,MATCHED!$F54,IF(MATCHED!BB54=6,MATCHED!$G54,IF(MATCHED!BB54=7,MATCHED!$H54,"")))))))&amp;IF(MATCHED!BB54=8,MATCHED!$I54,IF(MATCHED!BB54=9,MATCHED!$J54,IF(MATCHED!BB54=10,MATCHED!$K54,IF(MATCHED!BB54=11,MATCHED!$L54,IF(MATCHED!BB54=12,MATCHED!$M54,IF(MATCHED!BB54=13,MATCHED!$N54,IF(MATCHED!BB54=14,MATCHED!$O54,"")))))))&amp;IF(MATCHED!BB54=15,MATCHED!$P54,IF(MATCHED!BB54=16,MATCHED!$Q54,IF(MATCHED!BB54=17,MATCHED!$R54,IF(MATCHED!BB54=18,MATCHED!$S54,IF(MATCHED!BB54=19,MATCHED!$T54,IF(MATCHED!BB54=20,MATCHED!$U54,IF(MATCHED!BB54=21,MATCHED!$V54,)))))))&amp;IF(MATCHED!BB54=22,MATCHED!$W54,IF(MATCHED!BB54=23,MATCHED!$X54,IF(MATCHED!BB54=24,MATCHED!$Y54,IF(MATCHED!BB54=25,MATCHED!$Z54,IF(MATCHED!BB54=26,MATCHED!$AA54,IF(MATCHED!BB54=27,MATCHED!$AB54,"."))))))</f>
        <v>#N/A</v>
      </c>
      <c r="AA54" s="356" t="e">
        <f>IF(MATCHED!BC54=1,MATCHED!$B54,IF(MATCHED!BC54=2,MATCHED!$C54,IF(MATCHED!BC54=3,MATCHED!$D54,IF(MATCHED!BC54=4,MATCHED!$E54,IF(MATCHED!BC54=3,MATCHED!$F54,IF(MATCHED!BC54=6,MATCHED!$G54,IF(MATCHED!BC54=7,MATCHED!$H54,"")))))))&amp;IF(MATCHED!BC54=8,MATCHED!$I54,IF(MATCHED!BC54=9,MATCHED!$J54,IF(MATCHED!BC54=10,MATCHED!$K54,IF(MATCHED!BC54=11,MATCHED!$L54,IF(MATCHED!BC54=12,MATCHED!$M54,IF(MATCHED!BC54=13,MATCHED!$N54,IF(MATCHED!BC54=14,MATCHED!$O54,"")))))))&amp;IF(MATCHED!BC54=15,MATCHED!$P54,IF(MATCHED!BC54=16,MATCHED!$Q54,IF(MATCHED!BC54=17,MATCHED!$R54,IF(MATCHED!BC54=18,MATCHED!$S54,IF(MATCHED!BC54=19,MATCHED!$T54,IF(MATCHED!BC54=20,MATCHED!$U54,IF(MATCHED!BC54=21,MATCHED!$V54,)))))))&amp;IF(MATCHED!BC54=22,MATCHED!$W54,IF(MATCHED!BC54=23,MATCHED!$X54,IF(MATCHED!BC54=24,MATCHED!$Y54,IF(MATCHED!BC54=25,MATCHED!$Z54,IF(MATCHED!BC54=26,MATCHED!$AA54,IF(MATCHED!BC54=27,MATCHED!$AB54,"."))))))</f>
        <v>#N/A</v>
      </c>
      <c r="AB54" s="356" t="e">
        <f>IF(MATCHED!BD54=1,MATCHED!$B54,IF(MATCHED!BD54=2,MATCHED!$C54,IF(MATCHED!BD54=3,MATCHED!$D54,IF(MATCHED!BD54=4,MATCHED!$E54,IF(MATCHED!BD54=3,MATCHED!$F54,IF(MATCHED!BD54=6,MATCHED!$G54,IF(MATCHED!BD54=7,MATCHED!$H54,"")))))))&amp;IF(MATCHED!BD54=8,MATCHED!$I54,IF(MATCHED!BD54=9,MATCHED!$J54,IF(MATCHED!BD54=10,MATCHED!$K54,IF(MATCHED!BD54=11,MATCHED!$L54,IF(MATCHED!BD54=12,MATCHED!$M54,IF(MATCHED!BD54=13,MATCHED!$N54,IF(MATCHED!BD54=14,MATCHED!$O54,"")))))))&amp;IF(MATCHED!BD54=15,MATCHED!$P54,IF(MATCHED!BD54=16,MATCHED!$Q54,IF(MATCHED!BD54=17,MATCHED!$R54,IF(MATCHED!BD54=18,MATCHED!$S54,IF(MATCHED!BD54=19,MATCHED!$T54,IF(MATCHED!BD54=20,MATCHED!$U54,IF(MATCHED!BD54=21,MATCHED!$V54,)))))))&amp;IF(MATCHED!BD54=22,MATCHED!$W54,IF(MATCHED!BD54=23,MATCHED!$X54,IF(MATCHED!BD54=24,MATCHED!$Y54,IF(MATCHED!BD54=25,MATCHED!$Z54,IF(MATCHED!BD54=26,MATCHED!$AA54,IF(MATCHED!BD54=27,MATCHED!$AB54,"."))))))</f>
        <v>#N/A</v>
      </c>
      <c r="AC54" s="356" t="e">
        <f>IF(MATCHED!BE54=1,MATCHED!$B54,IF(MATCHED!BE54=2,MATCHED!$C54,IF(MATCHED!BE54=3,MATCHED!$D54,IF(MATCHED!BE54=4,MATCHED!$E54,IF(MATCHED!BE54=3,MATCHED!$F54,IF(MATCHED!BE54=6,MATCHED!$G54,IF(MATCHED!BE54=7,MATCHED!$H54,"")))))))&amp;IF(MATCHED!BE54=8,MATCHED!$I54,IF(MATCHED!BE54=9,MATCHED!$J54,IF(MATCHED!BE54=10,MATCHED!$K54,IF(MATCHED!BE54=11,MATCHED!$L54,IF(MATCHED!BE54=12,MATCHED!$M54,IF(MATCHED!BE54=13,MATCHED!$N54,IF(MATCHED!BE54=14,MATCHED!$O54,"")))))))&amp;IF(MATCHED!BE54=15,MATCHED!$P54,IF(MATCHED!BE54=16,MATCHED!$Q54,IF(MATCHED!BE54=17,MATCHED!$R54,IF(MATCHED!BE54=18,MATCHED!$S54,IF(MATCHED!BE54=19,MATCHED!$T54,IF(MATCHED!BE54=20,MATCHED!$U54,IF(MATCHED!BE54=21,MATCHED!$V54,)))))))&amp;IF(MATCHED!BE54=22,MATCHED!$W54,IF(MATCHED!BE54=23,MATCHED!$X54,IF(MATCHED!BE54=24,MATCHED!$Y54,IF(MATCHED!BE54=25,MATCHED!$Z54,IF(MATCHED!BE54=26,MATCHED!$AA54,IF(MATCHED!BE54=27,MATCHED!$AB54,"."))))))</f>
        <v>#N/A</v>
      </c>
      <c r="AD54" s="356" t="e">
        <f>IF(MATCHED!BF54=1,MATCHED!$B54,IF(MATCHED!BF54=2,MATCHED!$C54,IF(MATCHED!BF54=3,MATCHED!$D54,IF(MATCHED!BF54=4,MATCHED!$E54,IF(MATCHED!BF54=3,MATCHED!$F54,IF(MATCHED!BF54=6,MATCHED!$G54,IF(MATCHED!BF54=7,MATCHED!$H54,"")))))))&amp;IF(MATCHED!BF54=8,MATCHED!$I54,IF(MATCHED!BF54=9,MATCHED!$J54,IF(MATCHED!BF54=10,MATCHED!$K54,IF(MATCHED!BF54=11,MATCHED!$L54,IF(MATCHED!BF54=12,MATCHED!$M54,IF(MATCHED!BF54=13,MATCHED!$N54,IF(MATCHED!BF54=14,MATCHED!$O54,"")))))))&amp;IF(MATCHED!BF54=15,MATCHED!$P54,IF(MATCHED!BF54=16,MATCHED!$Q54,IF(MATCHED!BF54=17,MATCHED!$R54,IF(MATCHED!BF54=18,MATCHED!$S54,IF(MATCHED!BF54=19,MATCHED!$T54,IF(MATCHED!BF54=20,MATCHED!$U54,IF(MATCHED!BF54=21,MATCHED!$V54,)))))))&amp;IF(MATCHED!BF54=22,MATCHED!$W54,IF(MATCHED!BF54=23,MATCHED!$X54,IF(MATCHED!BF54=24,MATCHED!$Y54,IF(MATCHED!BF54=25,MATCHED!$Z54,IF(MATCHED!BF54=26,MATCHED!$AA54,IF(MATCHED!BF54=27,MATCHED!$AB54,"."))))))</f>
        <v>#N/A</v>
      </c>
      <c r="AE54" s="356" t="e">
        <f>IF(MATCHED!BG54=1,MATCHED!$B54,IF(MATCHED!BG54=2,MATCHED!$C54,IF(MATCHED!BG54=3,MATCHED!$D54,IF(MATCHED!BG54=4,MATCHED!$E54,IF(MATCHED!BG54=3,MATCHED!$F54,IF(MATCHED!BG54=6,MATCHED!$G54,IF(MATCHED!BG54=7,MATCHED!$H54,"")))))))&amp;IF(MATCHED!BG54=8,MATCHED!$I54,IF(MATCHED!BG54=9,MATCHED!$J54,IF(MATCHED!BG54=10,MATCHED!$K54,IF(MATCHED!BG54=11,MATCHED!$L54,IF(MATCHED!BG54=12,MATCHED!$M54,IF(MATCHED!BG54=13,MATCHED!$N54,IF(MATCHED!BG54=14,MATCHED!$O54,"")))))))&amp;IF(MATCHED!BG54=15,MATCHED!$P54,IF(MATCHED!BG54=16,MATCHED!$Q54,IF(MATCHED!BG54=17,MATCHED!$R54,IF(MATCHED!BG54=18,MATCHED!$S54,IF(MATCHED!BG54=19,MATCHED!$T54,IF(MATCHED!BG54=20,MATCHED!$U54,IF(MATCHED!BG54=21,MATCHED!$V54,)))))))&amp;IF(MATCHED!BG54=22,MATCHED!$W54,IF(MATCHED!BG54=23,MATCHED!$X54,IF(MATCHED!BG54=24,MATCHED!$Y54,IF(MATCHED!BG54=25,MATCHED!$Z54,IF(MATCHED!BG54=26,MATCHED!$AA54,IF(MATCHED!BG54=27,MATCHED!$AB54,"."))))))</f>
        <v>#N/A</v>
      </c>
      <c r="AF54" s="356" t="e">
        <f>IF(MATCHED!BH54=1,MATCHED!$B54,IF(MATCHED!BH54=2,MATCHED!$C54,IF(MATCHED!BH54=3,MATCHED!$D54,IF(MATCHED!BH54=4,MATCHED!$E54,IF(MATCHED!BH54=3,MATCHED!$F54,IF(MATCHED!BH54=6,MATCHED!$G54,IF(MATCHED!BH54=7,MATCHED!$H54,"")))))))&amp;IF(MATCHED!BH54=8,MATCHED!$I54,IF(MATCHED!BH54=9,MATCHED!$J54,IF(MATCHED!BH54=10,MATCHED!$K54,IF(MATCHED!BH54=11,MATCHED!$L54,IF(MATCHED!BH54=12,MATCHED!$M54,IF(MATCHED!BH54=13,MATCHED!$N54,IF(MATCHED!BH54=14,MATCHED!$O54,"")))))))&amp;IF(MATCHED!BH54=15,MATCHED!$P54,IF(MATCHED!BH54=16,MATCHED!$Q54,IF(MATCHED!BH54=17,MATCHED!$R54,IF(MATCHED!BH54=18,MATCHED!$S54,IF(MATCHED!BH54=19,MATCHED!$T54,IF(MATCHED!BH54=20,MATCHED!$U54,IF(MATCHED!BH54=21,MATCHED!$V54,)))))))&amp;IF(MATCHED!BH54=22,MATCHED!$W54,IF(MATCHED!BH54=23,MATCHED!$X54,IF(MATCHED!BH54=24,MATCHED!$Y54,IF(MATCHED!BH54=25,MATCHED!$Z54,IF(MATCHED!BH54=26,MATCHED!$AA54,IF(MATCHED!BH54=27,MATCHED!$AB54,"."))))))</f>
        <v>#N/A</v>
      </c>
      <c r="AG54" s="356" t="e">
        <f>IF(MATCHED!BI54=1,MATCHED!$B54,IF(MATCHED!BI54=2,MATCHED!$C54,IF(MATCHED!BI54=3,MATCHED!$D54,IF(MATCHED!BI54=4,MATCHED!$E54,IF(MATCHED!BI54=3,MATCHED!$F54,IF(MATCHED!BI54=6,MATCHED!$G54,IF(MATCHED!BI54=7,MATCHED!$H54,"")))))))&amp;IF(MATCHED!BI54=8,MATCHED!$I54,IF(MATCHED!BI54=9,MATCHED!$J54,IF(MATCHED!BI54=10,MATCHED!$K54,IF(MATCHED!BI54=11,MATCHED!$L54,IF(MATCHED!BI54=12,MATCHED!$M54,IF(MATCHED!BI54=13,MATCHED!$N54,IF(MATCHED!BI54=14,MATCHED!$O54,"")))))))&amp;IF(MATCHED!BI54=15,MATCHED!$P54,IF(MATCHED!BI54=16,MATCHED!$Q54,IF(MATCHED!BI54=17,MATCHED!$R54,IF(MATCHED!BI54=18,MATCHED!$S54,IF(MATCHED!BI54=19,MATCHED!$T54,IF(MATCHED!BI54=20,MATCHED!$U54,IF(MATCHED!BI54=21,MATCHED!$V54,)))))))&amp;IF(MATCHED!BI54=22,MATCHED!$W54,IF(MATCHED!BI54=23,MATCHED!$X54,IF(MATCHED!BI54=24,MATCHED!$Y54,IF(MATCHED!BI54=25,MATCHED!$Z54,IF(MATCHED!BI54=26,MATCHED!$AA54,IF(MATCHED!BI54=27,MATCHED!$AB54,"."))))))</f>
        <v>#N/A</v>
      </c>
      <c r="AH54" s="356" t="e">
        <f>IF(MATCHED!BJ54=1,MATCHED!$B54,IF(MATCHED!BJ54=2,MATCHED!$C54,IF(MATCHED!BJ54=3,MATCHED!$D54,IF(MATCHED!BJ54=4,MATCHED!$E54,IF(MATCHED!BJ54=3,MATCHED!$F54,IF(MATCHED!BJ54=6,MATCHED!$G54,IF(MATCHED!BJ54=7,MATCHED!$H54,"")))))))&amp;IF(MATCHED!BJ54=8,MATCHED!$I54,IF(MATCHED!BJ54=9,MATCHED!$J54,IF(MATCHED!BJ54=10,MATCHED!$K54,IF(MATCHED!BJ54=11,MATCHED!$L54,IF(MATCHED!BJ54=12,MATCHED!$M54,IF(MATCHED!BJ54=13,MATCHED!$N54,IF(MATCHED!BJ54=14,MATCHED!$O54,"")))))))&amp;IF(MATCHED!BJ54=15,MATCHED!$P54,IF(MATCHED!BJ54=16,MATCHED!$Q54,IF(MATCHED!BJ54=17,MATCHED!$R54,IF(MATCHED!BJ54=18,MATCHED!$S54,IF(MATCHED!BJ54=19,MATCHED!$T54,IF(MATCHED!BJ54=20,MATCHED!$U54,IF(MATCHED!BJ54=21,MATCHED!$V54,)))))))&amp;IF(MATCHED!BJ54=22,MATCHED!$W54,IF(MATCHED!BJ54=23,MATCHED!$X54,IF(MATCHED!BJ54=24,MATCHED!$Y54,IF(MATCHED!BJ54=25,MATCHED!$Z54,IF(MATCHED!BJ54=26,MATCHED!$AA54,IF(MATCHED!BJ54=27,MATCHED!$AB54,"."))))))</f>
        <v>#N/A</v>
      </c>
      <c r="AI54" s="356" t="e">
        <f>IF(MATCHED!BK54=1,MATCHED!$B54,IF(MATCHED!BK54=2,MATCHED!$C54,IF(MATCHED!BK54=3,MATCHED!$D54,IF(MATCHED!BK54=4,MATCHED!$E54,IF(MATCHED!BK54=3,MATCHED!$F54,IF(MATCHED!BK54=6,MATCHED!$G54,IF(MATCHED!BK54=7,MATCHED!$H54,"")))))))&amp;IF(MATCHED!BK54=8,MATCHED!$I54,IF(MATCHED!BK54=9,MATCHED!$J54,IF(MATCHED!BK54=10,MATCHED!$K54,IF(MATCHED!BK54=11,MATCHED!$L54,IF(MATCHED!BK54=12,MATCHED!$M54,IF(MATCHED!BK54=13,MATCHED!$N54,IF(MATCHED!BK54=14,MATCHED!$O54,"")))))))&amp;IF(MATCHED!BK54=15,MATCHED!$P54,IF(MATCHED!BK54=16,MATCHED!$Q54,IF(MATCHED!BK54=17,MATCHED!$R54,IF(MATCHED!BK54=18,MATCHED!$S54,IF(MATCHED!BK54=19,MATCHED!$T54,IF(MATCHED!BK54=20,MATCHED!$U54,IF(MATCHED!BK54=21,MATCHED!$V54,)))))))&amp;IF(MATCHED!BK54=22,MATCHED!$W54,IF(MATCHED!BK54=23,MATCHED!$X54,IF(MATCHED!BK54=24,MATCHED!$Y54,IF(MATCHED!BK54=25,MATCHED!$Z54,IF(MATCHED!BK54=26,MATCHED!$AA54,IF(MATCHED!BK54=27,MATCHED!$AB54,"."))))))</f>
        <v>#N/A</v>
      </c>
      <c r="AJ54" s="535"/>
    </row>
    <row r="55" spans="1:36" s="338" customFormat="1" x14ac:dyDescent="0.25">
      <c r="A55" s="535"/>
      <c r="B55" s="355" t="e">
        <f>IF(MATCHED!AD55=1,MATCHED!$B55,IF(MATCHED!AD55=2,MATCHED!$C55,IF(MATCHED!AD55=3,MATCHED!$D55,IF(MATCHED!AD55=4,MATCHED!$E55,IF(MATCHED!AD55=3,MATCHED!$F55,IF(MATCHED!AD55=6,MATCHED!$G55,IF(MATCHED!AD55=7,MATCHED!$H55,"")))))))&amp;IF(MATCHED!AD55=8,MATCHED!$I55,IF(MATCHED!AD55=9,MATCHED!$J55,IF(MATCHED!AD55=10,MATCHED!$K55,IF(MATCHED!AD55=11,MATCHED!$L55,IF(MATCHED!AD55=12,MATCHED!$M55,IF(MATCHED!AD55=13,MATCHED!$N55,IF(MATCHED!AD55=14,MATCHED!$O55,"")))))))&amp;IF(MATCHED!AD55=15,MATCHED!$P55,IF(MATCHED!AD55=16,MATCHED!$Q55,IF(MATCHED!AD55=17,MATCHED!$R55,IF(MATCHED!AD55=18,MATCHED!$S55,IF(MATCHED!AD55=19,MATCHED!$T55,IF(MATCHED!AD55=20,MATCHED!$U55,IF(MATCHED!AD55=21,MATCHED!$V55,)))))))&amp;IF(MATCHED!AD55=22,MATCHED!$W55,IF(MATCHED!AD55=23,MATCHED!$X55,IF(MATCHED!AD55=24,MATCHED!$Y55,IF(MATCHED!AD55=25,MATCHED!$Z55,IF(MATCHED!AD55=26,MATCHED!$AA55,IF(MATCHED!AD55=27,MATCHED!$AB55,"."))))))</f>
        <v>#N/A</v>
      </c>
      <c r="C55" s="356" t="e">
        <f>IF(MATCHED!AE55=1,MATCHED!$B55,IF(MATCHED!AE55=2,MATCHED!$C55,IF(MATCHED!AE55=3,MATCHED!$D55,IF(MATCHED!AE55=4,MATCHED!$E55,IF(MATCHED!AE55=3,MATCHED!$F55,IF(MATCHED!AE55=6,MATCHED!$G55,IF(MATCHED!AE55=7,MATCHED!$H55,"")))))))&amp;IF(MATCHED!AE55=8,MATCHED!$I55,IF(MATCHED!AE55=9,MATCHED!$J55,IF(MATCHED!AE55=10,MATCHED!$K55,IF(MATCHED!AE55=11,MATCHED!$L55,IF(MATCHED!AE55=12,MATCHED!$M55,IF(MATCHED!AE55=13,MATCHED!$N55,IF(MATCHED!AE55=14,MATCHED!$O55,"")))))))&amp;IF(MATCHED!AE55=15,MATCHED!$P55,IF(MATCHED!AE55=16,MATCHED!$Q55,IF(MATCHED!AE55=17,MATCHED!$R55,IF(MATCHED!AE55=18,MATCHED!$S55,IF(MATCHED!AE55=19,MATCHED!$T55,IF(MATCHED!AE55=20,MATCHED!$U55,IF(MATCHED!AE55=21,MATCHED!$V55,)))))))&amp;IF(MATCHED!AE55=22,MATCHED!$W55,IF(MATCHED!AE55=23,MATCHED!$X55,IF(MATCHED!AE55=24,MATCHED!$Y55,IF(MATCHED!AE55=25,MATCHED!$Z55,IF(MATCHED!AE55=26,MATCHED!$AA55,IF(MATCHED!AE55=27,MATCHED!$AB55,"."))))))</f>
        <v>#N/A</v>
      </c>
      <c r="D55" s="356" t="e">
        <f>IF(MATCHED!AF55=1,MATCHED!$B55,IF(MATCHED!AF55=2,MATCHED!$C55,IF(MATCHED!AF55=3,MATCHED!$D55,IF(MATCHED!AF55=4,MATCHED!$E55,IF(MATCHED!AF55=3,MATCHED!$F55,IF(MATCHED!AF55=6,MATCHED!$G55,IF(MATCHED!AF55=7,MATCHED!$H55,"")))))))&amp;IF(MATCHED!AF55=8,MATCHED!$I55,IF(MATCHED!AF55=9,MATCHED!$J55,IF(MATCHED!AF55=10,MATCHED!$K55,IF(MATCHED!AF55=11,MATCHED!$L55,IF(MATCHED!AF55=12,MATCHED!$M55,IF(MATCHED!AF55=13,MATCHED!$N55,IF(MATCHED!AF55=14,MATCHED!$O55,"")))))))&amp;IF(MATCHED!AF55=15,MATCHED!$P55,IF(MATCHED!AF55=16,MATCHED!$Q55,IF(MATCHED!AF55=17,MATCHED!$R55,IF(MATCHED!AF55=18,MATCHED!$S55,IF(MATCHED!AF55=19,MATCHED!$T55,IF(MATCHED!AF55=20,MATCHED!$U55,IF(MATCHED!AF55=21,MATCHED!$V55,)))))))&amp;IF(MATCHED!AF55=22,MATCHED!$W55,IF(MATCHED!AF55=23,MATCHED!$X55,IF(MATCHED!AF55=24,MATCHED!$Y55,IF(MATCHED!AF55=25,MATCHED!$Z55,IF(MATCHED!AF55=26,MATCHED!$AA55,IF(MATCHED!AF55=27,MATCHED!$AB55,"."))))))</f>
        <v>#N/A</v>
      </c>
      <c r="E55" s="356" t="e">
        <f>IF(MATCHED!AG55=1,MATCHED!$B55,IF(MATCHED!AG55=2,MATCHED!$C55,IF(MATCHED!AG55=3,MATCHED!$D55,IF(MATCHED!AG55=4,MATCHED!$E55,IF(MATCHED!AG55=3,MATCHED!$F55,IF(MATCHED!AG55=6,MATCHED!$G55,IF(MATCHED!AG55=7,MATCHED!$H55,"")))))))&amp;IF(MATCHED!AG55=8,MATCHED!$I55,IF(MATCHED!AG55=9,MATCHED!$J55,IF(MATCHED!AG55=10,MATCHED!$K55,IF(MATCHED!AG55=11,MATCHED!$L55,IF(MATCHED!AG55=12,MATCHED!$M55,IF(MATCHED!AG55=13,MATCHED!$N55,IF(MATCHED!AG55=14,MATCHED!$O55,"")))))))&amp;IF(MATCHED!AG55=15,MATCHED!$P55,IF(MATCHED!AG55=16,MATCHED!$Q55,IF(MATCHED!AG55=17,MATCHED!$R55,IF(MATCHED!AG55=18,MATCHED!$S55,IF(MATCHED!AG55=19,MATCHED!$T55,IF(MATCHED!AG55=20,MATCHED!$U55,IF(MATCHED!AG55=21,MATCHED!$V55,)))))))&amp;IF(MATCHED!AG55=22,MATCHED!$W55,IF(MATCHED!AG55=23,MATCHED!$X55,IF(MATCHED!AG55=24,MATCHED!$Y55,IF(MATCHED!AG55=25,MATCHED!$Z55,IF(MATCHED!AG55=26,MATCHED!$AA55,IF(MATCHED!AG55=27,MATCHED!$AB55,"."))))))</f>
        <v>#N/A</v>
      </c>
      <c r="F55" s="356" t="e">
        <f>IF(MATCHED!AH55=1,MATCHED!$B55,IF(MATCHED!AH55=2,MATCHED!$C55,IF(MATCHED!AH55=3,MATCHED!$D55,IF(MATCHED!AH55=4,MATCHED!$E55,IF(MATCHED!AH55=3,MATCHED!$F55,IF(MATCHED!AH55=6,MATCHED!$G55,IF(MATCHED!AH55=7,MATCHED!$H55,"")))))))&amp;IF(MATCHED!AH55=8,MATCHED!$I55,IF(MATCHED!AH55=9,MATCHED!$J55,IF(MATCHED!AH55=10,MATCHED!$K55,IF(MATCHED!AH55=11,MATCHED!$L55,IF(MATCHED!AH55=12,MATCHED!$M55,IF(MATCHED!AH55=13,MATCHED!$N55,IF(MATCHED!AH55=14,MATCHED!$O55,"")))))))&amp;IF(MATCHED!AH55=15,MATCHED!$P55,IF(MATCHED!AH55=16,MATCHED!$Q55,IF(MATCHED!AH55=17,MATCHED!$R55,IF(MATCHED!AH55=18,MATCHED!$S55,IF(MATCHED!AH55=19,MATCHED!$T55,IF(MATCHED!AH55=20,MATCHED!$U55,IF(MATCHED!AH55=21,MATCHED!$V55,)))))))&amp;IF(MATCHED!AH55=22,MATCHED!$W55,IF(MATCHED!AH55=23,MATCHED!$X55,IF(MATCHED!AH55=24,MATCHED!$Y55,IF(MATCHED!AH55=25,MATCHED!$Z55,IF(MATCHED!AH55=26,MATCHED!$AA55,IF(MATCHED!AH55=27,MATCHED!$AB55,"."))))))</f>
        <v>#N/A</v>
      </c>
      <c r="G55" s="356" t="e">
        <f>IF(MATCHED!AI55=1,MATCHED!$B55,IF(MATCHED!AI55=2,MATCHED!$C55,IF(MATCHED!AI55=3,MATCHED!$D55,IF(MATCHED!AI55=4,MATCHED!$E55,IF(MATCHED!AI55=3,MATCHED!$F55,IF(MATCHED!AI55=6,MATCHED!$G55,IF(MATCHED!AI55=7,MATCHED!$H55,"")))))))&amp;IF(MATCHED!AI55=8,MATCHED!$I55,IF(MATCHED!AI55=9,MATCHED!$J55,IF(MATCHED!AI55=10,MATCHED!$K55,IF(MATCHED!AI55=11,MATCHED!$L55,IF(MATCHED!AI55=12,MATCHED!$M55,IF(MATCHED!AI55=13,MATCHED!$N55,IF(MATCHED!AI55=14,MATCHED!$O55,"")))))))&amp;IF(MATCHED!AI55=15,MATCHED!$P55,IF(MATCHED!AI55=16,MATCHED!$Q55,IF(MATCHED!AI55=17,MATCHED!$R55,IF(MATCHED!AI55=18,MATCHED!$S55,IF(MATCHED!AI55=19,MATCHED!$T55,IF(MATCHED!AI55=20,MATCHED!$U55,IF(MATCHED!AI55=21,MATCHED!$V55,)))))))&amp;IF(MATCHED!AI55=22,MATCHED!$W55,IF(MATCHED!AI55=23,MATCHED!$X55,IF(MATCHED!AI55=24,MATCHED!$Y55,IF(MATCHED!AI55=25,MATCHED!$Z55,IF(MATCHED!AI55=26,MATCHED!$AA55,IF(MATCHED!AI55=27,MATCHED!$AB55,"."))))))</f>
        <v>#N/A</v>
      </c>
      <c r="H55" s="356" t="e">
        <f>IF(MATCHED!AJ55=1,MATCHED!$B55,IF(MATCHED!AJ55=2,MATCHED!$C55,IF(MATCHED!AJ55=3,MATCHED!$D55,IF(MATCHED!AJ55=4,MATCHED!$E55,IF(MATCHED!AJ55=3,MATCHED!$F55,IF(MATCHED!AJ55=6,MATCHED!$G55,IF(MATCHED!AJ55=7,MATCHED!$H55,"")))))))&amp;IF(MATCHED!AJ55=8,MATCHED!$I55,IF(MATCHED!AJ55=9,MATCHED!$J55,IF(MATCHED!AJ55=10,MATCHED!$K55,IF(MATCHED!AJ55=11,MATCHED!$L55,IF(MATCHED!AJ55=12,MATCHED!$M55,IF(MATCHED!AJ55=13,MATCHED!$N55,IF(MATCHED!AJ55=14,MATCHED!$O55,"")))))))&amp;IF(MATCHED!AJ55=15,MATCHED!$P55,IF(MATCHED!AJ55=16,MATCHED!$Q55,IF(MATCHED!AJ55=17,MATCHED!$R55,IF(MATCHED!AJ55=18,MATCHED!$S55,IF(MATCHED!AJ55=19,MATCHED!$T55,IF(MATCHED!AJ55=20,MATCHED!$U55,IF(MATCHED!AJ55=21,MATCHED!$V55,)))))))&amp;IF(MATCHED!AJ55=22,MATCHED!$W55,IF(MATCHED!AJ55=23,MATCHED!$X55,IF(MATCHED!AJ55=24,MATCHED!$Y55,IF(MATCHED!AJ55=25,MATCHED!$Z55,IF(MATCHED!AJ55=26,MATCHED!$AA55,IF(MATCHED!AJ55=27,MATCHED!$AB55,"."))))))</f>
        <v>#N/A</v>
      </c>
      <c r="I55" s="356" t="e">
        <f>IF(MATCHED!AK55=1,MATCHED!$B55,IF(MATCHED!AK55=2,MATCHED!$C55,IF(MATCHED!AK55=3,MATCHED!$D55,IF(MATCHED!AK55=4,MATCHED!$E55,IF(MATCHED!AK55=3,MATCHED!$F55,IF(MATCHED!AK55=6,MATCHED!$G55,IF(MATCHED!AK55=7,MATCHED!$H55,"")))))))&amp;IF(MATCHED!AK55=8,MATCHED!$I55,IF(MATCHED!AK55=9,MATCHED!$J55,IF(MATCHED!AK55=10,MATCHED!$K55,IF(MATCHED!AK55=11,MATCHED!$L55,IF(MATCHED!AK55=12,MATCHED!$M55,IF(MATCHED!AK55=13,MATCHED!$N55,IF(MATCHED!AK55=14,MATCHED!$O55,"")))))))&amp;IF(MATCHED!AK55=15,MATCHED!$P55,IF(MATCHED!AK55=16,MATCHED!$Q55,IF(MATCHED!AK55=17,MATCHED!$R55,IF(MATCHED!AK55=18,MATCHED!$S55,IF(MATCHED!AK55=19,MATCHED!$T55,IF(MATCHED!AK55=20,MATCHED!$U55,IF(MATCHED!AK55=21,MATCHED!$V55,)))))))&amp;IF(MATCHED!AK55=22,MATCHED!$W55,IF(MATCHED!AK55=23,MATCHED!$X55,IF(MATCHED!AK55=24,MATCHED!$Y55,IF(MATCHED!AK55=25,MATCHED!$Z55,IF(MATCHED!AK55=26,MATCHED!$AA55,IF(MATCHED!AK55=27,MATCHED!$AB55,"."))))))</f>
        <v>#N/A</v>
      </c>
      <c r="J55" s="356" t="e">
        <f>IF(MATCHED!AL55=1,MATCHED!$B55,IF(MATCHED!AL55=2,MATCHED!$C55,IF(MATCHED!AL55=3,MATCHED!$D55,IF(MATCHED!AL55=4,MATCHED!$E55,IF(MATCHED!AL55=3,MATCHED!$F55,IF(MATCHED!AL55=6,MATCHED!$G55,IF(MATCHED!AL55=7,MATCHED!$H55,"")))))))&amp;IF(MATCHED!AL55=8,MATCHED!$I55,IF(MATCHED!AL55=9,MATCHED!$J55,IF(MATCHED!AL55=10,MATCHED!$K55,IF(MATCHED!AL55=11,MATCHED!$L55,IF(MATCHED!AL55=12,MATCHED!$M55,IF(MATCHED!AL55=13,MATCHED!$N55,IF(MATCHED!AL55=14,MATCHED!$O55,"")))))))&amp;IF(MATCHED!AL55=15,MATCHED!$P55,IF(MATCHED!AL55=16,MATCHED!$Q55,IF(MATCHED!AL55=17,MATCHED!$R55,IF(MATCHED!AL55=18,MATCHED!$S55,IF(MATCHED!AL55=19,MATCHED!$T55,IF(MATCHED!AL55=20,MATCHED!$U55,IF(MATCHED!AL55=21,MATCHED!$V55,)))))))&amp;IF(MATCHED!AL55=22,MATCHED!$W55,IF(MATCHED!AL55=23,MATCHED!$X55,IF(MATCHED!AL55=24,MATCHED!$Y55,IF(MATCHED!AL55=25,MATCHED!$Z55,IF(MATCHED!AL55=26,MATCHED!$AA55,IF(MATCHED!AL55=27,MATCHED!$AB55,"."))))))</f>
        <v>#N/A</v>
      </c>
      <c r="K55" s="356" t="e">
        <f>IF(MATCHED!AM55=1,MATCHED!$B55,IF(MATCHED!AM55=2,MATCHED!$C55,IF(MATCHED!AM55=3,MATCHED!$D55,IF(MATCHED!AM55=4,MATCHED!$E55,IF(MATCHED!AM55=3,MATCHED!$F55,IF(MATCHED!AM55=6,MATCHED!$G55,IF(MATCHED!AM55=7,MATCHED!$H55,"")))))))&amp;IF(MATCHED!AM55=8,MATCHED!$I55,IF(MATCHED!AM55=9,MATCHED!$J55,IF(MATCHED!AM55=10,MATCHED!$K55,IF(MATCHED!AM55=11,MATCHED!$L55,IF(MATCHED!AM55=12,MATCHED!$M55,IF(MATCHED!AM55=13,MATCHED!$N55,IF(MATCHED!AM55=14,MATCHED!$O55,"")))))))&amp;IF(MATCHED!AM55=15,MATCHED!$P55,IF(MATCHED!AM55=16,MATCHED!$Q55,IF(MATCHED!AM55=17,MATCHED!$R55,IF(MATCHED!AM55=18,MATCHED!$S55,IF(MATCHED!AM55=19,MATCHED!$T55,IF(MATCHED!AM55=20,MATCHED!$U55,IF(MATCHED!AM55=21,MATCHED!$V55,)))))))&amp;IF(MATCHED!AM55=22,MATCHED!$W55,IF(MATCHED!AM55=23,MATCHED!$X55,IF(MATCHED!AM55=24,MATCHED!$Y55,IF(MATCHED!AM55=25,MATCHED!$Z55,IF(MATCHED!AM55=26,MATCHED!$AA55,IF(MATCHED!AM55=27,MATCHED!$AB55,"."))))))</f>
        <v>#N/A</v>
      </c>
      <c r="L55" s="356" t="e">
        <f>IF(MATCHED!AN55=1,MATCHED!$B55,IF(MATCHED!AN55=2,MATCHED!$C55,IF(MATCHED!AN55=3,MATCHED!$D55,IF(MATCHED!AN55=4,MATCHED!$E55,IF(MATCHED!AN55=3,MATCHED!$F55,IF(MATCHED!AN55=6,MATCHED!$G55,IF(MATCHED!AN55=7,MATCHED!$H55,"")))))))&amp;IF(MATCHED!AN55=8,MATCHED!$I55,IF(MATCHED!AN55=9,MATCHED!$J55,IF(MATCHED!AN55=10,MATCHED!$K55,IF(MATCHED!AN55=11,MATCHED!$L55,IF(MATCHED!AN55=12,MATCHED!$M55,IF(MATCHED!AN55=13,MATCHED!$N55,IF(MATCHED!AN55=14,MATCHED!$O55,"")))))))&amp;IF(MATCHED!AN55=15,MATCHED!$P55,IF(MATCHED!AN55=16,MATCHED!$Q55,IF(MATCHED!AN55=17,MATCHED!$R55,IF(MATCHED!AN55=18,MATCHED!$S55,IF(MATCHED!AN55=19,MATCHED!$T55,IF(MATCHED!AN55=20,MATCHED!$U55,IF(MATCHED!AN55=21,MATCHED!$V55,)))))))&amp;IF(MATCHED!AN55=22,MATCHED!$W55,IF(MATCHED!AN55=23,MATCHED!$X55,IF(MATCHED!AN55=24,MATCHED!$Y55,IF(MATCHED!AN55=25,MATCHED!$Z55,IF(MATCHED!AN55=26,MATCHED!$AA55,IF(MATCHED!AN55=27,MATCHED!$AB55,"."))))))</f>
        <v>#N/A</v>
      </c>
      <c r="M55" s="356" t="e">
        <f>IF(MATCHED!AO55=1,MATCHED!$B55,IF(MATCHED!AO55=2,MATCHED!$C55,IF(MATCHED!AO55=3,MATCHED!$D55,IF(MATCHED!AO55=4,MATCHED!$E55,IF(MATCHED!AO55=3,MATCHED!$F55,IF(MATCHED!AO55=6,MATCHED!$G55,IF(MATCHED!AO55=7,MATCHED!$H55,"")))))))&amp;IF(MATCHED!AO55=8,MATCHED!$I55,IF(MATCHED!AO55=9,MATCHED!$J55,IF(MATCHED!AO55=10,MATCHED!$K55,IF(MATCHED!AO55=11,MATCHED!$L55,IF(MATCHED!AO55=12,MATCHED!$M55,IF(MATCHED!AO55=13,MATCHED!$N55,IF(MATCHED!AO55=14,MATCHED!$O55,"")))))))&amp;IF(MATCHED!AO55=15,MATCHED!$P55,IF(MATCHED!AO55=16,MATCHED!$Q55,IF(MATCHED!AO55=17,MATCHED!$R55,IF(MATCHED!AO55=18,MATCHED!$S55,IF(MATCHED!AO55=19,MATCHED!$T55,IF(MATCHED!AO55=20,MATCHED!$U55,IF(MATCHED!AO55=21,MATCHED!$V55,)))))))&amp;IF(MATCHED!AO55=22,MATCHED!$W55,IF(MATCHED!AO55=23,MATCHED!$X55,IF(MATCHED!AO55=24,MATCHED!$Y55,IF(MATCHED!AO55=25,MATCHED!$Z55,IF(MATCHED!AO55=26,MATCHED!$AA55,IF(MATCHED!AO55=27,MATCHED!$AB55,"."))))))</f>
        <v>#N/A</v>
      </c>
      <c r="N55" s="356" t="e">
        <f>IF(MATCHED!AP55=1,MATCHED!$B55,IF(MATCHED!AP55=2,MATCHED!$C55,IF(MATCHED!AP55=3,MATCHED!$D55,IF(MATCHED!AP55=4,MATCHED!$E55,IF(MATCHED!AP55=3,MATCHED!$F55,IF(MATCHED!AP55=6,MATCHED!$G55,IF(MATCHED!AP55=7,MATCHED!$H55,"")))))))&amp;IF(MATCHED!AP55=8,MATCHED!$I55,IF(MATCHED!AP55=9,MATCHED!$J55,IF(MATCHED!AP55=10,MATCHED!$K55,IF(MATCHED!AP55=11,MATCHED!$L55,IF(MATCHED!AP55=12,MATCHED!$M55,IF(MATCHED!AP55=13,MATCHED!$N55,IF(MATCHED!AP55=14,MATCHED!$O55,"")))))))&amp;IF(MATCHED!AP55=15,MATCHED!$P55,IF(MATCHED!AP55=16,MATCHED!$Q55,IF(MATCHED!AP55=17,MATCHED!$R55,IF(MATCHED!AP55=18,MATCHED!$S55,IF(MATCHED!AP55=19,MATCHED!$T55,IF(MATCHED!AP55=20,MATCHED!$U55,IF(MATCHED!AP55=21,MATCHED!$V55,)))))))&amp;IF(MATCHED!AP55=22,MATCHED!$W55,IF(MATCHED!AP55=23,MATCHED!$X55,IF(MATCHED!AP55=24,MATCHED!$Y55,IF(MATCHED!AP55=25,MATCHED!$Z55,IF(MATCHED!AP55=26,MATCHED!$AA55,IF(MATCHED!AP55=27,MATCHED!$AB55,"."))))))</f>
        <v>#N/A</v>
      </c>
      <c r="O55" s="356" t="e">
        <f>IF(MATCHED!AQ55=1,MATCHED!$B55,IF(MATCHED!AQ55=2,MATCHED!$C55,IF(MATCHED!AQ55=3,MATCHED!$D55,IF(MATCHED!AQ55=4,MATCHED!$E55,IF(MATCHED!AQ55=3,MATCHED!$F55,IF(MATCHED!AQ55=6,MATCHED!$G55,IF(MATCHED!AQ55=7,MATCHED!$H55,"")))))))&amp;IF(MATCHED!AQ55=8,MATCHED!$I55,IF(MATCHED!AQ55=9,MATCHED!$J55,IF(MATCHED!AQ55=10,MATCHED!$K55,IF(MATCHED!AQ55=11,MATCHED!$L55,IF(MATCHED!AQ55=12,MATCHED!$M55,IF(MATCHED!AQ55=13,MATCHED!$N55,IF(MATCHED!AQ55=14,MATCHED!$O55,"")))))))&amp;IF(MATCHED!AQ55=15,MATCHED!$P55,IF(MATCHED!AQ55=16,MATCHED!$Q55,IF(MATCHED!AQ55=17,MATCHED!$R55,IF(MATCHED!AQ55=18,MATCHED!$S55,IF(MATCHED!AQ55=19,MATCHED!$T55,IF(MATCHED!AQ55=20,MATCHED!$U55,IF(MATCHED!AQ55=21,MATCHED!$V55,)))))))&amp;IF(MATCHED!AQ55=22,MATCHED!$W55,IF(MATCHED!AQ55=23,MATCHED!$X55,IF(MATCHED!AQ55=24,MATCHED!$Y55,IF(MATCHED!AQ55=25,MATCHED!$Z55,IF(MATCHED!AQ55=26,MATCHED!$AA55,IF(MATCHED!AQ55=27,MATCHED!$AB55,"."))))))</f>
        <v>#N/A</v>
      </c>
      <c r="P55" s="356" t="e">
        <f>IF(MATCHED!AR55=1,MATCHED!$B55,IF(MATCHED!AR55=2,MATCHED!$C55,IF(MATCHED!AR55=3,MATCHED!$D55,IF(MATCHED!AR55=4,MATCHED!$E55,IF(MATCHED!AR55=3,MATCHED!$F55,IF(MATCHED!AR55=6,MATCHED!$G55,IF(MATCHED!AR55=7,MATCHED!$H55,"")))))))&amp;IF(MATCHED!AR55=8,MATCHED!$I55,IF(MATCHED!AR55=9,MATCHED!$J55,IF(MATCHED!AR55=10,MATCHED!$K55,IF(MATCHED!AR55=11,MATCHED!$L55,IF(MATCHED!AR55=12,MATCHED!$M55,IF(MATCHED!AR55=13,MATCHED!$N55,IF(MATCHED!AR55=14,MATCHED!$O55,"")))))))&amp;IF(MATCHED!AR55=15,MATCHED!$P55,IF(MATCHED!AR55=16,MATCHED!$Q55,IF(MATCHED!AR55=17,MATCHED!$R55,IF(MATCHED!AR55=18,MATCHED!$S55,IF(MATCHED!AR55=19,MATCHED!$T55,IF(MATCHED!AR55=20,MATCHED!$U55,IF(MATCHED!AR55=21,MATCHED!$V55,)))))))&amp;IF(MATCHED!AR55=22,MATCHED!$W55,IF(MATCHED!AR55=23,MATCHED!$X55,IF(MATCHED!AR55=24,MATCHED!$Y55,IF(MATCHED!AR55=25,MATCHED!$Z55,IF(MATCHED!AR55=26,MATCHED!$AA55,IF(MATCHED!AR55=27,MATCHED!$AB55,"."))))))</f>
        <v>#N/A</v>
      </c>
      <c r="Q55" s="357" t="e">
        <f>IF(MATCHED!AS55=1,MATCHED!$B55,IF(MATCHED!AS55=2,MATCHED!$C55,IF(MATCHED!AS55=3,MATCHED!$D55,IF(MATCHED!AS55=4,MATCHED!$E55,IF(MATCHED!AS55=3,MATCHED!$F55,IF(MATCHED!AS55=6,MATCHED!$G55,IF(MATCHED!AS55=7,MATCHED!$H55,"")))))))&amp;IF(MATCHED!AS55=8,MATCHED!$I55,IF(MATCHED!AS55=9,MATCHED!$J55,IF(MATCHED!AS55=10,MATCHED!$K55,IF(MATCHED!AS55=11,MATCHED!$L55,IF(MATCHED!AS55=12,MATCHED!$M55,IF(MATCHED!AS55=13,MATCHED!$N55,IF(MATCHED!AS55=14,MATCHED!$O55,"")))))))&amp;IF(MATCHED!AS55=15,MATCHED!$P55,IF(MATCHED!AS55=16,MATCHED!$Q55,IF(MATCHED!AS55=17,MATCHED!$R55,IF(MATCHED!AS55=18,MATCHED!$S55,IF(MATCHED!AS55=19,MATCHED!$T55,IF(MATCHED!AS55=20,MATCHED!$U55,IF(MATCHED!AS55=21,MATCHED!$V55,)))))))&amp;IF(MATCHED!AS55=22,MATCHED!$W55,IF(MATCHED!AS55=23,MATCHED!$X55,IF(MATCHED!AS55=24,MATCHED!$Y55,IF(MATCHED!AS55=25,MATCHED!$Z55,IF(MATCHED!AS55=26,MATCHED!$AA55,IF(MATCHED!AS55=27,MATCHED!$AB55,"."))))))</f>
        <v>#N/A</v>
      </c>
      <c r="R55" s="356" t="e">
        <f>IF(MATCHED!AT55=1,MATCHED!$B55,IF(MATCHED!AT55=2,MATCHED!$C55,IF(MATCHED!AT55=3,MATCHED!$D55,IF(MATCHED!AT55=4,MATCHED!$E55,IF(MATCHED!AT55=3,MATCHED!$F55,IF(MATCHED!AT55=6,MATCHED!$G55,IF(MATCHED!AT55=7,MATCHED!$H55,"")))))))&amp;IF(MATCHED!AT55=8,MATCHED!$I55,IF(MATCHED!AT55=9,MATCHED!$J55,IF(MATCHED!AT55=10,MATCHED!$K55,IF(MATCHED!AT55=11,MATCHED!$L55,IF(MATCHED!AT55=12,MATCHED!$M55,IF(MATCHED!AT55=13,MATCHED!$N55,IF(MATCHED!AT55=14,MATCHED!$O55,"")))))))&amp;IF(MATCHED!AT55=15,MATCHED!$P55,IF(MATCHED!AT55=16,MATCHED!$Q55,IF(MATCHED!AT55=17,MATCHED!$R55,IF(MATCHED!AT55=18,MATCHED!$S55,IF(MATCHED!AT55=19,MATCHED!$T55,IF(MATCHED!AT55=20,MATCHED!$U55,IF(MATCHED!AT55=21,MATCHED!$V55,)))))))&amp;IF(MATCHED!AT55=22,MATCHED!$W55,IF(MATCHED!AT55=23,MATCHED!$X55,IF(MATCHED!AT55=24,MATCHED!$Y55,IF(MATCHED!AT55=25,MATCHED!$Z55,IF(MATCHED!AT55=26,MATCHED!$AA55,IF(MATCHED!AT55=27,MATCHED!$AB55,"."))))))</f>
        <v>#N/A</v>
      </c>
      <c r="S55" s="356" t="e">
        <f>IF(MATCHED!AU55=1,MATCHED!$B55,IF(MATCHED!AU55=2,MATCHED!$C55,IF(MATCHED!AU55=3,MATCHED!$D55,IF(MATCHED!AU55=4,MATCHED!$E55,IF(MATCHED!AU55=3,MATCHED!$F55,IF(MATCHED!AU55=6,MATCHED!$G55,IF(MATCHED!AU55=7,MATCHED!$H55,"")))))))&amp;IF(MATCHED!AU55=8,MATCHED!$I55,IF(MATCHED!AU55=9,MATCHED!$J55,IF(MATCHED!AU55=10,MATCHED!$K55,IF(MATCHED!AU55=11,MATCHED!$L55,IF(MATCHED!AU55=12,MATCHED!$M55,IF(MATCHED!AU55=13,MATCHED!$N55,IF(MATCHED!AU55=14,MATCHED!$O55,"")))))))&amp;IF(MATCHED!AU55=15,MATCHED!$P55,IF(MATCHED!AU55=16,MATCHED!$Q55,IF(MATCHED!AU55=17,MATCHED!$R55,IF(MATCHED!AU55=18,MATCHED!$S55,IF(MATCHED!AU55=19,MATCHED!$T55,IF(MATCHED!AU55=20,MATCHED!$U55,IF(MATCHED!AU55=21,MATCHED!$V55,)))))))&amp;IF(MATCHED!AU55=22,MATCHED!$W55,IF(MATCHED!AU55=23,MATCHED!$X55,IF(MATCHED!AU55=24,MATCHED!$Y55,IF(MATCHED!AU55=25,MATCHED!$Z55,IF(MATCHED!AU55=26,MATCHED!$AA55,IF(MATCHED!AU55=27,MATCHED!$AB55,"."))))))</f>
        <v>#N/A</v>
      </c>
      <c r="T55" s="356" t="e">
        <f>IF(MATCHED!AV55=1,MATCHED!$B55,IF(MATCHED!AV55=2,MATCHED!$C55,IF(MATCHED!AV55=3,MATCHED!$D55,IF(MATCHED!AV55=4,MATCHED!$E55,IF(MATCHED!AV55=3,MATCHED!$F55,IF(MATCHED!AV55=6,MATCHED!$G55,IF(MATCHED!AV55=7,MATCHED!$H55,"")))))))&amp;IF(MATCHED!AV55=8,MATCHED!$I55,IF(MATCHED!AV55=9,MATCHED!$J55,IF(MATCHED!AV55=10,MATCHED!$K55,IF(MATCHED!AV55=11,MATCHED!$L55,IF(MATCHED!AV55=12,MATCHED!$M55,IF(MATCHED!AV55=13,MATCHED!$N55,IF(MATCHED!AV55=14,MATCHED!$O55,"")))))))&amp;IF(MATCHED!AV55=15,MATCHED!$P55,IF(MATCHED!AV55=16,MATCHED!$Q55,IF(MATCHED!AV55=17,MATCHED!$R55,IF(MATCHED!AV55=18,MATCHED!$S55,IF(MATCHED!AV55=19,MATCHED!$T55,IF(MATCHED!AV55=20,MATCHED!$U55,IF(MATCHED!AV55=21,MATCHED!$V55,)))))))&amp;IF(MATCHED!AV55=22,MATCHED!$W55,IF(MATCHED!AV55=23,MATCHED!$X55,IF(MATCHED!AV55=24,MATCHED!$Y55,IF(MATCHED!AV55=25,MATCHED!$Z55,IF(MATCHED!AV55=26,MATCHED!$AA55,IF(MATCHED!AV55=27,MATCHED!$AB55,"."))))))</f>
        <v>#N/A</v>
      </c>
      <c r="U55" s="356" t="e">
        <f>IF(MATCHED!AW55=1,MATCHED!$B55,IF(MATCHED!AW55=2,MATCHED!$C55,IF(MATCHED!AW55=3,MATCHED!$D55,IF(MATCHED!AW55=4,MATCHED!$E55,IF(MATCHED!AW55=3,MATCHED!$F55,IF(MATCHED!AW55=6,MATCHED!$G55,IF(MATCHED!AW55=7,MATCHED!$H55,"")))))))&amp;IF(MATCHED!AW55=8,MATCHED!$I55,IF(MATCHED!AW55=9,MATCHED!$J55,IF(MATCHED!AW55=10,MATCHED!$K55,IF(MATCHED!AW55=11,MATCHED!$L55,IF(MATCHED!AW55=12,MATCHED!$M55,IF(MATCHED!AW55=13,MATCHED!$N55,IF(MATCHED!AW55=14,MATCHED!$O55,"")))))))&amp;IF(MATCHED!AW55=15,MATCHED!$P55,IF(MATCHED!AW55=16,MATCHED!$Q55,IF(MATCHED!AW55=17,MATCHED!$R55,IF(MATCHED!AW55=18,MATCHED!$S55,IF(MATCHED!AW55=19,MATCHED!$T55,IF(MATCHED!AW55=20,MATCHED!$U55,IF(MATCHED!AW55=21,MATCHED!$V55,)))))))&amp;IF(MATCHED!AW55=22,MATCHED!$W55,IF(MATCHED!AW55=23,MATCHED!$X55,IF(MATCHED!AW55=24,MATCHED!$Y55,IF(MATCHED!AW55=25,MATCHED!$Z55,IF(MATCHED!AW55=26,MATCHED!$AA55,IF(MATCHED!AW55=27,MATCHED!$AB55,"."))))))</f>
        <v>#N/A</v>
      </c>
      <c r="V55" s="356" t="e">
        <f>IF(MATCHED!AX55=1,MATCHED!$B55,IF(MATCHED!AX55=2,MATCHED!$C55,IF(MATCHED!AX55=3,MATCHED!$D55,IF(MATCHED!AX55=4,MATCHED!$E55,IF(MATCHED!AX55=3,MATCHED!$F55,IF(MATCHED!AX55=6,MATCHED!$G55,IF(MATCHED!AX55=7,MATCHED!$H55,"")))))))&amp;IF(MATCHED!AX55=8,MATCHED!$I55,IF(MATCHED!AX55=9,MATCHED!$J55,IF(MATCHED!AX55=10,MATCHED!$K55,IF(MATCHED!AX55=11,MATCHED!$L55,IF(MATCHED!AX55=12,MATCHED!$M55,IF(MATCHED!AX55=13,MATCHED!$N55,IF(MATCHED!AX55=14,MATCHED!$O55,"")))))))&amp;IF(MATCHED!AX55=15,MATCHED!$P55,IF(MATCHED!AX55=16,MATCHED!$Q55,IF(MATCHED!AX55=17,MATCHED!$R55,IF(MATCHED!AX55=18,MATCHED!$S55,IF(MATCHED!AX55=19,MATCHED!$T55,IF(MATCHED!AX55=20,MATCHED!$U55,IF(MATCHED!AX55=21,MATCHED!$V55,)))))))&amp;IF(MATCHED!AX55=22,MATCHED!$W55,IF(MATCHED!AX55=23,MATCHED!$X55,IF(MATCHED!AX55=24,MATCHED!$Y55,IF(MATCHED!AX55=25,MATCHED!$Z55,IF(MATCHED!AX55=26,MATCHED!$AA55,IF(MATCHED!AX55=27,MATCHED!$AB55,"."))))))</f>
        <v>#N/A</v>
      </c>
      <c r="W55" s="356" t="e">
        <f>IF(MATCHED!AY55=1,MATCHED!$B55,IF(MATCHED!AY55=2,MATCHED!$C55,IF(MATCHED!AY55=3,MATCHED!$D55,IF(MATCHED!AY55=4,MATCHED!$E55,IF(MATCHED!AY55=3,MATCHED!$F55,IF(MATCHED!AY55=6,MATCHED!$G55,IF(MATCHED!AY55=7,MATCHED!$H55,"")))))))&amp;IF(MATCHED!AY55=8,MATCHED!$I55,IF(MATCHED!AY55=9,MATCHED!$J55,IF(MATCHED!AY55=10,MATCHED!$K55,IF(MATCHED!AY55=11,MATCHED!$L55,IF(MATCHED!AY55=12,MATCHED!$M55,IF(MATCHED!AY55=13,MATCHED!$N55,IF(MATCHED!AY55=14,MATCHED!$O55,"")))))))&amp;IF(MATCHED!AY55=15,MATCHED!$P55,IF(MATCHED!AY55=16,MATCHED!$Q55,IF(MATCHED!AY55=17,MATCHED!$R55,IF(MATCHED!AY55=18,MATCHED!$S55,IF(MATCHED!AY55=19,MATCHED!$T55,IF(MATCHED!AY55=20,MATCHED!$U55,IF(MATCHED!AY55=21,MATCHED!$V55,)))))))&amp;IF(MATCHED!AY55=22,MATCHED!$W55,IF(MATCHED!AY55=23,MATCHED!$X55,IF(MATCHED!AY55=24,MATCHED!$Y55,IF(MATCHED!AY55=25,MATCHED!$Z55,IF(MATCHED!AY55=26,MATCHED!$AA55,IF(MATCHED!AY55=27,MATCHED!$AB55,"."))))))</f>
        <v>#N/A</v>
      </c>
      <c r="X55" s="356" t="e">
        <f>IF(MATCHED!AZ55=1,MATCHED!$B55,IF(MATCHED!AZ55=2,MATCHED!$C55,IF(MATCHED!AZ55=3,MATCHED!$D55,IF(MATCHED!AZ55=4,MATCHED!$E55,IF(MATCHED!AZ55=3,MATCHED!$F55,IF(MATCHED!AZ55=6,MATCHED!$G55,IF(MATCHED!AZ55=7,MATCHED!$H55,"")))))))&amp;IF(MATCHED!AZ55=8,MATCHED!$I55,IF(MATCHED!AZ55=9,MATCHED!$J55,IF(MATCHED!AZ55=10,MATCHED!$K55,IF(MATCHED!AZ55=11,MATCHED!$L55,IF(MATCHED!AZ55=12,MATCHED!$M55,IF(MATCHED!AZ55=13,MATCHED!$N55,IF(MATCHED!AZ55=14,MATCHED!$O55,"")))))))&amp;IF(MATCHED!AZ55=15,MATCHED!$P55,IF(MATCHED!AZ55=16,MATCHED!$Q55,IF(MATCHED!AZ55=17,MATCHED!$R55,IF(MATCHED!AZ55=18,MATCHED!$S55,IF(MATCHED!AZ55=19,MATCHED!$T55,IF(MATCHED!AZ55=20,MATCHED!$U55,IF(MATCHED!AZ55=21,MATCHED!$V55,)))))))&amp;IF(MATCHED!AZ55=22,MATCHED!$W55,IF(MATCHED!AZ55=23,MATCHED!$X55,IF(MATCHED!AZ55=24,MATCHED!$Y55,IF(MATCHED!AZ55=25,MATCHED!$Z55,IF(MATCHED!AZ55=26,MATCHED!$AA55,IF(MATCHED!AZ55=27,MATCHED!$AB55,"."))))))</f>
        <v>#N/A</v>
      </c>
      <c r="Y55" s="356" t="e">
        <f>IF(MATCHED!BA55=1,MATCHED!$B55,IF(MATCHED!BA55=2,MATCHED!$C55,IF(MATCHED!BA55=3,MATCHED!$D55,IF(MATCHED!BA55=4,MATCHED!$E55,IF(MATCHED!BA55=3,MATCHED!$F55,IF(MATCHED!BA55=6,MATCHED!$G55,IF(MATCHED!BA55=7,MATCHED!$H55,"")))))))&amp;IF(MATCHED!BA55=8,MATCHED!$I55,IF(MATCHED!BA55=9,MATCHED!$J55,IF(MATCHED!BA55=10,MATCHED!$K55,IF(MATCHED!BA55=11,MATCHED!$L55,IF(MATCHED!BA55=12,MATCHED!$M55,IF(MATCHED!BA55=13,MATCHED!$N55,IF(MATCHED!BA55=14,MATCHED!$O55,"")))))))&amp;IF(MATCHED!BA55=15,MATCHED!$P55,IF(MATCHED!BA55=16,MATCHED!$Q55,IF(MATCHED!BA55=17,MATCHED!$R55,IF(MATCHED!BA55=18,MATCHED!$S55,IF(MATCHED!BA55=19,MATCHED!$T55,IF(MATCHED!BA55=20,MATCHED!$U55,IF(MATCHED!BA55=21,MATCHED!$V55,)))))))&amp;IF(MATCHED!BA55=22,MATCHED!$W55,IF(MATCHED!BA55=23,MATCHED!$X55,IF(MATCHED!BA55=24,MATCHED!$Y55,IF(MATCHED!BA55=25,MATCHED!$Z55,IF(MATCHED!BA55=26,MATCHED!$AA55,IF(MATCHED!BA55=27,MATCHED!$AB55,"."))))))</f>
        <v>#N/A</v>
      </c>
      <c r="Z55" s="356" t="e">
        <f>IF(MATCHED!BB55=1,MATCHED!$B55,IF(MATCHED!BB55=2,MATCHED!$C55,IF(MATCHED!BB55=3,MATCHED!$D55,IF(MATCHED!BB55=4,MATCHED!$E55,IF(MATCHED!BB55=3,MATCHED!$F55,IF(MATCHED!BB55=6,MATCHED!$G55,IF(MATCHED!BB55=7,MATCHED!$H55,"")))))))&amp;IF(MATCHED!BB55=8,MATCHED!$I55,IF(MATCHED!BB55=9,MATCHED!$J55,IF(MATCHED!BB55=10,MATCHED!$K55,IF(MATCHED!BB55=11,MATCHED!$L55,IF(MATCHED!BB55=12,MATCHED!$M55,IF(MATCHED!BB55=13,MATCHED!$N55,IF(MATCHED!BB55=14,MATCHED!$O55,"")))))))&amp;IF(MATCHED!BB55=15,MATCHED!$P55,IF(MATCHED!BB55=16,MATCHED!$Q55,IF(MATCHED!BB55=17,MATCHED!$R55,IF(MATCHED!BB55=18,MATCHED!$S55,IF(MATCHED!BB55=19,MATCHED!$T55,IF(MATCHED!BB55=20,MATCHED!$U55,IF(MATCHED!BB55=21,MATCHED!$V55,)))))))&amp;IF(MATCHED!BB55=22,MATCHED!$W55,IF(MATCHED!BB55=23,MATCHED!$X55,IF(MATCHED!BB55=24,MATCHED!$Y55,IF(MATCHED!BB55=25,MATCHED!$Z55,IF(MATCHED!BB55=26,MATCHED!$AA55,IF(MATCHED!BB55=27,MATCHED!$AB55,"."))))))</f>
        <v>#N/A</v>
      </c>
      <c r="AA55" s="356" t="e">
        <f>IF(MATCHED!BC55=1,MATCHED!$B55,IF(MATCHED!BC55=2,MATCHED!$C55,IF(MATCHED!BC55=3,MATCHED!$D55,IF(MATCHED!BC55=4,MATCHED!$E55,IF(MATCHED!BC55=3,MATCHED!$F55,IF(MATCHED!BC55=6,MATCHED!$G55,IF(MATCHED!BC55=7,MATCHED!$H55,"")))))))&amp;IF(MATCHED!BC55=8,MATCHED!$I55,IF(MATCHED!BC55=9,MATCHED!$J55,IF(MATCHED!BC55=10,MATCHED!$K55,IF(MATCHED!BC55=11,MATCHED!$L55,IF(MATCHED!BC55=12,MATCHED!$M55,IF(MATCHED!BC55=13,MATCHED!$N55,IF(MATCHED!BC55=14,MATCHED!$O55,"")))))))&amp;IF(MATCHED!BC55=15,MATCHED!$P55,IF(MATCHED!BC55=16,MATCHED!$Q55,IF(MATCHED!BC55=17,MATCHED!$R55,IF(MATCHED!BC55=18,MATCHED!$S55,IF(MATCHED!BC55=19,MATCHED!$T55,IF(MATCHED!BC55=20,MATCHED!$U55,IF(MATCHED!BC55=21,MATCHED!$V55,)))))))&amp;IF(MATCHED!BC55=22,MATCHED!$W55,IF(MATCHED!BC55=23,MATCHED!$X55,IF(MATCHED!BC55=24,MATCHED!$Y55,IF(MATCHED!BC55=25,MATCHED!$Z55,IF(MATCHED!BC55=26,MATCHED!$AA55,IF(MATCHED!BC55=27,MATCHED!$AB55,"."))))))</f>
        <v>#N/A</v>
      </c>
      <c r="AB55" s="356" t="e">
        <f>IF(MATCHED!BD55=1,MATCHED!$B55,IF(MATCHED!BD55=2,MATCHED!$C55,IF(MATCHED!BD55=3,MATCHED!$D55,IF(MATCHED!BD55=4,MATCHED!$E55,IF(MATCHED!BD55=3,MATCHED!$F55,IF(MATCHED!BD55=6,MATCHED!$G55,IF(MATCHED!BD55=7,MATCHED!$H55,"")))))))&amp;IF(MATCHED!BD55=8,MATCHED!$I55,IF(MATCHED!BD55=9,MATCHED!$J55,IF(MATCHED!BD55=10,MATCHED!$K55,IF(MATCHED!BD55=11,MATCHED!$L55,IF(MATCHED!BD55=12,MATCHED!$M55,IF(MATCHED!BD55=13,MATCHED!$N55,IF(MATCHED!BD55=14,MATCHED!$O55,"")))))))&amp;IF(MATCHED!BD55=15,MATCHED!$P55,IF(MATCHED!BD55=16,MATCHED!$Q55,IF(MATCHED!BD55=17,MATCHED!$R55,IF(MATCHED!BD55=18,MATCHED!$S55,IF(MATCHED!BD55=19,MATCHED!$T55,IF(MATCHED!BD55=20,MATCHED!$U55,IF(MATCHED!BD55=21,MATCHED!$V55,)))))))&amp;IF(MATCHED!BD55=22,MATCHED!$W55,IF(MATCHED!BD55=23,MATCHED!$X55,IF(MATCHED!BD55=24,MATCHED!$Y55,IF(MATCHED!BD55=25,MATCHED!$Z55,IF(MATCHED!BD55=26,MATCHED!$AA55,IF(MATCHED!BD55=27,MATCHED!$AB55,"."))))))</f>
        <v>#N/A</v>
      </c>
      <c r="AC55" s="356" t="e">
        <f>IF(MATCHED!BE55=1,MATCHED!$B55,IF(MATCHED!BE55=2,MATCHED!$C55,IF(MATCHED!BE55=3,MATCHED!$D55,IF(MATCHED!BE55=4,MATCHED!$E55,IF(MATCHED!BE55=3,MATCHED!$F55,IF(MATCHED!BE55=6,MATCHED!$G55,IF(MATCHED!BE55=7,MATCHED!$H55,"")))))))&amp;IF(MATCHED!BE55=8,MATCHED!$I55,IF(MATCHED!BE55=9,MATCHED!$J55,IF(MATCHED!BE55=10,MATCHED!$K55,IF(MATCHED!BE55=11,MATCHED!$L55,IF(MATCHED!BE55=12,MATCHED!$M55,IF(MATCHED!BE55=13,MATCHED!$N55,IF(MATCHED!BE55=14,MATCHED!$O55,"")))))))&amp;IF(MATCHED!BE55=15,MATCHED!$P55,IF(MATCHED!BE55=16,MATCHED!$Q55,IF(MATCHED!BE55=17,MATCHED!$R55,IF(MATCHED!BE55=18,MATCHED!$S55,IF(MATCHED!BE55=19,MATCHED!$T55,IF(MATCHED!BE55=20,MATCHED!$U55,IF(MATCHED!BE55=21,MATCHED!$V55,)))))))&amp;IF(MATCHED!BE55=22,MATCHED!$W55,IF(MATCHED!BE55=23,MATCHED!$X55,IF(MATCHED!BE55=24,MATCHED!$Y55,IF(MATCHED!BE55=25,MATCHED!$Z55,IF(MATCHED!BE55=26,MATCHED!$AA55,IF(MATCHED!BE55=27,MATCHED!$AB55,"."))))))</f>
        <v>#N/A</v>
      </c>
      <c r="AD55" s="356" t="e">
        <f>IF(MATCHED!BF55=1,MATCHED!$B55,IF(MATCHED!BF55=2,MATCHED!$C55,IF(MATCHED!BF55=3,MATCHED!$D55,IF(MATCHED!BF55=4,MATCHED!$E55,IF(MATCHED!BF55=3,MATCHED!$F55,IF(MATCHED!BF55=6,MATCHED!$G55,IF(MATCHED!BF55=7,MATCHED!$H55,"")))))))&amp;IF(MATCHED!BF55=8,MATCHED!$I55,IF(MATCHED!BF55=9,MATCHED!$J55,IF(MATCHED!BF55=10,MATCHED!$K55,IF(MATCHED!BF55=11,MATCHED!$L55,IF(MATCHED!BF55=12,MATCHED!$M55,IF(MATCHED!BF55=13,MATCHED!$N55,IF(MATCHED!BF55=14,MATCHED!$O55,"")))))))&amp;IF(MATCHED!BF55=15,MATCHED!$P55,IF(MATCHED!BF55=16,MATCHED!$Q55,IF(MATCHED!BF55=17,MATCHED!$R55,IF(MATCHED!BF55=18,MATCHED!$S55,IF(MATCHED!BF55=19,MATCHED!$T55,IF(MATCHED!BF55=20,MATCHED!$U55,IF(MATCHED!BF55=21,MATCHED!$V55,)))))))&amp;IF(MATCHED!BF55=22,MATCHED!$W55,IF(MATCHED!BF55=23,MATCHED!$X55,IF(MATCHED!BF55=24,MATCHED!$Y55,IF(MATCHED!BF55=25,MATCHED!$Z55,IF(MATCHED!BF55=26,MATCHED!$AA55,IF(MATCHED!BF55=27,MATCHED!$AB55,"."))))))</f>
        <v>#N/A</v>
      </c>
      <c r="AE55" s="356" t="e">
        <f>IF(MATCHED!BG55=1,MATCHED!$B55,IF(MATCHED!BG55=2,MATCHED!$C55,IF(MATCHED!BG55=3,MATCHED!$D55,IF(MATCHED!BG55=4,MATCHED!$E55,IF(MATCHED!BG55=3,MATCHED!$F55,IF(MATCHED!BG55=6,MATCHED!$G55,IF(MATCHED!BG55=7,MATCHED!$H55,"")))))))&amp;IF(MATCHED!BG55=8,MATCHED!$I55,IF(MATCHED!BG55=9,MATCHED!$J55,IF(MATCHED!BG55=10,MATCHED!$K55,IF(MATCHED!BG55=11,MATCHED!$L55,IF(MATCHED!BG55=12,MATCHED!$M55,IF(MATCHED!BG55=13,MATCHED!$N55,IF(MATCHED!BG55=14,MATCHED!$O55,"")))))))&amp;IF(MATCHED!BG55=15,MATCHED!$P55,IF(MATCHED!BG55=16,MATCHED!$Q55,IF(MATCHED!BG55=17,MATCHED!$R55,IF(MATCHED!BG55=18,MATCHED!$S55,IF(MATCHED!BG55=19,MATCHED!$T55,IF(MATCHED!BG55=20,MATCHED!$U55,IF(MATCHED!BG55=21,MATCHED!$V55,)))))))&amp;IF(MATCHED!BG55=22,MATCHED!$W55,IF(MATCHED!BG55=23,MATCHED!$X55,IF(MATCHED!BG55=24,MATCHED!$Y55,IF(MATCHED!BG55=25,MATCHED!$Z55,IF(MATCHED!BG55=26,MATCHED!$AA55,IF(MATCHED!BG55=27,MATCHED!$AB55,"."))))))</f>
        <v>#N/A</v>
      </c>
      <c r="AF55" s="356" t="e">
        <f>IF(MATCHED!BH55=1,MATCHED!$B55,IF(MATCHED!BH55=2,MATCHED!$C55,IF(MATCHED!BH55=3,MATCHED!$D55,IF(MATCHED!BH55=4,MATCHED!$E55,IF(MATCHED!BH55=3,MATCHED!$F55,IF(MATCHED!BH55=6,MATCHED!$G55,IF(MATCHED!BH55=7,MATCHED!$H55,"")))))))&amp;IF(MATCHED!BH55=8,MATCHED!$I55,IF(MATCHED!BH55=9,MATCHED!$J55,IF(MATCHED!BH55=10,MATCHED!$K55,IF(MATCHED!BH55=11,MATCHED!$L55,IF(MATCHED!BH55=12,MATCHED!$M55,IF(MATCHED!BH55=13,MATCHED!$N55,IF(MATCHED!BH55=14,MATCHED!$O55,"")))))))&amp;IF(MATCHED!BH55=15,MATCHED!$P55,IF(MATCHED!BH55=16,MATCHED!$Q55,IF(MATCHED!BH55=17,MATCHED!$R55,IF(MATCHED!BH55=18,MATCHED!$S55,IF(MATCHED!BH55=19,MATCHED!$T55,IF(MATCHED!BH55=20,MATCHED!$U55,IF(MATCHED!BH55=21,MATCHED!$V55,)))))))&amp;IF(MATCHED!BH55=22,MATCHED!$W55,IF(MATCHED!BH55=23,MATCHED!$X55,IF(MATCHED!BH55=24,MATCHED!$Y55,IF(MATCHED!BH55=25,MATCHED!$Z55,IF(MATCHED!BH55=26,MATCHED!$AA55,IF(MATCHED!BH55=27,MATCHED!$AB55,"."))))))</f>
        <v>#N/A</v>
      </c>
      <c r="AG55" s="356" t="e">
        <f>IF(MATCHED!BI55=1,MATCHED!$B55,IF(MATCHED!BI55=2,MATCHED!$C55,IF(MATCHED!BI55=3,MATCHED!$D55,IF(MATCHED!BI55=4,MATCHED!$E55,IF(MATCHED!BI55=3,MATCHED!$F55,IF(MATCHED!BI55=6,MATCHED!$G55,IF(MATCHED!BI55=7,MATCHED!$H55,"")))))))&amp;IF(MATCHED!BI55=8,MATCHED!$I55,IF(MATCHED!BI55=9,MATCHED!$J55,IF(MATCHED!BI55=10,MATCHED!$K55,IF(MATCHED!BI55=11,MATCHED!$L55,IF(MATCHED!BI55=12,MATCHED!$M55,IF(MATCHED!BI55=13,MATCHED!$N55,IF(MATCHED!BI55=14,MATCHED!$O55,"")))))))&amp;IF(MATCHED!BI55=15,MATCHED!$P55,IF(MATCHED!BI55=16,MATCHED!$Q55,IF(MATCHED!BI55=17,MATCHED!$R55,IF(MATCHED!BI55=18,MATCHED!$S55,IF(MATCHED!BI55=19,MATCHED!$T55,IF(MATCHED!BI55=20,MATCHED!$U55,IF(MATCHED!BI55=21,MATCHED!$V55,)))))))&amp;IF(MATCHED!BI55=22,MATCHED!$W55,IF(MATCHED!BI55=23,MATCHED!$X55,IF(MATCHED!BI55=24,MATCHED!$Y55,IF(MATCHED!BI55=25,MATCHED!$Z55,IF(MATCHED!BI55=26,MATCHED!$AA55,IF(MATCHED!BI55=27,MATCHED!$AB55,"."))))))</f>
        <v>#N/A</v>
      </c>
      <c r="AH55" s="356" t="e">
        <f>IF(MATCHED!BJ55=1,MATCHED!$B55,IF(MATCHED!BJ55=2,MATCHED!$C55,IF(MATCHED!BJ55=3,MATCHED!$D55,IF(MATCHED!BJ55=4,MATCHED!$E55,IF(MATCHED!BJ55=3,MATCHED!$F55,IF(MATCHED!BJ55=6,MATCHED!$G55,IF(MATCHED!BJ55=7,MATCHED!$H55,"")))))))&amp;IF(MATCHED!BJ55=8,MATCHED!$I55,IF(MATCHED!BJ55=9,MATCHED!$J55,IF(MATCHED!BJ55=10,MATCHED!$K55,IF(MATCHED!BJ55=11,MATCHED!$L55,IF(MATCHED!BJ55=12,MATCHED!$M55,IF(MATCHED!BJ55=13,MATCHED!$N55,IF(MATCHED!BJ55=14,MATCHED!$O55,"")))))))&amp;IF(MATCHED!BJ55=15,MATCHED!$P55,IF(MATCHED!BJ55=16,MATCHED!$Q55,IF(MATCHED!BJ55=17,MATCHED!$R55,IF(MATCHED!BJ55=18,MATCHED!$S55,IF(MATCHED!BJ55=19,MATCHED!$T55,IF(MATCHED!BJ55=20,MATCHED!$U55,IF(MATCHED!BJ55=21,MATCHED!$V55,)))))))&amp;IF(MATCHED!BJ55=22,MATCHED!$W55,IF(MATCHED!BJ55=23,MATCHED!$X55,IF(MATCHED!BJ55=24,MATCHED!$Y55,IF(MATCHED!BJ55=25,MATCHED!$Z55,IF(MATCHED!BJ55=26,MATCHED!$AA55,IF(MATCHED!BJ55=27,MATCHED!$AB55,"."))))))</f>
        <v>#N/A</v>
      </c>
      <c r="AI55" s="356" t="e">
        <f>IF(MATCHED!BK55=1,MATCHED!$B55,IF(MATCHED!BK55=2,MATCHED!$C55,IF(MATCHED!BK55=3,MATCHED!$D55,IF(MATCHED!BK55=4,MATCHED!$E55,IF(MATCHED!BK55=3,MATCHED!$F55,IF(MATCHED!BK55=6,MATCHED!$G55,IF(MATCHED!BK55=7,MATCHED!$H55,"")))))))&amp;IF(MATCHED!BK55=8,MATCHED!$I55,IF(MATCHED!BK55=9,MATCHED!$J55,IF(MATCHED!BK55=10,MATCHED!$K55,IF(MATCHED!BK55=11,MATCHED!$L55,IF(MATCHED!BK55=12,MATCHED!$M55,IF(MATCHED!BK55=13,MATCHED!$N55,IF(MATCHED!BK55=14,MATCHED!$O55,"")))))))&amp;IF(MATCHED!BK55=15,MATCHED!$P55,IF(MATCHED!BK55=16,MATCHED!$Q55,IF(MATCHED!BK55=17,MATCHED!$R55,IF(MATCHED!BK55=18,MATCHED!$S55,IF(MATCHED!BK55=19,MATCHED!$T55,IF(MATCHED!BK55=20,MATCHED!$U55,IF(MATCHED!BK55=21,MATCHED!$V55,)))))))&amp;IF(MATCHED!BK55=22,MATCHED!$W55,IF(MATCHED!BK55=23,MATCHED!$X55,IF(MATCHED!BK55=24,MATCHED!$Y55,IF(MATCHED!BK55=25,MATCHED!$Z55,IF(MATCHED!BK55=26,MATCHED!$AA55,IF(MATCHED!BK55=27,MATCHED!$AB55,"."))))))</f>
        <v>#N/A</v>
      </c>
      <c r="AJ55" s="535"/>
    </row>
    <row r="56" spans="1:36" s="338" customFormat="1" x14ac:dyDescent="0.25">
      <c r="A56" s="535"/>
      <c r="B56" s="355" t="e">
        <f>IF(MATCHED!AD56=1,MATCHED!$B56,IF(MATCHED!AD56=2,MATCHED!$C56,IF(MATCHED!AD56=3,MATCHED!$D56,IF(MATCHED!AD56=4,MATCHED!$E56,IF(MATCHED!AD56=3,MATCHED!$F56,IF(MATCHED!AD56=6,MATCHED!$G56,IF(MATCHED!AD56=7,MATCHED!$H56,"")))))))&amp;IF(MATCHED!AD56=8,MATCHED!$I56,IF(MATCHED!AD56=9,MATCHED!$J56,IF(MATCHED!AD56=10,MATCHED!$K56,IF(MATCHED!AD56=11,MATCHED!$L56,IF(MATCHED!AD56=12,MATCHED!$M56,IF(MATCHED!AD56=13,MATCHED!$N56,IF(MATCHED!AD56=14,MATCHED!$O56,"")))))))&amp;IF(MATCHED!AD56=15,MATCHED!$P56,IF(MATCHED!AD56=16,MATCHED!$Q56,IF(MATCHED!AD56=17,MATCHED!$R56,IF(MATCHED!AD56=18,MATCHED!$S56,IF(MATCHED!AD56=19,MATCHED!$T56,IF(MATCHED!AD56=20,MATCHED!$U56,IF(MATCHED!AD56=21,MATCHED!$V56,)))))))&amp;IF(MATCHED!AD56=22,MATCHED!$W56,IF(MATCHED!AD56=23,MATCHED!$X56,IF(MATCHED!AD56=24,MATCHED!$Y56,IF(MATCHED!AD56=25,MATCHED!$Z56,IF(MATCHED!AD56=26,MATCHED!$AA56,IF(MATCHED!AD56=27,MATCHED!$AB56,"."))))))</f>
        <v>#N/A</v>
      </c>
      <c r="C56" s="356" t="e">
        <f>IF(MATCHED!AE56=1,MATCHED!$B56,IF(MATCHED!AE56=2,MATCHED!$C56,IF(MATCHED!AE56=3,MATCHED!$D56,IF(MATCHED!AE56=4,MATCHED!$E56,IF(MATCHED!AE56=3,MATCHED!$F56,IF(MATCHED!AE56=6,MATCHED!$G56,IF(MATCHED!AE56=7,MATCHED!$H56,"")))))))&amp;IF(MATCHED!AE56=8,MATCHED!$I56,IF(MATCHED!AE56=9,MATCHED!$J56,IF(MATCHED!AE56=10,MATCHED!$K56,IF(MATCHED!AE56=11,MATCHED!$L56,IF(MATCHED!AE56=12,MATCHED!$M56,IF(MATCHED!AE56=13,MATCHED!$N56,IF(MATCHED!AE56=14,MATCHED!$O56,"")))))))&amp;IF(MATCHED!AE56=15,MATCHED!$P56,IF(MATCHED!AE56=16,MATCHED!$Q56,IF(MATCHED!AE56=17,MATCHED!$R56,IF(MATCHED!AE56=18,MATCHED!$S56,IF(MATCHED!AE56=19,MATCHED!$T56,IF(MATCHED!AE56=20,MATCHED!$U56,IF(MATCHED!AE56=21,MATCHED!$V56,)))))))&amp;IF(MATCHED!AE56=22,MATCHED!$W56,IF(MATCHED!AE56=23,MATCHED!$X56,IF(MATCHED!AE56=24,MATCHED!$Y56,IF(MATCHED!AE56=25,MATCHED!$Z56,IF(MATCHED!AE56=26,MATCHED!$AA56,IF(MATCHED!AE56=27,MATCHED!$AB56,"."))))))</f>
        <v>#N/A</v>
      </c>
      <c r="D56" s="356" t="e">
        <f>IF(MATCHED!AF56=1,MATCHED!$B56,IF(MATCHED!AF56=2,MATCHED!$C56,IF(MATCHED!AF56=3,MATCHED!$D56,IF(MATCHED!AF56=4,MATCHED!$E56,IF(MATCHED!AF56=3,MATCHED!$F56,IF(MATCHED!AF56=6,MATCHED!$G56,IF(MATCHED!AF56=7,MATCHED!$H56,"")))))))&amp;IF(MATCHED!AF56=8,MATCHED!$I56,IF(MATCHED!AF56=9,MATCHED!$J56,IF(MATCHED!AF56=10,MATCHED!$K56,IF(MATCHED!AF56=11,MATCHED!$L56,IF(MATCHED!AF56=12,MATCHED!$M56,IF(MATCHED!AF56=13,MATCHED!$N56,IF(MATCHED!AF56=14,MATCHED!$O56,"")))))))&amp;IF(MATCHED!AF56=15,MATCHED!$P56,IF(MATCHED!AF56=16,MATCHED!$Q56,IF(MATCHED!AF56=17,MATCHED!$R56,IF(MATCHED!AF56=18,MATCHED!$S56,IF(MATCHED!AF56=19,MATCHED!$T56,IF(MATCHED!AF56=20,MATCHED!$U56,IF(MATCHED!AF56=21,MATCHED!$V56,)))))))&amp;IF(MATCHED!AF56=22,MATCHED!$W56,IF(MATCHED!AF56=23,MATCHED!$X56,IF(MATCHED!AF56=24,MATCHED!$Y56,IF(MATCHED!AF56=25,MATCHED!$Z56,IF(MATCHED!AF56=26,MATCHED!$AA56,IF(MATCHED!AF56=27,MATCHED!$AB56,"."))))))</f>
        <v>#N/A</v>
      </c>
      <c r="E56" s="356" t="e">
        <f>IF(MATCHED!AG56=1,MATCHED!$B56,IF(MATCHED!AG56=2,MATCHED!$C56,IF(MATCHED!AG56=3,MATCHED!$D56,IF(MATCHED!AG56=4,MATCHED!$E56,IF(MATCHED!AG56=3,MATCHED!$F56,IF(MATCHED!AG56=6,MATCHED!$G56,IF(MATCHED!AG56=7,MATCHED!$H56,"")))))))&amp;IF(MATCHED!AG56=8,MATCHED!$I56,IF(MATCHED!AG56=9,MATCHED!$J56,IF(MATCHED!AG56=10,MATCHED!$K56,IF(MATCHED!AG56=11,MATCHED!$L56,IF(MATCHED!AG56=12,MATCHED!$M56,IF(MATCHED!AG56=13,MATCHED!$N56,IF(MATCHED!AG56=14,MATCHED!$O56,"")))))))&amp;IF(MATCHED!AG56=15,MATCHED!$P56,IF(MATCHED!AG56=16,MATCHED!$Q56,IF(MATCHED!AG56=17,MATCHED!$R56,IF(MATCHED!AG56=18,MATCHED!$S56,IF(MATCHED!AG56=19,MATCHED!$T56,IF(MATCHED!AG56=20,MATCHED!$U56,IF(MATCHED!AG56=21,MATCHED!$V56,)))))))&amp;IF(MATCHED!AG56=22,MATCHED!$W56,IF(MATCHED!AG56=23,MATCHED!$X56,IF(MATCHED!AG56=24,MATCHED!$Y56,IF(MATCHED!AG56=25,MATCHED!$Z56,IF(MATCHED!AG56=26,MATCHED!$AA56,IF(MATCHED!AG56=27,MATCHED!$AB56,"."))))))</f>
        <v>#N/A</v>
      </c>
      <c r="F56" s="356" t="e">
        <f>IF(MATCHED!AH56=1,MATCHED!$B56,IF(MATCHED!AH56=2,MATCHED!$C56,IF(MATCHED!AH56=3,MATCHED!$D56,IF(MATCHED!AH56=4,MATCHED!$E56,IF(MATCHED!AH56=3,MATCHED!$F56,IF(MATCHED!AH56=6,MATCHED!$G56,IF(MATCHED!AH56=7,MATCHED!$H56,"")))))))&amp;IF(MATCHED!AH56=8,MATCHED!$I56,IF(MATCHED!AH56=9,MATCHED!$J56,IF(MATCHED!AH56=10,MATCHED!$K56,IF(MATCHED!AH56=11,MATCHED!$L56,IF(MATCHED!AH56=12,MATCHED!$M56,IF(MATCHED!AH56=13,MATCHED!$N56,IF(MATCHED!AH56=14,MATCHED!$O56,"")))))))&amp;IF(MATCHED!AH56=15,MATCHED!$P56,IF(MATCHED!AH56=16,MATCHED!$Q56,IF(MATCHED!AH56=17,MATCHED!$R56,IF(MATCHED!AH56=18,MATCHED!$S56,IF(MATCHED!AH56=19,MATCHED!$T56,IF(MATCHED!AH56=20,MATCHED!$U56,IF(MATCHED!AH56=21,MATCHED!$V56,)))))))&amp;IF(MATCHED!AH56=22,MATCHED!$W56,IF(MATCHED!AH56=23,MATCHED!$X56,IF(MATCHED!AH56=24,MATCHED!$Y56,IF(MATCHED!AH56=25,MATCHED!$Z56,IF(MATCHED!AH56=26,MATCHED!$AA56,IF(MATCHED!AH56=27,MATCHED!$AB56,"."))))))</f>
        <v>#N/A</v>
      </c>
      <c r="G56" s="356" t="e">
        <f>IF(MATCHED!AI56=1,MATCHED!$B56,IF(MATCHED!AI56=2,MATCHED!$C56,IF(MATCHED!AI56=3,MATCHED!$D56,IF(MATCHED!AI56=4,MATCHED!$E56,IF(MATCHED!AI56=3,MATCHED!$F56,IF(MATCHED!AI56=6,MATCHED!$G56,IF(MATCHED!AI56=7,MATCHED!$H56,"")))))))&amp;IF(MATCHED!AI56=8,MATCHED!$I56,IF(MATCHED!AI56=9,MATCHED!$J56,IF(MATCHED!AI56=10,MATCHED!$K56,IF(MATCHED!AI56=11,MATCHED!$L56,IF(MATCHED!AI56=12,MATCHED!$M56,IF(MATCHED!AI56=13,MATCHED!$N56,IF(MATCHED!AI56=14,MATCHED!$O56,"")))))))&amp;IF(MATCHED!AI56=15,MATCHED!$P56,IF(MATCHED!AI56=16,MATCHED!$Q56,IF(MATCHED!AI56=17,MATCHED!$R56,IF(MATCHED!AI56=18,MATCHED!$S56,IF(MATCHED!AI56=19,MATCHED!$T56,IF(MATCHED!AI56=20,MATCHED!$U56,IF(MATCHED!AI56=21,MATCHED!$V56,)))))))&amp;IF(MATCHED!AI56=22,MATCHED!$W56,IF(MATCHED!AI56=23,MATCHED!$X56,IF(MATCHED!AI56=24,MATCHED!$Y56,IF(MATCHED!AI56=25,MATCHED!$Z56,IF(MATCHED!AI56=26,MATCHED!$AA56,IF(MATCHED!AI56=27,MATCHED!$AB56,"."))))))</f>
        <v>#N/A</v>
      </c>
      <c r="H56" s="356" t="e">
        <f>IF(MATCHED!AJ56=1,MATCHED!$B56,IF(MATCHED!AJ56=2,MATCHED!$C56,IF(MATCHED!AJ56=3,MATCHED!$D56,IF(MATCHED!AJ56=4,MATCHED!$E56,IF(MATCHED!AJ56=3,MATCHED!$F56,IF(MATCHED!AJ56=6,MATCHED!$G56,IF(MATCHED!AJ56=7,MATCHED!$H56,"")))))))&amp;IF(MATCHED!AJ56=8,MATCHED!$I56,IF(MATCHED!AJ56=9,MATCHED!$J56,IF(MATCHED!AJ56=10,MATCHED!$K56,IF(MATCHED!AJ56=11,MATCHED!$L56,IF(MATCHED!AJ56=12,MATCHED!$M56,IF(MATCHED!AJ56=13,MATCHED!$N56,IF(MATCHED!AJ56=14,MATCHED!$O56,"")))))))&amp;IF(MATCHED!AJ56=15,MATCHED!$P56,IF(MATCHED!AJ56=16,MATCHED!$Q56,IF(MATCHED!AJ56=17,MATCHED!$R56,IF(MATCHED!AJ56=18,MATCHED!$S56,IF(MATCHED!AJ56=19,MATCHED!$T56,IF(MATCHED!AJ56=20,MATCHED!$U56,IF(MATCHED!AJ56=21,MATCHED!$V56,)))))))&amp;IF(MATCHED!AJ56=22,MATCHED!$W56,IF(MATCHED!AJ56=23,MATCHED!$X56,IF(MATCHED!AJ56=24,MATCHED!$Y56,IF(MATCHED!AJ56=25,MATCHED!$Z56,IF(MATCHED!AJ56=26,MATCHED!$AA56,IF(MATCHED!AJ56=27,MATCHED!$AB56,"."))))))</f>
        <v>#N/A</v>
      </c>
      <c r="I56" s="356" t="e">
        <f>IF(MATCHED!AK56=1,MATCHED!$B56,IF(MATCHED!AK56=2,MATCHED!$C56,IF(MATCHED!AK56=3,MATCHED!$D56,IF(MATCHED!AK56=4,MATCHED!$E56,IF(MATCHED!AK56=3,MATCHED!$F56,IF(MATCHED!AK56=6,MATCHED!$G56,IF(MATCHED!AK56=7,MATCHED!$H56,"")))))))&amp;IF(MATCHED!AK56=8,MATCHED!$I56,IF(MATCHED!AK56=9,MATCHED!$J56,IF(MATCHED!AK56=10,MATCHED!$K56,IF(MATCHED!AK56=11,MATCHED!$L56,IF(MATCHED!AK56=12,MATCHED!$M56,IF(MATCHED!AK56=13,MATCHED!$N56,IF(MATCHED!AK56=14,MATCHED!$O56,"")))))))&amp;IF(MATCHED!AK56=15,MATCHED!$P56,IF(MATCHED!AK56=16,MATCHED!$Q56,IF(MATCHED!AK56=17,MATCHED!$R56,IF(MATCHED!AK56=18,MATCHED!$S56,IF(MATCHED!AK56=19,MATCHED!$T56,IF(MATCHED!AK56=20,MATCHED!$U56,IF(MATCHED!AK56=21,MATCHED!$V56,)))))))&amp;IF(MATCHED!AK56=22,MATCHED!$W56,IF(MATCHED!AK56=23,MATCHED!$X56,IF(MATCHED!AK56=24,MATCHED!$Y56,IF(MATCHED!AK56=25,MATCHED!$Z56,IF(MATCHED!AK56=26,MATCHED!$AA56,IF(MATCHED!AK56=27,MATCHED!$AB56,"."))))))</f>
        <v>#N/A</v>
      </c>
      <c r="J56" s="356" t="e">
        <f>IF(MATCHED!AL56=1,MATCHED!$B56,IF(MATCHED!AL56=2,MATCHED!$C56,IF(MATCHED!AL56=3,MATCHED!$D56,IF(MATCHED!AL56=4,MATCHED!$E56,IF(MATCHED!AL56=3,MATCHED!$F56,IF(MATCHED!AL56=6,MATCHED!$G56,IF(MATCHED!AL56=7,MATCHED!$H56,"")))))))&amp;IF(MATCHED!AL56=8,MATCHED!$I56,IF(MATCHED!AL56=9,MATCHED!$J56,IF(MATCHED!AL56=10,MATCHED!$K56,IF(MATCHED!AL56=11,MATCHED!$L56,IF(MATCHED!AL56=12,MATCHED!$M56,IF(MATCHED!AL56=13,MATCHED!$N56,IF(MATCHED!AL56=14,MATCHED!$O56,"")))))))&amp;IF(MATCHED!AL56=15,MATCHED!$P56,IF(MATCHED!AL56=16,MATCHED!$Q56,IF(MATCHED!AL56=17,MATCHED!$R56,IF(MATCHED!AL56=18,MATCHED!$S56,IF(MATCHED!AL56=19,MATCHED!$T56,IF(MATCHED!AL56=20,MATCHED!$U56,IF(MATCHED!AL56=21,MATCHED!$V56,)))))))&amp;IF(MATCHED!AL56=22,MATCHED!$W56,IF(MATCHED!AL56=23,MATCHED!$X56,IF(MATCHED!AL56=24,MATCHED!$Y56,IF(MATCHED!AL56=25,MATCHED!$Z56,IF(MATCHED!AL56=26,MATCHED!$AA56,IF(MATCHED!AL56=27,MATCHED!$AB56,"."))))))</f>
        <v>#N/A</v>
      </c>
      <c r="K56" s="356" t="e">
        <f>IF(MATCHED!AM56=1,MATCHED!$B56,IF(MATCHED!AM56=2,MATCHED!$C56,IF(MATCHED!AM56=3,MATCHED!$D56,IF(MATCHED!AM56=4,MATCHED!$E56,IF(MATCHED!AM56=3,MATCHED!$F56,IF(MATCHED!AM56=6,MATCHED!$G56,IF(MATCHED!AM56=7,MATCHED!$H56,"")))))))&amp;IF(MATCHED!AM56=8,MATCHED!$I56,IF(MATCHED!AM56=9,MATCHED!$J56,IF(MATCHED!AM56=10,MATCHED!$K56,IF(MATCHED!AM56=11,MATCHED!$L56,IF(MATCHED!AM56=12,MATCHED!$M56,IF(MATCHED!AM56=13,MATCHED!$N56,IF(MATCHED!AM56=14,MATCHED!$O56,"")))))))&amp;IF(MATCHED!AM56=15,MATCHED!$P56,IF(MATCHED!AM56=16,MATCHED!$Q56,IF(MATCHED!AM56=17,MATCHED!$R56,IF(MATCHED!AM56=18,MATCHED!$S56,IF(MATCHED!AM56=19,MATCHED!$T56,IF(MATCHED!AM56=20,MATCHED!$U56,IF(MATCHED!AM56=21,MATCHED!$V56,)))))))&amp;IF(MATCHED!AM56=22,MATCHED!$W56,IF(MATCHED!AM56=23,MATCHED!$X56,IF(MATCHED!AM56=24,MATCHED!$Y56,IF(MATCHED!AM56=25,MATCHED!$Z56,IF(MATCHED!AM56=26,MATCHED!$AA56,IF(MATCHED!AM56=27,MATCHED!$AB56,"."))))))</f>
        <v>#N/A</v>
      </c>
      <c r="L56" s="356" t="e">
        <f>IF(MATCHED!AN56=1,MATCHED!$B56,IF(MATCHED!AN56=2,MATCHED!$C56,IF(MATCHED!AN56=3,MATCHED!$D56,IF(MATCHED!AN56=4,MATCHED!$E56,IF(MATCHED!AN56=3,MATCHED!$F56,IF(MATCHED!AN56=6,MATCHED!$G56,IF(MATCHED!AN56=7,MATCHED!$H56,"")))))))&amp;IF(MATCHED!AN56=8,MATCHED!$I56,IF(MATCHED!AN56=9,MATCHED!$J56,IF(MATCHED!AN56=10,MATCHED!$K56,IF(MATCHED!AN56=11,MATCHED!$L56,IF(MATCHED!AN56=12,MATCHED!$M56,IF(MATCHED!AN56=13,MATCHED!$N56,IF(MATCHED!AN56=14,MATCHED!$O56,"")))))))&amp;IF(MATCHED!AN56=15,MATCHED!$P56,IF(MATCHED!AN56=16,MATCHED!$Q56,IF(MATCHED!AN56=17,MATCHED!$R56,IF(MATCHED!AN56=18,MATCHED!$S56,IF(MATCHED!AN56=19,MATCHED!$T56,IF(MATCHED!AN56=20,MATCHED!$U56,IF(MATCHED!AN56=21,MATCHED!$V56,)))))))&amp;IF(MATCHED!AN56=22,MATCHED!$W56,IF(MATCHED!AN56=23,MATCHED!$X56,IF(MATCHED!AN56=24,MATCHED!$Y56,IF(MATCHED!AN56=25,MATCHED!$Z56,IF(MATCHED!AN56=26,MATCHED!$AA56,IF(MATCHED!AN56=27,MATCHED!$AB56,"."))))))</f>
        <v>#N/A</v>
      </c>
      <c r="M56" s="356" t="e">
        <f>IF(MATCHED!AO56=1,MATCHED!$B56,IF(MATCHED!AO56=2,MATCHED!$C56,IF(MATCHED!AO56=3,MATCHED!$D56,IF(MATCHED!AO56=4,MATCHED!$E56,IF(MATCHED!AO56=3,MATCHED!$F56,IF(MATCHED!AO56=6,MATCHED!$G56,IF(MATCHED!AO56=7,MATCHED!$H56,"")))))))&amp;IF(MATCHED!AO56=8,MATCHED!$I56,IF(MATCHED!AO56=9,MATCHED!$J56,IF(MATCHED!AO56=10,MATCHED!$K56,IF(MATCHED!AO56=11,MATCHED!$L56,IF(MATCHED!AO56=12,MATCHED!$M56,IF(MATCHED!AO56=13,MATCHED!$N56,IF(MATCHED!AO56=14,MATCHED!$O56,"")))))))&amp;IF(MATCHED!AO56=15,MATCHED!$P56,IF(MATCHED!AO56=16,MATCHED!$Q56,IF(MATCHED!AO56=17,MATCHED!$R56,IF(MATCHED!AO56=18,MATCHED!$S56,IF(MATCHED!AO56=19,MATCHED!$T56,IF(MATCHED!AO56=20,MATCHED!$U56,IF(MATCHED!AO56=21,MATCHED!$V56,)))))))&amp;IF(MATCHED!AO56=22,MATCHED!$W56,IF(MATCHED!AO56=23,MATCHED!$X56,IF(MATCHED!AO56=24,MATCHED!$Y56,IF(MATCHED!AO56=25,MATCHED!$Z56,IF(MATCHED!AO56=26,MATCHED!$AA56,IF(MATCHED!AO56=27,MATCHED!$AB56,"."))))))</f>
        <v>#N/A</v>
      </c>
      <c r="N56" s="356" t="e">
        <f>IF(MATCHED!AP56=1,MATCHED!$B56,IF(MATCHED!AP56=2,MATCHED!$C56,IF(MATCHED!AP56=3,MATCHED!$D56,IF(MATCHED!AP56=4,MATCHED!$E56,IF(MATCHED!AP56=3,MATCHED!$F56,IF(MATCHED!AP56=6,MATCHED!$G56,IF(MATCHED!AP56=7,MATCHED!$H56,"")))))))&amp;IF(MATCHED!AP56=8,MATCHED!$I56,IF(MATCHED!AP56=9,MATCHED!$J56,IF(MATCHED!AP56=10,MATCHED!$K56,IF(MATCHED!AP56=11,MATCHED!$L56,IF(MATCHED!AP56=12,MATCHED!$M56,IF(MATCHED!AP56=13,MATCHED!$N56,IF(MATCHED!AP56=14,MATCHED!$O56,"")))))))&amp;IF(MATCHED!AP56=15,MATCHED!$P56,IF(MATCHED!AP56=16,MATCHED!$Q56,IF(MATCHED!AP56=17,MATCHED!$R56,IF(MATCHED!AP56=18,MATCHED!$S56,IF(MATCHED!AP56=19,MATCHED!$T56,IF(MATCHED!AP56=20,MATCHED!$U56,IF(MATCHED!AP56=21,MATCHED!$V56,)))))))&amp;IF(MATCHED!AP56=22,MATCHED!$W56,IF(MATCHED!AP56=23,MATCHED!$X56,IF(MATCHED!AP56=24,MATCHED!$Y56,IF(MATCHED!AP56=25,MATCHED!$Z56,IF(MATCHED!AP56=26,MATCHED!$AA56,IF(MATCHED!AP56=27,MATCHED!$AB56,"."))))))</f>
        <v>#N/A</v>
      </c>
      <c r="O56" s="356" t="e">
        <f>IF(MATCHED!AQ56=1,MATCHED!$B56,IF(MATCHED!AQ56=2,MATCHED!$C56,IF(MATCHED!AQ56=3,MATCHED!$D56,IF(MATCHED!AQ56=4,MATCHED!$E56,IF(MATCHED!AQ56=3,MATCHED!$F56,IF(MATCHED!AQ56=6,MATCHED!$G56,IF(MATCHED!AQ56=7,MATCHED!$H56,"")))))))&amp;IF(MATCHED!AQ56=8,MATCHED!$I56,IF(MATCHED!AQ56=9,MATCHED!$J56,IF(MATCHED!AQ56=10,MATCHED!$K56,IF(MATCHED!AQ56=11,MATCHED!$L56,IF(MATCHED!AQ56=12,MATCHED!$M56,IF(MATCHED!AQ56=13,MATCHED!$N56,IF(MATCHED!AQ56=14,MATCHED!$O56,"")))))))&amp;IF(MATCHED!AQ56=15,MATCHED!$P56,IF(MATCHED!AQ56=16,MATCHED!$Q56,IF(MATCHED!AQ56=17,MATCHED!$R56,IF(MATCHED!AQ56=18,MATCHED!$S56,IF(MATCHED!AQ56=19,MATCHED!$T56,IF(MATCHED!AQ56=20,MATCHED!$U56,IF(MATCHED!AQ56=21,MATCHED!$V56,)))))))&amp;IF(MATCHED!AQ56=22,MATCHED!$W56,IF(MATCHED!AQ56=23,MATCHED!$X56,IF(MATCHED!AQ56=24,MATCHED!$Y56,IF(MATCHED!AQ56=25,MATCHED!$Z56,IF(MATCHED!AQ56=26,MATCHED!$AA56,IF(MATCHED!AQ56=27,MATCHED!$AB56,"."))))))</f>
        <v>#N/A</v>
      </c>
      <c r="P56" s="356" t="e">
        <f>IF(MATCHED!AR56=1,MATCHED!$B56,IF(MATCHED!AR56=2,MATCHED!$C56,IF(MATCHED!AR56=3,MATCHED!$D56,IF(MATCHED!AR56=4,MATCHED!$E56,IF(MATCHED!AR56=3,MATCHED!$F56,IF(MATCHED!AR56=6,MATCHED!$G56,IF(MATCHED!AR56=7,MATCHED!$H56,"")))))))&amp;IF(MATCHED!AR56=8,MATCHED!$I56,IF(MATCHED!AR56=9,MATCHED!$J56,IF(MATCHED!AR56=10,MATCHED!$K56,IF(MATCHED!AR56=11,MATCHED!$L56,IF(MATCHED!AR56=12,MATCHED!$M56,IF(MATCHED!AR56=13,MATCHED!$N56,IF(MATCHED!AR56=14,MATCHED!$O56,"")))))))&amp;IF(MATCHED!AR56=15,MATCHED!$P56,IF(MATCHED!AR56=16,MATCHED!$Q56,IF(MATCHED!AR56=17,MATCHED!$R56,IF(MATCHED!AR56=18,MATCHED!$S56,IF(MATCHED!AR56=19,MATCHED!$T56,IF(MATCHED!AR56=20,MATCHED!$U56,IF(MATCHED!AR56=21,MATCHED!$V56,)))))))&amp;IF(MATCHED!AR56=22,MATCHED!$W56,IF(MATCHED!AR56=23,MATCHED!$X56,IF(MATCHED!AR56=24,MATCHED!$Y56,IF(MATCHED!AR56=25,MATCHED!$Z56,IF(MATCHED!AR56=26,MATCHED!$AA56,IF(MATCHED!AR56=27,MATCHED!$AB56,"."))))))</f>
        <v>#N/A</v>
      </c>
      <c r="Q56" s="357" t="e">
        <f>IF(MATCHED!AS56=1,MATCHED!$B56,IF(MATCHED!AS56=2,MATCHED!$C56,IF(MATCHED!AS56=3,MATCHED!$D56,IF(MATCHED!AS56=4,MATCHED!$E56,IF(MATCHED!AS56=3,MATCHED!$F56,IF(MATCHED!AS56=6,MATCHED!$G56,IF(MATCHED!AS56=7,MATCHED!$H56,"")))))))&amp;IF(MATCHED!AS56=8,MATCHED!$I56,IF(MATCHED!AS56=9,MATCHED!$J56,IF(MATCHED!AS56=10,MATCHED!$K56,IF(MATCHED!AS56=11,MATCHED!$L56,IF(MATCHED!AS56=12,MATCHED!$M56,IF(MATCHED!AS56=13,MATCHED!$N56,IF(MATCHED!AS56=14,MATCHED!$O56,"")))))))&amp;IF(MATCHED!AS56=15,MATCHED!$P56,IF(MATCHED!AS56=16,MATCHED!$Q56,IF(MATCHED!AS56=17,MATCHED!$R56,IF(MATCHED!AS56=18,MATCHED!$S56,IF(MATCHED!AS56=19,MATCHED!$T56,IF(MATCHED!AS56=20,MATCHED!$U56,IF(MATCHED!AS56=21,MATCHED!$V56,)))))))&amp;IF(MATCHED!AS56=22,MATCHED!$W56,IF(MATCHED!AS56=23,MATCHED!$X56,IF(MATCHED!AS56=24,MATCHED!$Y56,IF(MATCHED!AS56=25,MATCHED!$Z56,IF(MATCHED!AS56=26,MATCHED!$AA56,IF(MATCHED!AS56=27,MATCHED!$AB56,"."))))))</f>
        <v>#N/A</v>
      </c>
      <c r="R56" s="356" t="e">
        <f>IF(MATCHED!AT56=1,MATCHED!$B56,IF(MATCHED!AT56=2,MATCHED!$C56,IF(MATCHED!AT56=3,MATCHED!$D56,IF(MATCHED!AT56=4,MATCHED!$E56,IF(MATCHED!AT56=3,MATCHED!$F56,IF(MATCHED!AT56=6,MATCHED!$G56,IF(MATCHED!AT56=7,MATCHED!$H56,"")))))))&amp;IF(MATCHED!AT56=8,MATCHED!$I56,IF(MATCHED!AT56=9,MATCHED!$J56,IF(MATCHED!AT56=10,MATCHED!$K56,IF(MATCHED!AT56=11,MATCHED!$L56,IF(MATCHED!AT56=12,MATCHED!$M56,IF(MATCHED!AT56=13,MATCHED!$N56,IF(MATCHED!AT56=14,MATCHED!$O56,"")))))))&amp;IF(MATCHED!AT56=15,MATCHED!$P56,IF(MATCHED!AT56=16,MATCHED!$Q56,IF(MATCHED!AT56=17,MATCHED!$R56,IF(MATCHED!AT56=18,MATCHED!$S56,IF(MATCHED!AT56=19,MATCHED!$T56,IF(MATCHED!AT56=20,MATCHED!$U56,IF(MATCHED!AT56=21,MATCHED!$V56,)))))))&amp;IF(MATCHED!AT56=22,MATCHED!$W56,IF(MATCHED!AT56=23,MATCHED!$X56,IF(MATCHED!AT56=24,MATCHED!$Y56,IF(MATCHED!AT56=25,MATCHED!$Z56,IF(MATCHED!AT56=26,MATCHED!$AA56,IF(MATCHED!AT56=27,MATCHED!$AB56,"."))))))</f>
        <v>#N/A</v>
      </c>
      <c r="S56" s="356" t="e">
        <f>IF(MATCHED!AU56=1,MATCHED!$B56,IF(MATCHED!AU56=2,MATCHED!$C56,IF(MATCHED!AU56=3,MATCHED!$D56,IF(MATCHED!AU56=4,MATCHED!$E56,IF(MATCHED!AU56=3,MATCHED!$F56,IF(MATCHED!AU56=6,MATCHED!$G56,IF(MATCHED!AU56=7,MATCHED!$H56,"")))))))&amp;IF(MATCHED!AU56=8,MATCHED!$I56,IF(MATCHED!AU56=9,MATCHED!$J56,IF(MATCHED!AU56=10,MATCHED!$K56,IF(MATCHED!AU56=11,MATCHED!$L56,IF(MATCHED!AU56=12,MATCHED!$M56,IF(MATCHED!AU56=13,MATCHED!$N56,IF(MATCHED!AU56=14,MATCHED!$O56,"")))))))&amp;IF(MATCHED!AU56=15,MATCHED!$P56,IF(MATCHED!AU56=16,MATCHED!$Q56,IF(MATCHED!AU56=17,MATCHED!$R56,IF(MATCHED!AU56=18,MATCHED!$S56,IF(MATCHED!AU56=19,MATCHED!$T56,IF(MATCHED!AU56=20,MATCHED!$U56,IF(MATCHED!AU56=21,MATCHED!$V56,)))))))&amp;IF(MATCHED!AU56=22,MATCHED!$W56,IF(MATCHED!AU56=23,MATCHED!$X56,IF(MATCHED!AU56=24,MATCHED!$Y56,IF(MATCHED!AU56=25,MATCHED!$Z56,IF(MATCHED!AU56=26,MATCHED!$AA56,IF(MATCHED!AU56=27,MATCHED!$AB56,"."))))))</f>
        <v>#N/A</v>
      </c>
      <c r="T56" s="356" t="e">
        <f>IF(MATCHED!AV56=1,MATCHED!$B56,IF(MATCHED!AV56=2,MATCHED!$C56,IF(MATCHED!AV56=3,MATCHED!$D56,IF(MATCHED!AV56=4,MATCHED!$E56,IF(MATCHED!AV56=3,MATCHED!$F56,IF(MATCHED!AV56=6,MATCHED!$G56,IF(MATCHED!AV56=7,MATCHED!$H56,"")))))))&amp;IF(MATCHED!AV56=8,MATCHED!$I56,IF(MATCHED!AV56=9,MATCHED!$J56,IF(MATCHED!AV56=10,MATCHED!$K56,IF(MATCHED!AV56=11,MATCHED!$L56,IF(MATCHED!AV56=12,MATCHED!$M56,IF(MATCHED!AV56=13,MATCHED!$N56,IF(MATCHED!AV56=14,MATCHED!$O56,"")))))))&amp;IF(MATCHED!AV56=15,MATCHED!$P56,IF(MATCHED!AV56=16,MATCHED!$Q56,IF(MATCHED!AV56=17,MATCHED!$R56,IF(MATCHED!AV56=18,MATCHED!$S56,IF(MATCHED!AV56=19,MATCHED!$T56,IF(MATCHED!AV56=20,MATCHED!$U56,IF(MATCHED!AV56=21,MATCHED!$V56,)))))))&amp;IF(MATCHED!AV56=22,MATCHED!$W56,IF(MATCHED!AV56=23,MATCHED!$X56,IF(MATCHED!AV56=24,MATCHED!$Y56,IF(MATCHED!AV56=25,MATCHED!$Z56,IF(MATCHED!AV56=26,MATCHED!$AA56,IF(MATCHED!AV56=27,MATCHED!$AB56,"."))))))</f>
        <v>#N/A</v>
      </c>
      <c r="U56" s="356" t="e">
        <f>IF(MATCHED!AW56=1,MATCHED!$B56,IF(MATCHED!AW56=2,MATCHED!$C56,IF(MATCHED!AW56=3,MATCHED!$D56,IF(MATCHED!AW56=4,MATCHED!$E56,IF(MATCHED!AW56=3,MATCHED!$F56,IF(MATCHED!AW56=6,MATCHED!$G56,IF(MATCHED!AW56=7,MATCHED!$H56,"")))))))&amp;IF(MATCHED!AW56=8,MATCHED!$I56,IF(MATCHED!AW56=9,MATCHED!$J56,IF(MATCHED!AW56=10,MATCHED!$K56,IF(MATCHED!AW56=11,MATCHED!$L56,IF(MATCHED!AW56=12,MATCHED!$M56,IF(MATCHED!AW56=13,MATCHED!$N56,IF(MATCHED!AW56=14,MATCHED!$O56,"")))))))&amp;IF(MATCHED!AW56=15,MATCHED!$P56,IF(MATCHED!AW56=16,MATCHED!$Q56,IF(MATCHED!AW56=17,MATCHED!$R56,IF(MATCHED!AW56=18,MATCHED!$S56,IF(MATCHED!AW56=19,MATCHED!$T56,IF(MATCHED!AW56=20,MATCHED!$U56,IF(MATCHED!AW56=21,MATCHED!$V56,)))))))&amp;IF(MATCHED!AW56=22,MATCHED!$W56,IF(MATCHED!AW56=23,MATCHED!$X56,IF(MATCHED!AW56=24,MATCHED!$Y56,IF(MATCHED!AW56=25,MATCHED!$Z56,IF(MATCHED!AW56=26,MATCHED!$AA56,IF(MATCHED!AW56=27,MATCHED!$AB56,"."))))))</f>
        <v>#N/A</v>
      </c>
      <c r="V56" s="356" t="e">
        <f>IF(MATCHED!AX56=1,MATCHED!$B56,IF(MATCHED!AX56=2,MATCHED!$C56,IF(MATCHED!AX56=3,MATCHED!$D56,IF(MATCHED!AX56=4,MATCHED!$E56,IF(MATCHED!AX56=3,MATCHED!$F56,IF(MATCHED!AX56=6,MATCHED!$G56,IF(MATCHED!AX56=7,MATCHED!$H56,"")))))))&amp;IF(MATCHED!AX56=8,MATCHED!$I56,IF(MATCHED!AX56=9,MATCHED!$J56,IF(MATCHED!AX56=10,MATCHED!$K56,IF(MATCHED!AX56=11,MATCHED!$L56,IF(MATCHED!AX56=12,MATCHED!$M56,IF(MATCHED!AX56=13,MATCHED!$N56,IF(MATCHED!AX56=14,MATCHED!$O56,"")))))))&amp;IF(MATCHED!AX56=15,MATCHED!$P56,IF(MATCHED!AX56=16,MATCHED!$Q56,IF(MATCHED!AX56=17,MATCHED!$R56,IF(MATCHED!AX56=18,MATCHED!$S56,IF(MATCHED!AX56=19,MATCHED!$T56,IF(MATCHED!AX56=20,MATCHED!$U56,IF(MATCHED!AX56=21,MATCHED!$V56,)))))))&amp;IF(MATCHED!AX56=22,MATCHED!$W56,IF(MATCHED!AX56=23,MATCHED!$X56,IF(MATCHED!AX56=24,MATCHED!$Y56,IF(MATCHED!AX56=25,MATCHED!$Z56,IF(MATCHED!AX56=26,MATCHED!$AA56,IF(MATCHED!AX56=27,MATCHED!$AB56,"."))))))</f>
        <v>#N/A</v>
      </c>
      <c r="W56" s="356" t="e">
        <f>IF(MATCHED!AY56=1,MATCHED!$B56,IF(MATCHED!AY56=2,MATCHED!$C56,IF(MATCHED!AY56=3,MATCHED!$D56,IF(MATCHED!AY56=4,MATCHED!$E56,IF(MATCHED!AY56=3,MATCHED!$F56,IF(MATCHED!AY56=6,MATCHED!$G56,IF(MATCHED!AY56=7,MATCHED!$H56,"")))))))&amp;IF(MATCHED!AY56=8,MATCHED!$I56,IF(MATCHED!AY56=9,MATCHED!$J56,IF(MATCHED!AY56=10,MATCHED!$K56,IF(MATCHED!AY56=11,MATCHED!$L56,IF(MATCHED!AY56=12,MATCHED!$M56,IF(MATCHED!AY56=13,MATCHED!$N56,IF(MATCHED!AY56=14,MATCHED!$O56,"")))))))&amp;IF(MATCHED!AY56=15,MATCHED!$P56,IF(MATCHED!AY56=16,MATCHED!$Q56,IF(MATCHED!AY56=17,MATCHED!$R56,IF(MATCHED!AY56=18,MATCHED!$S56,IF(MATCHED!AY56=19,MATCHED!$T56,IF(MATCHED!AY56=20,MATCHED!$U56,IF(MATCHED!AY56=21,MATCHED!$V56,)))))))&amp;IF(MATCHED!AY56=22,MATCHED!$W56,IF(MATCHED!AY56=23,MATCHED!$X56,IF(MATCHED!AY56=24,MATCHED!$Y56,IF(MATCHED!AY56=25,MATCHED!$Z56,IF(MATCHED!AY56=26,MATCHED!$AA56,IF(MATCHED!AY56=27,MATCHED!$AB56,"."))))))</f>
        <v>#N/A</v>
      </c>
      <c r="X56" s="356" t="e">
        <f>IF(MATCHED!AZ56=1,MATCHED!$B56,IF(MATCHED!AZ56=2,MATCHED!$C56,IF(MATCHED!AZ56=3,MATCHED!$D56,IF(MATCHED!AZ56=4,MATCHED!$E56,IF(MATCHED!AZ56=3,MATCHED!$F56,IF(MATCHED!AZ56=6,MATCHED!$G56,IF(MATCHED!AZ56=7,MATCHED!$H56,"")))))))&amp;IF(MATCHED!AZ56=8,MATCHED!$I56,IF(MATCHED!AZ56=9,MATCHED!$J56,IF(MATCHED!AZ56=10,MATCHED!$K56,IF(MATCHED!AZ56=11,MATCHED!$L56,IF(MATCHED!AZ56=12,MATCHED!$M56,IF(MATCHED!AZ56=13,MATCHED!$N56,IF(MATCHED!AZ56=14,MATCHED!$O56,"")))))))&amp;IF(MATCHED!AZ56=15,MATCHED!$P56,IF(MATCHED!AZ56=16,MATCHED!$Q56,IF(MATCHED!AZ56=17,MATCHED!$R56,IF(MATCHED!AZ56=18,MATCHED!$S56,IF(MATCHED!AZ56=19,MATCHED!$T56,IF(MATCHED!AZ56=20,MATCHED!$U56,IF(MATCHED!AZ56=21,MATCHED!$V56,)))))))&amp;IF(MATCHED!AZ56=22,MATCHED!$W56,IF(MATCHED!AZ56=23,MATCHED!$X56,IF(MATCHED!AZ56=24,MATCHED!$Y56,IF(MATCHED!AZ56=25,MATCHED!$Z56,IF(MATCHED!AZ56=26,MATCHED!$AA56,IF(MATCHED!AZ56=27,MATCHED!$AB56,"."))))))</f>
        <v>#N/A</v>
      </c>
      <c r="Y56" s="356" t="e">
        <f>IF(MATCHED!BA56=1,MATCHED!$B56,IF(MATCHED!BA56=2,MATCHED!$C56,IF(MATCHED!BA56=3,MATCHED!$D56,IF(MATCHED!BA56=4,MATCHED!$E56,IF(MATCHED!BA56=3,MATCHED!$F56,IF(MATCHED!BA56=6,MATCHED!$G56,IF(MATCHED!BA56=7,MATCHED!$H56,"")))))))&amp;IF(MATCHED!BA56=8,MATCHED!$I56,IF(MATCHED!BA56=9,MATCHED!$J56,IF(MATCHED!BA56=10,MATCHED!$K56,IF(MATCHED!BA56=11,MATCHED!$L56,IF(MATCHED!BA56=12,MATCHED!$M56,IF(MATCHED!BA56=13,MATCHED!$N56,IF(MATCHED!BA56=14,MATCHED!$O56,"")))))))&amp;IF(MATCHED!BA56=15,MATCHED!$P56,IF(MATCHED!BA56=16,MATCHED!$Q56,IF(MATCHED!BA56=17,MATCHED!$R56,IF(MATCHED!BA56=18,MATCHED!$S56,IF(MATCHED!BA56=19,MATCHED!$T56,IF(MATCHED!BA56=20,MATCHED!$U56,IF(MATCHED!BA56=21,MATCHED!$V56,)))))))&amp;IF(MATCHED!BA56=22,MATCHED!$W56,IF(MATCHED!BA56=23,MATCHED!$X56,IF(MATCHED!BA56=24,MATCHED!$Y56,IF(MATCHED!BA56=25,MATCHED!$Z56,IF(MATCHED!BA56=26,MATCHED!$AA56,IF(MATCHED!BA56=27,MATCHED!$AB56,"."))))))</f>
        <v>#N/A</v>
      </c>
      <c r="Z56" s="356" t="e">
        <f>IF(MATCHED!BB56=1,MATCHED!$B56,IF(MATCHED!BB56=2,MATCHED!$C56,IF(MATCHED!BB56=3,MATCHED!$D56,IF(MATCHED!BB56=4,MATCHED!$E56,IF(MATCHED!BB56=3,MATCHED!$F56,IF(MATCHED!BB56=6,MATCHED!$G56,IF(MATCHED!BB56=7,MATCHED!$H56,"")))))))&amp;IF(MATCHED!BB56=8,MATCHED!$I56,IF(MATCHED!BB56=9,MATCHED!$J56,IF(MATCHED!BB56=10,MATCHED!$K56,IF(MATCHED!BB56=11,MATCHED!$L56,IF(MATCHED!BB56=12,MATCHED!$M56,IF(MATCHED!BB56=13,MATCHED!$N56,IF(MATCHED!BB56=14,MATCHED!$O56,"")))))))&amp;IF(MATCHED!BB56=15,MATCHED!$P56,IF(MATCHED!BB56=16,MATCHED!$Q56,IF(MATCHED!BB56=17,MATCHED!$R56,IF(MATCHED!BB56=18,MATCHED!$S56,IF(MATCHED!BB56=19,MATCHED!$T56,IF(MATCHED!BB56=20,MATCHED!$U56,IF(MATCHED!BB56=21,MATCHED!$V56,)))))))&amp;IF(MATCHED!BB56=22,MATCHED!$W56,IF(MATCHED!BB56=23,MATCHED!$X56,IF(MATCHED!BB56=24,MATCHED!$Y56,IF(MATCHED!BB56=25,MATCHED!$Z56,IF(MATCHED!BB56=26,MATCHED!$AA56,IF(MATCHED!BB56=27,MATCHED!$AB56,"."))))))</f>
        <v>#N/A</v>
      </c>
      <c r="AA56" s="356" t="e">
        <f>IF(MATCHED!BC56=1,MATCHED!$B56,IF(MATCHED!BC56=2,MATCHED!$C56,IF(MATCHED!BC56=3,MATCHED!$D56,IF(MATCHED!BC56=4,MATCHED!$E56,IF(MATCHED!BC56=3,MATCHED!$F56,IF(MATCHED!BC56=6,MATCHED!$G56,IF(MATCHED!BC56=7,MATCHED!$H56,"")))))))&amp;IF(MATCHED!BC56=8,MATCHED!$I56,IF(MATCHED!BC56=9,MATCHED!$J56,IF(MATCHED!BC56=10,MATCHED!$K56,IF(MATCHED!BC56=11,MATCHED!$L56,IF(MATCHED!BC56=12,MATCHED!$M56,IF(MATCHED!BC56=13,MATCHED!$N56,IF(MATCHED!BC56=14,MATCHED!$O56,"")))))))&amp;IF(MATCHED!BC56=15,MATCHED!$P56,IF(MATCHED!BC56=16,MATCHED!$Q56,IF(MATCHED!BC56=17,MATCHED!$R56,IF(MATCHED!BC56=18,MATCHED!$S56,IF(MATCHED!BC56=19,MATCHED!$T56,IF(MATCHED!BC56=20,MATCHED!$U56,IF(MATCHED!BC56=21,MATCHED!$V56,)))))))&amp;IF(MATCHED!BC56=22,MATCHED!$W56,IF(MATCHED!BC56=23,MATCHED!$X56,IF(MATCHED!BC56=24,MATCHED!$Y56,IF(MATCHED!BC56=25,MATCHED!$Z56,IF(MATCHED!BC56=26,MATCHED!$AA56,IF(MATCHED!BC56=27,MATCHED!$AB56,"."))))))</f>
        <v>#N/A</v>
      </c>
      <c r="AB56" s="356" t="e">
        <f>IF(MATCHED!BD56=1,MATCHED!$B56,IF(MATCHED!BD56=2,MATCHED!$C56,IF(MATCHED!BD56=3,MATCHED!$D56,IF(MATCHED!BD56=4,MATCHED!$E56,IF(MATCHED!BD56=3,MATCHED!$F56,IF(MATCHED!BD56=6,MATCHED!$G56,IF(MATCHED!BD56=7,MATCHED!$H56,"")))))))&amp;IF(MATCHED!BD56=8,MATCHED!$I56,IF(MATCHED!BD56=9,MATCHED!$J56,IF(MATCHED!BD56=10,MATCHED!$K56,IF(MATCHED!BD56=11,MATCHED!$L56,IF(MATCHED!BD56=12,MATCHED!$M56,IF(MATCHED!BD56=13,MATCHED!$N56,IF(MATCHED!BD56=14,MATCHED!$O56,"")))))))&amp;IF(MATCHED!BD56=15,MATCHED!$P56,IF(MATCHED!BD56=16,MATCHED!$Q56,IF(MATCHED!BD56=17,MATCHED!$R56,IF(MATCHED!BD56=18,MATCHED!$S56,IF(MATCHED!BD56=19,MATCHED!$T56,IF(MATCHED!BD56=20,MATCHED!$U56,IF(MATCHED!BD56=21,MATCHED!$V56,)))))))&amp;IF(MATCHED!BD56=22,MATCHED!$W56,IF(MATCHED!BD56=23,MATCHED!$X56,IF(MATCHED!BD56=24,MATCHED!$Y56,IF(MATCHED!BD56=25,MATCHED!$Z56,IF(MATCHED!BD56=26,MATCHED!$AA56,IF(MATCHED!BD56=27,MATCHED!$AB56,"."))))))</f>
        <v>#N/A</v>
      </c>
      <c r="AC56" s="356" t="e">
        <f>IF(MATCHED!BE56=1,MATCHED!$B56,IF(MATCHED!BE56=2,MATCHED!$C56,IF(MATCHED!BE56=3,MATCHED!$D56,IF(MATCHED!BE56=4,MATCHED!$E56,IF(MATCHED!BE56=3,MATCHED!$F56,IF(MATCHED!BE56=6,MATCHED!$G56,IF(MATCHED!BE56=7,MATCHED!$H56,"")))))))&amp;IF(MATCHED!BE56=8,MATCHED!$I56,IF(MATCHED!BE56=9,MATCHED!$J56,IF(MATCHED!BE56=10,MATCHED!$K56,IF(MATCHED!BE56=11,MATCHED!$L56,IF(MATCHED!BE56=12,MATCHED!$M56,IF(MATCHED!BE56=13,MATCHED!$N56,IF(MATCHED!BE56=14,MATCHED!$O56,"")))))))&amp;IF(MATCHED!BE56=15,MATCHED!$P56,IF(MATCHED!BE56=16,MATCHED!$Q56,IF(MATCHED!BE56=17,MATCHED!$R56,IF(MATCHED!BE56=18,MATCHED!$S56,IF(MATCHED!BE56=19,MATCHED!$T56,IF(MATCHED!BE56=20,MATCHED!$U56,IF(MATCHED!BE56=21,MATCHED!$V56,)))))))&amp;IF(MATCHED!BE56=22,MATCHED!$W56,IF(MATCHED!BE56=23,MATCHED!$X56,IF(MATCHED!BE56=24,MATCHED!$Y56,IF(MATCHED!BE56=25,MATCHED!$Z56,IF(MATCHED!BE56=26,MATCHED!$AA56,IF(MATCHED!BE56=27,MATCHED!$AB56,"."))))))</f>
        <v>#N/A</v>
      </c>
      <c r="AD56" s="356" t="e">
        <f>IF(MATCHED!BF56=1,MATCHED!$B56,IF(MATCHED!BF56=2,MATCHED!$C56,IF(MATCHED!BF56=3,MATCHED!$D56,IF(MATCHED!BF56=4,MATCHED!$E56,IF(MATCHED!BF56=3,MATCHED!$F56,IF(MATCHED!BF56=6,MATCHED!$G56,IF(MATCHED!BF56=7,MATCHED!$H56,"")))))))&amp;IF(MATCHED!BF56=8,MATCHED!$I56,IF(MATCHED!BF56=9,MATCHED!$J56,IF(MATCHED!BF56=10,MATCHED!$K56,IF(MATCHED!BF56=11,MATCHED!$L56,IF(MATCHED!BF56=12,MATCHED!$M56,IF(MATCHED!BF56=13,MATCHED!$N56,IF(MATCHED!BF56=14,MATCHED!$O56,"")))))))&amp;IF(MATCHED!BF56=15,MATCHED!$P56,IF(MATCHED!BF56=16,MATCHED!$Q56,IF(MATCHED!BF56=17,MATCHED!$R56,IF(MATCHED!BF56=18,MATCHED!$S56,IF(MATCHED!BF56=19,MATCHED!$T56,IF(MATCHED!BF56=20,MATCHED!$U56,IF(MATCHED!BF56=21,MATCHED!$V56,)))))))&amp;IF(MATCHED!BF56=22,MATCHED!$W56,IF(MATCHED!BF56=23,MATCHED!$X56,IF(MATCHED!BF56=24,MATCHED!$Y56,IF(MATCHED!BF56=25,MATCHED!$Z56,IF(MATCHED!BF56=26,MATCHED!$AA56,IF(MATCHED!BF56=27,MATCHED!$AB56,"."))))))</f>
        <v>#N/A</v>
      </c>
      <c r="AE56" s="356" t="e">
        <f>IF(MATCHED!BG56=1,MATCHED!$B56,IF(MATCHED!BG56=2,MATCHED!$C56,IF(MATCHED!BG56=3,MATCHED!$D56,IF(MATCHED!BG56=4,MATCHED!$E56,IF(MATCHED!BG56=3,MATCHED!$F56,IF(MATCHED!BG56=6,MATCHED!$G56,IF(MATCHED!BG56=7,MATCHED!$H56,"")))))))&amp;IF(MATCHED!BG56=8,MATCHED!$I56,IF(MATCHED!BG56=9,MATCHED!$J56,IF(MATCHED!BG56=10,MATCHED!$K56,IF(MATCHED!BG56=11,MATCHED!$L56,IF(MATCHED!BG56=12,MATCHED!$M56,IF(MATCHED!BG56=13,MATCHED!$N56,IF(MATCHED!BG56=14,MATCHED!$O56,"")))))))&amp;IF(MATCHED!BG56=15,MATCHED!$P56,IF(MATCHED!BG56=16,MATCHED!$Q56,IF(MATCHED!BG56=17,MATCHED!$R56,IF(MATCHED!BG56=18,MATCHED!$S56,IF(MATCHED!BG56=19,MATCHED!$T56,IF(MATCHED!BG56=20,MATCHED!$U56,IF(MATCHED!BG56=21,MATCHED!$V56,)))))))&amp;IF(MATCHED!BG56=22,MATCHED!$W56,IF(MATCHED!BG56=23,MATCHED!$X56,IF(MATCHED!BG56=24,MATCHED!$Y56,IF(MATCHED!BG56=25,MATCHED!$Z56,IF(MATCHED!BG56=26,MATCHED!$AA56,IF(MATCHED!BG56=27,MATCHED!$AB56,"."))))))</f>
        <v>#N/A</v>
      </c>
      <c r="AF56" s="356" t="e">
        <f>IF(MATCHED!BH56=1,MATCHED!$B56,IF(MATCHED!BH56=2,MATCHED!$C56,IF(MATCHED!BH56=3,MATCHED!$D56,IF(MATCHED!BH56=4,MATCHED!$E56,IF(MATCHED!BH56=3,MATCHED!$F56,IF(MATCHED!BH56=6,MATCHED!$G56,IF(MATCHED!BH56=7,MATCHED!$H56,"")))))))&amp;IF(MATCHED!BH56=8,MATCHED!$I56,IF(MATCHED!BH56=9,MATCHED!$J56,IF(MATCHED!BH56=10,MATCHED!$K56,IF(MATCHED!BH56=11,MATCHED!$L56,IF(MATCHED!BH56=12,MATCHED!$M56,IF(MATCHED!BH56=13,MATCHED!$N56,IF(MATCHED!BH56=14,MATCHED!$O56,"")))))))&amp;IF(MATCHED!BH56=15,MATCHED!$P56,IF(MATCHED!BH56=16,MATCHED!$Q56,IF(MATCHED!BH56=17,MATCHED!$R56,IF(MATCHED!BH56=18,MATCHED!$S56,IF(MATCHED!BH56=19,MATCHED!$T56,IF(MATCHED!BH56=20,MATCHED!$U56,IF(MATCHED!BH56=21,MATCHED!$V56,)))))))&amp;IF(MATCHED!BH56=22,MATCHED!$W56,IF(MATCHED!BH56=23,MATCHED!$X56,IF(MATCHED!BH56=24,MATCHED!$Y56,IF(MATCHED!BH56=25,MATCHED!$Z56,IF(MATCHED!BH56=26,MATCHED!$AA56,IF(MATCHED!BH56=27,MATCHED!$AB56,"."))))))</f>
        <v>#N/A</v>
      </c>
      <c r="AG56" s="356" t="e">
        <f>IF(MATCHED!BI56=1,MATCHED!$B56,IF(MATCHED!BI56=2,MATCHED!$C56,IF(MATCHED!BI56=3,MATCHED!$D56,IF(MATCHED!BI56=4,MATCHED!$E56,IF(MATCHED!BI56=3,MATCHED!$F56,IF(MATCHED!BI56=6,MATCHED!$G56,IF(MATCHED!BI56=7,MATCHED!$H56,"")))))))&amp;IF(MATCHED!BI56=8,MATCHED!$I56,IF(MATCHED!BI56=9,MATCHED!$J56,IF(MATCHED!BI56=10,MATCHED!$K56,IF(MATCHED!BI56=11,MATCHED!$L56,IF(MATCHED!BI56=12,MATCHED!$M56,IF(MATCHED!BI56=13,MATCHED!$N56,IF(MATCHED!BI56=14,MATCHED!$O56,"")))))))&amp;IF(MATCHED!BI56=15,MATCHED!$P56,IF(MATCHED!BI56=16,MATCHED!$Q56,IF(MATCHED!BI56=17,MATCHED!$R56,IF(MATCHED!BI56=18,MATCHED!$S56,IF(MATCHED!BI56=19,MATCHED!$T56,IF(MATCHED!BI56=20,MATCHED!$U56,IF(MATCHED!BI56=21,MATCHED!$V56,)))))))&amp;IF(MATCHED!BI56=22,MATCHED!$W56,IF(MATCHED!BI56=23,MATCHED!$X56,IF(MATCHED!BI56=24,MATCHED!$Y56,IF(MATCHED!BI56=25,MATCHED!$Z56,IF(MATCHED!BI56=26,MATCHED!$AA56,IF(MATCHED!BI56=27,MATCHED!$AB56,"."))))))</f>
        <v>#N/A</v>
      </c>
      <c r="AH56" s="356" t="e">
        <f>IF(MATCHED!BJ56=1,MATCHED!$B56,IF(MATCHED!BJ56=2,MATCHED!$C56,IF(MATCHED!BJ56=3,MATCHED!$D56,IF(MATCHED!BJ56=4,MATCHED!$E56,IF(MATCHED!BJ56=3,MATCHED!$F56,IF(MATCHED!BJ56=6,MATCHED!$G56,IF(MATCHED!BJ56=7,MATCHED!$H56,"")))))))&amp;IF(MATCHED!BJ56=8,MATCHED!$I56,IF(MATCHED!BJ56=9,MATCHED!$J56,IF(MATCHED!BJ56=10,MATCHED!$K56,IF(MATCHED!BJ56=11,MATCHED!$L56,IF(MATCHED!BJ56=12,MATCHED!$M56,IF(MATCHED!BJ56=13,MATCHED!$N56,IF(MATCHED!BJ56=14,MATCHED!$O56,"")))))))&amp;IF(MATCHED!BJ56=15,MATCHED!$P56,IF(MATCHED!BJ56=16,MATCHED!$Q56,IF(MATCHED!BJ56=17,MATCHED!$R56,IF(MATCHED!BJ56=18,MATCHED!$S56,IF(MATCHED!BJ56=19,MATCHED!$T56,IF(MATCHED!BJ56=20,MATCHED!$U56,IF(MATCHED!BJ56=21,MATCHED!$V56,)))))))&amp;IF(MATCHED!BJ56=22,MATCHED!$W56,IF(MATCHED!BJ56=23,MATCHED!$X56,IF(MATCHED!BJ56=24,MATCHED!$Y56,IF(MATCHED!BJ56=25,MATCHED!$Z56,IF(MATCHED!BJ56=26,MATCHED!$AA56,IF(MATCHED!BJ56=27,MATCHED!$AB56,"."))))))</f>
        <v>#N/A</v>
      </c>
      <c r="AI56" s="356" t="e">
        <f>IF(MATCHED!BK56=1,MATCHED!$B56,IF(MATCHED!BK56=2,MATCHED!$C56,IF(MATCHED!BK56=3,MATCHED!$D56,IF(MATCHED!BK56=4,MATCHED!$E56,IF(MATCHED!BK56=3,MATCHED!$F56,IF(MATCHED!BK56=6,MATCHED!$G56,IF(MATCHED!BK56=7,MATCHED!$H56,"")))))))&amp;IF(MATCHED!BK56=8,MATCHED!$I56,IF(MATCHED!BK56=9,MATCHED!$J56,IF(MATCHED!BK56=10,MATCHED!$K56,IF(MATCHED!BK56=11,MATCHED!$L56,IF(MATCHED!BK56=12,MATCHED!$M56,IF(MATCHED!BK56=13,MATCHED!$N56,IF(MATCHED!BK56=14,MATCHED!$O56,"")))))))&amp;IF(MATCHED!BK56=15,MATCHED!$P56,IF(MATCHED!BK56=16,MATCHED!$Q56,IF(MATCHED!BK56=17,MATCHED!$R56,IF(MATCHED!BK56=18,MATCHED!$S56,IF(MATCHED!BK56=19,MATCHED!$T56,IF(MATCHED!BK56=20,MATCHED!$U56,IF(MATCHED!BK56=21,MATCHED!$V56,)))))))&amp;IF(MATCHED!BK56=22,MATCHED!$W56,IF(MATCHED!BK56=23,MATCHED!$X56,IF(MATCHED!BK56=24,MATCHED!$Y56,IF(MATCHED!BK56=25,MATCHED!$Z56,IF(MATCHED!BK56=26,MATCHED!$AA56,IF(MATCHED!BK56=27,MATCHED!$AB56,"."))))))</f>
        <v>#N/A</v>
      </c>
      <c r="AJ56" s="535"/>
    </row>
    <row r="57" spans="1:36" s="338" customFormat="1" x14ac:dyDescent="0.25">
      <c r="A57" s="535"/>
      <c r="B57" s="355" t="e">
        <f>IF(MATCHED!AD57=1,MATCHED!$B57,IF(MATCHED!AD57=2,MATCHED!$C57,IF(MATCHED!AD57=3,MATCHED!$D57,IF(MATCHED!AD57=4,MATCHED!$E57,IF(MATCHED!AD57=3,MATCHED!$F57,IF(MATCHED!AD57=6,MATCHED!$G57,IF(MATCHED!AD57=7,MATCHED!$H57,"")))))))&amp;IF(MATCHED!AD57=8,MATCHED!$I57,IF(MATCHED!AD57=9,MATCHED!$J57,IF(MATCHED!AD57=10,MATCHED!$K57,IF(MATCHED!AD57=11,MATCHED!$L57,IF(MATCHED!AD57=12,MATCHED!$M57,IF(MATCHED!AD57=13,MATCHED!$N57,IF(MATCHED!AD57=14,MATCHED!$O57,"")))))))&amp;IF(MATCHED!AD57=15,MATCHED!$P57,IF(MATCHED!AD57=16,MATCHED!$Q57,IF(MATCHED!AD57=17,MATCHED!$R57,IF(MATCHED!AD57=18,MATCHED!$S57,IF(MATCHED!AD57=19,MATCHED!$T57,IF(MATCHED!AD57=20,MATCHED!$U57,IF(MATCHED!AD57=21,MATCHED!$V57,)))))))&amp;IF(MATCHED!AD57=22,MATCHED!$W57,IF(MATCHED!AD57=23,MATCHED!$X57,IF(MATCHED!AD57=24,MATCHED!$Y57,IF(MATCHED!AD57=25,MATCHED!$Z57,IF(MATCHED!AD57=26,MATCHED!$AA57,IF(MATCHED!AD57=27,MATCHED!$AB57,"."))))))</f>
        <v>#N/A</v>
      </c>
      <c r="C57" s="356" t="e">
        <f>IF(MATCHED!AE57=1,MATCHED!$B57,IF(MATCHED!AE57=2,MATCHED!$C57,IF(MATCHED!AE57=3,MATCHED!$D57,IF(MATCHED!AE57=4,MATCHED!$E57,IF(MATCHED!AE57=3,MATCHED!$F57,IF(MATCHED!AE57=6,MATCHED!$G57,IF(MATCHED!AE57=7,MATCHED!$H57,"")))))))&amp;IF(MATCHED!AE57=8,MATCHED!$I57,IF(MATCHED!AE57=9,MATCHED!$J57,IF(MATCHED!AE57=10,MATCHED!$K57,IF(MATCHED!AE57=11,MATCHED!$L57,IF(MATCHED!AE57=12,MATCHED!$M57,IF(MATCHED!AE57=13,MATCHED!$N57,IF(MATCHED!AE57=14,MATCHED!$O57,"")))))))&amp;IF(MATCHED!AE57=15,MATCHED!$P57,IF(MATCHED!AE57=16,MATCHED!$Q57,IF(MATCHED!AE57=17,MATCHED!$R57,IF(MATCHED!AE57=18,MATCHED!$S57,IF(MATCHED!AE57=19,MATCHED!$T57,IF(MATCHED!AE57=20,MATCHED!$U57,IF(MATCHED!AE57=21,MATCHED!$V57,)))))))&amp;IF(MATCHED!AE57=22,MATCHED!$W57,IF(MATCHED!AE57=23,MATCHED!$X57,IF(MATCHED!AE57=24,MATCHED!$Y57,IF(MATCHED!AE57=25,MATCHED!$Z57,IF(MATCHED!AE57=26,MATCHED!$AA57,IF(MATCHED!AE57=27,MATCHED!$AB57,"."))))))</f>
        <v>#N/A</v>
      </c>
      <c r="D57" s="356" t="e">
        <f>IF(MATCHED!AF57=1,MATCHED!$B57,IF(MATCHED!AF57=2,MATCHED!$C57,IF(MATCHED!AF57=3,MATCHED!$D57,IF(MATCHED!AF57=4,MATCHED!$E57,IF(MATCHED!AF57=3,MATCHED!$F57,IF(MATCHED!AF57=6,MATCHED!$G57,IF(MATCHED!AF57=7,MATCHED!$H57,"")))))))&amp;IF(MATCHED!AF57=8,MATCHED!$I57,IF(MATCHED!AF57=9,MATCHED!$J57,IF(MATCHED!AF57=10,MATCHED!$K57,IF(MATCHED!AF57=11,MATCHED!$L57,IF(MATCHED!AF57=12,MATCHED!$M57,IF(MATCHED!AF57=13,MATCHED!$N57,IF(MATCHED!AF57=14,MATCHED!$O57,"")))))))&amp;IF(MATCHED!AF57=15,MATCHED!$P57,IF(MATCHED!AF57=16,MATCHED!$Q57,IF(MATCHED!AF57=17,MATCHED!$R57,IF(MATCHED!AF57=18,MATCHED!$S57,IF(MATCHED!AF57=19,MATCHED!$T57,IF(MATCHED!AF57=20,MATCHED!$U57,IF(MATCHED!AF57=21,MATCHED!$V57,)))))))&amp;IF(MATCHED!AF57=22,MATCHED!$W57,IF(MATCHED!AF57=23,MATCHED!$X57,IF(MATCHED!AF57=24,MATCHED!$Y57,IF(MATCHED!AF57=25,MATCHED!$Z57,IF(MATCHED!AF57=26,MATCHED!$AA57,IF(MATCHED!AF57=27,MATCHED!$AB57,"."))))))</f>
        <v>#N/A</v>
      </c>
      <c r="E57" s="356" t="e">
        <f>IF(MATCHED!AG57=1,MATCHED!$B57,IF(MATCHED!AG57=2,MATCHED!$C57,IF(MATCHED!AG57=3,MATCHED!$D57,IF(MATCHED!AG57=4,MATCHED!$E57,IF(MATCHED!AG57=3,MATCHED!$F57,IF(MATCHED!AG57=6,MATCHED!$G57,IF(MATCHED!AG57=7,MATCHED!$H57,"")))))))&amp;IF(MATCHED!AG57=8,MATCHED!$I57,IF(MATCHED!AG57=9,MATCHED!$J57,IF(MATCHED!AG57=10,MATCHED!$K57,IF(MATCHED!AG57=11,MATCHED!$L57,IF(MATCHED!AG57=12,MATCHED!$M57,IF(MATCHED!AG57=13,MATCHED!$N57,IF(MATCHED!AG57=14,MATCHED!$O57,"")))))))&amp;IF(MATCHED!AG57=15,MATCHED!$P57,IF(MATCHED!AG57=16,MATCHED!$Q57,IF(MATCHED!AG57=17,MATCHED!$R57,IF(MATCHED!AG57=18,MATCHED!$S57,IF(MATCHED!AG57=19,MATCHED!$T57,IF(MATCHED!AG57=20,MATCHED!$U57,IF(MATCHED!AG57=21,MATCHED!$V57,)))))))&amp;IF(MATCHED!AG57=22,MATCHED!$W57,IF(MATCHED!AG57=23,MATCHED!$X57,IF(MATCHED!AG57=24,MATCHED!$Y57,IF(MATCHED!AG57=25,MATCHED!$Z57,IF(MATCHED!AG57=26,MATCHED!$AA57,IF(MATCHED!AG57=27,MATCHED!$AB57,"."))))))</f>
        <v>#N/A</v>
      </c>
      <c r="F57" s="356" t="e">
        <f>IF(MATCHED!AH57=1,MATCHED!$B57,IF(MATCHED!AH57=2,MATCHED!$C57,IF(MATCHED!AH57=3,MATCHED!$D57,IF(MATCHED!AH57=4,MATCHED!$E57,IF(MATCHED!AH57=3,MATCHED!$F57,IF(MATCHED!AH57=6,MATCHED!$G57,IF(MATCHED!AH57=7,MATCHED!$H57,"")))))))&amp;IF(MATCHED!AH57=8,MATCHED!$I57,IF(MATCHED!AH57=9,MATCHED!$J57,IF(MATCHED!AH57=10,MATCHED!$K57,IF(MATCHED!AH57=11,MATCHED!$L57,IF(MATCHED!AH57=12,MATCHED!$M57,IF(MATCHED!AH57=13,MATCHED!$N57,IF(MATCHED!AH57=14,MATCHED!$O57,"")))))))&amp;IF(MATCHED!AH57=15,MATCHED!$P57,IF(MATCHED!AH57=16,MATCHED!$Q57,IF(MATCHED!AH57=17,MATCHED!$R57,IF(MATCHED!AH57=18,MATCHED!$S57,IF(MATCHED!AH57=19,MATCHED!$T57,IF(MATCHED!AH57=20,MATCHED!$U57,IF(MATCHED!AH57=21,MATCHED!$V57,)))))))&amp;IF(MATCHED!AH57=22,MATCHED!$W57,IF(MATCHED!AH57=23,MATCHED!$X57,IF(MATCHED!AH57=24,MATCHED!$Y57,IF(MATCHED!AH57=25,MATCHED!$Z57,IF(MATCHED!AH57=26,MATCHED!$AA57,IF(MATCHED!AH57=27,MATCHED!$AB57,"."))))))</f>
        <v>#N/A</v>
      </c>
      <c r="G57" s="356" t="e">
        <f>IF(MATCHED!AI57=1,MATCHED!$B57,IF(MATCHED!AI57=2,MATCHED!$C57,IF(MATCHED!AI57=3,MATCHED!$D57,IF(MATCHED!AI57=4,MATCHED!$E57,IF(MATCHED!AI57=3,MATCHED!$F57,IF(MATCHED!AI57=6,MATCHED!$G57,IF(MATCHED!AI57=7,MATCHED!$H57,"")))))))&amp;IF(MATCHED!AI57=8,MATCHED!$I57,IF(MATCHED!AI57=9,MATCHED!$J57,IF(MATCHED!AI57=10,MATCHED!$K57,IF(MATCHED!AI57=11,MATCHED!$L57,IF(MATCHED!AI57=12,MATCHED!$M57,IF(MATCHED!AI57=13,MATCHED!$N57,IF(MATCHED!AI57=14,MATCHED!$O57,"")))))))&amp;IF(MATCHED!AI57=15,MATCHED!$P57,IF(MATCHED!AI57=16,MATCHED!$Q57,IF(MATCHED!AI57=17,MATCHED!$R57,IF(MATCHED!AI57=18,MATCHED!$S57,IF(MATCHED!AI57=19,MATCHED!$T57,IF(MATCHED!AI57=20,MATCHED!$U57,IF(MATCHED!AI57=21,MATCHED!$V57,)))))))&amp;IF(MATCHED!AI57=22,MATCHED!$W57,IF(MATCHED!AI57=23,MATCHED!$X57,IF(MATCHED!AI57=24,MATCHED!$Y57,IF(MATCHED!AI57=25,MATCHED!$Z57,IF(MATCHED!AI57=26,MATCHED!$AA57,IF(MATCHED!AI57=27,MATCHED!$AB57,"."))))))</f>
        <v>#N/A</v>
      </c>
      <c r="H57" s="356" t="e">
        <f>IF(MATCHED!AJ57=1,MATCHED!$B57,IF(MATCHED!AJ57=2,MATCHED!$C57,IF(MATCHED!AJ57=3,MATCHED!$D57,IF(MATCHED!AJ57=4,MATCHED!$E57,IF(MATCHED!AJ57=3,MATCHED!$F57,IF(MATCHED!AJ57=6,MATCHED!$G57,IF(MATCHED!AJ57=7,MATCHED!$H57,"")))))))&amp;IF(MATCHED!AJ57=8,MATCHED!$I57,IF(MATCHED!AJ57=9,MATCHED!$J57,IF(MATCHED!AJ57=10,MATCHED!$K57,IF(MATCHED!AJ57=11,MATCHED!$L57,IF(MATCHED!AJ57=12,MATCHED!$M57,IF(MATCHED!AJ57=13,MATCHED!$N57,IF(MATCHED!AJ57=14,MATCHED!$O57,"")))))))&amp;IF(MATCHED!AJ57=15,MATCHED!$P57,IF(MATCHED!AJ57=16,MATCHED!$Q57,IF(MATCHED!AJ57=17,MATCHED!$R57,IF(MATCHED!AJ57=18,MATCHED!$S57,IF(MATCHED!AJ57=19,MATCHED!$T57,IF(MATCHED!AJ57=20,MATCHED!$U57,IF(MATCHED!AJ57=21,MATCHED!$V57,)))))))&amp;IF(MATCHED!AJ57=22,MATCHED!$W57,IF(MATCHED!AJ57=23,MATCHED!$X57,IF(MATCHED!AJ57=24,MATCHED!$Y57,IF(MATCHED!AJ57=25,MATCHED!$Z57,IF(MATCHED!AJ57=26,MATCHED!$AA57,IF(MATCHED!AJ57=27,MATCHED!$AB57,"."))))))</f>
        <v>#N/A</v>
      </c>
      <c r="I57" s="356" t="e">
        <f>IF(MATCHED!AK57=1,MATCHED!$B57,IF(MATCHED!AK57=2,MATCHED!$C57,IF(MATCHED!AK57=3,MATCHED!$D57,IF(MATCHED!AK57=4,MATCHED!$E57,IF(MATCHED!AK57=3,MATCHED!$F57,IF(MATCHED!AK57=6,MATCHED!$G57,IF(MATCHED!AK57=7,MATCHED!$H57,"")))))))&amp;IF(MATCHED!AK57=8,MATCHED!$I57,IF(MATCHED!AK57=9,MATCHED!$J57,IF(MATCHED!AK57=10,MATCHED!$K57,IF(MATCHED!AK57=11,MATCHED!$L57,IF(MATCHED!AK57=12,MATCHED!$M57,IF(MATCHED!AK57=13,MATCHED!$N57,IF(MATCHED!AK57=14,MATCHED!$O57,"")))))))&amp;IF(MATCHED!AK57=15,MATCHED!$P57,IF(MATCHED!AK57=16,MATCHED!$Q57,IF(MATCHED!AK57=17,MATCHED!$R57,IF(MATCHED!AK57=18,MATCHED!$S57,IF(MATCHED!AK57=19,MATCHED!$T57,IF(MATCHED!AK57=20,MATCHED!$U57,IF(MATCHED!AK57=21,MATCHED!$V57,)))))))&amp;IF(MATCHED!AK57=22,MATCHED!$W57,IF(MATCHED!AK57=23,MATCHED!$X57,IF(MATCHED!AK57=24,MATCHED!$Y57,IF(MATCHED!AK57=25,MATCHED!$Z57,IF(MATCHED!AK57=26,MATCHED!$AA57,IF(MATCHED!AK57=27,MATCHED!$AB57,"."))))))</f>
        <v>#N/A</v>
      </c>
      <c r="J57" s="356" t="e">
        <f>IF(MATCHED!AL57=1,MATCHED!$B57,IF(MATCHED!AL57=2,MATCHED!$C57,IF(MATCHED!AL57=3,MATCHED!$D57,IF(MATCHED!AL57=4,MATCHED!$E57,IF(MATCHED!AL57=3,MATCHED!$F57,IF(MATCHED!AL57=6,MATCHED!$G57,IF(MATCHED!AL57=7,MATCHED!$H57,"")))))))&amp;IF(MATCHED!AL57=8,MATCHED!$I57,IF(MATCHED!AL57=9,MATCHED!$J57,IF(MATCHED!AL57=10,MATCHED!$K57,IF(MATCHED!AL57=11,MATCHED!$L57,IF(MATCHED!AL57=12,MATCHED!$M57,IF(MATCHED!AL57=13,MATCHED!$N57,IF(MATCHED!AL57=14,MATCHED!$O57,"")))))))&amp;IF(MATCHED!AL57=15,MATCHED!$P57,IF(MATCHED!AL57=16,MATCHED!$Q57,IF(MATCHED!AL57=17,MATCHED!$R57,IF(MATCHED!AL57=18,MATCHED!$S57,IF(MATCHED!AL57=19,MATCHED!$T57,IF(MATCHED!AL57=20,MATCHED!$U57,IF(MATCHED!AL57=21,MATCHED!$V57,)))))))&amp;IF(MATCHED!AL57=22,MATCHED!$W57,IF(MATCHED!AL57=23,MATCHED!$X57,IF(MATCHED!AL57=24,MATCHED!$Y57,IF(MATCHED!AL57=25,MATCHED!$Z57,IF(MATCHED!AL57=26,MATCHED!$AA57,IF(MATCHED!AL57=27,MATCHED!$AB57,"."))))))</f>
        <v>#N/A</v>
      </c>
      <c r="K57" s="356" t="e">
        <f>IF(MATCHED!AM57=1,MATCHED!$B57,IF(MATCHED!AM57=2,MATCHED!$C57,IF(MATCHED!AM57=3,MATCHED!$D57,IF(MATCHED!AM57=4,MATCHED!$E57,IF(MATCHED!AM57=3,MATCHED!$F57,IF(MATCHED!AM57=6,MATCHED!$G57,IF(MATCHED!AM57=7,MATCHED!$H57,"")))))))&amp;IF(MATCHED!AM57=8,MATCHED!$I57,IF(MATCHED!AM57=9,MATCHED!$J57,IF(MATCHED!AM57=10,MATCHED!$K57,IF(MATCHED!AM57=11,MATCHED!$L57,IF(MATCHED!AM57=12,MATCHED!$M57,IF(MATCHED!AM57=13,MATCHED!$N57,IF(MATCHED!AM57=14,MATCHED!$O57,"")))))))&amp;IF(MATCHED!AM57=15,MATCHED!$P57,IF(MATCHED!AM57=16,MATCHED!$Q57,IF(MATCHED!AM57=17,MATCHED!$R57,IF(MATCHED!AM57=18,MATCHED!$S57,IF(MATCHED!AM57=19,MATCHED!$T57,IF(MATCHED!AM57=20,MATCHED!$U57,IF(MATCHED!AM57=21,MATCHED!$V57,)))))))&amp;IF(MATCHED!AM57=22,MATCHED!$W57,IF(MATCHED!AM57=23,MATCHED!$X57,IF(MATCHED!AM57=24,MATCHED!$Y57,IF(MATCHED!AM57=25,MATCHED!$Z57,IF(MATCHED!AM57=26,MATCHED!$AA57,IF(MATCHED!AM57=27,MATCHED!$AB57,"."))))))</f>
        <v>#N/A</v>
      </c>
      <c r="L57" s="356" t="e">
        <f>IF(MATCHED!AN57=1,MATCHED!$B57,IF(MATCHED!AN57=2,MATCHED!$C57,IF(MATCHED!AN57=3,MATCHED!$D57,IF(MATCHED!AN57=4,MATCHED!$E57,IF(MATCHED!AN57=3,MATCHED!$F57,IF(MATCHED!AN57=6,MATCHED!$G57,IF(MATCHED!AN57=7,MATCHED!$H57,"")))))))&amp;IF(MATCHED!AN57=8,MATCHED!$I57,IF(MATCHED!AN57=9,MATCHED!$J57,IF(MATCHED!AN57=10,MATCHED!$K57,IF(MATCHED!AN57=11,MATCHED!$L57,IF(MATCHED!AN57=12,MATCHED!$M57,IF(MATCHED!AN57=13,MATCHED!$N57,IF(MATCHED!AN57=14,MATCHED!$O57,"")))))))&amp;IF(MATCHED!AN57=15,MATCHED!$P57,IF(MATCHED!AN57=16,MATCHED!$Q57,IF(MATCHED!AN57=17,MATCHED!$R57,IF(MATCHED!AN57=18,MATCHED!$S57,IF(MATCHED!AN57=19,MATCHED!$T57,IF(MATCHED!AN57=20,MATCHED!$U57,IF(MATCHED!AN57=21,MATCHED!$V57,)))))))&amp;IF(MATCHED!AN57=22,MATCHED!$W57,IF(MATCHED!AN57=23,MATCHED!$X57,IF(MATCHED!AN57=24,MATCHED!$Y57,IF(MATCHED!AN57=25,MATCHED!$Z57,IF(MATCHED!AN57=26,MATCHED!$AA57,IF(MATCHED!AN57=27,MATCHED!$AB57,"."))))))</f>
        <v>#N/A</v>
      </c>
      <c r="M57" s="356" t="e">
        <f>IF(MATCHED!AO57=1,MATCHED!$B57,IF(MATCHED!AO57=2,MATCHED!$C57,IF(MATCHED!AO57=3,MATCHED!$D57,IF(MATCHED!AO57=4,MATCHED!$E57,IF(MATCHED!AO57=3,MATCHED!$F57,IF(MATCHED!AO57=6,MATCHED!$G57,IF(MATCHED!AO57=7,MATCHED!$H57,"")))))))&amp;IF(MATCHED!AO57=8,MATCHED!$I57,IF(MATCHED!AO57=9,MATCHED!$J57,IF(MATCHED!AO57=10,MATCHED!$K57,IF(MATCHED!AO57=11,MATCHED!$L57,IF(MATCHED!AO57=12,MATCHED!$M57,IF(MATCHED!AO57=13,MATCHED!$N57,IF(MATCHED!AO57=14,MATCHED!$O57,"")))))))&amp;IF(MATCHED!AO57=15,MATCHED!$P57,IF(MATCHED!AO57=16,MATCHED!$Q57,IF(MATCHED!AO57=17,MATCHED!$R57,IF(MATCHED!AO57=18,MATCHED!$S57,IF(MATCHED!AO57=19,MATCHED!$T57,IF(MATCHED!AO57=20,MATCHED!$U57,IF(MATCHED!AO57=21,MATCHED!$V57,)))))))&amp;IF(MATCHED!AO57=22,MATCHED!$W57,IF(MATCHED!AO57=23,MATCHED!$X57,IF(MATCHED!AO57=24,MATCHED!$Y57,IF(MATCHED!AO57=25,MATCHED!$Z57,IF(MATCHED!AO57=26,MATCHED!$AA57,IF(MATCHED!AO57=27,MATCHED!$AB57,"."))))))</f>
        <v>#N/A</v>
      </c>
      <c r="N57" s="356" t="e">
        <f>IF(MATCHED!AP57=1,MATCHED!$B57,IF(MATCHED!AP57=2,MATCHED!$C57,IF(MATCHED!AP57=3,MATCHED!$D57,IF(MATCHED!AP57=4,MATCHED!$E57,IF(MATCHED!AP57=3,MATCHED!$F57,IF(MATCHED!AP57=6,MATCHED!$G57,IF(MATCHED!AP57=7,MATCHED!$H57,"")))))))&amp;IF(MATCHED!AP57=8,MATCHED!$I57,IF(MATCHED!AP57=9,MATCHED!$J57,IF(MATCHED!AP57=10,MATCHED!$K57,IF(MATCHED!AP57=11,MATCHED!$L57,IF(MATCHED!AP57=12,MATCHED!$M57,IF(MATCHED!AP57=13,MATCHED!$N57,IF(MATCHED!AP57=14,MATCHED!$O57,"")))))))&amp;IF(MATCHED!AP57=15,MATCHED!$P57,IF(MATCHED!AP57=16,MATCHED!$Q57,IF(MATCHED!AP57=17,MATCHED!$R57,IF(MATCHED!AP57=18,MATCHED!$S57,IF(MATCHED!AP57=19,MATCHED!$T57,IF(MATCHED!AP57=20,MATCHED!$U57,IF(MATCHED!AP57=21,MATCHED!$V57,)))))))&amp;IF(MATCHED!AP57=22,MATCHED!$W57,IF(MATCHED!AP57=23,MATCHED!$X57,IF(MATCHED!AP57=24,MATCHED!$Y57,IF(MATCHED!AP57=25,MATCHED!$Z57,IF(MATCHED!AP57=26,MATCHED!$AA57,IF(MATCHED!AP57=27,MATCHED!$AB57,"."))))))</f>
        <v>#N/A</v>
      </c>
      <c r="O57" s="356" t="e">
        <f>IF(MATCHED!AQ57=1,MATCHED!$B57,IF(MATCHED!AQ57=2,MATCHED!$C57,IF(MATCHED!AQ57=3,MATCHED!$D57,IF(MATCHED!AQ57=4,MATCHED!$E57,IF(MATCHED!AQ57=3,MATCHED!$F57,IF(MATCHED!AQ57=6,MATCHED!$G57,IF(MATCHED!AQ57=7,MATCHED!$H57,"")))))))&amp;IF(MATCHED!AQ57=8,MATCHED!$I57,IF(MATCHED!AQ57=9,MATCHED!$J57,IF(MATCHED!AQ57=10,MATCHED!$K57,IF(MATCHED!AQ57=11,MATCHED!$L57,IF(MATCHED!AQ57=12,MATCHED!$M57,IF(MATCHED!AQ57=13,MATCHED!$N57,IF(MATCHED!AQ57=14,MATCHED!$O57,"")))))))&amp;IF(MATCHED!AQ57=15,MATCHED!$P57,IF(MATCHED!AQ57=16,MATCHED!$Q57,IF(MATCHED!AQ57=17,MATCHED!$R57,IF(MATCHED!AQ57=18,MATCHED!$S57,IF(MATCHED!AQ57=19,MATCHED!$T57,IF(MATCHED!AQ57=20,MATCHED!$U57,IF(MATCHED!AQ57=21,MATCHED!$V57,)))))))&amp;IF(MATCHED!AQ57=22,MATCHED!$W57,IF(MATCHED!AQ57=23,MATCHED!$X57,IF(MATCHED!AQ57=24,MATCHED!$Y57,IF(MATCHED!AQ57=25,MATCHED!$Z57,IF(MATCHED!AQ57=26,MATCHED!$AA57,IF(MATCHED!AQ57=27,MATCHED!$AB57,"."))))))</f>
        <v>#N/A</v>
      </c>
      <c r="P57" s="356" t="e">
        <f>IF(MATCHED!AR57=1,MATCHED!$B57,IF(MATCHED!AR57=2,MATCHED!$C57,IF(MATCHED!AR57=3,MATCHED!$D57,IF(MATCHED!AR57=4,MATCHED!$E57,IF(MATCHED!AR57=3,MATCHED!$F57,IF(MATCHED!AR57=6,MATCHED!$G57,IF(MATCHED!AR57=7,MATCHED!$H57,"")))))))&amp;IF(MATCHED!AR57=8,MATCHED!$I57,IF(MATCHED!AR57=9,MATCHED!$J57,IF(MATCHED!AR57=10,MATCHED!$K57,IF(MATCHED!AR57=11,MATCHED!$L57,IF(MATCHED!AR57=12,MATCHED!$M57,IF(MATCHED!AR57=13,MATCHED!$N57,IF(MATCHED!AR57=14,MATCHED!$O57,"")))))))&amp;IF(MATCHED!AR57=15,MATCHED!$P57,IF(MATCHED!AR57=16,MATCHED!$Q57,IF(MATCHED!AR57=17,MATCHED!$R57,IF(MATCHED!AR57=18,MATCHED!$S57,IF(MATCHED!AR57=19,MATCHED!$T57,IF(MATCHED!AR57=20,MATCHED!$U57,IF(MATCHED!AR57=21,MATCHED!$V57,)))))))&amp;IF(MATCHED!AR57=22,MATCHED!$W57,IF(MATCHED!AR57=23,MATCHED!$X57,IF(MATCHED!AR57=24,MATCHED!$Y57,IF(MATCHED!AR57=25,MATCHED!$Z57,IF(MATCHED!AR57=26,MATCHED!$AA57,IF(MATCHED!AR57=27,MATCHED!$AB57,"."))))))</f>
        <v>#N/A</v>
      </c>
      <c r="Q57" s="357" t="e">
        <f>IF(MATCHED!AS57=1,MATCHED!$B57,IF(MATCHED!AS57=2,MATCHED!$C57,IF(MATCHED!AS57=3,MATCHED!$D57,IF(MATCHED!AS57=4,MATCHED!$E57,IF(MATCHED!AS57=3,MATCHED!$F57,IF(MATCHED!AS57=6,MATCHED!$G57,IF(MATCHED!AS57=7,MATCHED!$H57,"")))))))&amp;IF(MATCHED!AS57=8,MATCHED!$I57,IF(MATCHED!AS57=9,MATCHED!$J57,IF(MATCHED!AS57=10,MATCHED!$K57,IF(MATCHED!AS57=11,MATCHED!$L57,IF(MATCHED!AS57=12,MATCHED!$M57,IF(MATCHED!AS57=13,MATCHED!$N57,IF(MATCHED!AS57=14,MATCHED!$O57,"")))))))&amp;IF(MATCHED!AS57=15,MATCHED!$P57,IF(MATCHED!AS57=16,MATCHED!$Q57,IF(MATCHED!AS57=17,MATCHED!$R57,IF(MATCHED!AS57=18,MATCHED!$S57,IF(MATCHED!AS57=19,MATCHED!$T57,IF(MATCHED!AS57=20,MATCHED!$U57,IF(MATCHED!AS57=21,MATCHED!$V57,)))))))&amp;IF(MATCHED!AS57=22,MATCHED!$W57,IF(MATCHED!AS57=23,MATCHED!$X57,IF(MATCHED!AS57=24,MATCHED!$Y57,IF(MATCHED!AS57=25,MATCHED!$Z57,IF(MATCHED!AS57=26,MATCHED!$AA57,IF(MATCHED!AS57=27,MATCHED!$AB57,"."))))))</f>
        <v>#N/A</v>
      </c>
      <c r="R57" s="356" t="e">
        <f>IF(MATCHED!AT57=1,MATCHED!$B57,IF(MATCHED!AT57=2,MATCHED!$C57,IF(MATCHED!AT57=3,MATCHED!$D57,IF(MATCHED!AT57=4,MATCHED!$E57,IF(MATCHED!AT57=3,MATCHED!$F57,IF(MATCHED!AT57=6,MATCHED!$G57,IF(MATCHED!AT57=7,MATCHED!$H57,"")))))))&amp;IF(MATCHED!AT57=8,MATCHED!$I57,IF(MATCHED!AT57=9,MATCHED!$J57,IF(MATCHED!AT57=10,MATCHED!$K57,IF(MATCHED!AT57=11,MATCHED!$L57,IF(MATCHED!AT57=12,MATCHED!$M57,IF(MATCHED!AT57=13,MATCHED!$N57,IF(MATCHED!AT57=14,MATCHED!$O57,"")))))))&amp;IF(MATCHED!AT57=15,MATCHED!$P57,IF(MATCHED!AT57=16,MATCHED!$Q57,IF(MATCHED!AT57=17,MATCHED!$R57,IF(MATCHED!AT57=18,MATCHED!$S57,IF(MATCHED!AT57=19,MATCHED!$T57,IF(MATCHED!AT57=20,MATCHED!$U57,IF(MATCHED!AT57=21,MATCHED!$V57,)))))))&amp;IF(MATCHED!AT57=22,MATCHED!$W57,IF(MATCHED!AT57=23,MATCHED!$X57,IF(MATCHED!AT57=24,MATCHED!$Y57,IF(MATCHED!AT57=25,MATCHED!$Z57,IF(MATCHED!AT57=26,MATCHED!$AA57,IF(MATCHED!AT57=27,MATCHED!$AB57,"."))))))</f>
        <v>#N/A</v>
      </c>
      <c r="S57" s="356" t="e">
        <f>IF(MATCHED!AU57=1,MATCHED!$B57,IF(MATCHED!AU57=2,MATCHED!$C57,IF(MATCHED!AU57=3,MATCHED!$D57,IF(MATCHED!AU57=4,MATCHED!$E57,IF(MATCHED!AU57=3,MATCHED!$F57,IF(MATCHED!AU57=6,MATCHED!$G57,IF(MATCHED!AU57=7,MATCHED!$H57,"")))))))&amp;IF(MATCHED!AU57=8,MATCHED!$I57,IF(MATCHED!AU57=9,MATCHED!$J57,IF(MATCHED!AU57=10,MATCHED!$K57,IF(MATCHED!AU57=11,MATCHED!$L57,IF(MATCHED!AU57=12,MATCHED!$M57,IF(MATCHED!AU57=13,MATCHED!$N57,IF(MATCHED!AU57=14,MATCHED!$O57,"")))))))&amp;IF(MATCHED!AU57=15,MATCHED!$P57,IF(MATCHED!AU57=16,MATCHED!$Q57,IF(MATCHED!AU57=17,MATCHED!$R57,IF(MATCHED!AU57=18,MATCHED!$S57,IF(MATCHED!AU57=19,MATCHED!$T57,IF(MATCHED!AU57=20,MATCHED!$U57,IF(MATCHED!AU57=21,MATCHED!$V57,)))))))&amp;IF(MATCHED!AU57=22,MATCHED!$W57,IF(MATCHED!AU57=23,MATCHED!$X57,IF(MATCHED!AU57=24,MATCHED!$Y57,IF(MATCHED!AU57=25,MATCHED!$Z57,IF(MATCHED!AU57=26,MATCHED!$AA57,IF(MATCHED!AU57=27,MATCHED!$AB57,"."))))))</f>
        <v>#N/A</v>
      </c>
      <c r="T57" s="356" t="e">
        <f>IF(MATCHED!AV57=1,MATCHED!$B57,IF(MATCHED!AV57=2,MATCHED!$C57,IF(MATCHED!AV57=3,MATCHED!$D57,IF(MATCHED!AV57=4,MATCHED!$E57,IF(MATCHED!AV57=3,MATCHED!$F57,IF(MATCHED!AV57=6,MATCHED!$G57,IF(MATCHED!AV57=7,MATCHED!$H57,"")))))))&amp;IF(MATCHED!AV57=8,MATCHED!$I57,IF(MATCHED!AV57=9,MATCHED!$J57,IF(MATCHED!AV57=10,MATCHED!$K57,IF(MATCHED!AV57=11,MATCHED!$L57,IF(MATCHED!AV57=12,MATCHED!$M57,IF(MATCHED!AV57=13,MATCHED!$N57,IF(MATCHED!AV57=14,MATCHED!$O57,"")))))))&amp;IF(MATCHED!AV57=15,MATCHED!$P57,IF(MATCHED!AV57=16,MATCHED!$Q57,IF(MATCHED!AV57=17,MATCHED!$R57,IF(MATCHED!AV57=18,MATCHED!$S57,IF(MATCHED!AV57=19,MATCHED!$T57,IF(MATCHED!AV57=20,MATCHED!$U57,IF(MATCHED!AV57=21,MATCHED!$V57,)))))))&amp;IF(MATCHED!AV57=22,MATCHED!$W57,IF(MATCHED!AV57=23,MATCHED!$X57,IF(MATCHED!AV57=24,MATCHED!$Y57,IF(MATCHED!AV57=25,MATCHED!$Z57,IF(MATCHED!AV57=26,MATCHED!$AA57,IF(MATCHED!AV57=27,MATCHED!$AB57,"."))))))</f>
        <v>#N/A</v>
      </c>
      <c r="U57" s="356" t="e">
        <f>IF(MATCHED!AW57=1,MATCHED!$B57,IF(MATCHED!AW57=2,MATCHED!$C57,IF(MATCHED!AW57=3,MATCHED!$D57,IF(MATCHED!AW57=4,MATCHED!$E57,IF(MATCHED!AW57=3,MATCHED!$F57,IF(MATCHED!AW57=6,MATCHED!$G57,IF(MATCHED!AW57=7,MATCHED!$H57,"")))))))&amp;IF(MATCHED!AW57=8,MATCHED!$I57,IF(MATCHED!AW57=9,MATCHED!$J57,IF(MATCHED!AW57=10,MATCHED!$K57,IF(MATCHED!AW57=11,MATCHED!$L57,IF(MATCHED!AW57=12,MATCHED!$M57,IF(MATCHED!AW57=13,MATCHED!$N57,IF(MATCHED!AW57=14,MATCHED!$O57,"")))))))&amp;IF(MATCHED!AW57=15,MATCHED!$P57,IF(MATCHED!AW57=16,MATCHED!$Q57,IF(MATCHED!AW57=17,MATCHED!$R57,IF(MATCHED!AW57=18,MATCHED!$S57,IF(MATCHED!AW57=19,MATCHED!$T57,IF(MATCHED!AW57=20,MATCHED!$U57,IF(MATCHED!AW57=21,MATCHED!$V57,)))))))&amp;IF(MATCHED!AW57=22,MATCHED!$W57,IF(MATCHED!AW57=23,MATCHED!$X57,IF(MATCHED!AW57=24,MATCHED!$Y57,IF(MATCHED!AW57=25,MATCHED!$Z57,IF(MATCHED!AW57=26,MATCHED!$AA57,IF(MATCHED!AW57=27,MATCHED!$AB57,"."))))))</f>
        <v>#N/A</v>
      </c>
      <c r="V57" s="356" t="e">
        <f>IF(MATCHED!AX57=1,MATCHED!$B57,IF(MATCHED!AX57=2,MATCHED!$C57,IF(MATCHED!AX57=3,MATCHED!$D57,IF(MATCHED!AX57=4,MATCHED!$E57,IF(MATCHED!AX57=3,MATCHED!$F57,IF(MATCHED!AX57=6,MATCHED!$G57,IF(MATCHED!AX57=7,MATCHED!$H57,"")))))))&amp;IF(MATCHED!AX57=8,MATCHED!$I57,IF(MATCHED!AX57=9,MATCHED!$J57,IF(MATCHED!AX57=10,MATCHED!$K57,IF(MATCHED!AX57=11,MATCHED!$L57,IF(MATCHED!AX57=12,MATCHED!$M57,IF(MATCHED!AX57=13,MATCHED!$N57,IF(MATCHED!AX57=14,MATCHED!$O57,"")))))))&amp;IF(MATCHED!AX57=15,MATCHED!$P57,IF(MATCHED!AX57=16,MATCHED!$Q57,IF(MATCHED!AX57=17,MATCHED!$R57,IF(MATCHED!AX57=18,MATCHED!$S57,IF(MATCHED!AX57=19,MATCHED!$T57,IF(MATCHED!AX57=20,MATCHED!$U57,IF(MATCHED!AX57=21,MATCHED!$V57,)))))))&amp;IF(MATCHED!AX57=22,MATCHED!$W57,IF(MATCHED!AX57=23,MATCHED!$X57,IF(MATCHED!AX57=24,MATCHED!$Y57,IF(MATCHED!AX57=25,MATCHED!$Z57,IF(MATCHED!AX57=26,MATCHED!$AA57,IF(MATCHED!AX57=27,MATCHED!$AB57,"."))))))</f>
        <v>#N/A</v>
      </c>
      <c r="W57" s="356" t="e">
        <f>IF(MATCHED!AY57=1,MATCHED!$B57,IF(MATCHED!AY57=2,MATCHED!$C57,IF(MATCHED!AY57=3,MATCHED!$D57,IF(MATCHED!AY57=4,MATCHED!$E57,IF(MATCHED!AY57=3,MATCHED!$F57,IF(MATCHED!AY57=6,MATCHED!$G57,IF(MATCHED!AY57=7,MATCHED!$H57,"")))))))&amp;IF(MATCHED!AY57=8,MATCHED!$I57,IF(MATCHED!AY57=9,MATCHED!$J57,IF(MATCHED!AY57=10,MATCHED!$K57,IF(MATCHED!AY57=11,MATCHED!$L57,IF(MATCHED!AY57=12,MATCHED!$M57,IF(MATCHED!AY57=13,MATCHED!$N57,IF(MATCHED!AY57=14,MATCHED!$O57,"")))))))&amp;IF(MATCHED!AY57=15,MATCHED!$P57,IF(MATCHED!AY57=16,MATCHED!$Q57,IF(MATCHED!AY57=17,MATCHED!$R57,IF(MATCHED!AY57=18,MATCHED!$S57,IF(MATCHED!AY57=19,MATCHED!$T57,IF(MATCHED!AY57=20,MATCHED!$U57,IF(MATCHED!AY57=21,MATCHED!$V57,)))))))&amp;IF(MATCHED!AY57=22,MATCHED!$W57,IF(MATCHED!AY57=23,MATCHED!$X57,IF(MATCHED!AY57=24,MATCHED!$Y57,IF(MATCHED!AY57=25,MATCHED!$Z57,IF(MATCHED!AY57=26,MATCHED!$AA57,IF(MATCHED!AY57=27,MATCHED!$AB57,"."))))))</f>
        <v>#N/A</v>
      </c>
      <c r="X57" s="356" t="e">
        <f>IF(MATCHED!AZ57=1,MATCHED!$B57,IF(MATCHED!AZ57=2,MATCHED!$C57,IF(MATCHED!AZ57=3,MATCHED!$D57,IF(MATCHED!AZ57=4,MATCHED!$E57,IF(MATCHED!AZ57=3,MATCHED!$F57,IF(MATCHED!AZ57=6,MATCHED!$G57,IF(MATCHED!AZ57=7,MATCHED!$H57,"")))))))&amp;IF(MATCHED!AZ57=8,MATCHED!$I57,IF(MATCHED!AZ57=9,MATCHED!$J57,IF(MATCHED!AZ57=10,MATCHED!$K57,IF(MATCHED!AZ57=11,MATCHED!$L57,IF(MATCHED!AZ57=12,MATCHED!$M57,IF(MATCHED!AZ57=13,MATCHED!$N57,IF(MATCHED!AZ57=14,MATCHED!$O57,"")))))))&amp;IF(MATCHED!AZ57=15,MATCHED!$P57,IF(MATCHED!AZ57=16,MATCHED!$Q57,IF(MATCHED!AZ57=17,MATCHED!$R57,IF(MATCHED!AZ57=18,MATCHED!$S57,IF(MATCHED!AZ57=19,MATCHED!$T57,IF(MATCHED!AZ57=20,MATCHED!$U57,IF(MATCHED!AZ57=21,MATCHED!$V57,)))))))&amp;IF(MATCHED!AZ57=22,MATCHED!$W57,IF(MATCHED!AZ57=23,MATCHED!$X57,IF(MATCHED!AZ57=24,MATCHED!$Y57,IF(MATCHED!AZ57=25,MATCHED!$Z57,IF(MATCHED!AZ57=26,MATCHED!$AA57,IF(MATCHED!AZ57=27,MATCHED!$AB57,"."))))))</f>
        <v>#N/A</v>
      </c>
      <c r="Y57" s="356" t="e">
        <f>IF(MATCHED!BA57=1,MATCHED!$B57,IF(MATCHED!BA57=2,MATCHED!$C57,IF(MATCHED!BA57=3,MATCHED!$D57,IF(MATCHED!BA57=4,MATCHED!$E57,IF(MATCHED!BA57=3,MATCHED!$F57,IF(MATCHED!BA57=6,MATCHED!$G57,IF(MATCHED!BA57=7,MATCHED!$H57,"")))))))&amp;IF(MATCHED!BA57=8,MATCHED!$I57,IF(MATCHED!BA57=9,MATCHED!$J57,IF(MATCHED!BA57=10,MATCHED!$K57,IF(MATCHED!BA57=11,MATCHED!$L57,IF(MATCHED!BA57=12,MATCHED!$M57,IF(MATCHED!BA57=13,MATCHED!$N57,IF(MATCHED!BA57=14,MATCHED!$O57,"")))))))&amp;IF(MATCHED!BA57=15,MATCHED!$P57,IF(MATCHED!BA57=16,MATCHED!$Q57,IF(MATCHED!BA57=17,MATCHED!$R57,IF(MATCHED!BA57=18,MATCHED!$S57,IF(MATCHED!BA57=19,MATCHED!$T57,IF(MATCHED!BA57=20,MATCHED!$U57,IF(MATCHED!BA57=21,MATCHED!$V57,)))))))&amp;IF(MATCHED!BA57=22,MATCHED!$W57,IF(MATCHED!BA57=23,MATCHED!$X57,IF(MATCHED!BA57=24,MATCHED!$Y57,IF(MATCHED!BA57=25,MATCHED!$Z57,IF(MATCHED!BA57=26,MATCHED!$AA57,IF(MATCHED!BA57=27,MATCHED!$AB57,"."))))))</f>
        <v>#N/A</v>
      </c>
      <c r="Z57" s="356" t="e">
        <f>IF(MATCHED!BB57=1,MATCHED!$B57,IF(MATCHED!BB57=2,MATCHED!$C57,IF(MATCHED!BB57=3,MATCHED!$D57,IF(MATCHED!BB57=4,MATCHED!$E57,IF(MATCHED!BB57=3,MATCHED!$F57,IF(MATCHED!BB57=6,MATCHED!$G57,IF(MATCHED!BB57=7,MATCHED!$H57,"")))))))&amp;IF(MATCHED!BB57=8,MATCHED!$I57,IF(MATCHED!BB57=9,MATCHED!$J57,IF(MATCHED!BB57=10,MATCHED!$K57,IF(MATCHED!BB57=11,MATCHED!$L57,IF(MATCHED!BB57=12,MATCHED!$M57,IF(MATCHED!BB57=13,MATCHED!$N57,IF(MATCHED!BB57=14,MATCHED!$O57,"")))))))&amp;IF(MATCHED!BB57=15,MATCHED!$P57,IF(MATCHED!BB57=16,MATCHED!$Q57,IF(MATCHED!BB57=17,MATCHED!$R57,IF(MATCHED!BB57=18,MATCHED!$S57,IF(MATCHED!BB57=19,MATCHED!$T57,IF(MATCHED!BB57=20,MATCHED!$U57,IF(MATCHED!BB57=21,MATCHED!$V57,)))))))&amp;IF(MATCHED!BB57=22,MATCHED!$W57,IF(MATCHED!BB57=23,MATCHED!$X57,IF(MATCHED!BB57=24,MATCHED!$Y57,IF(MATCHED!BB57=25,MATCHED!$Z57,IF(MATCHED!BB57=26,MATCHED!$AA57,IF(MATCHED!BB57=27,MATCHED!$AB57,"."))))))</f>
        <v>#N/A</v>
      </c>
      <c r="AA57" s="356" t="e">
        <f>IF(MATCHED!BC57=1,MATCHED!$B57,IF(MATCHED!BC57=2,MATCHED!$C57,IF(MATCHED!BC57=3,MATCHED!$D57,IF(MATCHED!BC57=4,MATCHED!$E57,IF(MATCHED!BC57=3,MATCHED!$F57,IF(MATCHED!BC57=6,MATCHED!$G57,IF(MATCHED!BC57=7,MATCHED!$H57,"")))))))&amp;IF(MATCHED!BC57=8,MATCHED!$I57,IF(MATCHED!BC57=9,MATCHED!$J57,IF(MATCHED!BC57=10,MATCHED!$K57,IF(MATCHED!BC57=11,MATCHED!$L57,IF(MATCHED!BC57=12,MATCHED!$M57,IF(MATCHED!BC57=13,MATCHED!$N57,IF(MATCHED!BC57=14,MATCHED!$O57,"")))))))&amp;IF(MATCHED!BC57=15,MATCHED!$P57,IF(MATCHED!BC57=16,MATCHED!$Q57,IF(MATCHED!BC57=17,MATCHED!$R57,IF(MATCHED!BC57=18,MATCHED!$S57,IF(MATCHED!BC57=19,MATCHED!$T57,IF(MATCHED!BC57=20,MATCHED!$U57,IF(MATCHED!BC57=21,MATCHED!$V57,)))))))&amp;IF(MATCHED!BC57=22,MATCHED!$W57,IF(MATCHED!BC57=23,MATCHED!$X57,IF(MATCHED!BC57=24,MATCHED!$Y57,IF(MATCHED!BC57=25,MATCHED!$Z57,IF(MATCHED!BC57=26,MATCHED!$AA57,IF(MATCHED!BC57=27,MATCHED!$AB57,"."))))))</f>
        <v>#N/A</v>
      </c>
      <c r="AB57" s="356" t="e">
        <f>IF(MATCHED!BD57=1,MATCHED!$B57,IF(MATCHED!BD57=2,MATCHED!$C57,IF(MATCHED!BD57=3,MATCHED!$D57,IF(MATCHED!BD57=4,MATCHED!$E57,IF(MATCHED!BD57=3,MATCHED!$F57,IF(MATCHED!BD57=6,MATCHED!$G57,IF(MATCHED!BD57=7,MATCHED!$H57,"")))))))&amp;IF(MATCHED!BD57=8,MATCHED!$I57,IF(MATCHED!BD57=9,MATCHED!$J57,IF(MATCHED!BD57=10,MATCHED!$K57,IF(MATCHED!BD57=11,MATCHED!$L57,IF(MATCHED!BD57=12,MATCHED!$M57,IF(MATCHED!BD57=13,MATCHED!$N57,IF(MATCHED!BD57=14,MATCHED!$O57,"")))))))&amp;IF(MATCHED!BD57=15,MATCHED!$P57,IF(MATCHED!BD57=16,MATCHED!$Q57,IF(MATCHED!BD57=17,MATCHED!$R57,IF(MATCHED!BD57=18,MATCHED!$S57,IF(MATCHED!BD57=19,MATCHED!$T57,IF(MATCHED!BD57=20,MATCHED!$U57,IF(MATCHED!BD57=21,MATCHED!$V57,)))))))&amp;IF(MATCHED!BD57=22,MATCHED!$W57,IF(MATCHED!BD57=23,MATCHED!$X57,IF(MATCHED!BD57=24,MATCHED!$Y57,IF(MATCHED!BD57=25,MATCHED!$Z57,IF(MATCHED!BD57=26,MATCHED!$AA57,IF(MATCHED!BD57=27,MATCHED!$AB57,"."))))))</f>
        <v>#N/A</v>
      </c>
      <c r="AC57" s="356" t="e">
        <f>IF(MATCHED!BE57=1,MATCHED!$B57,IF(MATCHED!BE57=2,MATCHED!$C57,IF(MATCHED!BE57=3,MATCHED!$D57,IF(MATCHED!BE57=4,MATCHED!$E57,IF(MATCHED!BE57=3,MATCHED!$F57,IF(MATCHED!BE57=6,MATCHED!$G57,IF(MATCHED!BE57=7,MATCHED!$H57,"")))))))&amp;IF(MATCHED!BE57=8,MATCHED!$I57,IF(MATCHED!BE57=9,MATCHED!$J57,IF(MATCHED!BE57=10,MATCHED!$K57,IF(MATCHED!BE57=11,MATCHED!$L57,IF(MATCHED!BE57=12,MATCHED!$M57,IF(MATCHED!BE57=13,MATCHED!$N57,IF(MATCHED!BE57=14,MATCHED!$O57,"")))))))&amp;IF(MATCHED!BE57=15,MATCHED!$P57,IF(MATCHED!BE57=16,MATCHED!$Q57,IF(MATCHED!BE57=17,MATCHED!$R57,IF(MATCHED!BE57=18,MATCHED!$S57,IF(MATCHED!BE57=19,MATCHED!$T57,IF(MATCHED!BE57=20,MATCHED!$U57,IF(MATCHED!BE57=21,MATCHED!$V57,)))))))&amp;IF(MATCHED!BE57=22,MATCHED!$W57,IF(MATCHED!BE57=23,MATCHED!$X57,IF(MATCHED!BE57=24,MATCHED!$Y57,IF(MATCHED!BE57=25,MATCHED!$Z57,IF(MATCHED!BE57=26,MATCHED!$AA57,IF(MATCHED!BE57=27,MATCHED!$AB57,"."))))))</f>
        <v>#N/A</v>
      </c>
      <c r="AD57" s="356" t="e">
        <f>IF(MATCHED!BF57=1,MATCHED!$B57,IF(MATCHED!BF57=2,MATCHED!$C57,IF(MATCHED!BF57=3,MATCHED!$D57,IF(MATCHED!BF57=4,MATCHED!$E57,IF(MATCHED!BF57=3,MATCHED!$F57,IF(MATCHED!BF57=6,MATCHED!$G57,IF(MATCHED!BF57=7,MATCHED!$H57,"")))))))&amp;IF(MATCHED!BF57=8,MATCHED!$I57,IF(MATCHED!BF57=9,MATCHED!$J57,IF(MATCHED!BF57=10,MATCHED!$K57,IF(MATCHED!BF57=11,MATCHED!$L57,IF(MATCHED!BF57=12,MATCHED!$M57,IF(MATCHED!BF57=13,MATCHED!$N57,IF(MATCHED!BF57=14,MATCHED!$O57,"")))))))&amp;IF(MATCHED!BF57=15,MATCHED!$P57,IF(MATCHED!BF57=16,MATCHED!$Q57,IF(MATCHED!BF57=17,MATCHED!$R57,IF(MATCHED!BF57=18,MATCHED!$S57,IF(MATCHED!BF57=19,MATCHED!$T57,IF(MATCHED!BF57=20,MATCHED!$U57,IF(MATCHED!BF57=21,MATCHED!$V57,)))))))&amp;IF(MATCHED!BF57=22,MATCHED!$W57,IF(MATCHED!BF57=23,MATCHED!$X57,IF(MATCHED!BF57=24,MATCHED!$Y57,IF(MATCHED!BF57=25,MATCHED!$Z57,IF(MATCHED!BF57=26,MATCHED!$AA57,IF(MATCHED!BF57=27,MATCHED!$AB57,"."))))))</f>
        <v>#N/A</v>
      </c>
      <c r="AE57" s="356" t="e">
        <f>IF(MATCHED!BG57=1,MATCHED!$B57,IF(MATCHED!BG57=2,MATCHED!$C57,IF(MATCHED!BG57=3,MATCHED!$D57,IF(MATCHED!BG57=4,MATCHED!$E57,IF(MATCHED!BG57=3,MATCHED!$F57,IF(MATCHED!BG57=6,MATCHED!$G57,IF(MATCHED!BG57=7,MATCHED!$H57,"")))))))&amp;IF(MATCHED!BG57=8,MATCHED!$I57,IF(MATCHED!BG57=9,MATCHED!$J57,IF(MATCHED!BG57=10,MATCHED!$K57,IF(MATCHED!BG57=11,MATCHED!$L57,IF(MATCHED!BG57=12,MATCHED!$M57,IF(MATCHED!BG57=13,MATCHED!$N57,IF(MATCHED!BG57=14,MATCHED!$O57,"")))))))&amp;IF(MATCHED!BG57=15,MATCHED!$P57,IF(MATCHED!BG57=16,MATCHED!$Q57,IF(MATCHED!BG57=17,MATCHED!$R57,IF(MATCHED!BG57=18,MATCHED!$S57,IF(MATCHED!BG57=19,MATCHED!$T57,IF(MATCHED!BG57=20,MATCHED!$U57,IF(MATCHED!BG57=21,MATCHED!$V57,)))))))&amp;IF(MATCHED!BG57=22,MATCHED!$W57,IF(MATCHED!BG57=23,MATCHED!$X57,IF(MATCHED!BG57=24,MATCHED!$Y57,IF(MATCHED!BG57=25,MATCHED!$Z57,IF(MATCHED!BG57=26,MATCHED!$AA57,IF(MATCHED!BG57=27,MATCHED!$AB57,"."))))))</f>
        <v>#N/A</v>
      </c>
      <c r="AF57" s="356" t="e">
        <f>IF(MATCHED!BH57=1,MATCHED!$B57,IF(MATCHED!BH57=2,MATCHED!$C57,IF(MATCHED!BH57=3,MATCHED!$D57,IF(MATCHED!BH57=4,MATCHED!$E57,IF(MATCHED!BH57=3,MATCHED!$F57,IF(MATCHED!BH57=6,MATCHED!$G57,IF(MATCHED!BH57=7,MATCHED!$H57,"")))))))&amp;IF(MATCHED!BH57=8,MATCHED!$I57,IF(MATCHED!BH57=9,MATCHED!$J57,IF(MATCHED!BH57=10,MATCHED!$K57,IF(MATCHED!BH57=11,MATCHED!$L57,IF(MATCHED!BH57=12,MATCHED!$M57,IF(MATCHED!BH57=13,MATCHED!$N57,IF(MATCHED!BH57=14,MATCHED!$O57,"")))))))&amp;IF(MATCHED!BH57=15,MATCHED!$P57,IF(MATCHED!BH57=16,MATCHED!$Q57,IF(MATCHED!BH57=17,MATCHED!$R57,IF(MATCHED!BH57=18,MATCHED!$S57,IF(MATCHED!BH57=19,MATCHED!$T57,IF(MATCHED!BH57=20,MATCHED!$U57,IF(MATCHED!BH57=21,MATCHED!$V57,)))))))&amp;IF(MATCHED!BH57=22,MATCHED!$W57,IF(MATCHED!BH57=23,MATCHED!$X57,IF(MATCHED!BH57=24,MATCHED!$Y57,IF(MATCHED!BH57=25,MATCHED!$Z57,IF(MATCHED!BH57=26,MATCHED!$AA57,IF(MATCHED!BH57=27,MATCHED!$AB57,"."))))))</f>
        <v>#N/A</v>
      </c>
      <c r="AG57" s="356" t="e">
        <f>IF(MATCHED!BI57=1,MATCHED!$B57,IF(MATCHED!BI57=2,MATCHED!$C57,IF(MATCHED!BI57=3,MATCHED!$D57,IF(MATCHED!BI57=4,MATCHED!$E57,IF(MATCHED!BI57=3,MATCHED!$F57,IF(MATCHED!BI57=6,MATCHED!$G57,IF(MATCHED!BI57=7,MATCHED!$H57,"")))))))&amp;IF(MATCHED!BI57=8,MATCHED!$I57,IF(MATCHED!BI57=9,MATCHED!$J57,IF(MATCHED!BI57=10,MATCHED!$K57,IF(MATCHED!BI57=11,MATCHED!$L57,IF(MATCHED!BI57=12,MATCHED!$M57,IF(MATCHED!BI57=13,MATCHED!$N57,IF(MATCHED!BI57=14,MATCHED!$O57,"")))))))&amp;IF(MATCHED!BI57=15,MATCHED!$P57,IF(MATCHED!BI57=16,MATCHED!$Q57,IF(MATCHED!BI57=17,MATCHED!$R57,IF(MATCHED!BI57=18,MATCHED!$S57,IF(MATCHED!BI57=19,MATCHED!$T57,IF(MATCHED!BI57=20,MATCHED!$U57,IF(MATCHED!BI57=21,MATCHED!$V57,)))))))&amp;IF(MATCHED!BI57=22,MATCHED!$W57,IF(MATCHED!BI57=23,MATCHED!$X57,IF(MATCHED!BI57=24,MATCHED!$Y57,IF(MATCHED!BI57=25,MATCHED!$Z57,IF(MATCHED!BI57=26,MATCHED!$AA57,IF(MATCHED!BI57=27,MATCHED!$AB57,"."))))))</f>
        <v>#N/A</v>
      </c>
      <c r="AH57" s="356" t="e">
        <f>IF(MATCHED!BJ57=1,MATCHED!$B57,IF(MATCHED!BJ57=2,MATCHED!$C57,IF(MATCHED!BJ57=3,MATCHED!$D57,IF(MATCHED!BJ57=4,MATCHED!$E57,IF(MATCHED!BJ57=3,MATCHED!$F57,IF(MATCHED!BJ57=6,MATCHED!$G57,IF(MATCHED!BJ57=7,MATCHED!$H57,"")))))))&amp;IF(MATCHED!BJ57=8,MATCHED!$I57,IF(MATCHED!BJ57=9,MATCHED!$J57,IF(MATCHED!BJ57=10,MATCHED!$K57,IF(MATCHED!BJ57=11,MATCHED!$L57,IF(MATCHED!BJ57=12,MATCHED!$M57,IF(MATCHED!BJ57=13,MATCHED!$N57,IF(MATCHED!BJ57=14,MATCHED!$O57,"")))))))&amp;IF(MATCHED!BJ57=15,MATCHED!$P57,IF(MATCHED!BJ57=16,MATCHED!$Q57,IF(MATCHED!BJ57=17,MATCHED!$R57,IF(MATCHED!BJ57=18,MATCHED!$S57,IF(MATCHED!BJ57=19,MATCHED!$T57,IF(MATCHED!BJ57=20,MATCHED!$U57,IF(MATCHED!BJ57=21,MATCHED!$V57,)))))))&amp;IF(MATCHED!BJ57=22,MATCHED!$W57,IF(MATCHED!BJ57=23,MATCHED!$X57,IF(MATCHED!BJ57=24,MATCHED!$Y57,IF(MATCHED!BJ57=25,MATCHED!$Z57,IF(MATCHED!BJ57=26,MATCHED!$AA57,IF(MATCHED!BJ57=27,MATCHED!$AB57,"."))))))</f>
        <v>#N/A</v>
      </c>
      <c r="AI57" s="356" t="e">
        <f>IF(MATCHED!BK57=1,MATCHED!$B57,IF(MATCHED!BK57=2,MATCHED!$C57,IF(MATCHED!BK57=3,MATCHED!$D57,IF(MATCHED!BK57=4,MATCHED!$E57,IF(MATCHED!BK57=3,MATCHED!$F57,IF(MATCHED!BK57=6,MATCHED!$G57,IF(MATCHED!BK57=7,MATCHED!$H57,"")))))))&amp;IF(MATCHED!BK57=8,MATCHED!$I57,IF(MATCHED!BK57=9,MATCHED!$J57,IF(MATCHED!BK57=10,MATCHED!$K57,IF(MATCHED!BK57=11,MATCHED!$L57,IF(MATCHED!BK57=12,MATCHED!$M57,IF(MATCHED!BK57=13,MATCHED!$N57,IF(MATCHED!BK57=14,MATCHED!$O57,"")))))))&amp;IF(MATCHED!BK57=15,MATCHED!$P57,IF(MATCHED!BK57=16,MATCHED!$Q57,IF(MATCHED!BK57=17,MATCHED!$R57,IF(MATCHED!BK57=18,MATCHED!$S57,IF(MATCHED!BK57=19,MATCHED!$T57,IF(MATCHED!BK57=20,MATCHED!$U57,IF(MATCHED!BK57=21,MATCHED!$V57,)))))))&amp;IF(MATCHED!BK57=22,MATCHED!$W57,IF(MATCHED!BK57=23,MATCHED!$X57,IF(MATCHED!BK57=24,MATCHED!$Y57,IF(MATCHED!BK57=25,MATCHED!$Z57,IF(MATCHED!BK57=26,MATCHED!$AA57,IF(MATCHED!BK57=27,MATCHED!$AB57,"."))))))</f>
        <v>#N/A</v>
      </c>
      <c r="AJ57" s="535"/>
    </row>
    <row r="58" spans="1:36" s="338" customFormat="1" ht="15.6" thickBot="1" x14ac:dyDescent="0.3">
      <c r="A58" s="536"/>
      <c r="B58" s="361" t="e">
        <f>IF(MATCHED!AD58=1,MATCHED!$B58,IF(MATCHED!AD58=2,MATCHED!$C58,IF(MATCHED!AD58=3,MATCHED!$D58,IF(MATCHED!AD58=4,MATCHED!$E58,IF(MATCHED!AD58=3,MATCHED!$F58,IF(MATCHED!AD58=6,MATCHED!$G58,IF(MATCHED!AD58=7,MATCHED!$H58,"")))))))&amp;IF(MATCHED!AD58=8,MATCHED!$I58,IF(MATCHED!AD58=9,MATCHED!$J58,IF(MATCHED!AD58=10,MATCHED!$K58,IF(MATCHED!AD58=11,MATCHED!$L58,IF(MATCHED!AD58=12,MATCHED!$M58,IF(MATCHED!AD58=13,MATCHED!$N58,IF(MATCHED!AD58=14,MATCHED!$O58,"")))))))&amp;IF(MATCHED!AD58=15,MATCHED!$P58,IF(MATCHED!AD58=16,MATCHED!$Q58,IF(MATCHED!AD58=17,MATCHED!$R58,IF(MATCHED!AD58=18,MATCHED!$S58,IF(MATCHED!AD58=19,MATCHED!$T58,IF(MATCHED!AD58=20,MATCHED!$U58,IF(MATCHED!AD58=21,MATCHED!$V58,)))))))&amp;IF(MATCHED!AD58=22,MATCHED!$W58,IF(MATCHED!AD58=23,MATCHED!$X58,IF(MATCHED!AD58=24,MATCHED!$Y58,IF(MATCHED!AD58=25,MATCHED!$Z58,IF(MATCHED!AD58=26,MATCHED!$AA58,IF(MATCHED!AD58=27,MATCHED!$AB58,"."))))))</f>
        <v>#N/A</v>
      </c>
      <c r="C58" s="362" t="e">
        <f>IF(MATCHED!AE58=1,MATCHED!$B58,IF(MATCHED!AE58=2,MATCHED!$C58,IF(MATCHED!AE58=3,MATCHED!$D58,IF(MATCHED!AE58=4,MATCHED!$E58,IF(MATCHED!AE58=3,MATCHED!$F58,IF(MATCHED!AE58=6,MATCHED!$G58,IF(MATCHED!AE58=7,MATCHED!$H58,"")))))))&amp;IF(MATCHED!AE58=8,MATCHED!$I58,IF(MATCHED!AE58=9,MATCHED!$J58,IF(MATCHED!AE58=10,MATCHED!$K58,IF(MATCHED!AE58=11,MATCHED!$L58,IF(MATCHED!AE58=12,MATCHED!$M58,IF(MATCHED!AE58=13,MATCHED!$N58,IF(MATCHED!AE58=14,MATCHED!$O58,"")))))))&amp;IF(MATCHED!AE58=15,MATCHED!$P58,IF(MATCHED!AE58=16,MATCHED!$Q58,IF(MATCHED!AE58=17,MATCHED!$R58,IF(MATCHED!AE58=18,MATCHED!$S58,IF(MATCHED!AE58=19,MATCHED!$T58,IF(MATCHED!AE58=20,MATCHED!$U58,IF(MATCHED!AE58=21,MATCHED!$V58,)))))))&amp;IF(MATCHED!AE58=22,MATCHED!$W58,IF(MATCHED!AE58=23,MATCHED!$X58,IF(MATCHED!AE58=24,MATCHED!$Y58,IF(MATCHED!AE58=25,MATCHED!$Z58,IF(MATCHED!AE58=26,MATCHED!$AA58,IF(MATCHED!AE58=27,MATCHED!$AB58,"."))))))</f>
        <v>#N/A</v>
      </c>
      <c r="D58" s="362" t="e">
        <f>IF(MATCHED!AF58=1,MATCHED!$B58,IF(MATCHED!AF58=2,MATCHED!$C58,IF(MATCHED!AF58=3,MATCHED!$D58,IF(MATCHED!AF58=4,MATCHED!$E58,IF(MATCHED!AF58=3,MATCHED!$F58,IF(MATCHED!AF58=6,MATCHED!$G58,IF(MATCHED!AF58=7,MATCHED!$H58,"")))))))&amp;IF(MATCHED!AF58=8,MATCHED!$I58,IF(MATCHED!AF58=9,MATCHED!$J58,IF(MATCHED!AF58=10,MATCHED!$K58,IF(MATCHED!AF58=11,MATCHED!$L58,IF(MATCHED!AF58=12,MATCHED!$M58,IF(MATCHED!AF58=13,MATCHED!$N58,IF(MATCHED!AF58=14,MATCHED!$O58,"")))))))&amp;IF(MATCHED!AF58=15,MATCHED!$P58,IF(MATCHED!AF58=16,MATCHED!$Q58,IF(MATCHED!AF58=17,MATCHED!$R58,IF(MATCHED!AF58=18,MATCHED!$S58,IF(MATCHED!AF58=19,MATCHED!$T58,IF(MATCHED!AF58=20,MATCHED!$U58,IF(MATCHED!AF58=21,MATCHED!$V58,)))))))&amp;IF(MATCHED!AF58=22,MATCHED!$W58,IF(MATCHED!AF58=23,MATCHED!$X58,IF(MATCHED!AF58=24,MATCHED!$Y58,IF(MATCHED!AF58=25,MATCHED!$Z58,IF(MATCHED!AF58=26,MATCHED!$AA58,IF(MATCHED!AF58=27,MATCHED!$AB58,"."))))))</f>
        <v>#N/A</v>
      </c>
      <c r="E58" s="362" t="e">
        <f>IF(MATCHED!AG58=1,MATCHED!$B58,IF(MATCHED!AG58=2,MATCHED!$C58,IF(MATCHED!AG58=3,MATCHED!$D58,IF(MATCHED!AG58=4,MATCHED!$E58,IF(MATCHED!AG58=3,MATCHED!$F58,IF(MATCHED!AG58=6,MATCHED!$G58,IF(MATCHED!AG58=7,MATCHED!$H58,"")))))))&amp;IF(MATCHED!AG58=8,MATCHED!$I58,IF(MATCHED!AG58=9,MATCHED!$J58,IF(MATCHED!AG58=10,MATCHED!$K58,IF(MATCHED!AG58=11,MATCHED!$L58,IF(MATCHED!AG58=12,MATCHED!$M58,IF(MATCHED!AG58=13,MATCHED!$N58,IF(MATCHED!AG58=14,MATCHED!$O58,"")))))))&amp;IF(MATCHED!AG58=15,MATCHED!$P58,IF(MATCHED!AG58=16,MATCHED!$Q58,IF(MATCHED!AG58=17,MATCHED!$R58,IF(MATCHED!AG58=18,MATCHED!$S58,IF(MATCHED!AG58=19,MATCHED!$T58,IF(MATCHED!AG58=20,MATCHED!$U58,IF(MATCHED!AG58=21,MATCHED!$V58,)))))))&amp;IF(MATCHED!AG58=22,MATCHED!$W58,IF(MATCHED!AG58=23,MATCHED!$X58,IF(MATCHED!AG58=24,MATCHED!$Y58,IF(MATCHED!AG58=25,MATCHED!$Z58,IF(MATCHED!AG58=26,MATCHED!$AA58,IF(MATCHED!AG58=27,MATCHED!$AB58,"."))))))</f>
        <v>#N/A</v>
      </c>
      <c r="F58" s="362" t="e">
        <f>IF(MATCHED!AH58=1,MATCHED!$B58,IF(MATCHED!AH58=2,MATCHED!$C58,IF(MATCHED!AH58=3,MATCHED!$D58,IF(MATCHED!AH58=4,MATCHED!$E58,IF(MATCHED!AH58=3,MATCHED!$F58,IF(MATCHED!AH58=6,MATCHED!$G58,IF(MATCHED!AH58=7,MATCHED!$H58,"")))))))&amp;IF(MATCHED!AH58=8,MATCHED!$I58,IF(MATCHED!AH58=9,MATCHED!$J58,IF(MATCHED!AH58=10,MATCHED!$K58,IF(MATCHED!AH58=11,MATCHED!$L58,IF(MATCHED!AH58=12,MATCHED!$M58,IF(MATCHED!AH58=13,MATCHED!$N58,IF(MATCHED!AH58=14,MATCHED!$O58,"")))))))&amp;IF(MATCHED!AH58=15,MATCHED!$P58,IF(MATCHED!AH58=16,MATCHED!$Q58,IF(MATCHED!AH58=17,MATCHED!$R58,IF(MATCHED!AH58=18,MATCHED!$S58,IF(MATCHED!AH58=19,MATCHED!$T58,IF(MATCHED!AH58=20,MATCHED!$U58,IF(MATCHED!AH58=21,MATCHED!$V58,)))))))&amp;IF(MATCHED!AH58=22,MATCHED!$W58,IF(MATCHED!AH58=23,MATCHED!$X58,IF(MATCHED!AH58=24,MATCHED!$Y58,IF(MATCHED!AH58=25,MATCHED!$Z58,IF(MATCHED!AH58=26,MATCHED!$AA58,IF(MATCHED!AH58=27,MATCHED!$AB58,"."))))))</f>
        <v>#N/A</v>
      </c>
      <c r="G58" s="362" t="e">
        <f>IF(MATCHED!AI58=1,MATCHED!$B58,IF(MATCHED!AI58=2,MATCHED!$C58,IF(MATCHED!AI58=3,MATCHED!$D58,IF(MATCHED!AI58=4,MATCHED!$E58,IF(MATCHED!AI58=3,MATCHED!$F58,IF(MATCHED!AI58=6,MATCHED!$G58,IF(MATCHED!AI58=7,MATCHED!$H58,"")))))))&amp;IF(MATCHED!AI58=8,MATCHED!$I58,IF(MATCHED!AI58=9,MATCHED!$J58,IF(MATCHED!AI58=10,MATCHED!$K58,IF(MATCHED!AI58=11,MATCHED!$L58,IF(MATCHED!AI58=12,MATCHED!$M58,IF(MATCHED!AI58=13,MATCHED!$N58,IF(MATCHED!AI58=14,MATCHED!$O58,"")))))))&amp;IF(MATCHED!AI58=15,MATCHED!$P58,IF(MATCHED!AI58=16,MATCHED!$Q58,IF(MATCHED!AI58=17,MATCHED!$R58,IF(MATCHED!AI58=18,MATCHED!$S58,IF(MATCHED!AI58=19,MATCHED!$T58,IF(MATCHED!AI58=20,MATCHED!$U58,IF(MATCHED!AI58=21,MATCHED!$V58,)))))))&amp;IF(MATCHED!AI58=22,MATCHED!$W58,IF(MATCHED!AI58=23,MATCHED!$X58,IF(MATCHED!AI58=24,MATCHED!$Y58,IF(MATCHED!AI58=25,MATCHED!$Z58,IF(MATCHED!AI58=26,MATCHED!$AA58,IF(MATCHED!AI58=27,MATCHED!$AB58,"."))))))</f>
        <v>#N/A</v>
      </c>
      <c r="H58" s="362" t="e">
        <f>IF(MATCHED!AJ58=1,MATCHED!$B58,IF(MATCHED!AJ58=2,MATCHED!$C58,IF(MATCHED!AJ58=3,MATCHED!$D58,IF(MATCHED!AJ58=4,MATCHED!$E58,IF(MATCHED!AJ58=3,MATCHED!$F58,IF(MATCHED!AJ58=6,MATCHED!$G58,IF(MATCHED!AJ58=7,MATCHED!$H58,"")))))))&amp;IF(MATCHED!AJ58=8,MATCHED!$I58,IF(MATCHED!AJ58=9,MATCHED!$J58,IF(MATCHED!AJ58=10,MATCHED!$K58,IF(MATCHED!AJ58=11,MATCHED!$L58,IF(MATCHED!AJ58=12,MATCHED!$M58,IF(MATCHED!AJ58=13,MATCHED!$N58,IF(MATCHED!AJ58=14,MATCHED!$O58,"")))))))&amp;IF(MATCHED!AJ58=15,MATCHED!$P58,IF(MATCHED!AJ58=16,MATCHED!$Q58,IF(MATCHED!AJ58=17,MATCHED!$R58,IF(MATCHED!AJ58=18,MATCHED!$S58,IF(MATCHED!AJ58=19,MATCHED!$T58,IF(MATCHED!AJ58=20,MATCHED!$U58,IF(MATCHED!AJ58=21,MATCHED!$V58,)))))))&amp;IF(MATCHED!AJ58=22,MATCHED!$W58,IF(MATCHED!AJ58=23,MATCHED!$X58,IF(MATCHED!AJ58=24,MATCHED!$Y58,IF(MATCHED!AJ58=25,MATCHED!$Z58,IF(MATCHED!AJ58=26,MATCHED!$AA58,IF(MATCHED!AJ58=27,MATCHED!$AB58,"."))))))</f>
        <v>#N/A</v>
      </c>
      <c r="I58" s="362" t="e">
        <f>IF(MATCHED!AK58=1,MATCHED!$B58,IF(MATCHED!AK58=2,MATCHED!$C58,IF(MATCHED!AK58=3,MATCHED!$D58,IF(MATCHED!AK58=4,MATCHED!$E58,IF(MATCHED!AK58=3,MATCHED!$F58,IF(MATCHED!AK58=6,MATCHED!$G58,IF(MATCHED!AK58=7,MATCHED!$H58,"")))))))&amp;IF(MATCHED!AK58=8,MATCHED!$I58,IF(MATCHED!AK58=9,MATCHED!$J58,IF(MATCHED!AK58=10,MATCHED!$K58,IF(MATCHED!AK58=11,MATCHED!$L58,IF(MATCHED!AK58=12,MATCHED!$M58,IF(MATCHED!AK58=13,MATCHED!$N58,IF(MATCHED!AK58=14,MATCHED!$O58,"")))))))&amp;IF(MATCHED!AK58=15,MATCHED!$P58,IF(MATCHED!AK58=16,MATCHED!$Q58,IF(MATCHED!AK58=17,MATCHED!$R58,IF(MATCHED!AK58=18,MATCHED!$S58,IF(MATCHED!AK58=19,MATCHED!$T58,IF(MATCHED!AK58=20,MATCHED!$U58,IF(MATCHED!AK58=21,MATCHED!$V58,)))))))&amp;IF(MATCHED!AK58=22,MATCHED!$W58,IF(MATCHED!AK58=23,MATCHED!$X58,IF(MATCHED!AK58=24,MATCHED!$Y58,IF(MATCHED!AK58=25,MATCHED!$Z58,IF(MATCHED!AK58=26,MATCHED!$AA58,IF(MATCHED!AK58=27,MATCHED!$AB58,"."))))))</f>
        <v>#N/A</v>
      </c>
      <c r="J58" s="362" t="e">
        <f>IF(MATCHED!AL58=1,MATCHED!$B58,IF(MATCHED!AL58=2,MATCHED!$C58,IF(MATCHED!AL58=3,MATCHED!$D58,IF(MATCHED!AL58=4,MATCHED!$E58,IF(MATCHED!AL58=3,MATCHED!$F58,IF(MATCHED!AL58=6,MATCHED!$G58,IF(MATCHED!AL58=7,MATCHED!$H58,"")))))))&amp;IF(MATCHED!AL58=8,MATCHED!$I58,IF(MATCHED!AL58=9,MATCHED!$J58,IF(MATCHED!AL58=10,MATCHED!$K58,IF(MATCHED!AL58=11,MATCHED!$L58,IF(MATCHED!AL58=12,MATCHED!$M58,IF(MATCHED!AL58=13,MATCHED!$N58,IF(MATCHED!AL58=14,MATCHED!$O58,"")))))))&amp;IF(MATCHED!AL58=15,MATCHED!$P58,IF(MATCHED!AL58=16,MATCHED!$Q58,IF(MATCHED!AL58=17,MATCHED!$R58,IF(MATCHED!AL58=18,MATCHED!$S58,IF(MATCHED!AL58=19,MATCHED!$T58,IF(MATCHED!AL58=20,MATCHED!$U58,IF(MATCHED!AL58=21,MATCHED!$V58,)))))))&amp;IF(MATCHED!AL58=22,MATCHED!$W58,IF(MATCHED!AL58=23,MATCHED!$X58,IF(MATCHED!AL58=24,MATCHED!$Y58,IF(MATCHED!AL58=25,MATCHED!$Z58,IF(MATCHED!AL58=26,MATCHED!$AA58,IF(MATCHED!AL58=27,MATCHED!$AB58,"."))))))</f>
        <v>#N/A</v>
      </c>
      <c r="K58" s="362" t="e">
        <f>IF(MATCHED!AM58=1,MATCHED!$B58,IF(MATCHED!AM58=2,MATCHED!$C58,IF(MATCHED!AM58=3,MATCHED!$D58,IF(MATCHED!AM58=4,MATCHED!$E58,IF(MATCHED!AM58=3,MATCHED!$F58,IF(MATCHED!AM58=6,MATCHED!$G58,IF(MATCHED!AM58=7,MATCHED!$H58,"")))))))&amp;IF(MATCHED!AM58=8,MATCHED!$I58,IF(MATCHED!AM58=9,MATCHED!$J58,IF(MATCHED!AM58=10,MATCHED!$K58,IF(MATCHED!AM58=11,MATCHED!$L58,IF(MATCHED!AM58=12,MATCHED!$M58,IF(MATCHED!AM58=13,MATCHED!$N58,IF(MATCHED!AM58=14,MATCHED!$O58,"")))))))&amp;IF(MATCHED!AM58=15,MATCHED!$P58,IF(MATCHED!AM58=16,MATCHED!$Q58,IF(MATCHED!AM58=17,MATCHED!$R58,IF(MATCHED!AM58=18,MATCHED!$S58,IF(MATCHED!AM58=19,MATCHED!$T58,IF(MATCHED!AM58=20,MATCHED!$U58,IF(MATCHED!AM58=21,MATCHED!$V58,)))))))&amp;IF(MATCHED!AM58=22,MATCHED!$W58,IF(MATCHED!AM58=23,MATCHED!$X58,IF(MATCHED!AM58=24,MATCHED!$Y58,IF(MATCHED!AM58=25,MATCHED!$Z58,IF(MATCHED!AM58=26,MATCHED!$AA58,IF(MATCHED!AM58=27,MATCHED!$AB58,"."))))))</f>
        <v>#N/A</v>
      </c>
      <c r="L58" s="362" t="e">
        <f>IF(MATCHED!AN58=1,MATCHED!$B58,IF(MATCHED!AN58=2,MATCHED!$C58,IF(MATCHED!AN58=3,MATCHED!$D58,IF(MATCHED!AN58=4,MATCHED!$E58,IF(MATCHED!AN58=3,MATCHED!$F58,IF(MATCHED!AN58=6,MATCHED!$G58,IF(MATCHED!AN58=7,MATCHED!$H58,"")))))))&amp;IF(MATCHED!AN58=8,MATCHED!$I58,IF(MATCHED!AN58=9,MATCHED!$J58,IF(MATCHED!AN58=10,MATCHED!$K58,IF(MATCHED!AN58=11,MATCHED!$L58,IF(MATCHED!AN58=12,MATCHED!$M58,IF(MATCHED!AN58=13,MATCHED!$N58,IF(MATCHED!AN58=14,MATCHED!$O58,"")))))))&amp;IF(MATCHED!AN58=15,MATCHED!$P58,IF(MATCHED!AN58=16,MATCHED!$Q58,IF(MATCHED!AN58=17,MATCHED!$R58,IF(MATCHED!AN58=18,MATCHED!$S58,IF(MATCHED!AN58=19,MATCHED!$T58,IF(MATCHED!AN58=20,MATCHED!$U58,IF(MATCHED!AN58=21,MATCHED!$V58,)))))))&amp;IF(MATCHED!AN58=22,MATCHED!$W58,IF(MATCHED!AN58=23,MATCHED!$X58,IF(MATCHED!AN58=24,MATCHED!$Y58,IF(MATCHED!AN58=25,MATCHED!$Z58,IF(MATCHED!AN58=26,MATCHED!$AA58,IF(MATCHED!AN58=27,MATCHED!$AB58,"."))))))</f>
        <v>#N/A</v>
      </c>
      <c r="M58" s="362" t="e">
        <f>IF(MATCHED!AO58=1,MATCHED!$B58,IF(MATCHED!AO58=2,MATCHED!$C58,IF(MATCHED!AO58=3,MATCHED!$D58,IF(MATCHED!AO58=4,MATCHED!$E58,IF(MATCHED!AO58=3,MATCHED!$F58,IF(MATCHED!AO58=6,MATCHED!$G58,IF(MATCHED!AO58=7,MATCHED!$H58,"")))))))&amp;IF(MATCHED!AO58=8,MATCHED!$I58,IF(MATCHED!AO58=9,MATCHED!$J58,IF(MATCHED!AO58=10,MATCHED!$K58,IF(MATCHED!AO58=11,MATCHED!$L58,IF(MATCHED!AO58=12,MATCHED!$M58,IF(MATCHED!AO58=13,MATCHED!$N58,IF(MATCHED!AO58=14,MATCHED!$O58,"")))))))&amp;IF(MATCHED!AO58=15,MATCHED!$P58,IF(MATCHED!AO58=16,MATCHED!$Q58,IF(MATCHED!AO58=17,MATCHED!$R58,IF(MATCHED!AO58=18,MATCHED!$S58,IF(MATCHED!AO58=19,MATCHED!$T58,IF(MATCHED!AO58=20,MATCHED!$U58,IF(MATCHED!AO58=21,MATCHED!$V58,)))))))&amp;IF(MATCHED!AO58=22,MATCHED!$W58,IF(MATCHED!AO58=23,MATCHED!$X58,IF(MATCHED!AO58=24,MATCHED!$Y58,IF(MATCHED!AO58=25,MATCHED!$Z58,IF(MATCHED!AO58=26,MATCHED!$AA58,IF(MATCHED!AO58=27,MATCHED!$AB58,"."))))))</f>
        <v>#N/A</v>
      </c>
      <c r="N58" s="362" t="e">
        <f>IF(MATCHED!AP58=1,MATCHED!$B58,IF(MATCHED!AP58=2,MATCHED!$C58,IF(MATCHED!AP58=3,MATCHED!$D58,IF(MATCHED!AP58=4,MATCHED!$E58,IF(MATCHED!AP58=3,MATCHED!$F58,IF(MATCHED!AP58=6,MATCHED!$G58,IF(MATCHED!AP58=7,MATCHED!$H58,"")))))))&amp;IF(MATCHED!AP58=8,MATCHED!$I58,IF(MATCHED!AP58=9,MATCHED!$J58,IF(MATCHED!AP58=10,MATCHED!$K58,IF(MATCHED!AP58=11,MATCHED!$L58,IF(MATCHED!AP58=12,MATCHED!$M58,IF(MATCHED!AP58=13,MATCHED!$N58,IF(MATCHED!AP58=14,MATCHED!$O58,"")))))))&amp;IF(MATCHED!AP58=15,MATCHED!$P58,IF(MATCHED!AP58=16,MATCHED!$Q58,IF(MATCHED!AP58=17,MATCHED!$R58,IF(MATCHED!AP58=18,MATCHED!$S58,IF(MATCHED!AP58=19,MATCHED!$T58,IF(MATCHED!AP58=20,MATCHED!$U58,IF(MATCHED!AP58=21,MATCHED!$V58,)))))))&amp;IF(MATCHED!AP58=22,MATCHED!$W58,IF(MATCHED!AP58=23,MATCHED!$X58,IF(MATCHED!AP58=24,MATCHED!$Y58,IF(MATCHED!AP58=25,MATCHED!$Z58,IF(MATCHED!AP58=26,MATCHED!$AA58,IF(MATCHED!AP58=27,MATCHED!$AB58,"."))))))</f>
        <v>#N/A</v>
      </c>
      <c r="O58" s="362" t="e">
        <f>IF(MATCHED!AQ58=1,MATCHED!$B58,IF(MATCHED!AQ58=2,MATCHED!$C58,IF(MATCHED!AQ58=3,MATCHED!$D58,IF(MATCHED!AQ58=4,MATCHED!$E58,IF(MATCHED!AQ58=3,MATCHED!$F58,IF(MATCHED!AQ58=6,MATCHED!$G58,IF(MATCHED!AQ58=7,MATCHED!$H58,"")))))))&amp;IF(MATCHED!AQ58=8,MATCHED!$I58,IF(MATCHED!AQ58=9,MATCHED!$J58,IF(MATCHED!AQ58=10,MATCHED!$K58,IF(MATCHED!AQ58=11,MATCHED!$L58,IF(MATCHED!AQ58=12,MATCHED!$M58,IF(MATCHED!AQ58=13,MATCHED!$N58,IF(MATCHED!AQ58=14,MATCHED!$O58,"")))))))&amp;IF(MATCHED!AQ58=15,MATCHED!$P58,IF(MATCHED!AQ58=16,MATCHED!$Q58,IF(MATCHED!AQ58=17,MATCHED!$R58,IF(MATCHED!AQ58=18,MATCHED!$S58,IF(MATCHED!AQ58=19,MATCHED!$T58,IF(MATCHED!AQ58=20,MATCHED!$U58,IF(MATCHED!AQ58=21,MATCHED!$V58,)))))))&amp;IF(MATCHED!AQ58=22,MATCHED!$W58,IF(MATCHED!AQ58=23,MATCHED!$X58,IF(MATCHED!AQ58=24,MATCHED!$Y58,IF(MATCHED!AQ58=25,MATCHED!$Z58,IF(MATCHED!AQ58=26,MATCHED!$AA58,IF(MATCHED!AQ58=27,MATCHED!$AB58,"."))))))</f>
        <v>#N/A</v>
      </c>
      <c r="P58" s="362" t="e">
        <f>IF(MATCHED!AR58=1,MATCHED!$B58,IF(MATCHED!AR58=2,MATCHED!$C58,IF(MATCHED!AR58=3,MATCHED!$D58,IF(MATCHED!AR58=4,MATCHED!$E58,IF(MATCHED!AR58=3,MATCHED!$F58,IF(MATCHED!AR58=6,MATCHED!$G58,IF(MATCHED!AR58=7,MATCHED!$H58,"")))))))&amp;IF(MATCHED!AR58=8,MATCHED!$I58,IF(MATCHED!AR58=9,MATCHED!$J58,IF(MATCHED!AR58=10,MATCHED!$K58,IF(MATCHED!AR58=11,MATCHED!$L58,IF(MATCHED!AR58=12,MATCHED!$M58,IF(MATCHED!AR58=13,MATCHED!$N58,IF(MATCHED!AR58=14,MATCHED!$O58,"")))))))&amp;IF(MATCHED!AR58=15,MATCHED!$P58,IF(MATCHED!AR58=16,MATCHED!$Q58,IF(MATCHED!AR58=17,MATCHED!$R58,IF(MATCHED!AR58=18,MATCHED!$S58,IF(MATCHED!AR58=19,MATCHED!$T58,IF(MATCHED!AR58=20,MATCHED!$U58,IF(MATCHED!AR58=21,MATCHED!$V58,)))))))&amp;IF(MATCHED!AR58=22,MATCHED!$W58,IF(MATCHED!AR58=23,MATCHED!$X58,IF(MATCHED!AR58=24,MATCHED!$Y58,IF(MATCHED!AR58=25,MATCHED!$Z58,IF(MATCHED!AR58=26,MATCHED!$AA58,IF(MATCHED!AR58=27,MATCHED!$AB58,"."))))))</f>
        <v>#N/A</v>
      </c>
      <c r="Q58" s="363" t="e">
        <f>IF(MATCHED!AS58=1,MATCHED!$B58,IF(MATCHED!AS58=2,MATCHED!$C58,IF(MATCHED!AS58=3,MATCHED!$D58,IF(MATCHED!AS58=4,MATCHED!$E58,IF(MATCHED!AS58=3,MATCHED!$F58,IF(MATCHED!AS58=6,MATCHED!$G58,IF(MATCHED!AS58=7,MATCHED!$H58,"")))))))&amp;IF(MATCHED!AS58=8,MATCHED!$I58,IF(MATCHED!AS58=9,MATCHED!$J58,IF(MATCHED!AS58=10,MATCHED!$K58,IF(MATCHED!AS58=11,MATCHED!$L58,IF(MATCHED!AS58=12,MATCHED!$M58,IF(MATCHED!AS58=13,MATCHED!$N58,IF(MATCHED!AS58=14,MATCHED!$O58,"")))))))&amp;IF(MATCHED!AS58=15,MATCHED!$P58,IF(MATCHED!AS58=16,MATCHED!$Q58,IF(MATCHED!AS58=17,MATCHED!$R58,IF(MATCHED!AS58=18,MATCHED!$S58,IF(MATCHED!AS58=19,MATCHED!$T58,IF(MATCHED!AS58=20,MATCHED!$U58,IF(MATCHED!AS58=21,MATCHED!$V58,)))))))&amp;IF(MATCHED!AS58=22,MATCHED!$W58,IF(MATCHED!AS58=23,MATCHED!$X58,IF(MATCHED!AS58=24,MATCHED!$Y58,IF(MATCHED!AS58=25,MATCHED!$Z58,IF(MATCHED!AS58=26,MATCHED!$AA58,IF(MATCHED!AS58=27,MATCHED!$AB58,"."))))))</f>
        <v>#N/A</v>
      </c>
      <c r="R58" s="362" t="e">
        <f>IF(MATCHED!AT58=1,MATCHED!$B58,IF(MATCHED!AT58=2,MATCHED!$C58,IF(MATCHED!AT58=3,MATCHED!$D58,IF(MATCHED!AT58=4,MATCHED!$E58,IF(MATCHED!AT58=3,MATCHED!$F58,IF(MATCHED!AT58=6,MATCHED!$G58,IF(MATCHED!AT58=7,MATCHED!$H58,"")))))))&amp;IF(MATCHED!AT58=8,MATCHED!$I58,IF(MATCHED!AT58=9,MATCHED!$J58,IF(MATCHED!AT58=10,MATCHED!$K58,IF(MATCHED!AT58=11,MATCHED!$L58,IF(MATCHED!AT58=12,MATCHED!$M58,IF(MATCHED!AT58=13,MATCHED!$N58,IF(MATCHED!AT58=14,MATCHED!$O58,"")))))))&amp;IF(MATCHED!AT58=15,MATCHED!$P58,IF(MATCHED!AT58=16,MATCHED!$Q58,IF(MATCHED!AT58=17,MATCHED!$R58,IF(MATCHED!AT58=18,MATCHED!$S58,IF(MATCHED!AT58=19,MATCHED!$T58,IF(MATCHED!AT58=20,MATCHED!$U58,IF(MATCHED!AT58=21,MATCHED!$V58,)))))))&amp;IF(MATCHED!AT58=22,MATCHED!$W58,IF(MATCHED!AT58=23,MATCHED!$X58,IF(MATCHED!AT58=24,MATCHED!$Y58,IF(MATCHED!AT58=25,MATCHED!$Z58,IF(MATCHED!AT58=26,MATCHED!$AA58,IF(MATCHED!AT58=27,MATCHED!$AB58,"."))))))</f>
        <v>#N/A</v>
      </c>
      <c r="S58" s="362" t="e">
        <f>IF(MATCHED!AU58=1,MATCHED!$B58,IF(MATCHED!AU58=2,MATCHED!$C58,IF(MATCHED!AU58=3,MATCHED!$D58,IF(MATCHED!AU58=4,MATCHED!$E58,IF(MATCHED!AU58=3,MATCHED!$F58,IF(MATCHED!AU58=6,MATCHED!$G58,IF(MATCHED!AU58=7,MATCHED!$H58,"")))))))&amp;IF(MATCHED!AU58=8,MATCHED!$I58,IF(MATCHED!AU58=9,MATCHED!$J58,IF(MATCHED!AU58=10,MATCHED!$K58,IF(MATCHED!AU58=11,MATCHED!$L58,IF(MATCHED!AU58=12,MATCHED!$M58,IF(MATCHED!AU58=13,MATCHED!$N58,IF(MATCHED!AU58=14,MATCHED!$O58,"")))))))&amp;IF(MATCHED!AU58=15,MATCHED!$P58,IF(MATCHED!AU58=16,MATCHED!$Q58,IF(MATCHED!AU58=17,MATCHED!$R58,IF(MATCHED!AU58=18,MATCHED!$S58,IF(MATCHED!AU58=19,MATCHED!$T58,IF(MATCHED!AU58=20,MATCHED!$U58,IF(MATCHED!AU58=21,MATCHED!$V58,)))))))&amp;IF(MATCHED!AU58=22,MATCHED!$W58,IF(MATCHED!AU58=23,MATCHED!$X58,IF(MATCHED!AU58=24,MATCHED!$Y58,IF(MATCHED!AU58=25,MATCHED!$Z58,IF(MATCHED!AU58=26,MATCHED!$AA58,IF(MATCHED!AU58=27,MATCHED!$AB58,"."))))))</f>
        <v>#N/A</v>
      </c>
      <c r="T58" s="362" t="e">
        <f>IF(MATCHED!AV58=1,MATCHED!$B58,IF(MATCHED!AV58=2,MATCHED!$C58,IF(MATCHED!AV58=3,MATCHED!$D58,IF(MATCHED!AV58=4,MATCHED!$E58,IF(MATCHED!AV58=3,MATCHED!$F58,IF(MATCHED!AV58=6,MATCHED!$G58,IF(MATCHED!AV58=7,MATCHED!$H58,"")))))))&amp;IF(MATCHED!AV58=8,MATCHED!$I58,IF(MATCHED!AV58=9,MATCHED!$J58,IF(MATCHED!AV58=10,MATCHED!$K58,IF(MATCHED!AV58=11,MATCHED!$L58,IF(MATCHED!AV58=12,MATCHED!$M58,IF(MATCHED!AV58=13,MATCHED!$N58,IF(MATCHED!AV58=14,MATCHED!$O58,"")))))))&amp;IF(MATCHED!AV58=15,MATCHED!$P58,IF(MATCHED!AV58=16,MATCHED!$Q58,IF(MATCHED!AV58=17,MATCHED!$R58,IF(MATCHED!AV58=18,MATCHED!$S58,IF(MATCHED!AV58=19,MATCHED!$T58,IF(MATCHED!AV58=20,MATCHED!$U58,IF(MATCHED!AV58=21,MATCHED!$V58,)))))))&amp;IF(MATCHED!AV58=22,MATCHED!$W58,IF(MATCHED!AV58=23,MATCHED!$X58,IF(MATCHED!AV58=24,MATCHED!$Y58,IF(MATCHED!AV58=25,MATCHED!$Z58,IF(MATCHED!AV58=26,MATCHED!$AA58,IF(MATCHED!AV58=27,MATCHED!$AB58,"."))))))</f>
        <v>#N/A</v>
      </c>
      <c r="U58" s="362" t="e">
        <f>IF(MATCHED!AW58=1,MATCHED!$B58,IF(MATCHED!AW58=2,MATCHED!$C58,IF(MATCHED!AW58=3,MATCHED!$D58,IF(MATCHED!AW58=4,MATCHED!$E58,IF(MATCHED!AW58=3,MATCHED!$F58,IF(MATCHED!AW58=6,MATCHED!$G58,IF(MATCHED!AW58=7,MATCHED!$H58,"")))))))&amp;IF(MATCHED!AW58=8,MATCHED!$I58,IF(MATCHED!AW58=9,MATCHED!$J58,IF(MATCHED!AW58=10,MATCHED!$K58,IF(MATCHED!AW58=11,MATCHED!$L58,IF(MATCHED!AW58=12,MATCHED!$M58,IF(MATCHED!AW58=13,MATCHED!$N58,IF(MATCHED!AW58=14,MATCHED!$O58,"")))))))&amp;IF(MATCHED!AW58=15,MATCHED!$P58,IF(MATCHED!AW58=16,MATCHED!$Q58,IF(MATCHED!AW58=17,MATCHED!$R58,IF(MATCHED!AW58=18,MATCHED!$S58,IF(MATCHED!AW58=19,MATCHED!$T58,IF(MATCHED!AW58=20,MATCHED!$U58,IF(MATCHED!AW58=21,MATCHED!$V58,)))))))&amp;IF(MATCHED!AW58=22,MATCHED!$W58,IF(MATCHED!AW58=23,MATCHED!$X58,IF(MATCHED!AW58=24,MATCHED!$Y58,IF(MATCHED!AW58=25,MATCHED!$Z58,IF(MATCHED!AW58=26,MATCHED!$AA58,IF(MATCHED!AW58=27,MATCHED!$AB58,"."))))))</f>
        <v>#N/A</v>
      </c>
      <c r="V58" s="362" t="e">
        <f>IF(MATCHED!AX58=1,MATCHED!$B58,IF(MATCHED!AX58=2,MATCHED!$C58,IF(MATCHED!AX58=3,MATCHED!$D58,IF(MATCHED!AX58=4,MATCHED!$E58,IF(MATCHED!AX58=3,MATCHED!$F58,IF(MATCHED!AX58=6,MATCHED!$G58,IF(MATCHED!AX58=7,MATCHED!$H58,"")))))))&amp;IF(MATCHED!AX58=8,MATCHED!$I58,IF(MATCHED!AX58=9,MATCHED!$J58,IF(MATCHED!AX58=10,MATCHED!$K58,IF(MATCHED!AX58=11,MATCHED!$L58,IF(MATCHED!AX58=12,MATCHED!$M58,IF(MATCHED!AX58=13,MATCHED!$N58,IF(MATCHED!AX58=14,MATCHED!$O58,"")))))))&amp;IF(MATCHED!AX58=15,MATCHED!$P58,IF(MATCHED!AX58=16,MATCHED!$Q58,IF(MATCHED!AX58=17,MATCHED!$R58,IF(MATCHED!AX58=18,MATCHED!$S58,IF(MATCHED!AX58=19,MATCHED!$T58,IF(MATCHED!AX58=20,MATCHED!$U58,IF(MATCHED!AX58=21,MATCHED!$V58,)))))))&amp;IF(MATCHED!AX58=22,MATCHED!$W58,IF(MATCHED!AX58=23,MATCHED!$X58,IF(MATCHED!AX58=24,MATCHED!$Y58,IF(MATCHED!AX58=25,MATCHED!$Z58,IF(MATCHED!AX58=26,MATCHED!$AA58,IF(MATCHED!AX58=27,MATCHED!$AB58,"."))))))</f>
        <v>#N/A</v>
      </c>
      <c r="W58" s="362" t="e">
        <f>IF(MATCHED!AY58=1,MATCHED!$B58,IF(MATCHED!AY58=2,MATCHED!$C58,IF(MATCHED!AY58=3,MATCHED!$D58,IF(MATCHED!AY58=4,MATCHED!$E58,IF(MATCHED!AY58=3,MATCHED!$F58,IF(MATCHED!AY58=6,MATCHED!$G58,IF(MATCHED!AY58=7,MATCHED!$H58,"")))))))&amp;IF(MATCHED!AY58=8,MATCHED!$I58,IF(MATCHED!AY58=9,MATCHED!$J58,IF(MATCHED!AY58=10,MATCHED!$K58,IF(MATCHED!AY58=11,MATCHED!$L58,IF(MATCHED!AY58=12,MATCHED!$M58,IF(MATCHED!AY58=13,MATCHED!$N58,IF(MATCHED!AY58=14,MATCHED!$O58,"")))))))&amp;IF(MATCHED!AY58=15,MATCHED!$P58,IF(MATCHED!AY58=16,MATCHED!$Q58,IF(MATCHED!AY58=17,MATCHED!$R58,IF(MATCHED!AY58=18,MATCHED!$S58,IF(MATCHED!AY58=19,MATCHED!$T58,IF(MATCHED!AY58=20,MATCHED!$U58,IF(MATCHED!AY58=21,MATCHED!$V58,)))))))&amp;IF(MATCHED!AY58=22,MATCHED!$W58,IF(MATCHED!AY58=23,MATCHED!$X58,IF(MATCHED!AY58=24,MATCHED!$Y58,IF(MATCHED!AY58=25,MATCHED!$Z58,IF(MATCHED!AY58=26,MATCHED!$AA58,IF(MATCHED!AY58=27,MATCHED!$AB58,"."))))))</f>
        <v>#N/A</v>
      </c>
      <c r="X58" s="362" t="e">
        <f>IF(MATCHED!AZ58=1,MATCHED!$B58,IF(MATCHED!AZ58=2,MATCHED!$C58,IF(MATCHED!AZ58=3,MATCHED!$D58,IF(MATCHED!AZ58=4,MATCHED!$E58,IF(MATCHED!AZ58=3,MATCHED!$F58,IF(MATCHED!AZ58=6,MATCHED!$G58,IF(MATCHED!AZ58=7,MATCHED!$H58,"")))))))&amp;IF(MATCHED!AZ58=8,MATCHED!$I58,IF(MATCHED!AZ58=9,MATCHED!$J58,IF(MATCHED!AZ58=10,MATCHED!$K58,IF(MATCHED!AZ58=11,MATCHED!$L58,IF(MATCHED!AZ58=12,MATCHED!$M58,IF(MATCHED!AZ58=13,MATCHED!$N58,IF(MATCHED!AZ58=14,MATCHED!$O58,"")))))))&amp;IF(MATCHED!AZ58=15,MATCHED!$P58,IF(MATCHED!AZ58=16,MATCHED!$Q58,IF(MATCHED!AZ58=17,MATCHED!$R58,IF(MATCHED!AZ58=18,MATCHED!$S58,IF(MATCHED!AZ58=19,MATCHED!$T58,IF(MATCHED!AZ58=20,MATCHED!$U58,IF(MATCHED!AZ58=21,MATCHED!$V58,)))))))&amp;IF(MATCHED!AZ58=22,MATCHED!$W58,IF(MATCHED!AZ58=23,MATCHED!$X58,IF(MATCHED!AZ58=24,MATCHED!$Y58,IF(MATCHED!AZ58=25,MATCHED!$Z58,IF(MATCHED!AZ58=26,MATCHED!$AA58,IF(MATCHED!AZ58=27,MATCHED!$AB58,"."))))))</f>
        <v>#N/A</v>
      </c>
      <c r="Y58" s="362" t="e">
        <f>IF(MATCHED!BA58=1,MATCHED!$B58,IF(MATCHED!BA58=2,MATCHED!$C58,IF(MATCHED!BA58=3,MATCHED!$D58,IF(MATCHED!BA58=4,MATCHED!$E58,IF(MATCHED!BA58=3,MATCHED!$F58,IF(MATCHED!BA58=6,MATCHED!$G58,IF(MATCHED!BA58=7,MATCHED!$H58,"")))))))&amp;IF(MATCHED!BA58=8,MATCHED!$I58,IF(MATCHED!BA58=9,MATCHED!$J58,IF(MATCHED!BA58=10,MATCHED!$K58,IF(MATCHED!BA58=11,MATCHED!$L58,IF(MATCHED!BA58=12,MATCHED!$M58,IF(MATCHED!BA58=13,MATCHED!$N58,IF(MATCHED!BA58=14,MATCHED!$O58,"")))))))&amp;IF(MATCHED!BA58=15,MATCHED!$P58,IF(MATCHED!BA58=16,MATCHED!$Q58,IF(MATCHED!BA58=17,MATCHED!$R58,IF(MATCHED!BA58=18,MATCHED!$S58,IF(MATCHED!BA58=19,MATCHED!$T58,IF(MATCHED!BA58=20,MATCHED!$U58,IF(MATCHED!BA58=21,MATCHED!$V58,)))))))&amp;IF(MATCHED!BA58=22,MATCHED!$W58,IF(MATCHED!BA58=23,MATCHED!$X58,IF(MATCHED!BA58=24,MATCHED!$Y58,IF(MATCHED!BA58=25,MATCHED!$Z58,IF(MATCHED!BA58=26,MATCHED!$AA58,IF(MATCHED!BA58=27,MATCHED!$AB58,"."))))))</f>
        <v>#N/A</v>
      </c>
      <c r="Z58" s="362" t="e">
        <f>IF(MATCHED!BB58=1,MATCHED!$B58,IF(MATCHED!BB58=2,MATCHED!$C58,IF(MATCHED!BB58=3,MATCHED!$D58,IF(MATCHED!BB58=4,MATCHED!$E58,IF(MATCHED!BB58=3,MATCHED!$F58,IF(MATCHED!BB58=6,MATCHED!$G58,IF(MATCHED!BB58=7,MATCHED!$H58,"")))))))&amp;IF(MATCHED!BB58=8,MATCHED!$I58,IF(MATCHED!BB58=9,MATCHED!$J58,IF(MATCHED!BB58=10,MATCHED!$K58,IF(MATCHED!BB58=11,MATCHED!$L58,IF(MATCHED!BB58=12,MATCHED!$M58,IF(MATCHED!BB58=13,MATCHED!$N58,IF(MATCHED!BB58=14,MATCHED!$O58,"")))))))&amp;IF(MATCHED!BB58=15,MATCHED!$P58,IF(MATCHED!BB58=16,MATCHED!$Q58,IF(MATCHED!BB58=17,MATCHED!$R58,IF(MATCHED!BB58=18,MATCHED!$S58,IF(MATCHED!BB58=19,MATCHED!$T58,IF(MATCHED!BB58=20,MATCHED!$U58,IF(MATCHED!BB58=21,MATCHED!$V58,)))))))&amp;IF(MATCHED!BB58=22,MATCHED!$W58,IF(MATCHED!BB58=23,MATCHED!$X58,IF(MATCHED!BB58=24,MATCHED!$Y58,IF(MATCHED!BB58=25,MATCHED!$Z58,IF(MATCHED!BB58=26,MATCHED!$AA58,IF(MATCHED!BB58=27,MATCHED!$AB58,"."))))))</f>
        <v>#N/A</v>
      </c>
      <c r="AA58" s="362" t="e">
        <f>IF(MATCHED!BC58=1,MATCHED!$B58,IF(MATCHED!BC58=2,MATCHED!$C58,IF(MATCHED!BC58=3,MATCHED!$D58,IF(MATCHED!BC58=4,MATCHED!$E58,IF(MATCHED!BC58=3,MATCHED!$F58,IF(MATCHED!BC58=6,MATCHED!$G58,IF(MATCHED!BC58=7,MATCHED!$H58,"")))))))&amp;IF(MATCHED!BC58=8,MATCHED!$I58,IF(MATCHED!BC58=9,MATCHED!$J58,IF(MATCHED!BC58=10,MATCHED!$K58,IF(MATCHED!BC58=11,MATCHED!$L58,IF(MATCHED!BC58=12,MATCHED!$M58,IF(MATCHED!BC58=13,MATCHED!$N58,IF(MATCHED!BC58=14,MATCHED!$O58,"")))))))&amp;IF(MATCHED!BC58=15,MATCHED!$P58,IF(MATCHED!BC58=16,MATCHED!$Q58,IF(MATCHED!BC58=17,MATCHED!$R58,IF(MATCHED!BC58=18,MATCHED!$S58,IF(MATCHED!BC58=19,MATCHED!$T58,IF(MATCHED!BC58=20,MATCHED!$U58,IF(MATCHED!BC58=21,MATCHED!$V58,)))))))&amp;IF(MATCHED!BC58=22,MATCHED!$W58,IF(MATCHED!BC58=23,MATCHED!$X58,IF(MATCHED!BC58=24,MATCHED!$Y58,IF(MATCHED!BC58=25,MATCHED!$Z58,IF(MATCHED!BC58=26,MATCHED!$AA58,IF(MATCHED!BC58=27,MATCHED!$AB58,"."))))))</f>
        <v>#N/A</v>
      </c>
      <c r="AB58" s="362" t="e">
        <f>IF(MATCHED!BD58=1,MATCHED!$B58,IF(MATCHED!BD58=2,MATCHED!$C58,IF(MATCHED!BD58=3,MATCHED!$D58,IF(MATCHED!BD58=4,MATCHED!$E58,IF(MATCHED!BD58=3,MATCHED!$F58,IF(MATCHED!BD58=6,MATCHED!$G58,IF(MATCHED!BD58=7,MATCHED!$H58,"")))))))&amp;IF(MATCHED!BD58=8,MATCHED!$I58,IF(MATCHED!BD58=9,MATCHED!$J58,IF(MATCHED!BD58=10,MATCHED!$K58,IF(MATCHED!BD58=11,MATCHED!$L58,IF(MATCHED!BD58=12,MATCHED!$M58,IF(MATCHED!BD58=13,MATCHED!$N58,IF(MATCHED!BD58=14,MATCHED!$O58,"")))))))&amp;IF(MATCHED!BD58=15,MATCHED!$P58,IF(MATCHED!BD58=16,MATCHED!$Q58,IF(MATCHED!BD58=17,MATCHED!$R58,IF(MATCHED!BD58=18,MATCHED!$S58,IF(MATCHED!BD58=19,MATCHED!$T58,IF(MATCHED!BD58=20,MATCHED!$U58,IF(MATCHED!BD58=21,MATCHED!$V58,)))))))&amp;IF(MATCHED!BD58=22,MATCHED!$W58,IF(MATCHED!BD58=23,MATCHED!$X58,IF(MATCHED!BD58=24,MATCHED!$Y58,IF(MATCHED!BD58=25,MATCHED!$Z58,IF(MATCHED!BD58=26,MATCHED!$AA58,IF(MATCHED!BD58=27,MATCHED!$AB58,"."))))))</f>
        <v>#N/A</v>
      </c>
      <c r="AC58" s="362" t="e">
        <f>IF(MATCHED!BE58=1,MATCHED!$B58,IF(MATCHED!BE58=2,MATCHED!$C58,IF(MATCHED!BE58=3,MATCHED!$D58,IF(MATCHED!BE58=4,MATCHED!$E58,IF(MATCHED!BE58=3,MATCHED!$F58,IF(MATCHED!BE58=6,MATCHED!$G58,IF(MATCHED!BE58=7,MATCHED!$H58,"")))))))&amp;IF(MATCHED!BE58=8,MATCHED!$I58,IF(MATCHED!BE58=9,MATCHED!$J58,IF(MATCHED!BE58=10,MATCHED!$K58,IF(MATCHED!BE58=11,MATCHED!$L58,IF(MATCHED!BE58=12,MATCHED!$M58,IF(MATCHED!BE58=13,MATCHED!$N58,IF(MATCHED!BE58=14,MATCHED!$O58,"")))))))&amp;IF(MATCHED!BE58=15,MATCHED!$P58,IF(MATCHED!BE58=16,MATCHED!$Q58,IF(MATCHED!BE58=17,MATCHED!$R58,IF(MATCHED!BE58=18,MATCHED!$S58,IF(MATCHED!BE58=19,MATCHED!$T58,IF(MATCHED!BE58=20,MATCHED!$U58,IF(MATCHED!BE58=21,MATCHED!$V58,)))))))&amp;IF(MATCHED!BE58=22,MATCHED!$W58,IF(MATCHED!BE58=23,MATCHED!$X58,IF(MATCHED!BE58=24,MATCHED!$Y58,IF(MATCHED!BE58=25,MATCHED!$Z58,IF(MATCHED!BE58=26,MATCHED!$AA58,IF(MATCHED!BE58=27,MATCHED!$AB58,"."))))))</f>
        <v>#N/A</v>
      </c>
      <c r="AD58" s="362" t="e">
        <f>IF(MATCHED!BF58=1,MATCHED!$B58,IF(MATCHED!BF58=2,MATCHED!$C58,IF(MATCHED!BF58=3,MATCHED!$D58,IF(MATCHED!BF58=4,MATCHED!$E58,IF(MATCHED!BF58=3,MATCHED!$F58,IF(MATCHED!BF58=6,MATCHED!$G58,IF(MATCHED!BF58=7,MATCHED!$H58,"")))))))&amp;IF(MATCHED!BF58=8,MATCHED!$I58,IF(MATCHED!BF58=9,MATCHED!$J58,IF(MATCHED!BF58=10,MATCHED!$K58,IF(MATCHED!BF58=11,MATCHED!$L58,IF(MATCHED!BF58=12,MATCHED!$M58,IF(MATCHED!BF58=13,MATCHED!$N58,IF(MATCHED!BF58=14,MATCHED!$O58,"")))))))&amp;IF(MATCHED!BF58=15,MATCHED!$P58,IF(MATCHED!BF58=16,MATCHED!$Q58,IF(MATCHED!BF58=17,MATCHED!$R58,IF(MATCHED!BF58=18,MATCHED!$S58,IF(MATCHED!BF58=19,MATCHED!$T58,IF(MATCHED!BF58=20,MATCHED!$U58,IF(MATCHED!BF58=21,MATCHED!$V58,)))))))&amp;IF(MATCHED!BF58=22,MATCHED!$W58,IF(MATCHED!BF58=23,MATCHED!$X58,IF(MATCHED!BF58=24,MATCHED!$Y58,IF(MATCHED!BF58=25,MATCHED!$Z58,IF(MATCHED!BF58=26,MATCHED!$AA58,IF(MATCHED!BF58=27,MATCHED!$AB58,"."))))))</f>
        <v>#N/A</v>
      </c>
      <c r="AE58" s="362" t="e">
        <f>IF(MATCHED!BG58=1,MATCHED!$B58,IF(MATCHED!BG58=2,MATCHED!$C58,IF(MATCHED!BG58=3,MATCHED!$D58,IF(MATCHED!BG58=4,MATCHED!$E58,IF(MATCHED!BG58=3,MATCHED!$F58,IF(MATCHED!BG58=6,MATCHED!$G58,IF(MATCHED!BG58=7,MATCHED!$H58,"")))))))&amp;IF(MATCHED!BG58=8,MATCHED!$I58,IF(MATCHED!BG58=9,MATCHED!$J58,IF(MATCHED!BG58=10,MATCHED!$K58,IF(MATCHED!BG58=11,MATCHED!$L58,IF(MATCHED!BG58=12,MATCHED!$M58,IF(MATCHED!BG58=13,MATCHED!$N58,IF(MATCHED!BG58=14,MATCHED!$O58,"")))))))&amp;IF(MATCHED!BG58=15,MATCHED!$P58,IF(MATCHED!BG58=16,MATCHED!$Q58,IF(MATCHED!BG58=17,MATCHED!$R58,IF(MATCHED!BG58=18,MATCHED!$S58,IF(MATCHED!BG58=19,MATCHED!$T58,IF(MATCHED!BG58=20,MATCHED!$U58,IF(MATCHED!BG58=21,MATCHED!$V58,)))))))&amp;IF(MATCHED!BG58=22,MATCHED!$W58,IF(MATCHED!BG58=23,MATCHED!$X58,IF(MATCHED!BG58=24,MATCHED!$Y58,IF(MATCHED!BG58=25,MATCHED!$Z58,IF(MATCHED!BG58=26,MATCHED!$AA58,IF(MATCHED!BG58=27,MATCHED!$AB58,"."))))))</f>
        <v>#N/A</v>
      </c>
      <c r="AF58" s="362" t="e">
        <f>IF(MATCHED!BH58=1,MATCHED!$B58,IF(MATCHED!BH58=2,MATCHED!$C58,IF(MATCHED!BH58=3,MATCHED!$D58,IF(MATCHED!BH58=4,MATCHED!$E58,IF(MATCHED!BH58=3,MATCHED!$F58,IF(MATCHED!BH58=6,MATCHED!$G58,IF(MATCHED!BH58=7,MATCHED!$H58,"")))))))&amp;IF(MATCHED!BH58=8,MATCHED!$I58,IF(MATCHED!BH58=9,MATCHED!$J58,IF(MATCHED!BH58=10,MATCHED!$K58,IF(MATCHED!BH58=11,MATCHED!$L58,IF(MATCHED!BH58=12,MATCHED!$M58,IF(MATCHED!BH58=13,MATCHED!$N58,IF(MATCHED!BH58=14,MATCHED!$O58,"")))))))&amp;IF(MATCHED!BH58=15,MATCHED!$P58,IF(MATCHED!BH58=16,MATCHED!$Q58,IF(MATCHED!BH58=17,MATCHED!$R58,IF(MATCHED!BH58=18,MATCHED!$S58,IF(MATCHED!BH58=19,MATCHED!$T58,IF(MATCHED!BH58=20,MATCHED!$U58,IF(MATCHED!BH58=21,MATCHED!$V58,)))))))&amp;IF(MATCHED!BH58=22,MATCHED!$W58,IF(MATCHED!BH58=23,MATCHED!$X58,IF(MATCHED!BH58=24,MATCHED!$Y58,IF(MATCHED!BH58=25,MATCHED!$Z58,IF(MATCHED!BH58=26,MATCHED!$AA58,IF(MATCHED!BH58=27,MATCHED!$AB58,"."))))))</f>
        <v>#N/A</v>
      </c>
      <c r="AG58" s="362" t="e">
        <f>IF(MATCHED!BI58=1,MATCHED!$B58,IF(MATCHED!BI58=2,MATCHED!$C58,IF(MATCHED!BI58=3,MATCHED!$D58,IF(MATCHED!BI58=4,MATCHED!$E58,IF(MATCHED!BI58=3,MATCHED!$F58,IF(MATCHED!BI58=6,MATCHED!$G58,IF(MATCHED!BI58=7,MATCHED!$H58,"")))))))&amp;IF(MATCHED!BI58=8,MATCHED!$I58,IF(MATCHED!BI58=9,MATCHED!$J58,IF(MATCHED!BI58=10,MATCHED!$K58,IF(MATCHED!BI58=11,MATCHED!$L58,IF(MATCHED!BI58=12,MATCHED!$M58,IF(MATCHED!BI58=13,MATCHED!$N58,IF(MATCHED!BI58=14,MATCHED!$O58,"")))))))&amp;IF(MATCHED!BI58=15,MATCHED!$P58,IF(MATCHED!BI58=16,MATCHED!$Q58,IF(MATCHED!BI58=17,MATCHED!$R58,IF(MATCHED!BI58=18,MATCHED!$S58,IF(MATCHED!BI58=19,MATCHED!$T58,IF(MATCHED!BI58=20,MATCHED!$U58,IF(MATCHED!BI58=21,MATCHED!$V58,)))))))&amp;IF(MATCHED!BI58=22,MATCHED!$W58,IF(MATCHED!BI58=23,MATCHED!$X58,IF(MATCHED!BI58=24,MATCHED!$Y58,IF(MATCHED!BI58=25,MATCHED!$Z58,IF(MATCHED!BI58=26,MATCHED!$AA58,IF(MATCHED!BI58=27,MATCHED!$AB58,"."))))))</f>
        <v>#N/A</v>
      </c>
      <c r="AH58" s="362" t="e">
        <f>IF(MATCHED!BJ58=1,MATCHED!$B58,IF(MATCHED!BJ58=2,MATCHED!$C58,IF(MATCHED!BJ58=3,MATCHED!$D58,IF(MATCHED!BJ58=4,MATCHED!$E58,IF(MATCHED!BJ58=3,MATCHED!$F58,IF(MATCHED!BJ58=6,MATCHED!$G58,IF(MATCHED!BJ58=7,MATCHED!$H58,"")))))))&amp;IF(MATCHED!BJ58=8,MATCHED!$I58,IF(MATCHED!BJ58=9,MATCHED!$J58,IF(MATCHED!BJ58=10,MATCHED!$K58,IF(MATCHED!BJ58=11,MATCHED!$L58,IF(MATCHED!BJ58=12,MATCHED!$M58,IF(MATCHED!BJ58=13,MATCHED!$N58,IF(MATCHED!BJ58=14,MATCHED!$O58,"")))))))&amp;IF(MATCHED!BJ58=15,MATCHED!$P58,IF(MATCHED!BJ58=16,MATCHED!$Q58,IF(MATCHED!BJ58=17,MATCHED!$R58,IF(MATCHED!BJ58=18,MATCHED!$S58,IF(MATCHED!BJ58=19,MATCHED!$T58,IF(MATCHED!BJ58=20,MATCHED!$U58,IF(MATCHED!BJ58=21,MATCHED!$V58,)))))))&amp;IF(MATCHED!BJ58=22,MATCHED!$W58,IF(MATCHED!BJ58=23,MATCHED!$X58,IF(MATCHED!BJ58=24,MATCHED!$Y58,IF(MATCHED!BJ58=25,MATCHED!$Z58,IF(MATCHED!BJ58=26,MATCHED!$AA58,IF(MATCHED!BJ58=27,MATCHED!$AB58,"."))))))</f>
        <v>#N/A</v>
      </c>
      <c r="AI58" s="362" t="e">
        <f>IF(MATCHED!BK58=1,MATCHED!$B58,IF(MATCHED!BK58=2,MATCHED!$C58,IF(MATCHED!BK58=3,MATCHED!$D58,IF(MATCHED!BK58=4,MATCHED!$E58,IF(MATCHED!BK58=3,MATCHED!$F58,IF(MATCHED!BK58=6,MATCHED!$G58,IF(MATCHED!BK58=7,MATCHED!$H58,"")))))))&amp;IF(MATCHED!BK58=8,MATCHED!$I58,IF(MATCHED!BK58=9,MATCHED!$J58,IF(MATCHED!BK58=10,MATCHED!$K58,IF(MATCHED!BK58=11,MATCHED!$L58,IF(MATCHED!BK58=12,MATCHED!$M58,IF(MATCHED!BK58=13,MATCHED!$N58,IF(MATCHED!BK58=14,MATCHED!$O58,"")))))))&amp;IF(MATCHED!BK58=15,MATCHED!$P58,IF(MATCHED!BK58=16,MATCHED!$Q58,IF(MATCHED!BK58=17,MATCHED!$R58,IF(MATCHED!BK58=18,MATCHED!$S58,IF(MATCHED!BK58=19,MATCHED!$T58,IF(MATCHED!BK58=20,MATCHED!$U58,IF(MATCHED!BK58=21,MATCHED!$V58,)))))))&amp;IF(MATCHED!BK58=22,MATCHED!$W58,IF(MATCHED!BK58=23,MATCHED!$X58,IF(MATCHED!BK58=24,MATCHED!$Y58,IF(MATCHED!BK58=25,MATCHED!$Z58,IF(MATCHED!BK58=26,MATCHED!$AA58,IF(MATCHED!BK58=27,MATCHED!$AB58,"."))))))</f>
        <v>#N/A</v>
      </c>
      <c r="AJ58" s="536"/>
    </row>
    <row r="59" spans="1:36" s="351" customFormat="1" ht="15.6" thickBot="1" x14ac:dyDescent="0.3">
      <c r="A59" s="350"/>
      <c r="B59" s="321" t="e">
        <f>IF(MATCHED!AD59=1,MATCHED!$B59,IF(MATCHED!AD59=2,MATCHED!$C59,IF(MATCHED!AD59=3,MATCHED!$D59,IF(MATCHED!AD59=4,MATCHED!$E59,IF(MATCHED!AD59=3,MATCHED!$F59,IF(MATCHED!AD59=6,MATCHED!$G59,IF(MATCHED!AD59=7,MATCHED!$H59,"")))))))&amp;IF(MATCHED!AD59=8,MATCHED!$I59,IF(MATCHED!AD59=9,MATCHED!$J59,IF(MATCHED!AD59=10,MATCHED!$K59,IF(MATCHED!AD59=11,MATCHED!$L59,IF(MATCHED!AD59=12,MATCHED!$M59,IF(MATCHED!AD59=13,MATCHED!$N59,IF(MATCHED!AD59=14,MATCHED!$O59,"")))))))&amp;IF(MATCHED!AD59=15,MATCHED!$P59,IF(MATCHED!AD59=16,MATCHED!$Q59,IF(MATCHED!AD59=17,MATCHED!$R59,IF(MATCHED!AD59=18,MATCHED!$S59,IF(MATCHED!AD59=19,MATCHED!$T59,IF(MATCHED!AD59=20,MATCHED!$U59,IF(MATCHED!AD59=21,MATCHED!$V59,)))))))&amp;IF(MATCHED!AD59=22,MATCHED!$W59,IF(MATCHED!AD59=23,MATCHED!$X59,IF(MATCHED!AD59=24,MATCHED!$Y59,IF(MATCHED!AD59=25,MATCHED!$Z59,IF(MATCHED!AD59=26,MATCHED!$AA59,IF(MATCHED!AD59=27,MATCHED!$AB59,"."))))))</f>
        <v>#N/A</v>
      </c>
      <c r="C59" s="321" t="e">
        <f>IF(MATCHED!AE59=1,MATCHED!$B59,IF(MATCHED!AE59=2,MATCHED!$C59,IF(MATCHED!AE59=3,MATCHED!$D59,IF(MATCHED!AE59=4,MATCHED!$E59,IF(MATCHED!AE59=3,MATCHED!$F59,IF(MATCHED!AE59=6,MATCHED!$G59,IF(MATCHED!AE59=7,MATCHED!$H59,"")))))))&amp;IF(MATCHED!AE59=8,MATCHED!$I59,IF(MATCHED!AE59=9,MATCHED!$J59,IF(MATCHED!AE59=10,MATCHED!$K59,IF(MATCHED!AE59=11,MATCHED!$L59,IF(MATCHED!AE59=12,MATCHED!$M59,IF(MATCHED!AE59=13,MATCHED!$N59,IF(MATCHED!AE59=14,MATCHED!$O59,"")))))))&amp;IF(MATCHED!AE59=15,MATCHED!$P59,IF(MATCHED!AE59=16,MATCHED!$Q59,IF(MATCHED!AE59=17,MATCHED!$R59,IF(MATCHED!AE59=18,MATCHED!$S59,IF(MATCHED!AE59=19,MATCHED!$T59,IF(MATCHED!AE59=20,MATCHED!$U59,IF(MATCHED!AE59=21,MATCHED!$V59,)))))))&amp;IF(MATCHED!AE59=22,MATCHED!$W59,IF(MATCHED!AE59=23,MATCHED!$X59,IF(MATCHED!AE59=24,MATCHED!$Y59,IF(MATCHED!AE59=25,MATCHED!$Z59,IF(MATCHED!AE59=26,MATCHED!$AA59,IF(MATCHED!AE59=27,MATCHED!$AB59,"."))))))</f>
        <v>#N/A</v>
      </c>
      <c r="D59" s="321" t="e">
        <f>IF(MATCHED!AF59=1,MATCHED!$B59,IF(MATCHED!AF59=2,MATCHED!$C59,IF(MATCHED!AF59=3,MATCHED!$D59,IF(MATCHED!AF59=4,MATCHED!$E59,IF(MATCHED!AF59=3,MATCHED!$F59,IF(MATCHED!AF59=6,MATCHED!$G59,IF(MATCHED!AF59=7,MATCHED!$H59,"")))))))&amp;IF(MATCHED!AF59=8,MATCHED!$I59,IF(MATCHED!AF59=9,MATCHED!$J59,IF(MATCHED!AF59=10,MATCHED!$K59,IF(MATCHED!AF59=11,MATCHED!$L59,IF(MATCHED!AF59=12,MATCHED!$M59,IF(MATCHED!AF59=13,MATCHED!$N59,IF(MATCHED!AF59=14,MATCHED!$O59,"")))))))&amp;IF(MATCHED!AF59=15,MATCHED!$P59,IF(MATCHED!AF59=16,MATCHED!$Q59,IF(MATCHED!AF59=17,MATCHED!$R59,IF(MATCHED!AF59=18,MATCHED!$S59,IF(MATCHED!AF59=19,MATCHED!$T59,IF(MATCHED!AF59=20,MATCHED!$U59,IF(MATCHED!AF59=21,MATCHED!$V59,)))))))&amp;IF(MATCHED!AF59=22,MATCHED!$W59,IF(MATCHED!AF59=23,MATCHED!$X59,IF(MATCHED!AF59=24,MATCHED!$Y59,IF(MATCHED!AF59=25,MATCHED!$Z59,IF(MATCHED!AF59=26,MATCHED!$AA59,IF(MATCHED!AF59=27,MATCHED!$AB59,"."))))))</f>
        <v>#N/A</v>
      </c>
      <c r="E59" s="322" t="e">
        <f>IF(MATCHED!AG59=1,MATCHED!$B59,IF(MATCHED!AG59=2,MATCHED!$C59,IF(MATCHED!AG59=3,MATCHED!$D59,IF(MATCHED!AG59=4,MATCHED!$E59,IF(MATCHED!AG59=3,MATCHED!$F59,IF(MATCHED!AG59=6,MATCHED!$G59,IF(MATCHED!AG59=7,MATCHED!$H59,"")))))))&amp;IF(MATCHED!AG59=8,MATCHED!$I59,IF(MATCHED!AG59=9,MATCHED!$J59,IF(MATCHED!AG59=10,MATCHED!$K59,IF(MATCHED!AG59=11,MATCHED!$L59,IF(MATCHED!AG59=12,MATCHED!$M59,IF(MATCHED!AG59=13,MATCHED!$N59,IF(MATCHED!AG59=14,MATCHED!$O59,"")))))))&amp;IF(MATCHED!AG59=15,MATCHED!$P59,IF(MATCHED!AG59=16,MATCHED!$Q59,IF(MATCHED!AG59=17,MATCHED!$R59,IF(MATCHED!AG59=18,MATCHED!$S59,IF(MATCHED!AG59=19,MATCHED!$T59,IF(MATCHED!AG59=20,MATCHED!$U59,IF(MATCHED!AG59=21,MATCHED!$V59,)))))))&amp;IF(MATCHED!AG59=22,MATCHED!$W59,IF(MATCHED!AG59=23,MATCHED!$X59,IF(MATCHED!AG59=24,MATCHED!$Y59,IF(MATCHED!AG59=25,MATCHED!$Z59,IF(MATCHED!AG59=26,MATCHED!$AA59,IF(MATCHED!AG59=27,MATCHED!$AB59,"."))))))</f>
        <v>#N/A</v>
      </c>
      <c r="F59" s="321" t="e">
        <f>IF(MATCHED!AH59=1,MATCHED!$B59,IF(MATCHED!AH59=2,MATCHED!$C59,IF(MATCHED!AH59=3,MATCHED!$D59,IF(MATCHED!AH59=4,MATCHED!$E59,IF(MATCHED!AH59=3,MATCHED!$F59,IF(MATCHED!AH59=6,MATCHED!$G59,IF(MATCHED!AH59=7,MATCHED!$H59,"")))))))&amp;IF(MATCHED!AH59=8,MATCHED!$I59,IF(MATCHED!AH59=9,MATCHED!$J59,IF(MATCHED!AH59=10,MATCHED!$K59,IF(MATCHED!AH59=11,MATCHED!$L59,IF(MATCHED!AH59=12,MATCHED!$M59,IF(MATCHED!AH59=13,MATCHED!$N59,IF(MATCHED!AH59=14,MATCHED!$O59,"")))))))&amp;IF(MATCHED!AH59=15,MATCHED!$P59,IF(MATCHED!AH59=16,MATCHED!$Q59,IF(MATCHED!AH59=17,MATCHED!$R59,IF(MATCHED!AH59=18,MATCHED!$S59,IF(MATCHED!AH59=19,MATCHED!$T59,IF(MATCHED!AH59=20,MATCHED!$U59,IF(MATCHED!AH59=21,MATCHED!$V59,)))))))&amp;IF(MATCHED!AH59=22,MATCHED!$W59,IF(MATCHED!AH59=23,MATCHED!$X59,IF(MATCHED!AH59=24,MATCHED!$Y59,IF(MATCHED!AH59=25,MATCHED!$Z59,IF(MATCHED!AH59=26,MATCHED!$AA59,IF(MATCHED!AH59=27,MATCHED!$AB59,"."))))))</f>
        <v>#N/A</v>
      </c>
      <c r="G59" s="321" t="e">
        <f>IF(MATCHED!AI59=1,MATCHED!$B59,IF(MATCHED!AI59=2,MATCHED!$C59,IF(MATCHED!AI59=3,MATCHED!$D59,IF(MATCHED!AI59=4,MATCHED!$E59,IF(MATCHED!AI59=3,MATCHED!$F59,IF(MATCHED!AI59=6,MATCHED!$G59,IF(MATCHED!AI59=7,MATCHED!$H59,"")))))))&amp;IF(MATCHED!AI59=8,MATCHED!$I59,IF(MATCHED!AI59=9,MATCHED!$J59,IF(MATCHED!AI59=10,MATCHED!$K59,IF(MATCHED!AI59=11,MATCHED!$L59,IF(MATCHED!AI59=12,MATCHED!$M59,IF(MATCHED!AI59=13,MATCHED!$N59,IF(MATCHED!AI59=14,MATCHED!$O59,"")))))))&amp;IF(MATCHED!AI59=15,MATCHED!$P59,IF(MATCHED!AI59=16,MATCHED!$Q59,IF(MATCHED!AI59=17,MATCHED!$R59,IF(MATCHED!AI59=18,MATCHED!$S59,IF(MATCHED!AI59=19,MATCHED!$T59,IF(MATCHED!AI59=20,MATCHED!$U59,IF(MATCHED!AI59=21,MATCHED!$V59,)))))))&amp;IF(MATCHED!AI59=22,MATCHED!$W59,IF(MATCHED!AI59=23,MATCHED!$X59,IF(MATCHED!AI59=24,MATCHED!$Y59,IF(MATCHED!AI59=25,MATCHED!$Z59,IF(MATCHED!AI59=26,MATCHED!$AA59,IF(MATCHED!AI59=27,MATCHED!$AB59,"."))))))</f>
        <v>#N/A</v>
      </c>
      <c r="H59" s="321" t="e">
        <f>IF(MATCHED!AJ59=1,MATCHED!$B59,IF(MATCHED!AJ59=2,MATCHED!$C59,IF(MATCHED!AJ59=3,MATCHED!$D59,IF(MATCHED!AJ59=4,MATCHED!$E59,IF(MATCHED!AJ59=3,MATCHED!$F59,IF(MATCHED!AJ59=6,MATCHED!$G59,IF(MATCHED!AJ59=7,MATCHED!$H59,"")))))))&amp;IF(MATCHED!AJ59=8,MATCHED!$I59,IF(MATCHED!AJ59=9,MATCHED!$J59,IF(MATCHED!AJ59=10,MATCHED!$K59,IF(MATCHED!AJ59=11,MATCHED!$L59,IF(MATCHED!AJ59=12,MATCHED!$M59,IF(MATCHED!AJ59=13,MATCHED!$N59,IF(MATCHED!AJ59=14,MATCHED!$O59,"")))))))&amp;IF(MATCHED!AJ59=15,MATCHED!$P59,IF(MATCHED!AJ59=16,MATCHED!$Q59,IF(MATCHED!AJ59=17,MATCHED!$R59,IF(MATCHED!AJ59=18,MATCHED!$S59,IF(MATCHED!AJ59=19,MATCHED!$T59,IF(MATCHED!AJ59=20,MATCHED!$U59,IF(MATCHED!AJ59=21,MATCHED!$V59,)))))))&amp;IF(MATCHED!AJ59=22,MATCHED!$W59,IF(MATCHED!AJ59=23,MATCHED!$X59,IF(MATCHED!AJ59=24,MATCHED!$Y59,IF(MATCHED!AJ59=25,MATCHED!$Z59,IF(MATCHED!AJ59=26,MATCHED!$AA59,IF(MATCHED!AJ59=27,MATCHED!$AB59,"."))))))</f>
        <v>#N/A</v>
      </c>
      <c r="I59" s="323" t="e">
        <f>IF(MATCHED!AK59=1,MATCHED!$B59,IF(MATCHED!AK59=2,MATCHED!$C59,IF(MATCHED!AK59=3,MATCHED!$D59,IF(MATCHED!AK59=4,MATCHED!$E59,IF(MATCHED!AK59=3,MATCHED!$F59,IF(MATCHED!AK59=6,MATCHED!$G59,IF(MATCHED!AK59=7,MATCHED!$H59,"")))))))&amp;IF(MATCHED!AK59=8,MATCHED!$I59,IF(MATCHED!AK59=9,MATCHED!$J59,IF(MATCHED!AK59=10,MATCHED!$K59,IF(MATCHED!AK59=11,MATCHED!$L59,IF(MATCHED!AK59=12,MATCHED!$M59,IF(MATCHED!AK59=13,MATCHED!$N59,IF(MATCHED!AK59=14,MATCHED!$O59,"")))))))&amp;IF(MATCHED!AK59=15,MATCHED!$P59,IF(MATCHED!AK59=16,MATCHED!$Q59,IF(MATCHED!AK59=17,MATCHED!$R59,IF(MATCHED!AK59=18,MATCHED!$S59,IF(MATCHED!AK59=19,MATCHED!$T59,IF(MATCHED!AK59=20,MATCHED!$U59,IF(MATCHED!AK59=21,MATCHED!$V59,)))))))&amp;IF(MATCHED!AK59=22,MATCHED!$W59,IF(MATCHED!AK59=23,MATCHED!$X59,IF(MATCHED!AK59=24,MATCHED!$Y59,IF(MATCHED!AK59=25,MATCHED!$Z59,IF(MATCHED!AK59=26,MATCHED!$AA59,IF(MATCHED!AK59=27,MATCHED!$AB59,"."))))))</f>
        <v>#N/A</v>
      </c>
      <c r="J59" s="321" t="e">
        <f>IF(MATCHED!AL59=1,MATCHED!$B59,IF(MATCHED!AL59=2,MATCHED!$C59,IF(MATCHED!AL59=3,MATCHED!$D59,IF(MATCHED!AL59=4,MATCHED!$E59,IF(MATCHED!AL59=3,MATCHED!$F59,IF(MATCHED!AL59=6,MATCHED!$G59,IF(MATCHED!AL59=7,MATCHED!$H59,"")))))))&amp;IF(MATCHED!AL59=8,MATCHED!$I59,IF(MATCHED!AL59=9,MATCHED!$J59,IF(MATCHED!AL59=10,MATCHED!$K59,IF(MATCHED!AL59=11,MATCHED!$L59,IF(MATCHED!AL59=12,MATCHED!$M59,IF(MATCHED!AL59=13,MATCHED!$N59,IF(MATCHED!AL59=14,MATCHED!$O59,"")))))))&amp;IF(MATCHED!AL59=15,MATCHED!$P59,IF(MATCHED!AL59=16,MATCHED!$Q59,IF(MATCHED!AL59=17,MATCHED!$R59,IF(MATCHED!AL59=18,MATCHED!$S59,IF(MATCHED!AL59=19,MATCHED!$T59,IF(MATCHED!AL59=20,MATCHED!$U59,IF(MATCHED!AL59=21,MATCHED!$V59,)))))))&amp;IF(MATCHED!AL59=22,MATCHED!$W59,IF(MATCHED!AL59=23,MATCHED!$X59,IF(MATCHED!AL59=24,MATCHED!$Y59,IF(MATCHED!AL59=25,MATCHED!$Z59,IF(MATCHED!AL59=26,MATCHED!$AA59,IF(MATCHED!AL59=27,MATCHED!$AB59,"."))))))</f>
        <v>#N/A</v>
      </c>
      <c r="K59" s="321" t="e">
        <f>IF(MATCHED!AM59=1,MATCHED!$B59,IF(MATCHED!AM59=2,MATCHED!$C59,IF(MATCHED!AM59=3,MATCHED!$D59,IF(MATCHED!AM59=4,MATCHED!$E59,IF(MATCHED!AM59=3,MATCHED!$F59,IF(MATCHED!AM59=6,MATCHED!$G59,IF(MATCHED!AM59=7,MATCHED!$H59,"")))))))&amp;IF(MATCHED!AM59=8,MATCHED!$I59,IF(MATCHED!AM59=9,MATCHED!$J59,IF(MATCHED!AM59=10,MATCHED!$K59,IF(MATCHED!AM59=11,MATCHED!$L59,IF(MATCHED!AM59=12,MATCHED!$M59,IF(MATCHED!AM59=13,MATCHED!$N59,IF(MATCHED!AM59=14,MATCHED!$O59,"")))))))&amp;IF(MATCHED!AM59=15,MATCHED!$P59,IF(MATCHED!AM59=16,MATCHED!$Q59,IF(MATCHED!AM59=17,MATCHED!$R59,IF(MATCHED!AM59=18,MATCHED!$S59,IF(MATCHED!AM59=19,MATCHED!$T59,IF(MATCHED!AM59=20,MATCHED!$U59,IF(MATCHED!AM59=21,MATCHED!$V59,)))))))&amp;IF(MATCHED!AM59=22,MATCHED!$W59,IF(MATCHED!AM59=23,MATCHED!$X59,IF(MATCHED!AM59=24,MATCHED!$Y59,IF(MATCHED!AM59=25,MATCHED!$Z59,IF(MATCHED!AM59=26,MATCHED!$AA59,IF(MATCHED!AM59=27,MATCHED!$AB59,"."))))))</f>
        <v>#N/A</v>
      </c>
      <c r="L59" s="321" t="e">
        <f>IF(MATCHED!AN59=1,MATCHED!$B59,IF(MATCHED!AN59=2,MATCHED!$C59,IF(MATCHED!AN59=3,MATCHED!$D59,IF(MATCHED!AN59=4,MATCHED!$E59,IF(MATCHED!AN59=3,MATCHED!$F59,IF(MATCHED!AN59=6,MATCHED!$G59,IF(MATCHED!AN59=7,MATCHED!$H59,"")))))))&amp;IF(MATCHED!AN59=8,MATCHED!$I59,IF(MATCHED!AN59=9,MATCHED!$J59,IF(MATCHED!AN59=10,MATCHED!$K59,IF(MATCHED!AN59=11,MATCHED!$L59,IF(MATCHED!AN59=12,MATCHED!$M59,IF(MATCHED!AN59=13,MATCHED!$N59,IF(MATCHED!AN59=14,MATCHED!$O59,"")))))))&amp;IF(MATCHED!AN59=15,MATCHED!$P59,IF(MATCHED!AN59=16,MATCHED!$Q59,IF(MATCHED!AN59=17,MATCHED!$R59,IF(MATCHED!AN59=18,MATCHED!$S59,IF(MATCHED!AN59=19,MATCHED!$T59,IF(MATCHED!AN59=20,MATCHED!$U59,IF(MATCHED!AN59=21,MATCHED!$V59,)))))))&amp;IF(MATCHED!AN59=22,MATCHED!$W59,IF(MATCHED!AN59=23,MATCHED!$X59,IF(MATCHED!AN59=24,MATCHED!$Y59,IF(MATCHED!AN59=25,MATCHED!$Z59,IF(MATCHED!AN59=26,MATCHED!$AA59,IF(MATCHED!AN59=27,MATCHED!$AB59,"."))))))</f>
        <v>#N/A</v>
      </c>
      <c r="M59" s="324" t="e">
        <f>IF(MATCHED!AO59=1,MATCHED!$B59,IF(MATCHED!AO59=2,MATCHED!$C59,IF(MATCHED!AO59=3,MATCHED!$D59,IF(MATCHED!AO59=4,MATCHED!$E59,IF(MATCHED!AO59=3,MATCHED!$F59,IF(MATCHED!AO59=6,MATCHED!$G59,IF(MATCHED!AO59=7,MATCHED!$H59,"")))))))&amp;IF(MATCHED!AO59=8,MATCHED!$I59,IF(MATCHED!AO59=9,MATCHED!$J59,IF(MATCHED!AO59=10,MATCHED!$K59,IF(MATCHED!AO59=11,MATCHED!$L59,IF(MATCHED!AO59=12,MATCHED!$M59,IF(MATCHED!AO59=13,MATCHED!$N59,IF(MATCHED!AO59=14,MATCHED!$O59,"")))))))&amp;IF(MATCHED!AO59=15,MATCHED!$P59,IF(MATCHED!AO59=16,MATCHED!$Q59,IF(MATCHED!AO59=17,MATCHED!$R59,IF(MATCHED!AO59=18,MATCHED!$S59,IF(MATCHED!AO59=19,MATCHED!$T59,IF(MATCHED!AO59=20,MATCHED!$U59,IF(MATCHED!AO59=21,MATCHED!$V59,)))))))&amp;IF(MATCHED!AO59=22,MATCHED!$W59,IF(MATCHED!AO59=23,MATCHED!$X59,IF(MATCHED!AO59=24,MATCHED!$Y59,IF(MATCHED!AO59=25,MATCHED!$Z59,IF(MATCHED!AO59=26,MATCHED!$AA59,IF(MATCHED!AO59=27,MATCHED!$AB59,"."))))))</f>
        <v>#N/A</v>
      </c>
      <c r="N59" s="321" t="e">
        <f>IF(MATCHED!AP59=1,MATCHED!$B59,IF(MATCHED!AP59=2,MATCHED!$C59,IF(MATCHED!AP59=3,MATCHED!$D59,IF(MATCHED!AP59=4,MATCHED!$E59,IF(MATCHED!AP59=3,MATCHED!$F59,IF(MATCHED!AP59=6,MATCHED!$G59,IF(MATCHED!AP59=7,MATCHED!$H59,"")))))))&amp;IF(MATCHED!AP59=8,MATCHED!$I59,IF(MATCHED!AP59=9,MATCHED!$J59,IF(MATCHED!AP59=10,MATCHED!$K59,IF(MATCHED!AP59=11,MATCHED!$L59,IF(MATCHED!AP59=12,MATCHED!$M59,IF(MATCHED!AP59=13,MATCHED!$N59,IF(MATCHED!AP59=14,MATCHED!$O59,"")))))))&amp;IF(MATCHED!AP59=15,MATCHED!$P59,IF(MATCHED!AP59=16,MATCHED!$Q59,IF(MATCHED!AP59=17,MATCHED!$R59,IF(MATCHED!AP59=18,MATCHED!$S59,IF(MATCHED!AP59=19,MATCHED!$T59,IF(MATCHED!AP59=20,MATCHED!$U59,IF(MATCHED!AP59=21,MATCHED!$V59,)))))))&amp;IF(MATCHED!AP59=22,MATCHED!$W59,IF(MATCHED!AP59=23,MATCHED!$X59,IF(MATCHED!AP59=24,MATCHED!$Y59,IF(MATCHED!AP59=25,MATCHED!$Z59,IF(MATCHED!AP59=26,MATCHED!$AA59,IF(MATCHED!AP59=27,MATCHED!$AB59,"."))))))</f>
        <v>#N/A</v>
      </c>
      <c r="O59" s="321" t="e">
        <f>IF(MATCHED!AQ59=1,MATCHED!$B59,IF(MATCHED!AQ59=2,MATCHED!$C59,IF(MATCHED!AQ59=3,MATCHED!$D59,IF(MATCHED!AQ59=4,MATCHED!$E59,IF(MATCHED!AQ59=3,MATCHED!$F59,IF(MATCHED!AQ59=6,MATCHED!$G59,IF(MATCHED!AQ59=7,MATCHED!$H59,"")))))))&amp;IF(MATCHED!AQ59=8,MATCHED!$I59,IF(MATCHED!AQ59=9,MATCHED!$J59,IF(MATCHED!AQ59=10,MATCHED!$K59,IF(MATCHED!AQ59=11,MATCHED!$L59,IF(MATCHED!AQ59=12,MATCHED!$M59,IF(MATCHED!AQ59=13,MATCHED!$N59,IF(MATCHED!AQ59=14,MATCHED!$O59,"")))))))&amp;IF(MATCHED!AQ59=15,MATCHED!$P59,IF(MATCHED!AQ59=16,MATCHED!$Q59,IF(MATCHED!AQ59=17,MATCHED!$R59,IF(MATCHED!AQ59=18,MATCHED!$S59,IF(MATCHED!AQ59=19,MATCHED!$T59,IF(MATCHED!AQ59=20,MATCHED!$U59,IF(MATCHED!AQ59=21,MATCHED!$V59,)))))))&amp;IF(MATCHED!AQ59=22,MATCHED!$W59,IF(MATCHED!AQ59=23,MATCHED!$X59,IF(MATCHED!AQ59=24,MATCHED!$Y59,IF(MATCHED!AQ59=25,MATCHED!$Z59,IF(MATCHED!AQ59=26,MATCHED!$AA59,IF(MATCHED!AQ59=27,MATCHED!$AB59,"."))))))</f>
        <v>#N/A</v>
      </c>
      <c r="P59" s="321" t="e">
        <f>IF(MATCHED!AR59=1,MATCHED!$B59,IF(MATCHED!AR59=2,MATCHED!$C59,IF(MATCHED!AR59=3,MATCHED!$D59,IF(MATCHED!AR59=4,MATCHED!$E59,IF(MATCHED!AR59=3,MATCHED!$F59,IF(MATCHED!AR59=6,MATCHED!$G59,IF(MATCHED!AR59=7,MATCHED!$H59,"")))))))&amp;IF(MATCHED!AR59=8,MATCHED!$I59,IF(MATCHED!AR59=9,MATCHED!$J59,IF(MATCHED!AR59=10,MATCHED!$K59,IF(MATCHED!AR59=11,MATCHED!$L59,IF(MATCHED!AR59=12,MATCHED!$M59,IF(MATCHED!AR59=13,MATCHED!$N59,IF(MATCHED!AR59=14,MATCHED!$O59,"")))))))&amp;IF(MATCHED!AR59=15,MATCHED!$P59,IF(MATCHED!AR59=16,MATCHED!$Q59,IF(MATCHED!AR59=17,MATCHED!$R59,IF(MATCHED!AR59=18,MATCHED!$S59,IF(MATCHED!AR59=19,MATCHED!$T59,IF(MATCHED!AR59=20,MATCHED!$U59,IF(MATCHED!AR59=21,MATCHED!$V59,)))))))&amp;IF(MATCHED!AR59=22,MATCHED!$W59,IF(MATCHED!AR59=23,MATCHED!$X59,IF(MATCHED!AR59=24,MATCHED!$Y59,IF(MATCHED!AR59=25,MATCHED!$Z59,IF(MATCHED!AR59=26,MATCHED!$AA59,IF(MATCHED!AR59=27,MATCHED!$AB59,"."))))))</f>
        <v>#N/A</v>
      </c>
      <c r="Q59" s="322" t="e">
        <f>IF(MATCHED!AS59=1,MATCHED!$B59,IF(MATCHED!AS59=2,MATCHED!$C59,IF(MATCHED!AS59=3,MATCHED!$D59,IF(MATCHED!AS59=4,MATCHED!$E59,IF(MATCHED!AS59=3,MATCHED!$F59,IF(MATCHED!AS59=6,MATCHED!$G59,IF(MATCHED!AS59=7,MATCHED!$H59,"")))))))&amp;IF(MATCHED!AS59=8,MATCHED!$I59,IF(MATCHED!AS59=9,MATCHED!$J59,IF(MATCHED!AS59=10,MATCHED!$K59,IF(MATCHED!AS59=11,MATCHED!$L59,IF(MATCHED!AS59=12,MATCHED!$M59,IF(MATCHED!AS59=13,MATCHED!$N59,IF(MATCHED!AS59=14,MATCHED!$O59,"")))))))&amp;IF(MATCHED!AS59=15,MATCHED!$P59,IF(MATCHED!AS59=16,MATCHED!$Q59,IF(MATCHED!AS59=17,MATCHED!$R59,IF(MATCHED!AS59=18,MATCHED!$S59,IF(MATCHED!AS59=19,MATCHED!$T59,IF(MATCHED!AS59=20,MATCHED!$U59,IF(MATCHED!AS59=21,MATCHED!$V59,)))))))&amp;IF(MATCHED!AS59=22,MATCHED!$W59,IF(MATCHED!AS59=23,MATCHED!$X59,IF(MATCHED!AS59=24,MATCHED!$Y59,IF(MATCHED!AS59=25,MATCHED!$Z59,IF(MATCHED!AS59=26,MATCHED!$AA59,IF(MATCHED!AS59=27,MATCHED!$AB59,"."))))))</f>
        <v>#N/A</v>
      </c>
      <c r="R59" s="321" t="e">
        <f>IF(MATCHED!AT59=1,MATCHED!$B59,IF(MATCHED!AT59=2,MATCHED!$C59,IF(MATCHED!AT59=3,MATCHED!$D59,IF(MATCHED!AT59=4,MATCHED!$E59,IF(MATCHED!AT59=3,MATCHED!$F59,IF(MATCHED!AT59=6,MATCHED!$G59,IF(MATCHED!AT59=7,MATCHED!$H59,"")))))))&amp;IF(MATCHED!AT59=8,MATCHED!$I59,IF(MATCHED!AT59=9,MATCHED!$J59,IF(MATCHED!AT59=10,MATCHED!$K59,IF(MATCHED!AT59=11,MATCHED!$L59,IF(MATCHED!AT59=12,MATCHED!$M59,IF(MATCHED!AT59=13,MATCHED!$N59,IF(MATCHED!AT59=14,MATCHED!$O59,"")))))))&amp;IF(MATCHED!AT59=15,MATCHED!$P59,IF(MATCHED!AT59=16,MATCHED!$Q59,IF(MATCHED!AT59=17,MATCHED!$R59,IF(MATCHED!AT59=18,MATCHED!$S59,IF(MATCHED!AT59=19,MATCHED!$T59,IF(MATCHED!AT59=20,MATCHED!$U59,IF(MATCHED!AT59=21,MATCHED!$V59,)))))))&amp;IF(MATCHED!AT59=22,MATCHED!$W59,IF(MATCHED!AT59=23,MATCHED!$X59,IF(MATCHED!AT59=24,MATCHED!$Y59,IF(MATCHED!AT59=25,MATCHED!$Z59,IF(MATCHED!AT59=26,MATCHED!$AA59,IF(MATCHED!AT59=27,MATCHED!$AB59,"."))))))</f>
        <v>#N/A</v>
      </c>
      <c r="S59" s="321" t="e">
        <f>IF(MATCHED!AU59=1,MATCHED!$B59,IF(MATCHED!AU59=2,MATCHED!$C59,IF(MATCHED!AU59=3,MATCHED!$D59,IF(MATCHED!AU59=4,MATCHED!$E59,IF(MATCHED!AU59=3,MATCHED!$F59,IF(MATCHED!AU59=6,MATCHED!$G59,IF(MATCHED!AU59=7,MATCHED!$H59,"")))))))&amp;IF(MATCHED!AU59=8,MATCHED!$I59,IF(MATCHED!AU59=9,MATCHED!$J59,IF(MATCHED!AU59=10,MATCHED!$K59,IF(MATCHED!AU59=11,MATCHED!$L59,IF(MATCHED!AU59=12,MATCHED!$M59,IF(MATCHED!AU59=13,MATCHED!$N59,IF(MATCHED!AU59=14,MATCHED!$O59,"")))))))&amp;IF(MATCHED!AU59=15,MATCHED!$P59,IF(MATCHED!AU59=16,MATCHED!$Q59,IF(MATCHED!AU59=17,MATCHED!$R59,IF(MATCHED!AU59=18,MATCHED!$S59,IF(MATCHED!AU59=19,MATCHED!$T59,IF(MATCHED!AU59=20,MATCHED!$U59,IF(MATCHED!AU59=21,MATCHED!$V59,)))))))&amp;IF(MATCHED!AU59=22,MATCHED!$W59,IF(MATCHED!AU59=23,MATCHED!$X59,IF(MATCHED!AU59=24,MATCHED!$Y59,IF(MATCHED!AU59=25,MATCHED!$Z59,IF(MATCHED!AU59=26,MATCHED!$AA59,IF(MATCHED!AU59=27,MATCHED!$AB59,"."))))))</f>
        <v>#N/A</v>
      </c>
      <c r="T59" s="321" t="e">
        <f>IF(MATCHED!AV59=1,MATCHED!$B59,IF(MATCHED!AV59=2,MATCHED!$C59,IF(MATCHED!AV59=3,MATCHED!$D59,IF(MATCHED!AV59=4,MATCHED!$E59,IF(MATCHED!AV59=3,MATCHED!$F59,IF(MATCHED!AV59=6,MATCHED!$G59,IF(MATCHED!AV59=7,MATCHED!$H59,"")))))))&amp;IF(MATCHED!AV59=8,MATCHED!$I59,IF(MATCHED!AV59=9,MATCHED!$J59,IF(MATCHED!AV59=10,MATCHED!$K59,IF(MATCHED!AV59=11,MATCHED!$L59,IF(MATCHED!AV59=12,MATCHED!$M59,IF(MATCHED!AV59=13,MATCHED!$N59,IF(MATCHED!AV59=14,MATCHED!$O59,"")))))))&amp;IF(MATCHED!AV59=15,MATCHED!$P59,IF(MATCHED!AV59=16,MATCHED!$Q59,IF(MATCHED!AV59=17,MATCHED!$R59,IF(MATCHED!AV59=18,MATCHED!$S59,IF(MATCHED!AV59=19,MATCHED!$T59,IF(MATCHED!AV59=20,MATCHED!$U59,IF(MATCHED!AV59=21,MATCHED!$V59,)))))))&amp;IF(MATCHED!AV59=22,MATCHED!$W59,IF(MATCHED!AV59=23,MATCHED!$X59,IF(MATCHED!AV59=24,MATCHED!$Y59,IF(MATCHED!AV59=25,MATCHED!$Z59,IF(MATCHED!AV59=26,MATCHED!$AA59,IF(MATCHED!AV59=27,MATCHED!$AB59,"."))))))</f>
        <v>#N/A</v>
      </c>
      <c r="U59" s="321" t="e">
        <f>IF(MATCHED!AW59=1,MATCHED!$B59,IF(MATCHED!AW59=2,MATCHED!$C59,IF(MATCHED!AW59=3,MATCHED!$D59,IF(MATCHED!AW59=4,MATCHED!$E59,IF(MATCHED!AW59=3,MATCHED!$F59,IF(MATCHED!AW59=6,MATCHED!$G59,IF(MATCHED!AW59=7,MATCHED!$H59,"")))))))&amp;IF(MATCHED!AW59=8,MATCHED!$I59,IF(MATCHED!AW59=9,MATCHED!$J59,IF(MATCHED!AW59=10,MATCHED!$K59,IF(MATCHED!AW59=11,MATCHED!$L59,IF(MATCHED!AW59=12,MATCHED!$M59,IF(MATCHED!AW59=13,MATCHED!$N59,IF(MATCHED!AW59=14,MATCHED!$O59,"")))))))&amp;IF(MATCHED!AW59=15,MATCHED!$P59,IF(MATCHED!AW59=16,MATCHED!$Q59,IF(MATCHED!AW59=17,MATCHED!$R59,IF(MATCHED!AW59=18,MATCHED!$S59,IF(MATCHED!AW59=19,MATCHED!$T59,IF(MATCHED!AW59=20,MATCHED!$U59,IF(MATCHED!AW59=21,MATCHED!$V59,)))))))&amp;IF(MATCHED!AW59=22,MATCHED!$W59,IF(MATCHED!AW59=23,MATCHED!$X59,IF(MATCHED!AW59=24,MATCHED!$Y59,IF(MATCHED!AW59=25,MATCHED!$Z59,IF(MATCHED!AW59=26,MATCHED!$AA59,IF(MATCHED!AW59=27,MATCHED!$AB59,"."))))))</f>
        <v>#N/A</v>
      </c>
      <c r="V59" s="321" t="e">
        <f>IF(MATCHED!AX59=1,MATCHED!$B59,IF(MATCHED!AX59=2,MATCHED!$C59,IF(MATCHED!AX59=3,MATCHED!$D59,IF(MATCHED!AX59=4,MATCHED!$E59,IF(MATCHED!AX59=3,MATCHED!$F59,IF(MATCHED!AX59=6,MATCHED!$G59,IF(MATCHED!AX59=7,MATCHED!$H59,"")))))))&amp;IF(MATCHED!AX59=8,MATCHED!$I59,IF(MATCHED!AX59=9,MATCHED!$J59,IF(MATCHED!AX59=10,MATCHED!$K59,IF(MATCHED!AX59=11,MATCHED!$L59,IF(MATCHED!AX59=12,MATCHED!$M59,IF(MATCHED!AX59=13,MATCHED!$N59,IF(MATCHED!AX59=14,MATCHED!$O59,"")))))))&amp;IF(MATCHED!AX59=15,MATCHED!$P59,IF(MATCHED!AX59=16,MATCHED!$Q59,IF(MATCHED!AX59=17,MATCHED!$R59,IF(MATCHED!AX59=18,MATCHED!$S59,IF(MATCHED!AX59=19,MATCHED!$T59,IF(MATCHED!AX59=20,MATCHED!$U59,IF(MATCHED!AX59=21,MATCHED!$V59,)))))))&amp;IF(MATCHED!AX59=22,MATCHED!$W59,IF(MATCHED!AX59=23,MATCHED!$X59,IF(MATCHED!AX59=24,MATCHED!$Y59,IF(MATCHED!AX59=25,MATCHED!$Z59,IF(MATCHED!AX59=26,MATCHED!$AA59,IF(MATCHED!AX59=27,MATCHED!$AB59,"."))))))</f>
        <v>#N/A</v>
      </c>
      <c r="W59" s="321" t="e">
        <f>IF(MATCHED!AY59=1,MATCHED!$B59,IF(MATCHED!AY59=2,MATCHED!$C59,IF(MATCHED!AY59=3,MATCHED!$D59,IF(MATCHED!AY59=4,MATCHED!$E59,IF(MATCHED!AY59=3,MATCHED!$F59,IF(MATCHED!AY59=6,MATCHED!$G59,IF(MATCHED!AY59=7,MATCHED!$H59,"")))))))&amp;IF(MATCHED!AY59=8,MATCHED!$I59,IF(MATCHED!AY59=9,MATCHED!$J59,IF(MATCHED!AY59=10,MATCHED!$K59,IF(MATCHED!AY59=11,MATCHED!$L59,IF(MATCHED!AY59=12,MATCHED!$M59,IF(MATCHED!AY59=13,MATCHED!$N59,IF(MATCHED!AY59=14,MATCHED!$O59,"")))))))&amp;IF(MATCHED!AY59=15,MATCHED!$P59,IF(MATCHED!AY59=16,MATCHED!$Q59,IF(MATCHED!AY59=17,MATCHED!$R59,IF(MATCHED!AY59=18,MATCHED!$S59,IF(MATCHED!AY59=19,MATCHED!$T59,IF(MATCHED!AY59=20,MATCHED!$U59,IF(MATCHED!AY59=21,MATCHED!$V59,)))))))&amp;IF(MATCHED!AY59=22,MATCHED!$W59,IF(MATCHED!AY59=23,MATCHED!$X59,IF(MATCHED!AY59=24,MATCHED!$Y59,IF(MATCHED!AY59=25,MATCHED!$Z59,IF(MATCHED!AY59=26,MATCHED!$AA59,IF(MATCHED!AY59=27,MATCHED!$AB59,"."))))))</f>
        <v>#N/A</v>
      </c>
      <c r="X59" s="321" t="e">
        <f>IF(MATCHED!AZ59=1,MATCHED!$B59,IF(MATCHED!AZ59=2,MATCHED!$C59,IF(MATCHED!AZ59=3,MATCHED!$D59,IF(MATCHED!AZ59=4,MATCHED!$E59,IF(MATCHED!AZ59=3,MATCHED!$F59,IF(MATCHED!AZ59=6,MATCHED!$G59,IF(MATCHED!AZ59=7,MATCHED!$H59,"")))))))&amp;IF(MATCHED!AZ59=8,MATCHED!$I59,IF(MATCHED!AZ59=9,MATCHED!$J59,IF(MATCHED!AZ59=10,MATCHED!$K59,IF(MATCHED!AZ59=11,MATCHED!$L59,IF(MATCHED!AZ59=12,MATCHED!$M59,IF(MATCHED!AZ59=13,MATCHED!$N59,IF(MATCHED!AZ59=14,MATCHED!$O59,"")))))))&amp;IF(MATCHED!AZ59=15,MATCHED!$P59,IF(MATCHED!AZ59=16,MATCHED!$Q59,IF(MATCHED!AZ59=17,MATCHED!$R59,IF(MATCHED!AZ59=18,MATCHED!$S59,IF(MATCHED!AZ59=19,MATCHED!$T59,IF(MATCHED!AZ59=20,MATCHED!$U59,IF(MATCHED!AZ59=21,MATCHED!$V59,)))))))&amp;IF(MATCHED!AZ59=22,MATCHED!$W59,IF(MATCHED!AZ59=23,MATCHED!$X59,IF(MATCHED!AZ59=24,MATCHED!$Y59,IF(MATCHED!AZ59=25,MATCHED!$Z59,IF(MATCHED!AZ59=26,MATCHED!$AA59,IF(MATCHED!AZ59=27,MATCHED!$AB59,"."))))))</f>
        <v>#N/A</v>
      </c>
      <c r="Y59" s="321" t="e">
        <f>IF(MATCHED!BA59=1,MATCHED!$B59,IF(MATCHED!BA59=2,MATCHED!$C59,IF(MATCHED!BA59=3,MATCHED!$D59,IF(MATCHED!BA59=4,MATCHED!$E59,IF(MATCHED!BA59=3,MATCHED!$F59,IF(MATCHED!BA59=6,MATCHED!$G59,IF(MATCHED!BA59=7,MATCHED!$H59,"")))))))&amp;IF(MATCHED!BA59=8,MATCHED!$I59,IF(MATCHED!BA59=9,MATCHED!$J59,IF(MATCHED!BA59=10,MATCHED!$K59,IF(MATCHED!BA59=11,MATCHED!$L59,IF(MATCHED!BA59=12,MATCHED!$M59,IF(MATCHED!BA59=13,MATCHED!$N59,IF(MATCHED!BA59=14,MATCHED!$O59,"")))))))&amp;IF(MATCHED!BA59=15,MATCHED!$P59,IF(MATCHED!BA59=16,MATCHED!$Q59,IF(MATCHED!BA59=17,MATCHED!$R59,IF(MATCHED!BA59=18,MATCHED!$S59,IF(MATCHED!BA59=19,MATCHED!$T59,IF(MATCHED!BA59=20,MATCHED!$U59,IF(MATCHED!BA59=21,MATCHED!$V59,)))))))&amp;IF(MATCHED!BA59=22,MATCHED!$W59,IF(MATCHED!BA59=23,MATCHED!$X59,IF(MATCHED!BA59=24,MATCHED!$Y59,IF(MATCHED!BA59=25,MATCHED!$Z59,IF(MATCHED!BA59=26,MATCHED!$AA59,IF(MATCHED!BA59=27,MATCHED!$AB59,"."))))))</f>
        <v>#N/A</v>
      </c>
      <c r="Z59" s="321" t="e">
        <f>IF(MATCHED!BB59=1,MATCHED!$B59,IF(MATCHED!BB59=2,MATCHED!$C59,IF(MATCHED!BB59=3,MATCHED!$D59,IF(MATCHED!BB59=4,MATCHED!$E59,IF(MATCHED!BB59=3,MATCHED!$F59,IF(MATCHED!BB59=6,MATCHED!$G59,IF(MATCHED!BB59=7,MATCHED!$H59,"")))))))&amp;IF(MATCHED!BB59=8,MATCHED!$I59,IF(MATCHED!BB59=9,MATCHED!$J59,IF(MATCHED!BB59=10,MATCHED!$K59,IF(MATCHED!BB59=11,MATCHED!$L59,IF(MATCHED!BB59=12,MATCHED!$M59,IF(MATCHED!BB59=13,MATCHED!$N59,IF(MATCHED!BB59=14,MATCHED!$O59,"")))))))&amp;IF(MATCHED!BB59=15,MATCHED!$P59,IF(MATCHED!BB59=16,MATCHED!$Q59,IF(MATCHED!BB59=17,MATCHED!$R59,IF(MATCHED!BB59=18,MATCHED!$S59,IF(MATCHED!BB59=19,MATCHED!$T59,IF(MATCHED!BB59=20,MATCHED!$U59,IF(MATCHED!BB59=21,MATCHED!$V59,)))))))&amp;IF(MATCHED!BB59=22,MATCHED!$W59,IF(MATCHED!BB59=23,MATCHED!$X59,IF(MATCHED!BB59=24,MATCHED!$Y59,IF(MATCHED!BB59=25,MATCHED!$Z59,IF(MATCHED!BB59=26,MATCHED!$AA59,IF(MATCHED!BB59=27,MATCHED!$AB59,"."))))))</f>
        <v>#N/A</v>
      </c>
      <c r="AA59" s="321" t="e">
        <f>IF(MATCHED!BC59=1,MATCHED!$B59,IF(MATCHED!BC59=2,MATCHED!$C59,IF(MATCHED!BC59=3,MATCHED!$D59,IF(MATCHED!BC59=4,MATCHED!$E59,IF(MATCHED!BC59=3,MATCHED!$F59,IF(MATCHED!BC59=6,MATCHED!$G59,IF(MATCHED!BC59=7,MATCHED!$H59,"")))))))&amp;IF(MATCHED!BC59=8,MATCHED!$I59,IF(MATCHED!BC59=9,MATCHED!$J59,IF(MATCHED!BC59=10,MATCHED!$K59,IF(MATCHED!BC59=11,MATCHED!$L59,IF(MATCHED!BC59=12,MATCHED!$M59,IF(MATCHED!BC59=13,MATCHED!$N59,IF(MATCHED!BC59=14,MATCHED!$O59,"")))))))&amp;IF(MATCHED!BC59=15,MATCHED!$P59,IF(MATCHED!BC59=16,MATCHED!$Q59,IF(MATCHED!BC59=17,MATCHED!$R59,IF(MATCHED!BC59=18,MATCHED!$S59,IF(MATCHED!BC59=19,MATCHED!$T59,IF(MATCHED!BC59=20,MATCHED!$U59,IF(MATCHED!BC59=21,MATCHED!$V59,)))))))&amp;IF(MATCHED!BC59=22,MATCHED!$W59,IF(MATCHED!BC59=23,MATCHED!$X59,IF(MATCHED!BC59=24,MATCHED!$Y59,IF(MATCHED!BC59=25,MATCHED!$Z59,IF(MATCHED!BC59=26,MATCHED!$AA59,IF(MATCHED!BC59=27,MATCHED!$AB59,"."))))))</f>
        <v>#N/A</v>
      </c>
      <c r="AB59" s="321" t="e">
        <f>IF(MATCHED!BD59=1,MATCHED!$B59,IF(MATCHED!BD59=2,MATCHED!$C59,IF(MATCHED!BD59=3,MATCHED!$D59,IF(MATCHED!BD59=4,MATCHED!$E59,IF(MATCHED!BD59=3,MATCHED!$F59,IF(MATCHED!BD59=6,MATCHED!$G59,IF(MATCHED!BD59=7,MATCHED!$H59,"")))))))&amp;IF(MATCHED!BD59=8,MATCHED!$I59,IF(MATCHED!BD59=9,MATCHED!$J59,IF(MATCHED!BD59=10,MATCHED!$K59,IF(MATCHED!BD59=11,MATCHED!$L59,IF(MATCHED!BD59=12,MATCHED!$M59,IF(MATCHED!BD59=13,MATCHED!$N59,IF(MATCHED!BD59=14,MATCHED!$O59,"")))))))&amp;IF(MATCHED!BD59=15,MATCHED!$P59,IF(MATCHED!BD59=16,MATCHED!$Q59,IF(MATCHED!BD59=17,MATCHED!$R59,IF(MATCHED!BD59=18,MATCHED!$S59,IF(MATCHED!BD59=19,MATCHED!$T59,IF(MATCHED!BD59=20,MATCHED!$U59,IF(MATCHED!BD59=21,MATCHED!$V59,)))))))&amp;IF(MATCHED!BD59=22,MATCHED!$W59,IF(MATCHED!BD59=23,MATCHED!$X59,IF(MATCHED!BD59=24,MATCHED!$Y59,IF(MATCHED!BD59=25,MATCHED!$Z59,IF(MATCHED!BD59=26,MATCHED!$AA59,IF(MATCHED!BD59=27,MATCHED!$AB59,"."))))))</f>
        <v>#N/A</v>
      </c>
      <c r="AC59" s="321" t="e">
        <f>IF(MATCHED!BE59=1,MATCHED!$B59,IF(MATCHED!BE59=2,MATCHED!$C59,IF(MATCHED!BE59=3,MATCHED!$D59,IF(MATCHED!BE59=4,MATCHED!$E59,IF(MATCHED!BE59=3,MATCHED!$F59,IF(MATCHED!BE59=6,MATCHED!$G59,IF(MATCHED!BE59=7,MATCHED!$H59,"")))))))&amp;IF(MATCHED!BE59=8,MATCHED!$I59,IF(MATCHED!BE59=9,MATCHED!$J59,IF(MATCHED!BE59=10,MATCHED!$K59,IF(MATCHED!BE59=11,MATCHED!$L59,IF(MATCHED!BE59=12,MATCHED!$M59,IF(MATCHED!BE59=13,MATCHED!$N59,IF(MATCHED!BE59=14,MATCHED!$O59,"")))))))&amp;IF(MATCHED!BE59=15,MATCHED!$P59,IF(MATCHED!BE59=16,MATCHED!$Q59,IF(MATCHED!BE59=17,MATCHED!$R59,IF(MATCHED!BE59=18,MATCHED!$S59,IF(MATCHED!BE59=19,MATCHED!$T59,IF(MATCHED!BE59=20,MATCHED!$U59,IF(MATCHED!BE59=21,MATCHED!$V59,)))))))&amp;IF(MATCHED!BE59=22,MATCHED!$W59,IF(MATCHED!BE59=23,MATCHED!$X59,IF(MATCHED!BE59=24,MATCHED!$Y59,IF(MATCHED!BE59=25,MATCHED!$Z59,IF(MATCHED!BE59=26,MATCHED!$AA59,IF(MATCHED!BE59=27,MATCHED!$AB59,"."))))))</f>
        <v>#N/A</v>
      </c>
      <c r="AD59" s="321" t="e">
        <f>IF(MATCHED!BF59=1,MATCHED!$B59,IF(MATCHED!BF59=2,MATCHED!$C59,IF(MATCHED!BF59=3,MATCHED!$D59,IF(MATCHED!BF59=4,MATCHED!$E59,IF(MATCHED!BF59=3,MATCHED!$F59,IF(MATCHED!BF59=6,MATCHED!$G59,IF(MATCHED!BF59=7,MATCHED!$H59,"")))))))&amp;IF(MATCHED!BF59=8,MATCHED!$I59,IF(MATCHED!BF59=9,MATCHED!$J59,IF(MATCHED!BF59=10,MATCHED!$K59,IF(MATCHED!BF59=11,MATCHED!$L59,IF(MATCHED!BF59=12,MATCHED!$M59,IF(MATCHED!BF59=13,MATCHED!$N59,IF(MATCHED!BF59=14,MATCHED!$O59,"")))))))&amp;IF(MATCHED!BF59=15,MATCHED!$P59,IF(MATCHED!BF59=16,MATCHED!$Q59,IF(MATCHED!BF59=17,MATCHED!$R59,IF(MATCHED!BF59=18,MATCHED!$S59,IF(MATCHED!BF59=19,MATCHED!$T59,IF(MATCHED!BF59=20,MATCHED!$U59,IF(MATCHED!BF59=21,MATCHED!$V59,)))))))&amp;IF(MATCHED!BF59=22,MATCHED!$W59,IF(MATCHED!BF59=23,MATCHED!$X59,IF(MATCHED!BF59=24,MATCHED!$Y59,IF(MATCHED!BF59=25,MATCHED!$Z59,IF(MATCHED!BF59=26,MATCHED!$AA59,IF(MATCHED!BF59=27,MATCHED!$AB59,"."))))))</f>
        <v>#N/A</v>
      </c>
      <c r="AE59" s="321" t="e">
        <f>IF(MATCHED!BG59=1,MATCHED!$B59,IF(MATCHED!BG59=2,MATCHED!$C59,IF(MATCHED!BG59=3,MATCHED!$D59,IF(MATCHED!BG59=4,MATCHED!$E59,IF(MATCHED!BG59=3,MATCHED!$F59,IF(MATCHED!BG59=6,MATCHED!$G59,IF(MATCHED!BG59=7,MATCHED!$H59,"")))))))&amp;IF(MATCHED!BG59=8,MATCHED!$I59,IF(MATCHED!BG59=9,MATCHED!$J59,IF(MATCHED!BG59=10,MATCHED!$K59,IF(MATCHED!BG59=11,MATCHED!$L59,IF(MATCHED!BG59=12,MATCHED!$M59,IF(MATCHED!BG59=13,MATCHED!$N59,IF(MATCHED!BG59=14,MATCHED!$O59,"")))))))&amp;IF(MATCHED!BG59=15,MATCHED!$P59,IF(MATCHED!BG59=16,MATCHED!$Q59,IF(MATCHED!BG59=17,MATCHED!$R59,IF(MATCHED!BG59=18,MATCHED!$S59,IF(MATCHED!BG59=19,MATCHED!$T59,IF(MATCHED!BG59=20,MATCHED!$U59,IF(MATCHED!BG59=21,MATCHED!$V59,)))))))&amp;IF(MATCHED!BG59=22,MATCHED!$W59,IF(MATCHED!BG59=23,MATCHED!$X59,IF(MATCHED!BG59=24,MATCHED!$Y59,IF(MATCHED!BG59=25,MATCHED!$Z59,IF(MATCHED!BG59=26,MATCHED!$AA59,IF(MATCHED!BG59=27,MATCHED!$AB59,"."))))))</f>
        <v>#N/A</v>
      </c>
      <c r="AF59" s="321" t="e">
        <f>IF(MATCHED!BH59=1,MATCHED!$B59,IF(MATCHED!BH59=2,MATCHED!$C59,IF(MATCHED!BH59=3,MATCHED!$D59,IF(MATCHED!BH59=4,MATCHED!$E59,IF(MATCHED!BH59=3,MATCHED!$F59,IF(MATCHED!BH59=6,MATCHED!$G59,IF(MATCHED!BH59=7,MATCHED!$H59,"")))))))&amp;IF(MATCHED!BH59=8,MATCHED!$I59,IF(MATCHED!BH59=9,MATCHED!$J59,IF(MATCHED!BH59=10,MATCHED!$K59,IF(MATCHED!BH59=11,MATCHED!$L59,IF(MATCHED!BH59=12,MATCHED!$M59,IF(MATCHED!BH59=13,MATCHED!$N59,IF(MATCHED!BH59=14,MATCHED!$O59,"")))))))&amp;IF(MATCHED!BH59=15,MATCHED!$P59,IF(MATCHED!BH59=16,MATCHED!$Q59,IF(MATCHED!BH59=17,MATCHED!$R59,IF(MATCHED!BH59=18,MATCHED!$S59,IF(MATCHED!BH59=19,MATCHED!$T59,IF(MATCHED!BH59=20,MATCHED!$U59,IF(MATCHED!BH59=21,MATCHED!$V59,)))))))&amp;IF(MATCHED!BH59=22,MATCHED!$W59,IF(MATCHED!BH59=23,MATCHED!$X59,IF(MATCHED!BH59=24,MATCHED!$Y59,IF(MATCHED!BH59=25,MATCHED!$Z59,IF(MATCHED!BH59=26,MATCHED!$AA59,IF(MATCHED!BH59=27,MATCHED!$AB59,"."))))))</f>
        <v>#N/A</v>
      </c>
      <c r="AG59" s="321" t="e">
        <f>IF(MATCHED!BI59=1,MATCHED!$B59,IF(MATCHED!BI59=2,MATCHED!$C59,IF(MATCHED!BI59=3,MATCHED!$D59,IF(MATCHED!BI59=4,MATCHED!$E59,IF(MATCHED!BI59=3,MATCHED!$F59,IF(MATCHED!BI59=6,MATCHED!$G59,IF(MATCHED!BI59=7,MATCHED!$H59,"")))))))&amp;IF(MATCHED!BI59=8,MATCHED!$I59,IF(MATCHED!BI59=9,MATCHED!$J59,IF(MATCHED!BI59=10,MATCHED!$K59,IF(MATCHED!BI59=11,MATCHED!$L59,IF(MATCHED!BI59=12,MATCHED!$M59,IF(MATCHED!BI59=13,MATCHED!$N59,IF(MATCHED!BI59=14,MATCHED!$O59,"")))))))&amp;IF(MATCHED!BI59=15,MATCHED!$P59,IF(MATCHED!BI59=16,MATCHED!$Q59,IF(MATCHED!BI59=17,MATCHED!$R59,IF(MATCHED!BI59=18,MATCHED!$S59,IF(MATCHED!BI59=19,MATCHED!$T59,IF(MATCHED!BI59=20,MATCHED!$U59,IF(MATCHED!BI59=21,MATCHED!$V59,)))))))&amp;IF(MATCHED!BI59=22,MATCHED!$W59,IF(MATCHED!BI59=23,MATCHED!$X59,IF(MATCHED!BI59=24,MATCHED!$Y59,IF(MATCHED!BI59=25,MATCHED!$Z59,IF(MATCHED!BI59=26,MATCHED!$AA59,IF(MATCHED!BI59=27,MATCHED!$AB59,"."))))))</f>
        <v>#N/A</v>
      </c>
      <c r="AH59" s="322" t="e">
        <f>IF(MATCHED!BJ59=1,MATCHED!$B59,IF(MATCHED!BJ59=2,MATCHED!$C59,IF(MATCHED!BJ59=3,MATCHED!$D59,IF(MATCHED!BJ59=4,MATCHED!$E59,IF(MATCHED!BJ59=3,MATCHED!$F59,IF(MATCHED!BJ59=6,MATCHED!$G59,IF(MATCHED!BJ59=7,MATCHED!$H59,"")))))))&amp;IF(MATCHED!BJ59=8,MATCHED!$I59,IF(MATCHED!BJ59=9,MATCHED!$J59,IF(MATCHED!BJ59=10,MATCHED!$K59,IF(MATCHED!BJ59=11,MATCHED!$L59,IF(MATCHED!BJ59=12,MATCHED!$M59,IF(MATCHED!BJ59=13,MATCHED!$N59,IF(MATCHED!BJ59=14,MATCHED!$O59,"")))))))&amp;IF(MATCHED!BJ59=15,MATCHED!$P59,IF(MATCHED!BJ59=16,MATCHED!$Q59,IF(MATCHED!BJ59=17,MATCHED!$R59,IF(MATCHED!BJ59=18,MATCHED!$S59,IF(MATCHED!BJ59=19,MATCHED!$T59,IF(MATCHED!BJ59=20,MATCHED!$U59,IF(MATCHED!BJ59=21,MATCHED!$V59,)))))))&amp;IF(MATCHED!BJ59=22,MATCHED!$W59,IF(MATCHED!BJ59=23,MATCHED!$X59,IF(MATCHED!BJ59=24,MATCHED!$Y59,IF(MATCHED!BJ59=25,MATCHED!$Z59,IF(MATCHED!BJ59=26,MATCHED!$AA59,IF(MATCHED!BJ59=27,MATCHED!$AB59,"."))))))</f>
        <v>#N/A</v>
      </c>
      <c r="AI59" s="321" t="e">
        <f>IF(MATCHED!BK59=1,MATCHED!$B59,IF(MATCHED!BK59=2,MATCHED!$C59,IF(MATCHED!BK59=3,MATCHED!$D59,IF(MATCHED!BK59=4,MATCHED!$E59,IF(MATCHED!BK59=3,MATCHED!$F59,IF(MATCHED!BK59=6,MATCHED!$G59,IF(MATCHED!BK59=7,MATCHED!$H59,"")))))))&amp;IF(MATCHED!BK59=8,MATCHED!$I59,IF(MATCHED!BK59=9,MATCHED!$J59,IF(MATCHED!BK59=10,MATCHED!$K59,IF(MATCHED!BK59=11,MATCHED!$L59,IF(MATCHED!BK59=12,MATCHED!$M59,IF(MATCHED!BK59=13,MATCHED!$N59,IF(MATCHED!BK59=14,MATCHED!$O59,"")))))))&amp;IF(MATCHED!BK59=15,MATCHED!$P59,IF(MATCHED!BK59=16,MATCHED!$Q59,IF(MATCHED!BK59=17,MATCHED!$R59,IF(MATCHED!BK59=18,MATCHED!$S59,IF(MATCHED!BK59=19,MATCHED!$T59,IF(MATCHED!BK59=20,MATCHED!$U59,IF(MATCHED!BK59=21,MATCHED!$V59,)))))))&amp;IF(MATCHED!BK59=22,MATCHED!$W59,IF(MATCHED!BK59=23,MATCHED!$X59,IF(MATCHED!BK59=24,MATCHED!$Y59,IF(MATCHED!BK59=25,MATCHED!$Z59,IF(MATCHED!BK59=26,MATCHED!$AA59,IF(MATCHED!BK59=27,MATCHED!$AB59,"."))))))</f>
        <v>#N/A</v>
      </c>
      <c r="AJ59" s="350"/>
    </row>
    <row r="60" spans="1:36" s="338" customFormat="1" x14ac:dyDescent="0.25">
      <c r="A60" s="540" t="s">
        <v>184</v>
      </c>
      <c r="B60" s="375" t="e">
        <f>IF(MATCHED!AD60=1,MATCHED!$B60,IF(MATCHED!AD60=2,MATCHED!$C60,IF(MATCHED!AD60=3,MATCHED!$D60,IF(MATCHED!AD60=4,MATCHED!$E60,IF(MATCHED!AD60=3,MATCHED!$F60,IF(MATCHED!AD60=6,MATCHED!$G60,IF(MATCHED!AD60=7,MATCHED!$H60,"")))))))&amp;IF(MATCHED!AD60=8,MATCHED!$I60,IF(MATCHED!AD60=9,MATCHED!$J60,IF(MATCHED!AD60=10,MATCHED!$K60,IF(MATCHED!AD60=11,MATCHED!$L60,IF(MATCHED!AD60=12,MATCHED!$M60,IF(MATCHED!AD60=13,MATCHED!$N60,IF(MATCHED!AD60=14,MATCHED!$O60,"")))))))&amp;IF(MATCHED!AD60=15,MATCHED!$P60,IF(MATCHED!AD60=16,MATCHED!$Q60,IF(MATCHED!AD60=17,MATCHED!$R60,IF(MATCHED!AD60=18,MATCHED!$S60,IF(MATCHED!AD60=19,MATCHED!$T60,IF(MATCHED!AD60=20,MATCHED!$U60,IF(MATCHED!AD60=21,MATCHED!$V60,)))))))&amp;IF(MATCHED!AD60=22,MATCHED!$W60,IF(MATCHED!AD60=23,MATCHED!$X60,IF(MATCHED!AD60=24,MATCHED!$Y60,IF(MATCHED!AD60=25,MATCHED!$Z60,IF(MATCHED!AD60=26,MATCHED!$AA60,IF(MATCHED!AD60=27,MATCHED!$AB60,"."))))))</f>
        <v>#N/A</v>
      </c>
      <c r="C60" s="376" t="e">
        <f>IF(MATCHED!AE60=1,MATCHED!$B60,IF(MATCHED!AE60=2,MATCHED!$C60,IF(MATCHED!AE60=3,MATCHED!$D60,IF(MATCHED!AE60=4,MATCHED!$E60,IF(MATCHED!AE60=3,MATCHED!$F60,IF(MATCHED!AE60=6,MATCHED!$G60,IF(MATCHED!AE60=7,MATCHED!$H60,"")))))))&amp;IF(MATCHED!AE60=8,MATCHED!$I60,IF(MATCHED!AE60=9,MATCHED!$J60,IF(MATCHED!AE60=10,MATCHED!$K60,IF(MATCHED!AE60=11,MATCHED!$L60,IF(MATCHED!AE60=12,MATCHED!$M60,IF(MATCHED!AE60=13,MATCHED!$N60,IF(MATCHED!AE60=14,MATCHED!$O60,"")))))))&amp;IF(MATCHED!AE60=15,MATCHED!$P60,IF(MATCHED!AE60=16,MATCHED!$Q60,IF(MATCHED!AE60=17,MATCHED!$R60,IF(MATCHED!AE60=18,MATCHED!$S60,IF(MATCHED!AE60=19,MATCHED!$T60,IF(MATCHED!AE60=20,MATCHED!$U60,IF(MATCHED!AE60=21,MATCHED!$V60,)))))))&amp;IF(MATCHED!AE60=22,MATCHED!$W60,IF(MATCHED!AE60=23,MATCHED!$X60,IF(MATCHED!AE60=24,MATCHED!$Y60,IF(MATCHED!AE60=25,MATCHED!$Z60,IF(MATCHED!AE60=26,MATCHED!$AA60,IF(MATCHED!AE60=27,MATCHED!$AB60,"."))))))</f>
        <v>#N/A</v>
      </c>
      <c r="D60" s="376" t="e">
        <f>IF(MATCHED!AF60=1,MATCHED!$B60,IF(MATCHED!AF60=2,MATCHED!$C60,IF(MATCHED!AF60=3,MATCHED!$D60,IF(MATCHED!AF60=4,MATCHED!$E60,IF(MATCHED!AF60=3,MATCHED!$F60,IF(MATCHED!AF60=6,MATCHED!$G60,IF(MATCHED!AF60=7,MATCHED!$H60,"")))))))&amp;IF(MATCHED!AF60=8,MATCHED!$I60,IF(MATCHED!AF60=9,MATCHED!$J60,IF(MATCHED!AF60=10,MATCHED!$K60,IF(MATCHED!AF60=11,MATCHED!$L60,IF(MATCHED!AF60=12,MATCHED!$M60,IF(MATCHED!AF60=13,MATCHED!$N60,IF(MATCHED!AF60=14,MATCHED!$O60,"")))))))&amp;IF(MATCHED!AF60=15,MATCHED!$P60,IF(MATCHED!AF60=16,MATCHED!$Q60,IF(MATCHED!AF60=17,MATCHED!$R60,IF(MATCHED!AF60=18,MATCHED!$S60,IF(MATCHED!AF60=19,MATCHED!$T60,IF(MATCHED!AF60=20,MATCHED!$U60,IF(MATCHED!AF60=21,MATCHED!$V60,)))))))&amp;IF(MATCHED!AF60=22,MATCHED!$W60,IF(MATCHED!AF60=23,MATCHED!$X60,IF(MATCHED!AF60=24,MATCHED!$Y60,IF(MATCHED!AF60=25,MATCHED!$Z60,IF(MATCHED!AF60=26,MATCHED!$AA60,IF(MATCHED!AF60=27,MATCHED!$AB60,"."))))))</f>
        <v>#N/A</v>
      </c>
      <c r="E60" s="376" t="e">
        <f>IF(MATCHED!AG60=1,MATCHED!$B60,IF(MATCHED!AG60=2,MATCHED!$C60,IF(MATCHED!AG60=3,MATCHED!$D60,IF(MATCHED!AG60=4,MATCHED!$E60,IF(MATCHED!AG60=3,MATCHED!$F60,IF(MATCHED!AG60=6,MATCHED!$G60,IF(MATCHED!AG60=7,MATCHED!$H60,"")))))))&amp;IF(MATCHED!AG60=8,MATCHED!$I60,IF(MATCHED!AG60=9,MATCHED!$J60,IF(MATCHED!AG60=10,MATCHED!$K60,IF(MATCHED!AG60=11,MATCHED!$L60,IF(MATCHED!AG60=12,MATCHED!$M60,IF(MATCHED!AG60=13,MATCHED!$N60,IF(MATCHED!AG60=14,MATCHED!$O60,"")))))))&amp;IF(MATCHED!AG60=15,MATCHED!$P60,IF(MATCHED!AG60=16,MATCHED!$Q60,IF(MATCHED!AG60=17,MATCHED!$R60,IF(MATCHED!AG60=18,MATCHED!$S60,IF(MATCHED!AG60=19,MATCHED!$T60,IF(MATCHED!AG60=20,MATCHED!$U60,IF(MATCHED!AG60=21,MATCHED!$V60,)))))))&amp;IF(MATCHED!AG60=22,MATCHED!$W60,IF(MATCHED!AG60=23,MATCHED!$X60,IF(MATCHED!AG60=24,MATCHED!$Y60,IF(MATCHED!AG60=25,MATCHED!$Z60,IF(MATCHED!AG60=26,MATCHED!$AA60,IF(MATCHED!AG60=27,MATCHED!$AB60,"."))))))</f>
        <v>#N/A</v>
      </c>
      <c r="F60" s="376" t="e">
        <f>IF(MATCHED!AH60=1,MATCHED!$B60,IF(MATCHED!AH60=2,MATCHED!$C60,IF(MATCHED!AH60=3,MATCHED!$D60,IF(MATCHED!AH60=4,MATCHED!$E60,IF(MATCHED!AH60=3,MATCHED!$F60,IF(MATCHED!AH60=6,MATCHED!$G60,IF(MATCHED!AH60=7,MATCHED!$H60,"")))))))&amp;IF(MATCHED!AH60=8,MATCHED!$I60,IF(MATCHED!AH60=9,MATCHED!$J60,IF(MATCHED!AH60=10,MATCHED!$K60,IF(MATCHED!AH60=11,MATCHED!$L60,IF(MATCHED!AH60=12,MATCHED!$M60,IF(MATCHED!AH60=13,MATCHED!$N60,IF(MATCHED!AH60=14,MATCHED!$O60,"")))))))&amp;IF(MATCHED!AH60=15,MATCHED!$P60,IF(MATCHED!AH60=16,MATCHED!$Q60,IF(MATCHED!AH60=17,MATCHED!$R60,IF(MATCHED!AH60=18,MATCHED!$S60,IF(MATCHED!AH60=19,MATCHED!$T60,IF(MATCHED!AH60=20,MATCHED!$U60,IF(MATCHED!AH60=21,MATCHED!$V60,)))))))&amp;IF(MATCHED!AH60=22,MATCHED!$W60,IF(MATCHED!AH60=23,MATCHED!$X60,IF(MATCHED!AH60=24,MATCHED!$Y60,IF(MATCHED!AH60=25,MATCHED!$Z60,IF(MATCHED!AH60=26,MATCHED!$AA60,IF(MATCHED!AH60=27,MATCHED!$AB60,"."))))))</f>
        <v>#N/A</v>
      </c>
      <c r="G60" s="376" t="e">
        <f>IF(MATCHED!AI60=1,MATCHED!$B60,IF(MATCHED!AI60=2,MATCHED!$C60,IF(MATCHED!AI60=3,MATCHED!$D60,IF(MATCHED!AI60=4,MATCHED!$E60,IF(MATCHED!AI60=3,MATCHED!$F60,IF(MATCHED!AI60=6,MATCHED!$G60,IF(MATCHED!AI60=7,MATCHED!$H60,"")))))))&amp;IF(MATCHED!AI60=8,MATCHED!$I60,IF(MATCHED!AI60=9,MATCHED!$J60,IF(MATCHED!AI60=10,MATCHED!$K60,IF(MATCHED!AI60=11,MATCHED!$L60,IF(MATCHED!AI60=12,MATCHED!$M60,IF(MATCHED!AI60=13,MATCHED!$N60,IF(MATCHED!AI60=14,MATCHED!$O60,"")))))))&amp;IF(MATCHED!AI60=15,MATCHED!$P60,IF(MATCHED!AI60=16,MATCHED!$Q60,IF(MATCHED!AI60=17,MATCHED!$R60,IF(MATCHED!AI60=18,MATCHED!$S60,IF(MATCHED!AI60=19,MATCHED!$T60,IF(MATCHED!AI60=20,MATCHED!$U60,IF(MATCHED!AI60=21,MATCHED!$V60,)))))))&amp;IF(MATCHED!AI60=22,MATCHED!$W60,IF(MATCHED!AI60=23,MATCHED!$X60,IF(MATCHED!AI60=24,MATCHED!$Y60,IF(MATCHED!AI60=25,MATCHED!$Z60,IF(MATCHED!AI60=26,MATCHED!$AA60,IF(MATCHED!AI60=27,MATCHED!$AB60,"."))))))</f>
        <v>#N/A</v>
      </c>
      <c r="H60" s="376" t="e">
        <f>IF(MATCHED!AJ60=1,MATCHED!$B60,IF(MATCHED!AJ60=2,MATCHED!$C60,IF(MATCHED!AJ60=3,MATCHED!$D60,IF(MATCHED!AJ60=4,MATCHED!$E60,IF(MATCHED!AJ60=3,MATCHED!$F60,IF(MATCHED!AJ60=6,MATCHED!$G60,IF(MATCHED!AJ60=7,MATCHED!$H60,"")))))))&amp;IF(MATCHED!AJ60=8,MATCHED!$I60,IF(MATCHED!AJ60=9,MATCHED!$J60,IF(MATCHED!AJ60=10,MATCHED!$K60,IF(MATCHED!AJ60=11,MATCHED!$L60,IF(MATCHED!AJ60=12,MATCHED!$M60,IF(MATCHED!AJ60=13,MATCHED!$N60,IF(MATCHED!AJ60=14,MATCHED!$O60,"")))))))&amp;IF(MATCHED!AJ60=15,MATCHED!$P60,IF(MATCHED!AJ60=16,MATCHED!$Q60,IF(MATCHED!AJ60=17,MATCHED!$R60,IF(MATCHED!AJ60=18,MATCHED!$S60,IF(MATCHED!AJ60=19,MATCHED!$T60,IF(MATCHED!AJ60=20,MATCHED!$U60,IF(MATCHED!AJ60=21,MATCHED!$V60,)))))))&amp;IF(MATCHED!AJ60=22,MATCHED!$W60,IF(MATCHED!AJ60=23,MATCHED!$X60,IF(MATCHED!AJ60=24,MATCHED!$Y60,IF(MATCHED!AJ60=25,MATCHED!$Z60,IF(MATCHED!AJ60=26,MATCHED!$AA60,IF(MATCHED!AJ60=27,MATCHED!$AB60,"."))))))</f>
        <v>#N/A</v>
      </c>
      <c r="I60" s="376" t="e">
        <f>IF(MATCHED!AK60=1,MATCHED!$B60,IF(MATCHED!AK60=2,MATCHED!$C60,IF(MATCHED!AK60=3,MATCHED!$D60,IF(MATCHED!AK60=4,MATCHED!$E60,IF(MATCHED!AK60=3,MATCHED!$F60,IF(MATCHED!AK60=6,MATCHED!$G60,IF(MATCHED!AK60=7,MATCHED!$H60,"")))))))&amp;IF(MATCHED!AK60=8,MATCHED!$I60,IF(MATCHED!AK60=9,MATCHED!$J60,IF(MATCHED!AK60=10,MATCHED!$K60,IF(MATCHED!AK60=11,MATCHED!$L60,IF(MATCHED!AK60=12,MATCHED!$M60,IF(MATCHED!AK60=13,MATCHED!$N60,IF(MATCHED!AK60=14,MATCHED!$O60,"")))))))&amp;IF(MATCHED!AK60=15,MATCHED!$P60,IF(MATCHED!AK60=16,MATCHED!$Q60,IF(MATCHED!AK60=17,MATCHED!$R60,IF(MATCHED!AK60=18,MATCHED!$S60,IF(MATCHED!AK60=19,MATCHED!$T60,IF(MATCHED!AK60=20,MATCHED!$U60,IF(MATCHED!AK60=21,MATCHED!$V60,)))))))&amp;IF(MATCHED!AK60=22,MATCHED!$W60,IF(MATCHED!AK60=23,MATCHED!$X60,IF(MATCHED!AK60=24,MATCHED!$Y60,IF(MATCHED!AK60=25,MATCHED!$Z60,IF(MATCHED!AK60=26,MATCHED!$AA60,IF(MATCHED!AK60=27,MATCHED!$AB60,"."))))))</f>
        <v>#N/A</v>
      </c>
      <c r="J60" s="376" t="e">
        <f>IF(MATCHED!AL60=1,MATCHED!$B60,IF(MATCHED!AL60=2,MATCHED!$C60,IF(MATCHED!AL60=3,MATCHED!$D60,IF(MATCHED!AL60=4,MATCHED!$E60,IF(MATCHED!AL60=3,MATCHED!$F60,IF(MATCHED!AL60=6,MATCHED!$G60,IF(MATCHED!AL60=7,MATCHED!$H60,"")))))))&amp;IF(MATCHED!AL60=8,MATCHED!$I60,IF(MATCHED!AL60=9,MATCHED!$J60,IF(MATCHED!AL60=10,MATCHED!$K60,IF(MATCHED!AL60=11,MATCHED!$L60,IF(MATCHED!AL60=12,MATCHED!$M60,IF(MATCHED!AL60=13,MATCHED!$N60,IF(MATCHED!AL60=14,MATCHED!$O60,"")))))))&amp;IF(MATCHED!AL60=15,MATCHED!$P60,IF(MATCHED!AL60=16,MATCHED!$Q60,IF(MATCHED!AL60=17,MATCHED!$R60,IF(MATCHED!AL60=18,MATCHED!$S60,IF(MATCHED!AL60=19,MATCHED!$T60,IF(MATCHED!AL60=20,MATCHED!$U60,IF(MATCHED!AL60=21,MATCHED!$V60,)))))))&amp;IF(MATCHED!AL60=22,MATCHED!$W60,IF(MATCHED!AL60=23,MATCHED!$X60,IF(MATCHED!AL60=24,MATCHED!$Y60,IF(MATCHED!AL60=25,MATCHED!$Z60,IF(MATCHED!AL60=26,MATCHED!$AA60,IF(MATCHED!AL60=27,MATCHED!$AB60,"."))))))</f>
        <v>#N/A</v>
      </c>
      <c r="K60" s="376" t="e">
        <f>IF(MATCHED!AM60=1,MATCHED!$B60,IF(MATCHED!AM60=2,MATCHED!$C60,IF(MATCHED!AM60=3,MATCHED!$D60,IF(MATCHED!AM60=4,MATCHED!$E60,IF(MATCHED!AM60=3,MATCHED!$F60,IF(MATCHED!AM60=6,MATCHED!$G60,IF(MATCHED!AM60=7,MATCHED!$H60,"")))))))&amp;IF(MATCHED!AM60=8,MATCHED!$I60,IF(MATCHED!AM60=9,MATCHED!$J60,IF(MATCHED!AM60=10,MATCHED!$K60,IF(MATCHED!AM60=11,MATCHED!$L60,IF(MATCHED!AM60=12,MATCHED!$M60,IF(MATCHED!AM60=13,MATCHED!$N60,IF(MATCHED!AM60=14,MATCHED!$O60,"")))))))&amp;IF(MATCHED!AM60=15,MATCHED!$P60,IF(MATCHED!AM60=16,MATCHED!$Q60,IF(MATCHED!AM60=17,MATCHED!$R60,IF(MATCHED!AM60=18,MATCHED!$S60,IF(MATCHED!AM60=19,MATCHED!$T60,IF(MATCHED!AM60=20,MATCHED!$U60,IF(MATCHED!AM60=21,MATCHED!$V60,)))))))&amp;IF(MATCHED!AM60=22,MATCHED!$W60,IF(MATCHED!AM60=23,MATCHED!$X60,IF(MATCHED!AM60=24,MATCHED!$Y60,IF(MATCHED!AM60=25,MATCHED!$Z60,IF(MATCHED!AM60=26,MATCHED!$AA60,IF(MATCHED!AM60=27,MATCHED!$AB60,"."))))))</f>
        <v>#N/A</v>
      </c>
      <c r="L60" s="376" t="e">
        <f>IF(MATCHED!AN60=1,MATCHED!$B60,IF(MATCHED!AN60=2,MATCHED!$C60,IF(MATCHED!AN60=3,MATCHED!$D60,IF(MATCHED!AN60=4,MATCHED!$E60,IF(MATCHED!AN60=3,MATCHED!$F60,IF(MATCHED!AN60=6,MATCHED!$G60,IF(MATCHED!AN60=7,MATCHED!$H60,"")))))))&amp;IF(MATCHED!AN60=8,MATCHED!$I60,IF(MATCHED!AN60=9,MATCHED!$J60,IF(MATCHED!AN60=10,MATCHED!$K60,IF(MATCHED!AN60=11,MATCHED!$L60,IF(MATCHED!AN60=12,MATCHED!$M60,IF(MATCHED!AN60=13,MATCHED!$N60,IF(MATCHED!AN60=14,MATCHED!$O60,"")))))))&amp;IF(MATCHED!AN60=15,MATCHED!$P60,IF(MATCHED!AN60=16,MATCHED!$Q60,IF(MATCHED!AN60=17,MATCHED!$R60,IF(MATCHED!AN60=18,MATCHED!$S60,IF(MATCHED!AN60=19,MATCHED!$T60,IF(MATCHED!AN60=20,MATCHED!$U60,IF(MATCHED!AN60=21,MATCHED!$V60,)))))))&amp;IF(MATCHED!AN60=22,MATCHED!$W60,IF(MATCHED!AN60=23,MATCHED!$X60,IF(MATCHED!AN60=24,MATCHED!$Y60,IF(MATCHED!AN60=25,MATCHED!$Z60,IF(MATCHED!AN60=26,MATCHED!$AA60,IF(MATCHED!AN60=27,MATCHED!$AB60,"."))))))</f>
        <v>#N/A</v>
      </c>
      <c r="M60" s="376" t="e">
        <f>IF(MATCHED!AO60=1,MATCHED!$B60,IF(MATCHED!AO60=2,MATCHED!$C60,IF(MATCHED!AO60=3,MATCHED!$D60,IF(MATCHED!AO60=4,MATCHED!$E60,IF(MATCHED!AO60=3,MATCHED!$F60,IF(MATCHED!AO60=6,MATCHED!$G60,IF(MATCHED!AO60=7,MATCHED!$H60,"")))))))&amp;IF(MATCHED!AO60=8,MATCHED!$I60,IF(MATCHED!AO60=9,MATCHED!$J60,IF(MATCHED!AO60=10,MATCHED!$K60,IF(MATCHED!AO60=11,MATCHED!$L60,IF(MATCHED!AO60=12,MATCHED!$M60,IF(MATCHED!AO60=13,MATCHED!$N60,IF(MATCHED!AO60=14,MATCHED!$O60,"")))))))&amp;IF(MATCHED!AO60=15,MATCHED!$P60,IF(MATCHED!AO60=16,MATCHED!$Q60,IF(MATCHED!AO60=17,MATCHED!$R60,IF(MATCHED!AO60=18,MATCHED!$S60,IF(MATCHED!AO60=19,MATCHED!$T60,IF(MATCHED!AO60=20,MATCHED!$U60,IF(MATCHED!AO60=21,MATCHED!$V60,)))))))&amp;IF(MATCHED!AO60=22,MATCHED!$W60,IF(MATCHED!AO60=23,MATCHED!$X60,IF(MATCHED!AO60=24,MATCHED!$Y60,IF(MATCHED!AO60=25,MATCHED!$Z60,IF(MATCHED!AO60=26,MATCHED!$AA60,IF(MATCHED!AO60=27,MATCHED!$AB60,"."))))))</f>
        <v>#N/A</v>
      </c>
      <c r="N60" s="376" t="e">
        <f>IF(MATCHED!AP60=1,MATCHED!$B60,IF(MATCHED!AP60=2,MATCHED!$C60,IF(MATCHED!AP60=3,MATCHED!$D60,IF(MATCHED!AP60=4,MATCHED!$E60,IF(MATCHED!AP60=3,MATCHED!$F60,IF(MATCHED!AP60=6,MATCHED!$G60,IF(MATCHED!AP60=7,MATCHED!$H60,"")))))))&amp;IF(MATCHED!AP60=8,MATCHED!$I60,IF(MATCHED!AP60=9,MATCHED!$J60,IF(MATCHED!AP60=10,MATCHED!$K60,IF(MATCHED!AP60=11,MATCHED!$L60,IF(MATCHED!AP60=12,MATCHED!$M60,IF(MATCHED!AP60=13,MATCHED!$N60,IF(MATCHED!AP60=14,MATCHED!$O60,"")))))))&amp;IF(MATCHED!AP60=15,MATCHED!$P60,IF(MATCHED!AP60=16,MATCHED!$Q60,IF(MATCHED!AP60=17,MATCHED!$R60,IF(MATCHED!AP60=18,MATCHED!$S60,IF(MATCHED!AP60=19,MATCHED!$T60,IF(MATCHED!AP60=20,MATCHED!$U60,IF(MATCHED!AP60=21,MATCHED!$V60,)))))))&amp;IF(MATCHED!AP60=22,MATCHED!$W60,IF(MATCHED!AP60=23,MATCHED!$X60,IF(MATCHED!AP60=24,MATCHED!$Y60,IF(MATCHED!AP60=25,MATCHED!$Z60,IF(MATCHED!AP60=26,MATCHED!$AA60,IF(MATCHED!AP60=27,MATCHED!$AB60,"."))))))</f>
        <v>#N/A</v>
      </c>
      <c r="O60" s="376" t="e">
        <f>IF(MATCHED!AQ60=1,MATCHED!$B60,IF(MATCHED!AQ60=2,MATCHED!$C60,IF(MATCHED!AQ60=3,MATCHED!$D60,IF(MATCHED!AQ60=4,MATCHED!$E60,IF(MATCHED!AQ60=3,MATCHED!$F60,IF(MATCHED!AQ60=6,MATCHED!$G60,IF(MATCHED!AQ60=7,MATCHED!$H60,"")))))))&amp;IF(MATCHED!AQ60=8,MATCHED!$I60,IF(MATCHED!AQ60=9,MATCHED!$J60,IF(MATCHED!AQ60=10,MATCHED!$K60,IF(MATCHED!AQ60=11,MATCHED!$L60,IF(MATCHED!AQ60=12,MATCHED!$M60,IF(MATCHED!AQ60=13,MATCHED!$N60,IF(MATCHED!AQ60=14,MATCHED!$O60,"")))))))&amp;IF(MATCHED!AQ60=15,MATCHED!$P60,IF(MATCHED!AQ60=16,MATCHED!$Q60,IF(MATCHED!AQ60=17,MATCHED!$R60,IF(MATCHED!AQ60=18,MATCHED!$S60,IF(MATCHED!AQ60=19,MATCHED!$T60,IF(MATCHED!AQ60=20,MATCHED!$U60,IF(MATCHED!AQ60=21,MATCHED!$V60,)))))))&amp;IF(MATCHED!AQ60=22,MATCHED!$W60,IF(MATCHED!AQ60=23,MATCHED!$X60,IF(MATCHED!AQ60=24,MATCHED!$Y60,IF(MATCHED!AQ60=25,MATCHED!$Z60,IF(MATCHED!AQ60=26,MATCHED!$AA60,IF(MATCHED!AQ60=27,MATCHED!$AB60,"."))))))</f>
        <v>#N/A</v>
      </c>
      <c r="P60" s="376" t="e">
        <f>IF(MATCHED!AR60=1,MATCHED!$B60,IF(MATCHED!AR60=2,MATCHED!$C60,IF(MATCHED!AR60=3,MATCHED!$D60,IF(MATCHED!AR60=4,MATCHED!$E60,IF(MATCHED!AR60=3,MATCHED!$F60,IF(MATCHED!AR60=6,MATCHED!$G60,IF(MATCHED!AR60=7,MATCHED!$H60,"")))))))&amp;IF(MATCHED!AR60=8,MATCHED!$I60,IF(MATCHED!AR60=9,MATCHED!$J60,IF(MATCHED!AR60=10,MATCHED!$K60,IF(MATCHED!AR60=11,MATCHED!$L60,IF(MATCHED!AR60=12,MATCHED!$M60,IF(MATCHED!AR60=13,MATCHED!$N60,IF(MATCHED!AR60=14,MATCHED!$O60,"")))))))&amp;IF(MATCHED!AR60=15,MATCHED!$P60,IF(MATCHED!AR60=16,MATCHED!$Q60,IF(MATCHED!AR60=17,MATCHED!$R60,IF(MATCHED!AR60=18,MATCHED!$S60,IF(MATCHED!AR60=19,MATCHED!$T60,IF(MATCHED!AR60=20,MATCHED!$U60,IF(MATCHED!AR60=21,MATCHED!$V60,)))))))&amp;IF(MATCHED!AR60=22,MATCHED!$W60,IF(MATCHED!AR60=23,MATCHED!$X60,IF(MATCHED!AR60=24,MATCHED!$Y60,IF(MATCHED!AR60=25,MATCHED!$Z60,IF(MATCHED!AR60=26,MATCHED!$AA60,IF(MATCHED!AR60=27,MATCHED!$AB60,"."))))))</f>
        <v>#N/A</v>
      </c>
      <c r="Q60" s="377" t="e">
        <f>IF(MATCHED!AS60=1,MATCHED!$B60,IF(MATCHED!AS60=2,MATCHED!$C60,IF(MATCHED!AS60=3,MATCHED!$D60,IF(MATCHED!AS60=4,MATCHED!$E60,IF(MATCHED!AS60=3,MATCHED!$F60,IF(MATCHED!AS60=6,MATCHED!$G60,IF(MATCHED!AS60=7,MATCHED!$H60,"")))))))&amp;IF(MATCHED!AS60=8,MATCHED!$I60,IF(MATCHED!AS60=9,MATCHED!$J60,IF(MATCHED!AS60=10,MATCHED!$K60,IF(MATCHED!AS60=11,MATCHED!$L60,IF(MATCHED!AS60=12,MATCHED!$M60,IF(MATCHED!AS60=13,MATCHED!$N60,IF(MATCHED!AS60=14,MATCHED!$O60,"")))))))&amp;IF(MATCHED!AS60=15,MATCHED!$P60,IF(MATCHED!AS60=16,MATCHED!$Q60,IF(MATCHED!AS60=17,MATCHED!$R60,IF(MATCHED!AS60=18,MATCHED!$S60,IF(MATCHED!AS60=19,MATCHED!$T60,IF(MATCHED!AS60=20,MATCHED!$U60,IF(MATCHED!AS60=21,MATCHED!$V60,)))))))&amp;IF(MATCHED!AS60=22,MATCHED!$W60,IF(MATCHED!AS60=23,MATCHED!$X60,IF(MATCHED!AS60=24,MATCHED!$Y60,IF(MATCHED!AS60=25,MATCHED!$Z60,IF(MATCHED!AS60=26,MATCHED!$AA60,IF(MATCHED!AS60=27,MATCHED!$AB60,"."))))))</f>
        <v>#N/A</v>
      </c>
      <c r="R60" s="376" t="e">
        <f>IF(MATCHED!AT60=1,MATCHED!$B60,IF(MATCHED!AT60=2,MATCHED!$C60,IF(MATCHED!AT60=3,MATCHED!$D60,IF(MATCHED!AT60=4,MATCHED!$E60,IF(MATCHED!AT60=3,MATCHED!$F60,IF(MATCHED!AT60=6,MATCHED!$G60,IF(MATCHED!AT60=7,MATCHED!$H60,"")))))))&amp;IF(MATCHED!AT60=8,MATCHED!$I60,IF(MATCHED!AT60=9,MATCHED!$J60,IF(MATCHED!AT60=10,MATCHED!$K60,IF(MATCHED!AT60=11,MATCHED!$L60,IF(MATCHED!AT60=12,MATCHED!$M60,IF(MATCHED!AT60=13,MATCHED!$N60,IF(MATCHED!AT60=14,MATCHED!$O60,"")))))))&amp;IF(MATCHED!AT60=15,MATCHED!$P60,IF(MATCHED!AT60=16,MATCHED!$Q60,IF(MATCHED!AT60=17,MATCHED!$R60,IF(MATCHED!AT60=18,MATCHED!$S60,IF(MATCHED!AT60=19,MATCHED!$T60,IF(MATCHED!AT60=20,MATCHED!$U60,IF(MATCHED!AT60=21,MATCHED!$V60,)))))))&amp;IF(MATCHED!AT60=22,MATCHED!$W60,IF(MATCHED!AT60=23,MATCHED!$X60,IF(MATCHED!AT60=24,MATCHED!$Y60,IF(MATCHED!AT60=25,MATCHED!$Z60,IF(MATCHED!AT60=26,MATCHED!$AA60,IF(MATCHED!AT60=27,MATCHED!$AB60,"."))))))</f>
        <v>#N/A</v>
      </c>
      <c r="S60" s="376" t="e">
        <f>IF(MATCHED!AU60=1,MATCHED!$B60,IF(MATCHED!AU60=2,MATCHED!$C60,IF(MATCHED!AU60=3,MATCHED!$D60,IF(MATCHED!AU60=4,MATCHED!$E60,IF(MATCHED!AU60=3,MATCHED!$F60,IF(MATCHED!AU60=6,MATCHED!$G60,IF(MATCHED!AU60=7,MATCHED!$H60,"")))))))&amp;IF(MATCHED!AU60=8,MATCHED!$I60,IF(MATCHED!AU60=9,MATCHED!$J60,IF(MATCHED!AU60=10,MATCHED!$K60,IF(MATCHED!AU60=11,MATCHED!$L60,IF(MATCHED!AU60=12,MATCHED!$M60,IF(MATCHED!AU60=13,MATCHED!$N60,IF(MATCHED!AU60=14,MATCHED!$O60,"")))))))&amp;IF(MATCHED!AU60=15,MATCHED!$P60,IF(MATCHED!AU60=16,MATCHED!$Q60,IF(MATCHED!AU60=17,MATCHED!$R60,IF(MATCHED!AU60=18,MATCHED!$S60,IF(MATCHED!AU60=19,MATCHED!$T60,IF(MATCHED!AU60=20,MATCHED!$U60,IF(MATCHED!AU60=21,MATCHED!$V60,)))))))&amp;IF(MATCHED!AU60=22,MATCHED!$W60,IF(MATCHED!AU60=23,MATCHED!$X60,IF(MATCHED!AU60=24,MATCHED!$Y60,IF(MATCHED!AU60=25,MATCHED!$Z60,IF(MATCHED!AU60=26,MATCHED!$AA60,IF(MATCHED!AU60=27,MATCHED!$AB60,"."))))))</f>
        <v>#N/A</v>
      </c>
      <c r="T60" s="376" t="e">
        <f>IF(MATCHED!AV60=1,MATCHED!$B60,IF(MATCHED!AV60=2,MATCHED!$C60,IF(MATCHED!AV60=3,MATCHED!$D60,IF(MATCHED!AV60=4,MATCHED!$E60,IF(MATCHED!AV60=3,MATCHED!$F60,IF(MATCHED!AV60=6,MATCHED!$G60,IF(MATCHED!AV60=7,MATCHED!$H60,"")))))))&amp;IF(MATCHED!AV60=8,MATCHED!$I60,IF(MATCHED!AV60=9,MATCHED!$J60,IF(MATCHED!AV60=10,MATCHED!$K60,IF(MATCHED!AV60=11,MATCHED!$L60,IF(MATCHED!AV60=12,MATCHED!$M60,IF(MATCHED!AV60=13,MATCHED!$N60,IF(MATCHED!AV60=14,MATCHED!$O60,"")))))))&amp;IF(MATCHED!AV60=15,MATCHED!$P60,IF(MATCHED!AV60=16,MATCHED!$Q60,IF(MATCHED!AV60=17,MATCHED!$R60,IF(MATCHED!AV60=18,MATCHED!$S60,IF(MATCHED!AV60=19,MATCHED!$T60,IF(MATCHED!AV60=20,MATCHED!$U60,IF(MATCHED!AV60=21,MATCHED!$V60,)))))))&amp;IF(MATCHED!AV60=22,MATCHED!$W60,IF(MATCHED!AV60=23,MATCHED!$X60,IF(MATCHED!AV60=24,MATCHED!$Y60,IF(MATCHED!AV60=25,MATCHED!$Z60,IF(MATCHED!AV60=26,MATCHED!$AA60,IF(MATCHED!AV60=27,MATCHED!$AB60,"."))))))</f>
        <v>#N/A</v>
      </c>
      <c r="U60" s="376" t="e">
        <f>IF(MATCHED!AW60=1,MATCHED!$B60,IF(MATCHED!AW60=2,MATCHED!$C60,IF(MATCHED!AW60=3,MATCHED!$D60,IF(MATCHED!AW60=4,MATCHED!$E60,IF(MATCHED!AW60=3,MATCHED!$F60,IF(MATCHED!AW60=6,MATCHED!$G60,IF(MATCHED!AW60=7,MATCHED!$H60,"")))))))&amp;IF(MATCHED!AW60=8,MATCHED!$I60,IF(MATCHED!AW60=9,MATCHED!$J60,IF(MATCHED!AW60=10,MATCHED!$K60,IF(MATCHED!AW60=11,MATCHED!$L60,IF(MATCHED!AW60=12,MATCHED!$M60,IF(MATCHED!AW60=13,MATCHED!$N60,IF(MATCHED!AW60=14,MATCHED!$O60,"")))))))&amp;IF(MATCHED!AW60=15,MATCHED!$P60,IF(MATCHED!AW60=16,MATCHED!$Q60,IF(MATCHED!AW60=17,MATCHED!$R60,IF(MATCHED!AW60=18,MATCHED!$S60,IF(MATCHED!AW60=19,MATCHED!$T60,IF(MATCHED!AW60=20,MATCHED!$U60,IF(MATCHED!AW60=21,MATCHED!$V60,)))))))&amp;IF(MATCHED!AW60=22,MATCHED!$W60,IF(MATCHED!AW60=23,MATCHED!$X60,IF(MATCHED!AW60=24,MATCHED!$Y60,IF(MATCHED!AW60=25,MATCHED!$Z60,IF(MATCHED!AW60=26,MATCHED!$AA60,IF(MATCHED!AW60=27,MATCHED!$AB60,"."))))))</f>
        <v>#N/A</v>
      </c>
      <c r="V60" s="376" t="e">
        <f>IF(MATCHED!AX60=1,MATCHED!$B60,IF(MATCHED!AX60=2,MATCHED!$C60,IF(MATCHED!AX60=3,MATCHED!$D60,IF(MATCHED!AX60=4,MATCHED!$E60,IF(MATCHED!AX60=3,MATCHED!$F60,IF(MATCHED!AX60=6,MATCHED!$G60,IF(MATCHED!AX60=7,MATCHED!$H60,"")))))))&amp;IF(MATCHED!AX60=8,MATCHED!$I60,IF(MATCHED!AX60=9,MATCHED!$J60,IF(MATCHED!AX60=10,MATCHED!$K60,IF(MATCHED!AX60=11,MATCHED!$L60,IF(MATCHED!AX60=12,MATCHED!$M60,IF(MATCHED!AX60=13,MATCHED!$N60,IF(MATCHED!AX60=14,MATCHED!$O60,"")))))))&amp;IF(MATCHED!AX60=15,MATCHED!$P60,IF(MATCHED!AX60=16,MATCHED!$Q60,IF(MATCHED!AX60=17,MATCHED!$R60,IF(MATCHED!AX60=18,MATCHED!$S60,IF(MATCHED!AX60=19,MATCHED!$T60,IF(MATCHED!AX60=20,MATCHED!$U60,IF(MATCHED!AX60=21,MATCHED!$V60,)))))))&amp;IF(MATCHED!AX60=22,MATCHED!$W60,IF(MATCHED!AX60=23,MATCHED!$X60,IF(MATCHED!AX60=24,MATCHED!$Y60,IF(MATCHED!AX60=25,MATCHED!$Z60,IF(MATCHED!AX60=26,MATCHED!$AA60,IF(MATCHED!AX60=27,MATCHED!$AB60,"."))))))</f>
        <v>#N/A</v>
      </c>
      <c r="W60" s="376" t="e">
        <f>IF(MATCHED!AY60=1,MATCHED!$B60,IF(MATCHED!AY60=2,MATCHED!$C60,IF(MATCHED!AY60=3,MATCHED!$D60,IF(MATCHED!AY60=4,MATCHED!$E60,IF(MATCHED!AY60=3,MATCHED!$F60,IF(MATCHED!AY60=6,MATCHED!$G60,IF(MATCHED!AY60=7,MATCHED!$H60,"")))))))&amp;IF(MATCHED!AY60=8,MATCHED!$I60,IF(MATCHED!AY60=9,MATCHED!$J60,IF(MATCHED!AY60=10,MATCHED!$K60,IF(MATCHED!AY60=11,MATCHED!$L60,IF(MATCHED!AY60=12,MATCHED!$M60,IF(MATCHED!AY60=13,MATCHED!$N60,IF(MATCHED!AY60=14,MATCHED!$O60,"")))))))&amp;IF(MATCHED!AY60=15,MATCHED!$P60,IF(MATCHED!AY60=16,MATCHED!$Q60,IF(MATCHED!AY60=17,MATCHED!$R60,IF(MATCHED!AY60=18,MATCHED!$S60,IF(MATCHED!AY60=19,MATCHED!$T60,IF(MATCHED!AY60=20,MATCHED!$U60,IF(MATCHED!AY60=21,MATCHED!$V60,)))))))&amp;IF(MATCHED!AY60=22,MATCHED!$W60,IF(MATCHED!AY60=23,MATCHED!$X60,IF(MATCHED!AY60=24,MATCHED!$Y60,IF(MATCHED!AY60=25,MATCHED!$Z60,IF(MATCHED!AY60=26,MATCHED!$AA60,IF(MATCHED!AY60=27,MATCHED!$AB60,"."))))))</f>
        <v>#N/A</v>
      </c>
      <c r="X60" s="376" t="e">
        <f>IF(MATCHED!AZ60=1,MATCHED!$B60,IF(MATCHED!AZ60=2,MATCHED!$C60,IF(MATCHED!AZ60=3,MATCHED!$D60,IF(MATCHED!AZ60=4,MATCHED!$E60,IF(MATCHED!AZ60=3,MATCHED!$F60,IF(MATCHED!AZ60=6,MATCHED!$G60,IF(MATCHED!AZ60=7,MATCHED!$H60,"")))))))&amp;IF(MATCHED!AZ60=8,MATCHED!$I60,IF(MATCHED!AZ60=9,MATCHED!$J60,IF(MATCHED!AZ60=10,MATCHED!$K60,IF(MATCHED!AZ60=11,MATCHED!$L60,IF(MATCHED!AZ60=12,MATCHED!$M60,IF(MATCHED!AZ60=13,MATCHED!$N60,IF(MATCHED!AZ60=14,MATCHED!$O60,"")))))))&amp;IF(MATCHED!AZ60=15,MATCHED!$P60,IF(MATCHED!AZ60=16,MATCHED!$Q60,IF(MATCHED!AZ60=17,MATCHED!$R60,IF(MATCHED!AZ60=18,MATCHED!$S60,IF(MATCHED!AZ60=19,MATCHED!$T60,IF(MATCHED!AZ60=20,MATCHED!$U60,IF(MATCHED!AZ60=21,MATCHED!$V60,)))))))&amp;IF(MATCHED!AZ60=22,MATCHED!$W60,IF(MATCHED!AZ60=23,MATCHED!$X60,IF(MATCHED!AZ60=24,MATCHED!$Y60,IF(MATCHED!AZ60=25,MATCHED!$Z60,IF(MATCHED!AZ60=26,MATCHED!$AA60,IF(MATCHED!AZ60=27,MATCHED!$AB60,"."))))))</f>
        <v>#N/A</v>
      </c>
      <c r="Y60" s="376" t="e">
        <f>IF(MATCHED!BA60=1,MATCHED!$B60,IF(MATCHED!BA60=2,MATCHED!$C60,IF(MATCHED!BA60=3,MATCHED!$D60,IF(MATCHED!BA60=4,MATCHED!$E60,IF(MATCHED!BA60=3,MATCHED!$F60,IF(MATCHED!BA60=6,MATCHED!$G60,IF(MATCHED!BA60=7,MATCHED!$H60,"")))))))&amp;IF(MATCHED!BA60=8,MATCHED!$I60,IF(MATCHED!BA60=9,MATCHED!$J60,IF(MATCHED!BA60=10,MATCHED!$K60,IF(MATCHED!BA60=11,MATCHED!$L60,IF(MATCHED!BA60=12,MATCHED!$M60,IF(MATCHED!BA60=13,MATCHED!$N60,IF(MATCHED!BA60=14,MATCHED!$O60,"")))))))&amp;IF(MATCHED!BA60=15,MATCHED!$P60,IF(MATCHED!BA60=16,MATCHED!$Q60,IF(MATCHED!BA60=17,MATCHED!$R60,IF(MATCHED!BA60=18,MATCHED!$S60,IF(MATCHED!BA60=19,MATCHED!$T60,IF(MATCHED!BA60=20,MATCHED!$U60,IF(MATCHED!BA60=21,MATCHED!$V60,)))))))&amp;IF(MATCHED!BA60=22,MATCHED!$W60,IF(MATCHED!BA60=23,MATCHED!$X60,IF(MATCHED!BA60=24,MATCHED!$Y60,IF(MATCHED!BA60=25,MATCHED!$Z60,IF(MATCHED!BA60=26,MATCHED!$AA60,IF(MATCHED!BA60=27,MATCHED!$AB60,"."))))))</f>
        <v>#N/A</v>
      </c>
      <c r="Z60" s="376" t="e">
        <f>IF(MATCHED!BB60=1,MATCHED!$B60,IF(MATCHED!BB60=2,MATCHED!$C60,IF(MATCHED!BB60=3,MATCHED!$D60,IF(MATCHED!BB60=4,MATCHED!$E60,IF(MATCHED!BB60=3,MATCHED!$F60,IF(MATCHED!BB60=6,MATCHED!$G60,IF(MATCHED!BB60=7,MATCHED!$H60,"")))))))&amp;IF(MATCHED!BB60=8,MATCHED!$I60,IF(MATCHED!BB60=9,MATCHED!$J60,IF(MATCHED!BB60=10,MATCHED!$K60,IF(MATCHED!BB60=11,MATCHED!$L60,IF(MATCHED!BB60=12,MATCHED!$M60,IF(MATCHED!BB60=13,MATCHED!$N60,IF(MATCHED!BB60=14,MATCHED!$O60,"")))))))&amp;IF(MATCHED!BB60=15,MATCHED!$P60,IF(MATCHED!BB60=16,MATCHED!$Q60,IF(MATCHED!BB60=17,MATCHED!$R60,IF(MATCHED!BB60=18,MATCHED!$S60,IF(MATCHED!BB60=19,MATCHED!$T60,IF(MATCHED!BB60=20,MATCHED!$U60,IF(MATCHED!BB60=21,MATCHED!$V60,)))))))&amp;IF(MATCHED!BB60=22,MATCHED!$W60,IF(MATCHED!BB60=23,MATCHED!$X60,IF(MATCHED!BB60=24,MATCHED!$Y60,IF(MATCHED!BB60=25,MATCHED!$Z60,IF(MATCHED!BB60=26,MATCHED!$AA60,IF(MATCHED!BB60=27,MATCHED!$AB60,"."))))))</f>
        <v>#N/A</v>
      </c>
      <c r="AA60" s="376" t="e">
        <f>IF(MATCHED!BC60=1,MATCHED!$B60,IF(MATCHED!BC60=2,MATCHED!$C60,IF(MATCHED!BC60=3,MATCHED!$D60,IF(MATCHED!BC60=4,MATCHED!$E60,IF(MATCHED!BC60=3,MATCHED!$F60,IF(MATCHED!BC60=6,MATCHED!$G60,IF(MATCHED!BC60=7,MATCHED!$H60,"")))))))&amp;IF(MATCHED!BC60=8,MATCHED!$I60,IF(MATCHED!BC60=9,MATCHED!$J60,IF(MATCHED!BC60=10,MATCHED!$K60,IF(MATCHED!BC60=11,MATCHED!$L60,IF(MATCHED!BC60=12,MATCHED!$M60,IF(MATCHED!BC60=13,MATCHED!$N60,IF(MATCHED!BC60=14,MATCHED!$O60,"")))))))&amp;IF(MATCHED!BC60=15,MATCHED!$P60,IF(MATCHED!BC60=16,MATCHED!$Q60,IF(MATCHED!BC60=17,MATCHED!$R60,IF(MATCHED!BC60=18,MATCHED!$S60,IF(MATCHED!BC60=19,MATCHED!$T60,IF(MATCHED!BC60=20,MATCHED!$U60,IF(MATCHED!BC60=21,MATCHED!$V60,)))))))&amp;IF(MATCHED!BC60=22,MATCHED!$W60,IF(MATCHED!BC60=23,MATCHED!$X60,IF(MATCHED!BC60=24,MATCHED!$Y60,IF(MATCHED!BC60=25,MATCHED!$Z60,IF(MATCHED!BC60=26,MATCHED!$AA60,IF(MATCHED!BC60=27,MATCHED!$AB60,"."))))))</f>
        <v>#N/A</v>
      </c>
      <c r="AB60" s="376" t="e">
        <f>IF(MATCHED!BD60=1,MATCHED!$B60,IF(MATCHED!BD60=2,MATCHED!$C60,IF(MATCHED!BD60=3,MATCHED!$D60,IF(MATCHED!BD60=4,MATCHED!$E60,IF(MATCHED!BD60=3,MATCHED!$F60,IF(MATCHED!BD60=6,MATCHED!$G60,IF(MATCHED!BD60=7,MATCHED!$H60,"")))))))&amp;IF(MATCHED!BD60=8,MATCHED!$I60,IF(MATCHED!BD60=9,MATCHED!$J60,IF(MATCHED!BD60=10,MATCHED!$K60,IF(MATCHED!BD60=11,MATCHED!$L60,IF(MATCHED!BD60=12,MATCHED!$M60,IF(MATCHED!BD60=13,MATCHED!$N60,IF(MATCHED!BD60=14,MATCHED!$O60,"")))))))&amp;IF(MATCHED!BD60=15,MATCHED!$P60,IF(MATCHED!BD60=16,MATCHED!$Q60,IF(MATCHED!BD60=17,MATCHED!$R60,IF(MATCHED!BD60=18,MATCHED!$S60,IF(MATCHED!BD60=19,MATCHED!$T60,IF(MATCHED!BD60=20,MATCHED!$U60,IF(MATCHED!BD60=21,MATCHED!$V60,)))))))&amp;IF(MATCHED!BD60=22,MATCHED!$W60,IF(MATCHED!BD60=23,MATCHED!$X60,IF(MATCHED!BD60=24,MATCHED!$Y60,IF(MATCHED!BD60=25,MATCHED!$Z60,IF(MATCHED!BD60=26,MATCHED!$AA60,IF(MATCHED!BD60=27,MATCHED!$AB60,"."))))))</f>
        <v>#N/A</v>
      </c>
      <c r="AC60" s="376" t="e">
        <f>IF(MATCHED!BE60=1,MATCHED!$B60,IF(MATCHED!BE60=2,MATCHED!$C60,IF(MATCHED!BE60=3,MATCHED!$D60,IF(MATCHED!BE60=4,MATCHED!$E60,IF(MATCHED!BE60=3,MATCHED!$F60,IF(MATCHED!BE60=6,MATCHED!$G60,IF(MATCHED!BE60=7,MATCHED!$H60,"")))))))&amp;IF(MATCHED!BE60=8,MATCHED!$I60,IF(MATCHED!BE60=9,MATCHED!$J60,IF(MATCHED!BE60=10,MATCHED!$K60,IF(MATCHED!BE60=11,MATCHED!$L60,IF(MATCHED!BE60=12,MATCHED!$M60,IF(MATCHED!BE60=13,MATCHED!$N60,IF(MATCHED!BE60=14,MATCHED!$O60,"")))))))&amp;IF(MATCHED!BE60=15,MATCHED!$P60,IF(MATCHED!BE60=16,MATCHED!$Q60,IF(MATCHED!BE60=17,MATCHED!$R60,IF(MATCHED!BE60=18,MATCHED!$S60,IF(MATCHED!BE60=19,MATCHED!$T60,IF(MATCHED!BE60=20,MATCHED!$U60,IF(MATCHED!BE60=21,MATCHED!$V60,)))))))&amp;IF(MATCHED!BE60=22,MATCHED!$W60,IF(MATCHED!BE60=23,MATCHED!$X60,IF(MATCHED!BE60=24,MATCHED!$Y60,IF(MATCHED!BE60=25,MATCHED!$Z60,IF(MATCHED!BE60=26,MATCHED!$AA60,IF(MATCHED!BE60=27,MATCHED!$AB60,"."))))))</f>
        <v>#N/A</v>
      </c>
      <c r="AD60" s="376" t="e">
        <f>IF(MATCHED!BF60=1,MATCHED!$B60,IF(MATCHED!BF60=2,MATCHED!$C60,IF(MATCHED!BF60=3,MATCHED!$D60,IF(MATCHED!BF60=4,MATCHED!$E60,IF(MATCHED!BF60=3,MATCHED!$F60,IF(MATCHED!BF60=6,MATCHED!$G60,IF(MATCHED!BF60=7,MATCHED!$H60,"")))))))&amp;IF(MATCHED!BF60=8,MATCHED!$I60,IF(MATCHED!BF60=9,MATCHED!$J60,IF(MATCHED!BF60=10,MATCHED!$K60,IF(MATCHED!BF60=11,MATCHED!$L60,IF(MATCHED!BF60=12,MATCHED!$M60,IF(MATCHED!BF60=13,MATCHED!$N60,IF(MATCHED!BF60=14,MATCHED!$O60,"")))))))&amp;IF(MATCHED!BF60=15,MATCHED!$P60,IF(MATCHED!BF60=16,MATCHED!$Q60,IF(MATCHED!BF60=17,MATCHED!$R60,IF(MATCHED!BF60=18,MATCHED!$S60,IF(MATCHED!BF60=19,MATCHED!$T60,IF(MATCHED!BF60=20,MATCHED!$U60,IF(MATCHED!BF60=21,MATCHED!$V60,)))))))&amp;IF(MATCHED!BF60=22,MATCHED!$W60,IF(MATCHED!BF60=23,MATCHED!$X60,IF(MATCHED!BF60=24,MATCHED!$Y60,IF(MATCHED!BF60=25,MATCHED!$Z60,IF(MATCHED!BF60=26,MATCHED!$AA60,IF(MATCHED!BF60=27,MATCHED!$AB60,"."))))))</f>
        <v>#N/A</v>
      </c>
      <c r="AE60" s="376" t="e">
        <f>IF(MATCHED!BG60=1,MATCHED!$B60,IF(MATCHED!BG60=2,MATCHED!$C60,IF(MATCHED!BG60=3,MATCHED!$D60,IF(MATCHED!BG60=4,MATCHED!$E60,IF(MATCHED!BG60=3,MATCHED!$F60,IF(MATCHED!BG60=6,MATCHED!$G60,IF(MATCHED!BG60=7,MATCHED!$H60,"")))))))&amp;IF(MATCHED!BG60=8,MATCHED!$I60,IF(MATCHED!BG60=9,MATCHED!$J60,IF(MATCHED!BG60=10,MATCHED!$K60,IF(MATCHED!BG60=11,MATCHED!$L60,IF(MATCHED!BG60=12,MATCHED!$M60,IF(MATCHED!BG60=13,MATCHED!$N60,IF(MATCHED!BG60=14,MATCHED!$O60,"")))))))&amp;IF(MATCHED!BG60=15,MATCHED!$P60,IF(MATCHED!BG60=16,MATCHED!$Q60,IF(MATCHED!BG60=17,MATCHED!$R60,IF(MATCHED!BG60=18,MATCHED!$S60,IF(MATCHED!BG60=19,MATCHED!$T60,IF(MATCHED!BG60=20,MATCHED!$U60,IF(MATCHED!BG60=21,MATCHED!$V60,)))))))&amp;IF(MATCHED!BG60=22,MATCHED!$W60,IF(MATCHED!BG60=23,MATCHED!$X60,IF(MATCHED!BG60=24,MATCHED!$Y60,IF(MATCHED!BG60=25,MATCHED!$Z60,IF(MATCHED!BG60=26,MATCHED!$AA60,IF(MATCHED!BG60=27,MATCHED!$AB60,"."))))))</f>
        <v>#N/A</v>
      </c>
      <c r="AF60" s="376" t="e">
        <f>IF(MATCHED!BH60=1,MATCHED!$B60,IF(MATCHED!BH60=2,MATCHED!$C60,IF(MATCHED!BH60=3,MATCHED!$D60,IF(MATCHED!BH60=4,MATCHED!$E60,IF(MATCHED!BH60=3,MATCHED!$F60,IF(MATCHED!BH60=6,MATCHED!$G60,IF(MATCHED!BH60=7,MATCHED!$H60,"")))))))&amp;IF(MATCHED!BH60=8,MATCHED!$I60,IF(MATCHED!BH60=9,MATCHED!$J60,IF(MATCHED!BH60=10,MATCHED!$K60,IF(MATCHED!BH60=11,MATCHED!$L60,IF(MATCHED!BH60=12,MATCHED!$M60,IF(MATCHED!BH60=13,MATCHED!$N60,IF(MATCHED!BH60=14,MATCHED!$O60,"")))))))&amp;IF(MATCHED!BH60=15,MATCHED!$P60,IF(MATCHED!BH60=16,MATCHED!$Q60,IF(MATCHED!BH60=17,MATCHED!$R60,IF(MATCHED!BH60=18,MATCHED!$S60,IF(MATCHED!BH60=19,MATCHED!$T60,IF(MATCHED!BH60=20,MATCHED!$U60,IF(MATCHED!BH60=21,MATCHED!$V60,)))))))&amp;IF(MATCHED!BH60=22,MATCHED!$W60,IF(MATCHED!BH60=23,MATCHED!$X60,IF(MATCHED!BH60=24,MATCHED!$Y60,IF(MATCHED!BH60=25,MATCHED!$Z60,IF(MATCHED!BH60=26,MATCHED!$AA60,IF(MATCHED!BH60=27,MATCHED!$AB60,"."))))))</f>
        <v>#N/A</v>
      </c>
      <c r="AG60" s="376" t="e">
        <f>IF(MATCHED!BI60=1,MATCHED!$B60,IF(MATCHED!BI60=2,MATCHED!$C60,IF(MATCHED!BI60=3,MATCHED!$D60,IF(MATCHED!BI60=4,MATCHED!$E60,IF(MATCHED!BI60=3,MATCHED!$F60,IF(MATCHED!BI60=6,MATCHED!$G60,IF(MATCHED!BI60=7,MATCHED!$H60,"")))))))&amp;IF(MATCHED!BI60=8,MATCHED!$I60,IF(MATCHED!BI60=9,MATCHED!$J60,IF(MATCHED!BI60=10,MATCHED!$K60,IF(MATCHED!BI60=11,MATCHED!$L60,IF(MATCHED!BI60=12,MATCHED!$M60,IF(MATCHED!BI60=13,MATCHED!$N60,IF(MATCHED!BI60=14,MATCHED!$O60,"")))))))&amp;IF(MATCHED!BI60=15,MATCHED!$P60,IF(MATCHED!BI60=16,MATCHED!$Q60,IF(MATCHED!BI60=17,MATCHED!$R60,IF(MATCHED!BI60=18,MATCHED!$S60,IF(MATCHED!BI60=19,MATCHED!$T60,IF(MATCHED!BI60=20,MATCHED!$U60,IF(MATCHED!BI60=21,MATCHED!$V60,)))))))&amp;IF(MATCHED!BI60=22,MATCHED!$W60,IF(MATCHED!BI60=23,MATCHED!$X60,IF(MATCHED!BI60=24,MATCHED!$Y60,IF(MATCHED!BI60=25,MATCHED!$Z60,IF(MATCHED!BI60=26,MATCHED!$AA60,IF(MATCHED!BI60=27,MATCHED!$AB60,"."))))))</f>
        <v>#N/A</v>
      </c>
      <c r="AH60" s="376" t="e">
        <f>IF(MATCHED!BJ60=1,MATCHED!$B60,IF(MATCHED!BJ60=2,MATCHED!$C60,IF(MATCHED!BJ60=3,MATCHED!$D60,IF(MATCHED!BJ60=4,MATCHED!$E60,IF(MATCHED!BJ60=3,MATCHED!$F60,IF(MATCHED!BJ60=6,MATCHED!$G60,IF(MATCHED!BJ60=7,MATCHED!$H60,"")))))))&amp;IF(MATCHED!BJ60=8,MATCHED!$I60,IF(MATCHED!BJ60=9,MATCHED!$J60,IF(MATCHED!BJ60=10,MATCHED!$K60,IF(MATCHED!BJ60=11,MATCHED!$L60,IF(MATCHED!BJ60=12,MATCHED!$M60,IF(MATCHED!BJ60=13,MATCHED!$N60,IF(MATCHED!BJ60=14,MATCHED!$O60,"")))))))&amp;IF(MATCHED!BJ60=15,MATCHED!$P60,IF(MATCHED!BJ60=16,MATCHED!$Q60,IF(MATCHED!BJ60=17,MATCHED!$R60,IF(MATCHED!BJ60=18,MATCHED!$S60,IF(MATCHED!BJ60=19,MATCHED!$T60,IF(MATCHED!BJ60=20,MATCHED!$U60,IF(MATCHED!BJ60=21,MATCHED!$V60,)))))))&amp;IF(MATCHED!BJ60=22,MATCHED!$W60,IF(MATCHED!BJ60=23,MATCHED!$X60,IF(MATCHED!BJ60=24,MATCHED!$Y60,IF(MATCHED!BJ60=25,MATCHED!$Z60,IF(MATCHED!BJ60=26,MATCHED!$AA60,IF(MATCHED!BJ60=27,MATCHED!$AB60,"."))))))</f>
        <v>#N/A</v>
      </c>
      <c r="AI60" s="376" t="e">
        <f>IF(MATCHED!BK60=1,MATCHED!$B60,IF(MATCHED!BK60=2,MATCHED!$C60,IF(MATCHED!BK60=3,MATCHED!$D60,IF(MATCHED!BK60=4,MATCHED!$E60,IF(MATCHED!BK60=3,MATCHED!$F60,IF(MATCHED!BK60=6,MATCHED!$G60,IF(MATCHED!BK60=7,MATCHED!$H60,"")))))))&amp;IF(MATCHED!BK60=8,MATCHED!$I60,IF(MATCHED!BK60=9,MATCHED!$J60,IF(MATCHED!BK60=10,MATCHED!$K60,IF(MATCHED!BK60=11,MATCHED!$L60,IF(MATCHED!BK60=12,MATCHED!$M60,IF(MATCHED!BK60=13,MATCHED!$N60,IF(MATCHED!BK60=14,MATCHED!$O60,"")))))))&amp;IF(MATCHED!BK60=15,MATCHED!$P60,IF(MATCHED!BK60=16,MATCHED!$Q60,IF(MATCHED!BK60=17,MATCHED!$R60,IF(MATCHED!BK60=18,MATCHED!$S60,IF(MATCHED!BK60=19,MATCHED!$T60,IF(MATCHED!BK60=20,MATCHED!$U60,IF(MATCHED!BK60=21,MATCHED!$V60,)))))))&amp;IF(MATCHED!BK60=22,MATCHED!$W60,IF(MATCHED!BK60=23,MATCHED!$X60,IF(MATCHED!BK60=24,MATCHED!$Y60,IF(MATCHED!BK60=25,MATCHED!$Z60,IF(MATCHED!BK60=26,MATCHED!$AA60,IF(MATCHED!BK60=27,MATCHED!$AB60,"."))))))</f>
        <v>#N/A</v>
      </c>
      <c r="AJ60" s="540" t="s">
        <v>184</v>
      </c>
    </row>
    <row r="61" spans="1:36" s="338" customFormat="1" x14ac:dyDescent="0.25">
      <c r="A61" s="535"/>
      <c r="B61" s="378" t="e">
        <f>IF(MATCHED!AD61=1,MATCHED!$B61,IF(MATCHED!AD61=2,MATCHED!$C61,IF(MATCHED!AD61=3,MATCHED!$D61,IF(MATCHED!AD61=4,MATCHED!$E61,IF(MATCHED!AD61=3,MATCHED!$F61,IF(MATCHED!AD61=6,MATCHED!$G61,IF(MATCHED!AD61=7,MATCHED!$H61,"")))))))&amp;IF(MATCHED!AD61=8,MATCHED!$I61,IF(MATCHED!AD61=9,MATCHED!$J61,IF(MATCHED!AD61=10,MATCHED!$K61,IF(MATCHED!AD61=11,MATCHED!$L61,IF(MATCHED!AD61=12,MATCHED!$M61,IF(MATCHED!AD61=13,MATCHED!$N61,IF(MATCHED!AD61=14,MATCHED!$O61,"")))))))&amp;IF(MATCHED!AD61=15,MATCHED!$P61,IF(MATCHED!AD61=16,MATCHED!$Q61,IF(MATCHED!AD61=17,MATCHED!$R61,IF(MATCHED!AD61=18,MATCHED!$S61,IF(MATCHED!AD61=19,MATCHED!$T61,IF(MATCHED!AD61=20,MATCHED!$U61,IF(MATCHED!AD61=21,MATCHED!$V61,)))))))&amp;IF(MATCHED!AD61=22,MATCHED!$W61,IF(MATCHED!AD61=23,MATCHED!$X61,IF(MATCHED!AD61=24,MATCHED!$Y61,IF(MATCHED!AD61=25,MATCHED!$Z61,IF(MATCHED!AD61=26,MATCHED!$AA61,IF(MATCHED!AD61=27,MATCHED!$AB61,"."))))))</f>
        <v>#N/A</v>
      </c>
      <c r="C61" s="379" t="e">
        <f>IF(MATCHED!AE61=1,MATCHED!$B61,IF(MATCHED!AE61=2,MATCHED!$C61,IF(MATCHED!AE61=3,MATCHED!$D61,IF(MATCHED!AE61=4,MATCHED!$E61,IF(MATCHED!AE61=3,MATCHED!$F61,IF(MATCHED!AE61=6,MATCHED!$G61,IF(MATCHED!AE61=7,MATCHED!$H61,"")))))))&amp;IF(MATCHED!AE61=8,MATCHED!$I61,IF(MATCHED!AE61=9,MATCHED!$J61,IF(MATCHED!AE61=10,MATCHED!$K61,IF(MATCHED!AE61=11,MATCHED!$L61,IF(MATCHED!AE61=12,MATCHED!$M61,IF(MATCHED!AE61=13,MATCHED!$N61,IF(MATCHED!AE61=14,MATCHED!$O61,"")))))))&amp;IF(MATCHED!AE61=15,MATCHED!$P61,IF(MATCHED!AE61=16,MATCHED!$Q61,IF(MATCHED!AE61=17,MATCHED!$R61,IF(MATCHED!AE61=18,MATCHED!$S61,IF(MATCHED!AE61=19,MATCHED!$T61,IF(MATCHED!AE61=20,MATCHED!$U61,IF(MATCHED!AE61=21,MATCHED!$V61,)))))))&amp;IF(MATCHED!AE61=22,MATCHED!$W61,IF(MATCHED!AE61=23,MATCHED!$X61,IF(MATCHED!AE61=24,MATCHED!$Y61,IF(MATCHED!AE61=25,MATCHED!$Z61,IF(MATCHED!AE61=26,MATCHED!$AA61,IF(MATCHED!AE61=27,MATCHED!$AB61,"."))))))</f>
        <v>#N/A</v>
      </c>
      <c r="D61" s="379" t="e">
        <f>IF(MATCHED!AF61=1,MATCHED!$B61,IF(MATCHED!AF61=2,MATCHED!$C61,IF(MATCHED!AF61=3,MATCHED!$D61,IF(MATCHED!AF61=4,MATCHED!$E61,IF(MATCHED!AF61=3,MATCHED!$F61,IF(MATCHED!AF61=6,MATCHED!$G61,IF(MATCHED!AF61=7,MATCHED!$H61,"")))))))&amp;IF(MATCHED!AF61=8,MATCHED!$I61,IF(MATCHED!AF61=9,MATCHED!$J61,IF(MATCHED!AF61=10,MATCHED!$K61,IF(MATCHED!AF61=11,MATCHED!$L61,IF(MATCHED!AF61=12,MATCHED!$M61,IF(MATCHED!AF61=13,MATCHED!$N61,IF(MATCHED!AF61=14,MATCHED!$O61,"")))))))&amp;IF(MATCHED!AF61=15,MATCHED!$P61,IF(MATCHED!AF61=16,MATCHED!$Q61,IF(MATCHED!AF61=17,MATCHED!$R61,IF(MATCHED!AF61=18,MATCHED!$S61,IF(MATCHED!AF61=19,MATCHED!$T61,IF(MATCHED!AF61=20,MATCHED!$U61,IF(MATCHED!AF61=21,MATCHED!$V61,)))))))&amp;IF(MATCHED!AF61=22,MATCHED!$W61,IF(MATCHED!AF61=23,MATCHED!$X61,IF(MATCHED!AF61=24,MATCHED!$Y61,IF(MATCHED!AF61=25,MATCHED!$Z61,IF(MATCHED!AF61=26,MATCHED!$AA61,IF(MATCHED!AF61=27,MATCHED!$AB61,"."))))))</f>
        <v>#N/A</v>
      </c>
      <c r="E61" s="379" t="e">
        <f>IF(MATCHED!AG61=1,MATCHED!$B61,IF(MATCHED!AG61=2,MATCHED!$C61,IF(MATCHED!AG61=3,MATCHED!$D61,IF(MATCHED!AG61=4,MATCHED!$E61,IF(MATCHED!AG61=3,MATCHED!$F61,IF(MATCHED!AG61=6,MATCHED!$G61,IF(MATCHED!AG61=7,MATCHED!$H61,"")))))))&amp;IF(MATCHED!AG61=8,MATCHED!$I61,IF(MATCHED!AG61=9,MATCHED!$J61,IF(MATCHED!AG61=10,MATCHED!$K61,IF(MATCHED!AG61=11,MATCHED!$L61,IF(MATCHED!AG61=12,MATCHED!$M61,IF(MATCHED!AG61=13,MATCHED!$N61,IF(MATCHED!AG61=14,MATCHED!$O61,"")))))))&amp;IF(MATCHED!AG61=15,MATCHED!$P61,IF(MATCHED!AG61=16,MATCHED!$Q61,IF(MATCHED!AG61=17,MATCHED!$R61,IF(MATCHED!AG61=18,MATCHED!$S61,IF(MATCHED!AG61=19,MATCHED!$T61,IF(MATCHED!AG61=20,MATCHED!$U61,IF(MATCHED!AG61=21,MATCHED!$V61,)))))))&amp;IF(MATCHED!AG61=22,MATCHED!$W61,IF(MATCHED!AG61=23,MATCHED!$X61,IF(MATCHED!AG61=24,MATCHED!$Y61,IF(MATCHED!AG61=25,MATCHED!$Z61,IF(MATCHED!AG61=26,MATCHED!$AA61,IF(MATCHED!AG61=27,MATCHED!$AB61,"."))))))</f>
        <v>#N/A</v>
      </c>
      <c r="F61" s="379" t="e">
        <f>IF(MATCHED!AH61=1,MATCHED!$B61,IF(MATCHED!AH61=2,MATCHED!$C61,IF(MATCHED!AH61=3,MATCHED!$D61,IF(MATCHED!AH61=4,MATCHED!$E61,IF(MATCHED!AH61=3,MATCHED!$F61,IF(MATCHED!AH61=6,MATCHED!$G61,IF(MATCHED!AH61=7,MATCHED!$H61,"")))))))&amp;IF(MATCHED!AH61=8,MATCHED!$I61,IF(MATCHED!AH61=9,MATCHED!$J61,IF(MATCHED!AH61=10,MATCHED!$K61,IF(MATCHED!AH61=11,MATCHED!$L61,IF(MATCHED!AH61=12,MATCHED!$M61,IF(MATCHED!AH61=13,MATCHED!$N61,IF(MATCHED!AH61=14,MATCHED!$O61,"")))))))&amp;IF(MATCHED!AH61=15,MATCHED!$P61,IF(MATCHED!AH61=16,MATCHED!$Q61,IF(MATCHED!AH61=17,MATCHED!$R61,IF(MATCHED!AH61=18,MATCHED!$S61,IF(MATCHED!AH61=19,MATCHED!$T61,IF(MATCHED!AH61=20,MATCHED!$U61,IF(MATCHED!AH61=21,MATCHED!$V61,)))))))&amp;IF(MATCHED!AH61=22,MATCHED!$W61,IF(MATCHED!AH61=23,MATCHED!$X61,IF(MATCHED!AH61=24,MATCHED!$Y61,IF(MATCHED!AH61=25,MATCHED!$Z61,IF(MATCHED!AH61=26,MATCHED!$AA61,IF(MATCHED!AH61=27,MATCHED!$AB61,"."))))))</f>
        <v>#N/A</v>
      </c>
      <c r="G61" s="379" t="e">
        <f>IF(MATCHED!AI61=1,MATCHED!$B61,IF(MATCHED!AI61=2,MATCHED!$C61,IF(MATCHED!AI61=3,MATCHED!$D61,IF(MATCHED!AI61=4,MATCHED!$E61,IF(MATCHED!AI61=3,MATCHED!$F61,IF(MATCHED!AI61=6,MATCHED!$G61,IF(MATCHED!AI61=7,MATCHED!$H61,"")))))))&amp;IF(MATCHED!AI61=8,MATCHED!$I61,IF(MATCHED!AI61=9,MATCHED!$J61,IF(MATCHED!AI61=10,MATCHED!$K61,IF(MATCHED!AI61=11,MATCHED!$L61,IF(MATCHED!AI61=12,MATCHED!$M61,IF(MATCHED!AI61=13,MATCHED!$N61,IF(MATCHED!AI61=14,MATCHED!$O61,"")))))))&amp;IF(MATCHED!AI61=15,MATCHED!$P61,IF(MATCHED!AI61=16,MATCHED!$Q61,IF(MATCHED!AI61=17,MATCHED!$R61,IF(MATCHED!AI61=18,MATCHED!$S61,IF(MATCHED!AI61=19,MATCHED!$T61,IF(MATCHED!AI61=20,MATCHED!$U61,IF(MATCHED!AI61=21,MATCHED!$V61,)))))))&amp;IF(MATCHED!AI61=22,MATCHED!$W61,IF(MATCHED!AI61=23,MATCHED!$X61,IF(MATCHED!AI61=24,MATCHED!$Y61,IF(MATCHED!AI61=25,MATCHED!$Z61,IF(MATCHED!AI61=26,MATCHED!$AA61,IF(MATCHED!AI61=27,MATCHED!$AB61,"."))))))</f>
        <v>#N/A</v>
      </c>
      <c r="H61" s="379" t="e">
        <f>IF(MATCHED!AJ61=1,MATCHED!$B61,IF(MATCHED!AJ61=2,MATCHED!$C61,IF(MATCHED!AJ61=3,MATCHED!$D61,IF(MATCHED!AJ61=4,MATCHED!$E61,IF(MATCHED!AJ61=3,MATCHED!$F61,IF(MATCHED!AJ61=6,MATCHED!$G61,IF(MATCHED!AJ61=7,MATCHED!$H61,"")))))))&amp;IF(MATCHED!AJ61=8,MATCHED!$I61,IF(MATCHED!AJ61=9,MATCHED!$J61,IF(MATCHED!AJ61=10,MATCHED!$K61,IF(MATCHED!AJ61=11,MATCHED!$L61,IF(MATCHED!AJ61=12,MATCHED!$M61,IF(MATCHED!AJ61=13,MATCHED!$N61,IF(MATCHED!AJ61=14,MATCHED!$O61,"")))))))&amp;IF(MATCHED!AJ61=15,MATCHED!$P61,IF(MATCHED!AJ61=16,MATCHED!$Q61,IF(MATCHED!AJ61=17,MATCHED!$R61,IF(MATCHED!AJ61=18,MATCHED!$S61,IF(MATCHED!AJ61=19,MATCHED!$T61,IF(MATCHED!AJ61=20,MATCHED!$U61,IF(MATCHED!AJ61=21,MATCHED!$V61,)))))))&amp;IF(MATCHED!AJ61=22,MATCHED!$W61,IF(MATCHED!AJ61=23,MATCHED!$X61,IF(MATCHED!AJ61=24,MATCHED!$Y61,IF(MATCHED!AJ61=25,MATCHED!$Z61,IF(MATCHED!AJ61=26,MATCHED!$AA61,IF(MATCHED!AJ61=27,MATCHED!$AB61,"."))))))</f>
        <v>#N/A</v>
      </c>
      <c r="I61" s="379" t="e">
        <f>IF(MATCHED!AK61=1,MATCHED!$B61,IF(MATCHED!AK61=2,MATCHED!$C61,IF(MATCHED!AK61=3,MATCHED!$D61,IF(MATCHED!AK61=4,MATCHED!$E61,IF(MATCHED!AK61=3,MATCHED!$F61,IF(MATCHED!AK61=6,MATCHED!$G61,IF(MATCHED!AK61=7,MATCHED!$H61,"")))))))&amp;IF(MATCHED!AK61=8,MATCHED!$I61,IF(MATCHED!AK61=9,MATCHED!$J61,IF(MATCHED!AK61=10,MATCHED!$K61,IF(MATCHED!AK61=11,MATCHED!$L61,IF(MATCHED!AK61=12,MATCHED!$M61,IF(MATCHED!AK61=13,MATCHED!$N61,IF(MATCHED!AK61=14,MATCHED!$O61,"")))))))&amp;IF(MATCHED!AK61=15,MATCHED!$P61,IF(MATCHED!AK61=16,MATCHED!$Q61,IF(MATCHED!AK61=17,MATCHED!$R61,IF(MATCHED!AK61=18,MATCHED!$S61,IF(MATCHED!AK61=19,MATCHED!$T61,IF(MATCHED!AK61=20,MATCHED!$U61,IF(MATCHED!AK61=21,MATCHED!$V61,)))))))&amp;IF(MATCHED!AK61=22,MATCHED!$W61,IF(MATCHED!AK61=23,MATCHED!$X61,IF(MATCHED!AK61=24,MATCHED!$Y61,IF(MATCHED!AK61=25,MATCHED!$Z61,IF(MATCHED!AK61=26,MATCHED!$AA61,IF(MATCHED!AK61=27,MATCHED!$AB61,"."))))))</f>
        <v>#N/A</v>
      </c>
      <c r="J61" s="379" t="e">
        <f>IF(MATCHED!AL61=1,MATCHED!$B61,IF(MATCHED!AL61=2,MATCHED!$C61,IF(MATCHED!AL61=3,MATCHED!$D61,IF(MATCHED!AL61=4,MATCHED!$E61,IF(MATCHED!AL61=3,MATCHED!$F61,IF(MATCHED!AL61=6,MATCHED!$G61,IF(MATCHED!AL61=7,MATCHED!$H61,"")))))))&amp;IF(MATCHED!AL61=8,MATCHED!$I61,IF(MATCHED!AL61=9,MATCHED!$J61,IF(MATCHED!AL61=10,MATCHED!$K61,IF(MATCHED!AL61=11,MATCHED!$L61,IF(MATCHED!AL61=12,MATCHED!$M61,IF(MATCHED!AL61=13,MATCHED!$N61,IF(MATCHED!AL61=14,MATCHED!$O61,"")))))))&amp;IF(MATCHED!AL61=15,MATCHED!$P61,IF(MATCHED!AL61=16,MATCHED!$Q61,IF(MATCHED!AL61=17,MATCHED!$R61,IF(MATCHED!AL61=18,MATCHED!$S61,IF(MATCHED!AL61=19,MATCHED!$T61,IF(MATCHED!AL61=20,MATCHED!$U61,IF(MATCHED!AL61=21,MATCHED!$V61,)))))))&amp;IF(MATCHED!AL61=22,MATCHED!$W61,IF(MATCHED!AL61=23,MATCHED!$X61,IF(MATCHED!AL61=24,MATCHED!$Y61,IF(MATCHED!AL61=25,MATCHED!$Z61,IF(MATCHED!AL61=26,MATCHED!$AA61,IF(MATCHED!AL61=27,MATCHED!$AB61,"."))))))</f>
        <v>#N/A</v>
      </c>
      <c r="K61" s="379" t="e">
        <f>IF(MATCHED!AM61=1,MATCHED!$B61,IF(MATCHED!AM61=2,MATCHED!$C61,IF(MATCHED!AM61=3,MATCHED!$D61,IF(MATCHED!AM61=4,MATCHED!$E61,IF(MATCHED!AM61=3,MATCHED!$F61,IF(MATCHED!AM61=6,MATCHED!$G61,IF(MATCHED!AM61=7,MATCHED!$H61,"")))))))&amp;IF(MATCHED!AM61=8,MATCHED!$I61,IF(MATCHED!AM61=9,MATCHED!$J61,IF(MATCHED!AM61=10,MATCHED!$K61,IF(MATCHED!AM61=11,MATCHED!$L61,IF(MATCHED!AM61=12,MATCHED!$M61,IF(MATCHED!AM61=13,MATCHED!$N61,IF(MATCHED!AM61=14,MATCHED!$O61,"")))))))&amp;IF(MATCHED!AM61=15,MATCHED!$P61,IF(MATCHED!AM61=16,MATCHED!$Q61,IF(MATCHED!AM61=17,MATCHED!$R61,IF(MATCHED!AM61=18,MATCHED!$S61,IF(MATCHED!AM61=19,MATCHED!$T61,IF(MATCHED!AM61=20,MATCHED!$U61,IF(MATCHED!AM61=21,MATCHED!$V61,)))))))&amp;IF(MATCHED!AM61=22,MATCHED!$W61,IF(MATCHED!AM61=23,MATCHED!$X61,IF(MATCHED!AM61=24,MATCHED!$Y61,IF(MATCHED!AM61=25,MATCHED!$Z61,IF(MATCHED!AM61=26,MATCHED!$AA61,IF(MATCHED!AM61=27,MATCHED!$AB61,"."))))))</f>
        <v>#N/A</v>
      </c>
      <c r="L61" s="379" t="e">
        <f>IF(MATCHED!AN61=1,MATCHED!$B61,IF(MATCHED!AN61=2,MATCHED!$C61,IF(MATCHED!AN61=3,MATCHED!$D61,IF(MATCHED!AN61=4,MATCHED!$E61,IF(MATCHED!AN61=3,MATCHED!$F61,IF(MATCHED!AN61=6,MATCHED!$G61,IF(MATCHED!AN61=7,MATCHED!$H61,"")))))))&amp;IF(MATCHED!AN61=8,MATCHED!$I61,IF(MATCHED!AN61=9,MATCHED!$J61,IF(MATCHED!AN61=10,MATCHED!$K61,IF(MATCHED!AN61=11,MATCHED!$L61,IF(MATCHED!AN61=12,MATCHED!$M61,IF(MATCHED!AN61=13,MATCHED!$N61,IF(MATCHED!AN61=14,MATCHED!$O61,"")))))))&amp;IF(MATCHED!AN61=15,MATCHED!$P61,IF(MATCHED!AN61=16,MATCHED!$Q61,IF(MATCHED!AN61=17,MATCHED!$R61,IF(MATCHED!AN61=18,MATCHED!$S61,IF(MATCHED!AN61=19,MATCHED!$T61,IF(MATCHED!AN61=20,MATCHED!$U61,IF(MATCHED!AN61=21,MATCHED!$V61,)))))))&amp;IF(MATCHED!AN61=22,MATCHED!$W61,IF(MATCHED!AN61=23,MATCHED!$X61,IF(MATCHED!AN61=24,MATCHED!$Y61,IF(MATCHED!AN61=25,MATCHED!$Z61,IF(MATCHED!AN61=26,MATCHED!$AA61,IF(MATCHED!AN61=27,MATCHED!$AB61,"."))))))</f>
        <v>#N/A</v>
      </c>
      <c r="M61" s="379" t="e">
        <f>IF(MATCHED!AO61=1,MATCHED!$B61,IF(MATCHED!AO61=2,MATCHED!$C61,IF(MATCHED!AO61=3,MATCHED!$D61,IF(MATCHED!AO61=4,MATCHED!$E61,IF(MATCHED!AO61=3,MATCHED!$F61,IF(MATCHED!AO61=6,MATCHED!$G61,IF(MATCHED!AO61=7,MATCHED!$H61,"")))))))&amp;IF(MATCHED!AO61=8,MATCHED!$I61,IF(MATCHED!AO61=9,MATCHED!$J61,IF(MATCHED!AO61=10,MATCHED!$K61,IF(MATCHED!AO61=11,MATCHED!$L61,IF(MATCHED!AO61=12,MATCHED!$M61,IF(MATCHED!AO61=13,MATCHED!$N61,IF(MATCHED!AO61=14,MATCHED!$O61,"")))))))&amp;IF(MATCHED!AO61=15,MATCHED!$P61,IF(MATCHED!AO61=16,MATCHED!$Q61,IF(MATCHED!AO61=17,MATCHED!$R61,IF(MATCHED!AO61=18,MATCHED!$S61,IF(MATCHED!AO61=19,MATCHED!$T61,IF(MATCHED!AO61=20,MATCHED!$U61,IF(MATCHED!AO61=21,MATCHED!$V61,)))))))&amp;IF(MATCHED!AO61=22,MATCHED!$W61,IF(MATCHED!AO61=23,MATCHED!$X61,IF(MATCHED!AO61=24,MATCHED!$Y61,IF(MATCHED!AO61=25,MATCHED!$Z61,IF(MATCHED!AO61=26,MATCHED!$AA61,IF(MATCHED!AO61=27,MATCHED!$AB61,"."))))))</f>
        <v>#N/A</v>
      </c>
      <c r="N61" s="379" t="e">
        <f>IF(MATCHED!AP61=1,MATCHED!$B61,IF(MATCHED!AP61=2,MATCHED!$C61,IF(MATCHED!AP61=3,MATCHED!$D61,IF(MATCHED!AP61=4,MATCHED!$E61,IF(MATCHED!AP61=3,MATCHED!$F61,IF(MATCHED!AP61=6,MATCHED!$G61,IF(MATCHED!AP61=7,MATCHED!$H61,"")))))))&amp;IF(MATCHED!AP61=8,MATCHED!$I61,IF(MATCHED!AP61=9,MATCHED!$J61,IF(MATCHED!AP61=10,MATCHED!$K61,IF(MATCHED!AP61=11,MATCHED!$L61,IF(MATCHED!AP61=12,MATCHED!$M61,IF(MATCHED!AP61=13,MATCHED!$N61,IF(MATCHED!AP61=14,MATCHED!$O61,"")))))))&amp;IF(MATCHED!AP61=15,MATCHED!$P61,IF(MATCHED!AP61=16,MATCHED!$Q61,IF(MATCHED!AP61=17,MATCHED!$R61,IF(MATCHED!AP61=18,MATCHED!$S61,IF(MATCHED!AP61=19,MATCHED!$T61,IF(MATCHED!AP61=20,MATCHED!$U61,IF(MATCHED!AP61=21,MATCHED!$V61,)))))))&amp;IF(MATCHED!AP61=22,MATCHED!$W61,IF(MATCHED!AP61=23,MATCHED!$X61,IF(MATCHED!AP61=24,MATCHED!$Y61,IF(MATCHED!AP61=25,MATCHED!$Z61,IF(MATCHED!AP61=26,MATCHED!$AA61,IF(MATCHED!AP61=27,MATCHED!$AB61,"."))))))</f>
        <v>#N/A</v>
      </c>
      <c r="O61" s="379" t="e">
        <f>IF(MATCHED!AQ61=1,MATCHED!$B61,IF(MATCHED!AQ61=2,MATCHED!$C61,IF(MATCHED!AQ61=3,MATCHED!$D61,IF(MATCHED!AQ61=4,MATCHED!$E61,IF(MATCHED!AQ61=3,MATCHED!$F61,IF(MATCHED!AQ61=6,MATCHED!$G61,IF(MATCHED!AQ61=7,MATCHED!$H61,"")))))))&amp;IF(MATCHED!AQ61=8,MATCHED!$I61,IF(MATCHED!AQ61=9,MATCHED!$J61,IF(MATCHED!AQ61=10,MATCHED!$K61,IF(MATCHED!AQ61=11,MATCHED!$L61,IF(MATCHED!AQ61=12,MATCHED!$M61,IF(MATCHED!AQ61=13,MATCHED!$N61,IF(MATCHED!AQ61=14,MATCHED!$O61,"")))))))&amp;IF(MATCHED!AQ61=15,MATCHED!$P61,IF(MATCHED!AQ61=16,MATCHED!$Q61,IF(MATCHED!AQ61=17,MATCHED!$R61,IF(MATCHED!AQ61=18,MATCHED!$S61,IF(MATCHED!AQ61=19,MATCHED!$T61,IF(MATCHED!AQ61=20,MATCHED!$U61,IF(MATCHED!AQ61=21,MATCHED!$V61,)))))))&amp;IF(MATCHED!AQ61=22,MATCHED!$W61,IF(MATCHED!AQ61=23,MATCHED!$X61,IF(MATCHED!AQ61=24,MATCHED!$Y61,IF(MATCHED!AQ61=25,MATCHED!$Z61,IF(MATCHED!AQ61=26,MATCHED!$AA61,IF(MATCHED!AQ61=27,MATCHED!$AB61,"."))))))</f>
        <v>#N/A</v>
      </c>
      <c r="P61" s="379" t="e">
        <f>IF(MATCHED!AR61=1,MATCHED!$B61,IF(MATCHED!AR61=2,MATCHED!$C61,IF(MATCHED!AR61=3,MATCHED!$D61,IF(MATCHED!AR61=4,MATCHED!$E61,IF(MATCHED!AR61=3,MATCHED!$F61,IF(MATCHED!AR61=6,MATCHED!$G61,IF(MATCHED!AR61=7,MATCHED!$H61,"")))))))&amp;IF(MATCHED!AR61=8,MATCHED!$I61,IF(MATCHED!AR61=9,MATCHED!$J61,IF(MATCHED!AR61=10,MATCHED!$K61,IF(MATCHED!AR61=11,MATCHED!$L61,IF(MATCHED!AR61=12,MATCHED!$M61,IF(MATCHED!AR61=13,MATCHED!$N61,IF(MATCHED!AR61=14,MATCHED!$O61,"")))))))&amp;IF(MATCHED!AR61=15,MATCHED!$P61,IF(MATCHED!AR61=16,MATCHED!$Q61,IF(MATCHED!AR61=17,MATCHED!$R61,IF(MATCHED!AR61=18,MATCHED!$S61,IF(MATCHED!AR61=19,MATCHED!$T61,IF(MATCHED!AR61=20,MATCHED!$U61,IF(MATCHED!AR61=21,MATCHED!$V61,)))))))&amp;IF(MATCHED!AR61=22,MATCHED!$W61,IF(MATCHED!AR61=23,MATCHED!$X61,IF(MATCHED!AR61=24,MATCHED!$Y61,IF(MATCHED!AR61=25,MATCHED!$Z61,IF(MATCHED!AR61=26,MATCHED!$AA61,IF(MATCHED!AR61=27,MATCHED!$AB61,"."))))))</f>
        <v>#N/A</v>
      </c>
      <c r="Q61" s="380" t="e">
        <f>IF(MATCHED!AS61=1,MATCHED!$B61,IF(MATCHED!AS61=2,MATCHED!$C61,IF(MATCHED!AS61=3,MATCHED!$D61,IF(MATCHED!AS61=4,MATCHED!$E61,IF(MATCHED!AS61=3,MATCHED!$F61,IF(MATCHED!AS61=6,MATCHED!$G61,IF(MATCHED!AS61=7,MATCHED!$H61,"")))))))&amp;IF(MATCHED!AS61=8,MATCHED!$I61,IF(MATCHED!AS61=9,MATCHED!$J61,IF(MATCHED!AS61=10,MATCHED!$K61,IF(MATCHED!AS61=11,MATCHED!$L61,IF(MATCHED!AS61=12,MATCHED!$M61,IF(MATCHED!AS61=13,MATCHED!$N61,IF(MATCHED!AS61=14,MATCHED!$O61,"")))))))&amp;IF(MATCHED!AS61=15,MATCHED!$P61,IF(MATCHED!AS61=16,MATCHED!$Q61,IF(MATCHED!AS61=17,MATCHED!$R61,IF(MATCHED!AS61=18,MATCHED!$S61,IF(MATCHED!AS61=19,MATCHED!$T61,IF(MATCHED!AS61=20,MATCHED!$U61,IF(MATCHED!AS61=21,MATCHED!$V61,)))))))&amp;IF(MATCHED!AS61=22,MATCHED!$W61,IF(MATCHED!AS61=23,MATCHED!$X61,IF(MATCHED!AS61=24,MATCHED!$Y61,IF(MATCHED!AS61=25,MATCHED!$Z61,IF(MATCHED!AS61=26,MATCHED!$AA61,IF(MATCHED!AS61=27,MATCHED!$AB61,"."))))))</f>
        <v>#N/A</v>
      </c>
      <c r="R61" s="379" t="e">
        <f>IF(MATCHED!AT61=1,MATCHED!$B61,IF(MATCHED!AT61=2,MATCHED!$C61,IF(MATCHED!AT61=3,MATCHED!$D61,IF(MATCHED!AT61=4,MATCHED!$E61,IF(MATCHED!AT61=3,MATCHED!$F61,IF(MATCHED!AT61=6,MATCHED!$G61,IF(MATCHED!AT61=7,MATCHED!$H61,"")))))))&amp;IF(MATCHED!AT61=8,MATCHED!$I61,IF(MATCHED!AT61=9,MATCHED!$J61,IF(MATCHED!AT61=10,MATCHED!$K61,IF(MATCHED!AT61=11,MATCHED!$L61,IF(MATCHED!AT61=12,MATCHED!$M61,IF(MATCHED!AT61=13,MATCHED!$N61,IF(MATCHED!AT61=14,MATCHED!$O61,"")))))))&amp;IF(MATCHED!AT61=15,MATCHED!$P61,IF(MATCHED!AT61=16,MATCHED!$Q61,IF(MATCHED!AT61=17,MATCHED!$R61,IF(MATCHED!AT61=18,MATCHED!$S61,IF(MATCHED!AT61=19,MATCHED!$T61,IF(MATCHED!AT61=20,MATCHED!$U61,IF(MATCHED!AT61=21,MATCHED!$V61,)))))))&amp;IF(MATCHED!AT61=22,MATCHED!$W61,IF(MATCHED!AT61=23,MATCHED!$X61,IF(MATCHED!AT61=24,MATCHED!$Y61,IF(MATCHED!AT61=25,MATCHED!$Z61,IF(MATCHED!AT61=26,MATCHED!$AA61,IF(MATCHED!AT61=27,MATCHED!$AB61,"."))))))</f>
        <v>#N/A</v>
      </c>
      <c r="S61" s="379" t="e">
        <f>IF(MATCHED!AU61=1,MATCHED!$B61,IF(MATCHED!AU61=2,MATCHED!$C61,IF(MATCHED!AU61=3,MATCHED!$D61,IF(MATCHED!AU61=4,MATCHED!$E61,IF(MATCHED!AU61=3,MATCHED!$F61,IF(MATCHED!AU61=6,MATCHED!$G61,IF(MATCHED!AU61=7,MATCHED!$H61,"")))))))&amp;IF(MATCHED!AU61=8,MATCHED!$I61,IF(MATCHED!AU61=9,MATCHED!$J61,IF(MATCHED!AU61=10,MATCHED!$K61,IF(MATCHED!AU61=11,MATCHED!$L61,IF(MATCHED!AU61=12,MATCHED!$M61,IF(MATCHED!AU61=13,MATCHED!$N61,IF(MATCHED!AU61=14,MATCHED!$O61,"")))))))&amp;IF(MATCHED!AU61=15,MATCHED!$P61,IF(MATCHED!AU61=16,MATCHED!$Q61,IF(MATCHED!AU61=17,MATCHED!$R61,IF(MATCHED!AU61=18,MATCHED!$S61,IF(MATCHED!AU61=19,MATCHED!$T61,IF(MATCHED!AU61=20,MATCHED!$U61,IF(MATCHED!AU61=21,MATCHED!$V61,)))))))&amp;IF(MATCHED!AU61=22,MATCHED!$W61,IF(MATCHED!AU61=23,MATCHED!$X61,IF(MATCHED!AU61=24,MATCHED!$Y61,IF(MATCHED!AU61=25,MATCHED!$Z61,IF(MATCHED!AU61=26,MATCHED!$AA61,IF(MATCHED!AU61=27,MATCHED!$AB61,"."))))))</f>
        <v>#N/A</v>
      </c>
      <c r="T61" s="379" t="e">
        <f>IF(MATCHED!AV61=1,MATCHED!$B61,IF(MATCHED!AV61=2,MATCHED!$C61,IF(MATCHED!AV61=3,MATCHED!$D61,IF(MATCHED!AV61=4,MATCHED!$E61,IF(MATCHED!AV61=3,MATCHED!$F61,IF(MATCHED!AV61=6,MATCHED!$G61,IF(MATCHED!AV61=7,MATCHED!$H61,"")))))))&amp;IF(MATCHED!AV61=8,MATCHED!$I61,IF(MATCHED!AV61=9,MATCHED!$J61,IF(MATCHED!AV61=10,MATCHED!$K61,IF(MATCHED!AV61=11,MATCHED!$L61,IF(MATCHED!AV61=12,MATCHED!$M61,IF(MATCHED!AV61=13,MATCHED!$N61,IF(MATCHED!AV61=14,MATCHED!$O61,"")))))))&amp;IF(MATCHED!AV61=15,MATCHED!$P61,IF(MATCHED!AV61=16,MATCHED!$Q61,IF(MATCHED!AV61=17,MATCHED!$R61,IF(MATCHED!AV61=18,MATCHED!$S61,IF(MATCHED!AV61=19,MATCHED!$T61,IF(MATCHED!AV61=20,MATCHED!$U61,IF(MATCHED!AV61=21,MATCHED!$V61,)))))))&amp;IF(MATCHED!AV61=22,MATCHED!$W61,IF(MATCHED!AV61=23,MATCHED!$X61,IF(MATCHED!AV61=24,MATCHED!$Y61,IF(MATCHED!AV61=25,MATCHED!$Z61,IF(MATCHED!AV61=26,MATCHED!$AA61,IF(MATCHED!AV61=27,MATCHED!$AB61,"."))))))</f>
        <v>#N/A</v>
      </c>
      <c r="U61" s="379" t="e">
        <f>IF(MATCHED!AW61=1,MATCHED!$B61,IF(MATCHED!AW61=2,MATCHED!$C61,IF(MATCHED!AW61=3,MATCHED!$D61,IF(MATCHED!AW61=4,MATCHED!$E61,IF(MATCHED!AW61=3,MATCHED!$F61,IF(MATCHED!AW61=6,MATCHED!$G61,IF(MATCHED!AW61=7,MATCHED!$H61,"")))))))&amp;IF(MATCHED!AW61=8,MATCHED!$I61,IF(MATCHED!AW61=9,MATCHED!$J61,IF(MATCHED!AW61=10,MATCHED!$K61,IF(MATCHED!AW61=11,MATCHED!$L61,IF(MATCHED!AW61=12,MATCHED!$M61,IF(MATCHED!AW61=13,MATCHED!$N61,IF(MATCHED!AW61=14,MATCHED!$O61,"")))))))&amp;IF(MATCHED!AW61=15,MATCHED!$P61,IF(MATCHED!AW61=16,MATCHED!$Q61,IF(MATCHED!AW61=17,MATCHED!$R61,IF(MATCHED!AW61=18,MATCHED!$S61,IF(MATCHED!AW61=19,MATCHED!$T61,IF(MATCHED!AW61=20,MATCHED!$U61,IF(MATCHED!AW61=21,MATCHED!$V61,)))))))&amp;IF(MATCHED!AW61=22,MATCHED!$W61,IF(MATCHED!AW61=23,MATCHED!$X61,IF(MATCHED!AW61=24,MATCHED!$Y61,IF(MATCHED!AW61=25,MATCHED!$Z61,IF(MATCHED!AW61=26,MATCHED!$AA61,IF(MATCHED!AW61=27,MATCHED!$AB61,"."))))))</f>
        <v>#N/A</v>
      </c>
      <c r="V61" s="379" t="e">
        <f>IF(MATCHED!AX61=1,MATCHED!$B61,IF(MATCHED!AX61=2,MATCHED!$C61,IF(MATCHED!AX61=3,MATCHED!$D61,IF(MATCHED!AX61=4,MATCHED!$E61,IF(MATCHED!AX61=3,MATCHED!$F61,IF(MATCHED!AX61=6,MATCHED!$G61,IF(MATCHED!AX61=7,MATCHED!$H61,"")))))))&amp;IF(MATCHED!AX61=8,MATCHED!$I61,IF(MATCHED!AX61=9,MATCHED!$J61,IF(MATCHED!AX61=10,MATCHED!$K61,IF(MATCHED!AX61=11,MATCHED!$L61,IF(MATCHED!AX61=12,MATCHED!$M61,IF(MATCHED!AX61=13,MATCHED!$N61,IF(MATCHED!AX61=14,MATCHED!$O61,"")))))))&amp;IF(MATCHED!AX61=15,MATCHED!$P61,IF(MATCHED!AX61=16,MATCHED!$Q61,IF(MATCHED!AX61=17,MATCHED!$R61,IF(MATCHED!AX61=18,MATCHED!$S61,IF(MATCHED!AX61=19,MATCHED!$T61,IF(MATCHED!AX61=20,MATCHED!$U61,IF(MATCHED!AX61=21,MATCHED!$V61,)))))))&amp;IF(MATCHED!AX61=22,MATCHED!$W61,IF(MATCHED!AX61=23,MATCHED!$X61,IF(MATCHED!AX61=24,MATCHED!$Y61,IF(MATCHED!AX61=25,MATCHED!$Z61,IF(MATCHED!AX61=26,MATCHED!$AA61,IF(MATCHED!AX61=27,MATCHED!$AB61,"."))))))</f>
        <v>#N/A</v>
      </c>
      <c r="W61" s="379" t="e">
        <f>IF(MATCHED!AY61=1,MATCHED!$B61,IF(MATCHED!AY61=2,MATCHED!$C61,IF(MATCHED!AY61=3,MATCHED!$D61,IF(MATCHED!AY61=4,MATCHED!$E61,IF(MATCHED!AY61=3,MATCHED!$F61,IF(MATCHED!AY61=6,MATCHED!$G61,IF(MATCHED!AY61=7,MATCHED!$H61,"")))))))&amp;IF(MATCHED!AY61=8,MATCHED!$I61,IF(MATCHED!AY61=9,MATCHED!$J61,IF(MATCHED!AY61=10,MATCHED!$K61,IF(MATCHED!AY61=11,MATCHED!$L61,IF(MATCHED!AY61=12,MATCHED!$M61,IF(MATCHED!AY61=13,MATCHED!$N61,IF(MATCHED!AY61=14,MATCHED!$O61,"")))))))&amp;IF(MATCHED!AY61=15,MATCHED!$P61,IF(MATCHED!AY61=16,MATCHED!$Q61,IF(MATCHED!AY61=17,MATCHED!$R61,IF(MATCHED!AY61=18,MATCHED!$S61,IF(MATCHED!AY61=19,MATCHED!$T61,IF(MATCHED!AY61=20,MATCHED!$U61,IF(MATCHED!AY61=21,MATCHED!$V61,)))))))&amp;IF(MATCHED!AY61=22,MATCHED!$W61,IF(MATCHED!AY61=23,MATCHED!$X61,IF(MATCHED!AY61=24,MATCHED!$Y61,IF(MATCHED!AY61=25,MATCHED!$Z61,IF(MATCHED!AY61=26,MATCHED!$AA61,IF(MATCHED!AY61=27,MATCHED!$AB61,"."))))))</f>
        <v>#N/A</v>
      </c>
      <c r="X61" s="379" t="e">
        <f>IF(MATCHED!AZ61=1,MATCHED!$B61,IF(MATCHED!AZ61=2,MATCHED!$C61,IF(MATCHED!AZ61=3,MATCHED!$D61,IF(MATCHED!AZ61=4,MATCHED!$E61,IF(MATCHED!AZ61=3,MATCHED!$F61,IF(MATCHED!AZ61=6,MATCHED!$G61,IF(MATCHED!AZ61=7,MATCHED!$H61,"")))))))&amp;IF(MATCHED!AZ61=8,MATCHED!$I61,IF(MATCHED!AZ61=9,MATCHED!$J61,IF(MATCHED!AZ61=10,MATCHED!$K61,IF(MATCHED!AZ61=11,MATCHED!$L61,IF(MATCHED!AZ61=12,MATCHED!$M61,IF(MATCHED!AZ61=13,MATCHED!$N61,IF(MATCHED!AZ61=14,MATCHED!$O61,"")))))))&amp;IF(MATCHED!AZ61=15,MATCHED!$P61,IF(MATCHED!AZ61=16,MATCHED!$Q61,IF(MATCHED!AZ61=17,MATCHED!$R61,IF(MATCHED!AZ61=18,MATCHED!$S61,IF(MATCHED!AZ61=19,MATCHED!$T61,IF(MATCHED!AZ61=20,MATCHED!$U61,IF(MATCHED!AZ61=21,MATCHED!$V61,)))))))&amp;IF(MATCHED!AZ61=22,MATCHED!$W61,IF(MATCHED!AZ61=23,MATCHED!$X61,IF(MATCHED!AZ61=24,MATCHED!$Y61,IF(MATCHED!AZ61=25,MATCHED!$Z61,IF(MATCHED!AZ61=26,MATCHED!$AA61,IF(MATCHED!AZ61=27,MATCHED!$AB61,"."))))))</f>
        <v>#N/A</v>
      </c>
      <c r="Y61" s="379" t="e">
        <f>IF(MATCHED!BA61=1,MATCHED!$B61,IF(MATCHED!BA61=2,MATCHED!$C61,IF(MATCHED!BA61=3,MATCHED!$D61,IF(MATCHED!BA61=4,MATCHED!$E61,IF(MATCHED!BA61=3,MATCHED!$F61,IF(MATCHED!BA61=6,MATCHED!$G61,IF(MATCHED!BA61=7,MATCHED!$H61,"")))))))&amp;IF(MATCHED!BA61=8,MATCHED!$I61,IF(MATCHED!BA61=9,MATCHED!$J61,IF(MATCHED!BA61=10,MATCHED!$K61,IF(MATCHED!BA61=11,MATCHED!$L61,IF(MATCHED!BA61=12,MATCHED!$M61,IF(MATCHED!BA61=13,MATCHED!$N61,IF(MATCHED!BA61=14,MATCHED!$O61,"")))))))&amp;IF(MATCHED!BA61=15,MATCHED!$P61,IF(MATCHED!BA61=16,MATCHED!$Q61,IF(MATCHED!BA61=17,MATCHED!$R61,IF(MATCHED!BA61=18,MATCHED!$S61,IF(MATCHED!BA61=19,MATCHED!$T61,IF(MATCHED!BA61=20,MATCHED!$U61,IF(MATCHED!BA61=21,MATCHED!$V61,)))))))&amp;IF(MATCHED!BA61=22,MATCHED!$W61,IF(MATCHED!BA61=23,MATCHED!$X61,IF(MATCHED!BA61=24,MATCHED!$Y61,IF(MATCHED!BA61=25,MATCHED!$Z61,IF(MATCHED!BA61=26,MATCHED!$AA61,IF(MATCHED!BA61=27,MATCHED!$AB61,"."))))))</f>
        <v>#N/A</v>
      </c>
      <c r="Z61" s="379" t="e">
        <f>IF(MATCHED!BB61=1,MATCHED!$B61,IF(MATCHED!BB61=2,MATCHED!$C61,IF(MATCHED!BB61=3,MATCHED!$D61,IF(MATCHED!BB61=4,MATCHED!$E61,IF(MATCHED!BB61=3,MATCHED!$F61,IF(MATCHED!BB61=6,MATCHED!$G61,IF(MATCHED!BB61=7,MATCHED!$H61,"")))))))&amp;IF(MATCHED!BB61=8,MATCHED!$I61,IF(MATCHED!BB61=9,MATCHED!$J61,IF(MATCHED!BB61=10,MATCHED!$K61,IF(MATCHED!BB61=11,MATCHED!$L61,IF(MATCHED!BB61=12,MATCHED!$M61,IF(MATCHED!BB61=13,MATCHED!$N61,IF(MATCHED!BB61=14,MATCHED!$O61,"")))))))&amp;IF(MATCHED!BB61=15,MATCHED!$P61,IF(MATCHED!BB61=16,MATCHED!$Q61,IF(MATCHED!BB61=17,MATCHED!$R61,IF(MATCHED!BB61=18,MATCHED!$S61,IF(MATCHED!BB61=19,MATCHED!$T61,IF(MATCHED!BB61=20,MATCHED!$U61,IF(MATCHED!BB61=21,MATCHED!$V61,)))))))&amp;IF(MATCHED!BB61=22,MATCHED!$W61,IF(MATCHED!BB61=23,MATCHED!$X61,IF(MATCHED!BB61=24,MATCHED!$Y61,IF(MATCHED!BB61=25,MATCHED!$Z61,IF(MATCHED!BB61=26,MATCHED!$AA61,IF(MATCHED!BB61=27,MATCHED!$AB61,"."))))))</f>
        <v>#N/A</v>
      </c>
      <c r="AA61" s="379" t="e">
        <f>IF(MATCHED!BC61=1,MATCHED!$B61,IF(MATCHED!BC61=2,MATCHED!$C61,IF(MATCHED!BC61=3,MATCHED!$D61,IF(MATCHED!BC61=4,MATCHED!$E61,IF(MATCHED!BC61=3,MATCHED!$F61,IF(MATCHED!BC61=6,MATCHED!$G61,IF(MATCHED!BC61=7,MATCHED!$H61,"")))))))&amp;IF(MATCHED!BC61=8,MATCHED!$I61,IF(MATCHED!BC61=9,MATCHED!$J61,IF(MATCHED!BC61=10,MATCHED!$K61,IF(MATCHED!BC61=11,MATCHED!$L61,IF(MATCHED!BC61=12,MATCHED!$M61,IF(MATCHED!BC61=13,MATCHED!$N61,IF(MATCHED!BC61=14,MATCHED!$O61,"")))))))&amp;IF(MATCHED!BC61=15,MATCHED!$P61,IF(MATCHED!BC61=16,MATCHED!$Q61,IF(MATCHED!BC61=17,MATCHED!$R61,IF(MATCHED!BC61=18,MATCHED!$S61,IF(MATCHED!BC61=19,MATCHED!$T61,IF(MATCHED!BC61=20,MATCHED!$U61,IF(MATCHED!BC61=21,MATCHED!$V61,)))))))&amp;IF(MATCHED!BC61=22,MATCHED!$W61,IF(MATCHED!BC61=23,MATCHED!$X61,IF(MATCHED!BC61=24,MATCHED!$Y61,IF(MATCHED!BC61=25,MATCHED!$Z61,IF(MATCHED!BC61=26,MATCHED!$AA61,IF(MATCHED!BC61=27,MATCHED!$AB61,"."))))))</f>
        <v>#N/A</v>
      </c>
      <c r="AB61" s="379" t="e">
        <f>IF(MATCHED!BD61=1,MATCHED!$B61,IF(MATCHED!BD61=2,MATCHED!$C61,IF(MATCHED!BD61=3,MATCHED!$D61,IF(MATCHED!BD61=4,MATCHED!$E61,IF(MATCHED!BD61=3,MATCHED!$F61,IF(MATCHED!BD61=6,MATCHED!$G61,IF(MATCHED!BD61=7,MATCHED!$H61,"")))))))&amp;IF(MATCHED!BD61=8,MATCHED!$I61,IF(MATCHED!BD61=9,MATCHED!$J61,IF(MATCHED!BD61=10,MATCHED!$K61,IF(MATCHED!BD61=11,MATCHED!$L61,IF(MATCHED!BD61=12,MATCHED!$M61,IF(MATCHED!BD61=13,MATCHED!$N61,IF(MATCHED!BD61=14,MATCHED!$O61,"")))))))&amp;IF(MATCHED!BD61=15,MATCHED!$P61,IF(MATCHED!BD61=16,MATCHED!$Q61,IF(MATCHED!BD61=17,MATCHED!$R61,IF(MATCHED!BD61=18,MATCHED!$S61,IF(MATCHED!BD61=19,MATCHED!$T61,IF(MATCHED!BD61=20,MATCHED!$U61,IF(MATCHED!BD61=21,MATCHED!$V61,)))))))&amp;IF(MATCHED!BD61=22,MATCHED!$W61,IF(MATCHED!BD61=23,MATCHED!$X61,IF(MATCHED!BD61=24,MATCHED!$Y61,IF(MATCHED!BD61=25,MATCHED!$Z61,IF(MATCHED!BD61=26,MATCHED!$AA61,IF(MATCHED!BD61=27,MATCHED!$AB61,"."))))))</f>
        <v>#N/A</v>
      </c>
      <c r="AC61" s="379" t="e">
        <f>IF(MATCHED!BE61=1,MATCHED!$B61,IF(MATCHED!BE61=2,MATCHED!$C61,IF(MATCHED!BE61=3,MATCHED!$D61,IF(MATCHED!BE61=4,MATCHED!$E61,IF(MATCHED!BE61=3,MATCHED!$F61,IF(MATCHED!BE61=6,MATCHED!$G61,IF(MATCHED!BE61=7,MATCHED!$H61,"")))))))&amp;IF(MATCHED!BE61=8,MATCHED!$I61,IF(MATCHED!BE61=9,MATCHED!$J61,IF(MATCHED!BE61=10,MATCHED!$K61,IF(MATCHED!BE61=11,MATCHED!$L61,IF(MATCHED!BE61=12,MATCHED!$M61,IF(MATCHED!BE61=13,MATCHED!$N61,IF(MATCHED!BE61=14,MATCHED!$O61,"")))))))&amp;IF(MATCHED!BE61=15,MATCHED!$P61,IF(MATCHED!BE61=16,MATCHED!$Q61,IF(MATCHED!BE61=17,MATCHED!$R61,IF(MATCHED!BE61=18,MATCHED!$S61,IF(MATCHED!BE61=19,MATCHED!$T61,IF(MATCHED!BE61=20,MATCHED!$U61,IF(MATCHED!BE61=21,MATCHED!$V61,)))))))&amp;IF(MATCHED!BE61=22,MATCHED!$W61,IF(MATCHED!BE61=23,MATCHED!$X61,IF(MATCHED!BE61=24,MATCHED!$Y61,IF(MATCHED!BE61=25,MATCHED!$Z61,IF(MATCHED!BE61=26,MATCHED!$AA61,IF(MATCHED!BE61=27,MATCHED!$AB61,"."))))))</f>
        <v>#N/A</v>
      </c>
      <c r="AD61" s="379" t="e">
        <f>IF(MATCHED!BF61=1,MATCHED!$B61,IF(MATCHED!BF61=2,MATCHED!$C61,IF(MATCHED!BF61=3,MATCHED!$D61,IF(MATCHED!BF61=4,MATCHED!$E61,IF(MATCHED!BF61=3,MATCHED!$F61,IF(MATCHED!BF61=6,MATCHED!$G61,IF(MATCHED!BF61=7,MATCHED!$H61,"")))))))&amp;IF(MATCHED!BF61=8,MATCHED!$I61,IF(MATCHED!BF61=9,MATCHED!$J61,IF(MATCHED!BF61=10,MATCHED!$K61,IF(MATCHED!BF61=11,MATCHED!$L61,IF(MATCHED!BF61=12,MATCHED!$M61,IF(MATCHED!BF61=13,MATCHED!$N61,IF(MATCHED!BF61=14,MATCHED!$O61,"")))))))&amp;IF(MATCHED!BF61=15,MATCHED!$P61,IF(MATCHED!BF61=16,MATCHED!$Q61,IF(MATCHED!BF61=17,MATCHED!$R61,IF(MATCHED!BF61=18,MATCHED!$S61,IF(MATCHED!BF61=19,MATCHED!$T61,IF(MATCHED!BF61=20,MATCHED!$U61,IF(MATCHED!BF61=21,MATCHED!$V61,)))))))&amp;IF(MATCHED!BF61=22,MATCHED!$W61,IF(MATCHED!BF61=23,MATCHED!$X61,IF(MATCHED!BF61=24,MATCHED!$Y61,IF(MATCHED!BF61=25,MATCHED!$Z61,IF(MATCHED!BF61=26,MATCHED!$AA61,IF(MATCHED!BF61=27,MATCHED!$AB61,"."))))))</f>
        <v>#N/A</v>
      </c>
      <c r="AE61" s="379" t="e">
        <f>IF(MATCHED!BG61=1,MATCHED!$B61,IF(MATCHED!BG61=2,MATCHED!$C61,IF(MATCHED!BG61=3,MATCHED!$D61,IF(MATCHED!BG61=4,MATCHED!$E61,IF(MATCHED!BG61=3,MATCHED!$F61,IF(MATCHED!BG61=6,MATCHED!$G61,IF(MATCHED!BG61=7,MATCHED!$H61,"")))))))&amp;IF(MATCHED!BG61=8,MATCHED!$I61,IF(MATCHED!BG61=9,MATCHED!$J61,IF(MATCHED!BG61=10,MATCHED!$K61,IF(MATCHED!BG61=11,MATCHED!$L61,IF(MATCHED!BG61=12,MATCHED!$M61,IF(MATCHED!BG61=13,MATCHED!$N61,IF(MATCHED!BG61=14,MATCHED!$O61,"")))))))&amp;IF(MATCHED!BG61=15,MATCHED!$P61,IF(MATCHED!BG61=16,MATCHED!$Q61,IF(MATCHED!BG61=17,MATCHED!$R61,IF(MATCHED!BG61=18,MATCHED!$S61,IF(MATCHED!BG61=19,MATCHED!$T61,IF(MATCHED!BG61=20,MATCHED!$U61,IF(MATCHED!BG61=21,MATCHED!$V61,)))))))&amp;IF(MATCHED!BG61=22,MATCHED!$W61,IF(MATCHED!BG61=23,MATCHED!$X61,IF(MATCHED!BG61=24,MATCHED!$Y61,IF(MATCHED!BG61=25,MATCHED!$Z61,IF(MATCHED!BG61=26,MATCHED!$AA61,IF(MATCHED!BG61=27,MATCHED!$AB61,"."))))))</f>
        <v>#N/A</v>
      </c>
      <c r="AF61" s="379" t="e">
        <f>IF(MATCHED!BH61=1,MATCHED!$B61,IF(MATCHED!BH61=2,MATCHED!$C61,IF(MATCHED!BH61=3,MATCHED!$D61,IF(MATCHED!BH61=4,MATCHED!$E61,IF(MATCHED!BH61=3,MATCHED!$F61,IF(MATCHED!BH61=6,MATCHED!$G61,IF(MATCHED!BH61=7,MATCHED!$H61,"")))))))&amp;IF(MATCHED!BH61=8,MATCHED!$I61,IF(MATCHED!BH61=9,MATCHED!$J61,IF(MATCHED!BH61=10,MATCHED!$K61,IF(MATCHED!BH61=11,MATCHED!$L61,IF(MATCHED!BH61=12,MATCHED!$M61,IF(MATCHED!BH61=13,MATCHED!$N61,IF(MATCHED!BH61=14,MATCHED!$O61,"")))))))&amp;IF(MATCHED!BH61=15,MATCHED!$P61,IF(MATCHED!BH61=16,MATCHED!$Q61,IF(MATCHED!BH61=17,MATCHED!$R61,IF(MATCHED!BH61=18,MATCHED!$S61,IF(MATCHED!BH61=19,MATCHED!$T61,IF(MATCHED!BH61=20,MATCHED!$U61,IF(MATCHED!BH61=21,MATCHED!$V61,)))))))&amp;IF(MATCHED!BH61=22,MATCHED!$W61,IF(MATCHED!BH61=23,MATCHED!$X61,IF(MATCHED!BH61=24,MATCHED!$Y61,IF(MATCHED!BH61=25,MATCHED!$Z61,IF(MATCHED!BH61=26,MATCHED!$AA61,IF(MATCHED!BH61=27,MATCHED!$AB61,"."))))))</f>
        <v>#N/A</v>
      </c>
      <c r="AG61" s="379" t="e">
        <f>IF(MATCHED!BI61=1,MATCHED!$B61,IF(MATCHED!BI61=2,MATCHED!$C61,IF(MATCHED!BI61=3,MATCHED!$D61,IF(MATCHED!BI61=4,MATCHED!$E61,IF(MATCHED!BI61=3,MATCHED!$F61,IF(MATCHED!BI61=6,MATCHED!$G61,IF(MATCHED!BI61=7,MATCHED!$H61,"")))))))&amp;IF(MATCHED!BI61=8,MATCHED!$I61,IF(MATCHED!BI61=9,MATCHED!$J61,IF(MATCHED!BI61=10,MATCHED!$K61,IF(MATCHED!BI61=11,MATCHED!$L61,IF(MATCHED!BI61=12,MATCHED!$M61,IF(MATCHED!BI61=13,MATCHED!$N61,IF(MATCHED!BI61=14,MATCHED!$O61,"")))))))&amp;IF(MATCHED!BI61=15,MATCHED!$P61,IF(MATCHED!BI61=16,MATCHED!$Q61,IF(MATCHED!BI61=17,MATCHED!$R61,IF(MATCHED!BI61=18,MATCHED!$S61,IF(MATCHED!BI61=19,MATCHED!$T61,IF(MATCHED!BI61=20,MATCHED!$U61,IF(MATCHED!BI61=21,MATCHED!$V61,)))))))&amp;IF(MATCHED!BI61=22,MATCHED!$W61,IF(MATCHED!BI61=23,MATCHED!$X61,IF(MATCHED!BI61=24,MATCHED!$Y61,IF(MATCHED!BI61=25,MATCHED!$Z61,IF(MATCHED!BI61=26,MATCHED!$AA61,IF(MATCHED!BI61=27,MATCHED!$AB61,"."))))))</f>
        <v>#N/A</v>
      </c>
      <c r="AH61" s="379" t="e">
        <f>IF(MATCHED!BJ61=1,MATCHED!$B61,IF(MATCHED!BJ61=2,MATCHED!$C61,IF(MATCHED!BJ61=3,MATCHED!$D61,IF(MATCHED!BJ61=4,MATCHED!$E61,IF(MATCHED!BJ61=3,MATCHED!$F61,IF(MATCHED!BJ61=6,MATCHED!$G61,IF(MATCHED!BJ61=7,MATCHED!$H61,"")))))))&amp;IF(MATCHED!BJ61=8,MATCHED!$I61,IF(MATCHED!BJ61=9,MATCHED!$J61,IF(MATCHED!BJ61=10,MATCHED!$K61,IF(MATCHED!BJ61=11,MATCHED!$L61,IF(MATCHED!BJ61=12,MATCHED!$M61,IF(MATCHED!BJ61=13,MATCHED!$N61,IF(MATCHED!BJ61=14,MATCHED!$O61,"")))))))&amp;IF(MATCHED!BJ61=15,MATCHED!$P61,IF(MATCHED!BJ61=16,MATCHED!$Q61,IF(MATCHED!BJ61=17,MATCHED!$R61,IF(MATCHED!BJ61=18,MATCHED!$S61,IF(MATCHED!BJ61=19,MATCHED!$T61,IF(MATCHED!BJ61=20,MATCHED!$U61,IF(MATCHED!BJ61=21,MATCHED!$V61,)))))))&amp;IF(MATCHED!BJ61=22,MATCHED!$W61,IF(MATCHED!BJ61=23,MATCHED!$X61,IF(MATCHED!BJ61=24,MATCHED!$Y61,IF(MATCHED!BJ61=25,MATCHED!$Z61,IF(MATCHED!BJ61=26,MATCHED!$AA61,IF(MATCHED!BJ61=27,MATCHED!$AB61,"."))))))</f>
        <v>#N/A</v>
      </c>
      <c r="AI61" s="379" t="e">
        <f>IF(MATCHED!BK61=1,MATCHED!$B61,IF(MATCHED!BK61=2,MATCHED!$C61,IF(MATCHED!BK61=3,MATCHED!$D61,IF(MATCHED!BK61=4,MATCHED!$E61,IF(MATCHED!BK61=3,MATCHED!$F61,IF(MATCHED!BK61=6,MATCHED!$G61,IF(MATCHED!BK61=7,MATCHED!$H61,"")))))))&amp;IF(MATCHED!BK61=8,MATCHED!$I61,IF(MATCHED!BK61=9,MATCHED!$J61,IF(MATCHED!BK61=10,MATCHED!$K61,IF(MATCHED!BK61=11,MATCHED!$L61,IF(MATCHED!BK61=12,MATCHED!$M61,IF(MATCHED!BK61=13,MATCHED!$N61,IF(MATCHED!BK61=14,MATCHED!$O61,"")))))))&amp;IF(MATCHED!BK61=15,MATCHED!$P61,IF(MATCHED!BK61=16,MATCHED!$Q61,IF(MATCHED!BK61=17,MATCHED!$R61,IF(MATCHED!BK61=18,MATCHED!$S61,IF(MATCHED!BK61=19,MATCHED!$T61,IF(MATCHED!BK61=20,MATCHED!$U61,IF(MATCHED!BK61=21,MATCHED!$V61,)))))))&amp;IF(MATCHED!BK61=22,MATCHED!$W61,IF(MATCHED!BK61=23,MATCHED!$X61,IF(MATCHED!BK61=24,MATCHED!$Y61,IF(MATCHED!BK61=25,MATCHED!$Z61,IF(MATCHED!BK61=26,MATCHED!$AA61,IF(MATCHED!BK61=27,MATCHED!$AB61,"."))))))</f>
        <v>#N/A</v>
      </c>
      <c r="AJ61" s="535"/>
    </row>
    <row r="62" spans="1:36" s="338" customFormat="1" x14ac:dyDescent="0.25">
      <c r="A62" s="535"/>
      <c r="B62" s="378" t="e">
        <f>IF(MATCHED!AD62=1,MATCHED!$B62,IF(MATCHED!AD62=2,MATCHED!$C62,IF(MATCHED!AD62=3,MATCHED!$D62,IF(MATCHED!AD62=4,MATCHED!$E62,IF(MATCHED!AD62=3,MATCHED!$F62,IF(MATCHED!AD62=6,MATCHED!$G62,IF(MATCHED!AD62=7,MATCHED!$H62,"")))))))&amp;IF(MATCHED!AD62=8,MATCHED!$I62,IF(MATCHED!AD62=9,MATCHED!$J62,IF(MATCHED!AD62=10,MATCHED!$K62,IF(MATCHED!AD62=11,MATCHED!$L62,IF(MATCHED!AD62=12,MATCHED!$M62,IF(MATCHED!AD62=13,MATCHED!$N62,IF(MATCHED!AD62=14,MATCHED!$O62,"")))))))&amp;IF(MATCHED!AD62=15,MATCHED!$P62,IF(MATCHED!AD62=16,MATCHED!$Q62,IF(MATCHED!AD62=17,MATCHED!$R62,IF(MATCHED!AD62=18,MATCHED!$S62,IF(MATCHED!AD62=19,MATCHED!$T62,IF(MATCHED!AD62=20,MATCHED!$U62,IF(MATCHED!AD62=21,MATCHED!$V62,)))))))&amp;IF(MATCHED!AD62=22,MATCHED!$W62,IF(MATCHED!AD62=23,MATCHED!$X62,IF(MATCHED!AD62=24,MATCHED!$Y62,IF(MATCHED!AD62=25,MATCHED!$Z62,IF(MATCHED!AD62=26,MATCHED!$AA62,IF(MATCHED!AD62=27,MATCHED!$AB62,"."))))))</f>
        <v>#N/A</v>
      </c>
      <c r="C62" s="379" t="e">
        <f>IF(MATCHED!AE62=1,MATCHED!$B62,IF(MATCHED!AE62=2,MATCHED!$C62,IF(MATCHED!AE62=3,MATCHED!$D62,IF(MATCHED!AE62=4,MATCHED!$E62,IF(MATCHED!AE62=3,MATCHED!$F62,IF(MATCHED!AE62=6,MATCHED!$G62,IF(MATCHED!AE62=7,MATCHED!$H62,"")))))))&amp;IF(MATCHED!AE62=8,MATCHED!$I62,IF(MATCHED!AE62=9,MATCHED!$J62,IF(MATCHED!AE62=10,MATCHED!$K62,IF(MATCHED!AE62=11,MATCHED!$L62,IF(MATCHED!AE62=12,MATCHED!$M62,IF(MATCHED!AE62=13,MATCHED!$N62,IF(MATCHED!AE62=14,MATCHED!$O62,"")))))))&amp;IF(MATCHED!AE62=15,MATCHED!$P62,IF(MATCHED!AE62=16,MATCHED!$Q62,IF(MATCHED!AE62=17,MATCHED!$R62,IF(MATCHED!AE62=18,MATCHED!$S62,IF(MATCHED!AE62=19,MATCHED!$T62,IF(MATCHED!AE62=20,MATCHED!$U62,IF(MATCHED!AE62=21,MATCHED!$V62,)))))))&amp;IF(MATCHED!AE62=22,MATCHED!$W62,IF(MATCHED!AE62=23,MATCHED!$X62,IF(MATCHED!AE62=24,MATCHED!$Y62,IF(MATCHED!AE62=25,MATCHED!$Z62,IF(MATCHED!AE62=26,MATCHED!$AA62,IF(MATCHED!AE62=27,MATCHED!$AB62,"."))))))</f>
        <v>#N/A</v>
      </c>
      <c r="D62" s="379" t="e">
        <f>IF(MATCHED!AF62=1,MATCHED!$B62,IF(MATCHED!AF62=2,MATCHED!$C62,IF(MATCHED!AF62=3,MATCHED!$D62,IF(MATCHED!AF62=4,MATCHED!$E62,IF(MATCHED!AF62=3,MATCHED!$F62,IF(MATCHED!AF62=6,MATCHED!$G62,IF(MATCHED!AF62=7,MATCHED!$H62,"")))))))&amp;IF(MATCHED!AF62=8,MATCHED!$I62,IF(MATCHED!AF62=9,MATCHED!$J62,IF(MATCHED!AF62=10,MATCHED!$K62,IF(MATCHED!AF62=11,MATCHED!$L62,IF(MATCHED!AF62=12,MATCHED!$M62,IF(MATCHED!AF62=13,MATCHED!$N62,IF(MATCHED!AF62=14,MATCHED!$O62,"")))))))&amp;IF(MATCHED!AF62=15,MATCHED!$P62,IF(MATCHED!AF62=16,MATCHED!$Q62,IF(MATCHED!AF62=17,MATCHED!$R62,IF(MATCHED!AF62=18,MATCHED!$S62,IF(MATCHED!AF62=19,MATCHED!$T62,IF(MATCHED!AF62=20,MATCHED!$U62,IF(MATCHED!AF62=21,MATCHED!$V62,)))))))&amp;IF(MATCHED!AF62=22,MATCHED!$W62,IF(MATCHED!AF62=23,MATCHED!$X62,IF(MATCHED!AF62=24,MATCHED!$Y62,IF(MATCHED!AF62=25,MATCHED!$Z62,IF(MATCHED!AF62=26,MATCHED!$AA62,IF(MATCHED!AF62=27,MATCHED!$AB62,"."))))))</f>
        <v>#N/A</v>
      </c>
      <c r="E62" s="379" t="e">
        <f>IF(MATCHED!AG62=1,MATCHED!$B62,IF(MATCHED!AG62=2,MATCHED!$C62,IF(MATCHED!AG62=3,MATCHED!$D62,IF(MATCHED!AG62=4,MATCHED!$E62,IF(MATCHED!AG62=3,MATCHED!$F62,IF(MATCHED!AG62=6,MATCHED!$G62,IF(MATCHED!AG62=7,MATCHED!$H62,"")))))))&amp;IF(MATCHED!AG62=8,MATCHED!$I62,IF(MATCHED!AG62=9,MATCHED!$J62,IF(MATCHED!AG62=10,MATCHED!$K62,IF(MATCHED!AG62=11,MATCHED!$L62,IF(MATCHED!AG62=12,MATCHED!$M62,IF(MATCHED!AG62=13,MATCHED!$N62,IF(MATCHED!AG62=14,MATCHED!$O62,"")))))))&amp;IF(MATCHED!AG62=15,MATCHED!$P62,IF(MATCHED!AG62=16,MATCHED!$Q62,IF(MATCHED!AG62=17,MATCHED!$R62,IF(MATCHED!AG62=18,MATCHED!$S62,IF(MATCHED!AG62=19,MATCHED!$T62,IF(MATCHED!AG62=20,MATCHED!$U62,IF(MATCHED!AG62=21,MATCHED!$V62,)))))))&amp;IF(MATCHED!AG62=22,MATCHED!$W62,IF(MATCHED!AG62=23,MATCHED!$X62,IF(MATCHED!AG62=24,MATCHED!$Y62,IF(MATCHED!AG62=25,MATCHED!$Z62,IF(MATCHED!AG62=26,MATCHED!$AA62,IF(MATCHED!AG62=27,MATCHED!$AB62,"."))))))</f>
        <v>#N/A</v>
      </c>
      <c r="F62" s="379" t="e">
        <f>IF(MATCHED!AH62=1,MATCHED!$B62,IF(MATCHED!AH62=2,MATCHED!$C62,IF(MATCHED!AH62=3,MATCHED!$D62,IF(MATCHED!AH62=4,MATCHED!$E62,IF(MATCHED!AH62=3,MATCHED!$F62,IF(MATCHED!AH62=6,MATCHED!$G62,IF(MATCHED!AH62=7,MATCHED!$H62,"")))))))&amp;IF(MATCHED!AH62=8,MATCHED!$I62,IF(MATCHED!AH62=9,MATCHED!$J62,IF(MATCHED!AH62=10,MATCHED!$K62,IF(MATCHED!AH62=11,MATCHED!$L62,IF(MATCHED!AH62=12,MATCHED!$M62,IF(MATCHED!AH62=13,MATCHED!$N62,IF(MATCHED!AH62=14,MATCHED!$O62,"")))))))&amp;IF(MATCHED!AH62=15,MATCHED!$P62,IF(MATCHED!AH62=16,MATCHED!$Q62,IF(MATCHED!AH62=17,MATCHED!$R62,IF(MATCHED!AH62=18,MATCHED!$S62,IF(MATCHED!AH62=19,MATCHED!$T62,IF(MATCHED!AH62=20,MATCHED!$U62,IF(MATCHED!AH62=21,MATCHED!$V62,)))))))&amp;IF(MATCHED!AH62=22,MATCHED!$W62,IF(MATCHED!AH62=23,MATCHED!$X62,IF(MATCHED!AH62=24,MATCHED!$Y62,IF(MATCHED!AH62=25,MATCHED!$Z62,IF(MATCHED!AH62=26,MATCHED!$AA62,IF(MATCHED!AH62=27,MATCHED!$AB62,"."))))))</f>
        <v>#N/A</v>
      </c>
      <c r="G62" s="379" t="e">
        <f>IF(MATCHED!AI62=1,MATCHED!$B62,IF(MATCHED!AI62=2,MATCHED!$C62,IF(MATCHED!AI62=3,MATCHED!$D62,IF(MATCHED!AI62=4,MATCHED!$E62,IF(MATCHED!AI62=3,MATCHED!$F62,IF(MATCHED!AI62=6,MATCHED!$G62,IF(MATCHED!AI62=7,MATCHED!$H62,"")))))))&amp;IF(MATCHED!AI62=8,MATCHED!$I62,IF(MATCHED!AI62=9,MATCHED!$J62,IF(MATCHED!AI62=10,MATCHED!$K62,IF(MATCHED!AI62=11,MATCHED!$L62,IF(MATCHED!AI62=12,MATCHED!$M62,IF(MATCHED!AI62=13,MATCHED!$N62,IF(MATCHED!AI62=14,MATCHED!$O62,"")))))))&amp;IF(MATCHED!AI62=15,MATCHED!$P62,IF(MATCHED!AI62=16,MATCHED!$Q62,IF(MATCHED!AI62=17,MATCHED!$R62,IF(MATCHED!AI62=18,MATCHED!$S62,IF(MATCHED!AI62=19,MATCHED!$T62,IF(MATCHED!AI62=20,MATCHED!$U62,IF(MATCHED!AI62=21,MATCHED!$V62,)))))))&amp;IF(MATCHED!AI62=22,MATCHED!$W62,IF(MATCHED!AI62=23,MATCHED!$X62,IF(MATCHED!AI62=24,MATCHED!$Y62,IF(MATCHED!AI62=25,MATCHED!$Z62,IF(MATCHED!AI62=26,MATCHED!$AA62,IF(MATCHED!AI62=27,MATCHED!$AB62,"."))))))</f>
        <v>#N/A</v>
      </c>
      <c r="H62" s="379" t="e">
        <f>IF(MATCHED!AJ62=1,MATCHED!$B62,IF(MATCHED!AJ62=2,MATCHED!$C62,IF(MATCHED!AJ62=3,MATCHED!$D62,IF(MATCHED!AJ62=4,MATCHED!$E62,IF(MATCHED!AJ62=3,MATCHED!$F62,IF(MATCHED!AJ62=6,MATCHED!$G62,IF(MATCHED!AJ62=7,MATCHED!$H62,"")))))))&amp;IF(MATCHED!AJ62=8,MATCHED!$I62,IF(MATCHED!AJ62=9,MATCHED!$J62,IF(MATCHED!AJ62=10,MATCHED!$K62,IF(MATCHED!AJ62=11,MATCHED!$L62,IF(MATCHED!AJ62=12,MATCHED!$M62,IF(MATCHED!AJ62=13,MATCHED!$N62,IF(MATCHED!AJ62=14,MATCHED!$O62,"")))))))&amp;IF(MATCHED!AJ62=15,MATCHED!$P62,IF(MATCHED!AJ62=16,MATCHED!$Q62,IF(MATCHED!AJ62=17,MATCHED!$R62,IF(MATCHED!AJ62=18,MATCHED!$S62,IF(MATCHED!AJ62=19,MATCHED!$T62,IF(MATCHED!AJ62=20,MATCHED!$U62,IF(MATCHED!AJ62=21,MATCHED!$V62,)))))))&amp;IF(MATCHED!AJ62=22,MATCHED!$W62,IF(MATCHED!AJ62=23,MATCHED!$X62,IF(MATCHED!AJ62=24,MATCHED!$Y62,IF(MATCHED!AJ62=25,MATCHED!$Z62,IF(MATCHED!AJ62=26,MATCHED!$AA62,IF(MATCHED!AJ62=27,MATCHED!$AB62,"."))))))</f>
        <v>#N/A</v>
      </c>
      <c r="I62" s="379" t="e">
        <f>IF(MATCHED!AK62=1,MATCHED!$B62,IF(MATCHED!AK62=2,MATCHED!$C62,IF(MATCHED!AK62=3,MATCHED!$D62,IF(MATCHED!AK62=4,MATCHED!$E62,IF(MATCHED!AK62=3,MATCHED!$F62,IF(MATCHED!AK62=6,MATCHED!$G62,IF(MATCHED!AK62=7,MATCHED!$H62,"")))))))&amp;IF(MATCHED!AK62=8,MATCHED!$I62,IF(MATCHED!AK62=9,MATCHED!$J62,IF(MATCHED!AK62=10,MATCHED!$K62,IF(MATCHED!AK62=11,MATCHED!$L62,IF(MATCHED!AK62=12,MATCHED!$M62,IF(MATCHED!AK62=13,MATCHED!$N62,IF(MATCHED!AK62=14,MATCHED!$O62,"")))))))&amp;IF(MATCHED!AK62=15,MATCHED!$P62,IF(MATCHED!AK62=16,MATCHED!$Q62,IF(MATCHED!AK62=17,MATCHED!$R62,IF(MATCHED!AK62=18,MATCHED!$S62,IF(MATCHED!AK62=19,MATCHED!$T62,IF(MATCHED!AK62=20,MATCHED!$U62,IF(MATCHED!AK62=21,MATCHED!$V62,)))))))&amp;IF(MATCHED!AK62=22,MATCHED!$W62,IF(MATCHED!AK62=23,MATCHED!$X62,IF(MATCHED!AK62=24,MATCHED!$Y62,IF(MATCHED!AK62=25,MATCHED!$Z62,IF(MATCHED!AK62=26,MATCHED!$AA62,IF(MATCHED!AK62=27,MATCHED!$AB62,"."))))))</f>
        <v>#N/A</v>
      </c>
      <c r="J62" s="379" t="e">
        <f>IF(MATCHED!AL62=1,MATCHED!$B62,IF(MATCHED!AL62=2,MATCHED!$C62,IF(MATCHED!AL62=3,MATCHED!$D62,IF(MATCHED!AL62=4,MATCHED!$E62,IF(MATCHED!AL62=3,MATCHED!$F62,IF(MATCHED!AL62=6,MATCHED!$G62,IF(MATCHED!AL62=7,MATCHED!$H62,"")))))))&amp;IF(MATCHED!AL62=8,MATCHED!$I62,IF(MATCHED!AL62=9,MATCHED!$J62,IF(MATCHED!AL62=10,MATCHED!$K62,IF(MATCHED!AL62=11,MATCHED!$L62,IF(MATCHED!AL62=12,MATCHED!$M62,IF(MATCHED!AL62=13,MATCHED!$N62,IF(MATCHED!AL62=14,MATCHED!$O62,"")))))))&amp;IF(MATCHED!AL62=15,MATCHED!$P62,IF(MATCHED!AL62=16,MATCHED!$Q62,IF(MATCHED!AL62=17,MATCHED!$R62,IF(MATCHED!AL62=18,MATCHED!$S62,IF(MATCHED!AL62=19,MATCHED!$T62,IF(MATCHED!AL62=20,MATCHED!$U62,IF(MATCHED!AL62=21,MATCHED!$V62,)))))))&amp;IF(MATCHED!AL62=22,MATCHED!$W62,IF(MATCHED!AL62=23,MATCHED!$X62,IF(MATCHED!AL62=24,MATCHED!$Y62,IF(MATCHED!AL62=25,MATCHED!$Z62,IF(MATCHED!AL62=26,MATCHED!$AA62,IF(MATCHED!AL62=27,MATCHED!$AB62,"."))))))</f>
        <v>#N/A</v>
      </c>
      <c r="K62" s="379" t="e">
        <f>IF(MATCHED!AM62=1,MATCHED!$B62,IF(MATCHED!AM62=2,MATCHED!$C62,IF(MATCHED!AM62=3,MATCHED!$D62,IF(MATCHED!AM62=4,MATCHED!$E62,IF(MATCHED!AM62=3,MATCHED!$F62,IF(MATCHED!AM62=6,MATCHED!$G62,IF(MATCHED!AM62=7,MATCHED!$H62,"")))))))&amp;IF(MATCHED!AM62=8,MATCHED!$I62,IF(MATCHED!AM62=9,MATCHED!$J62,IF(MATCHED!AM62=10,MATCHED!$K62,IF(MATCHED!AM62=11,MATCHED!$L62,IF(MATCHED!AM62=12,MATCHED!$M62,IF(MATCHED!AM62=13,MATCHED!$N62,IF(MATCHED!AM62=14,MATCHED!$O62,"")))))))&amp;IF(MATCHED!AM62=15,MATCHED!$P62,IF(MATCHED!AM62=16,MATCHED!$Q62,IF(MATCHED!AM62=17,MATCHED!$R62,IF(MATCHED!AM62=18,MATCHED!$S62,IF(MATCHED!AM62=19,MATCHED!$T62,IF(MATCHED!AM62=20,MATCHED!$U62,IF(MATCHED!AM62=21,MATCHED!$V62,)))))))&amp;IF(MATCHED!AM62=22,MATCHED!$W62,IF(MATCHED!AM62=23,MATCHED!$X62,IF(MATCHED!AM62=24,MATCHED!$Y62,IF(MATCHED!AM62=25,MATCHED!$Z62,IF(MATCHED!AM62=26,MATCHED!$AA62,IF(MATCHED!AM62=27,MATCHED!$AB62,"."))))))</f>
        <v>#N/A</v>
      </c>
      <c r="L62" s="379" t="e">
        <f>IF(MATCHED!AN62=1,MATCHED!$B62,IF(MATCHED!AN62=2,MATCHED!$C62,IF(MATCHED!AN62=3,MATCHED!$D62,IF(MATCHED!AN62=4,MATCHED!$E62,IF(MATCHED!AN62=3,MATCHED!$F62,IF(MATCHED!AN62=6,MATCHED!$G62,IF(MATCHED!AN62=7,MATCHED!$H62,"")))))))&amp;IF(MATCHED!AN62=8,MATCHED!$I62,IF(MATCHED!AN62=9,MATCHED!$J62,IF(MATCHED!AN62=10,MATCHED!$K62,IF(MATCHED!AN62=11,MATCHED!$L62,IF(MATCHED!AN62=12,MATCHED!$M62,IF(MATCHED!AN62=13,MATCHED!$N62,IF(MATCHED!AN62=14,MATCHED!$O62,"")))))))&amp;IF(MATCHED!AN62=15,MATCHED!$P62,IF(MATCHED!AN62=16,MATCHED!$Q62,IF(MATCHED!AN62=17,MATCHED!$R62,IF(MATCHED!AN62=18,MATCHED!$S62,IF(MATCHED!AN62=19,MATCHED!$T62,IF(MATCHED!AN62=20,MATCHED!$U62,IF(MATCHED!AN62=21,MATCHED!$V62,)))))))&amp;IF(MATCHED!AN62=22,MATCHED!$W62,IF(MATCHED!AN62=23,MATCHED!$X62,IF(MATCHED!AN62=24,MATCHED!$Y62,IF(MATCHED!AN62=25,MATCHED!$Z62,IF(MATCHED!AN62=26,MATCHED!$AA62,IF(MATCHED!AN62=27,MATCHED!$AB62,"."))))))</f>
        <v>#N/A</v>
      </c>
      <c r="M62" s="379" t="e">
        <f>IF(MATCHED!AO62=1,MATCHED!$B62,IF(MATCHED!AO62=2,MATCHED!$C62,IF(MATCHED!AO62=3,MATCHED!$D62,IF(MATCHED!AO62=4,MATCHED!$E62,IF(MATCHED!AO62=3,MATCHED!$F62,IF(MATCHED!AO62=6,MATCHED!$G62,IF(MATCHED!AO62=7,MATCHED!$H62,"")))))))&amp;IF(MATCHED!AO62=8,MATCHED!$I62,IF(MATCHED!AO62=9,MATCHED!$J62,IF(MATCHED!AO62=10,MATCHED!$K62,IF(MATCHED!AO62=11,MATCHED!$L62,IF(MATCHED!AO62=12,MATCHED!$M62,IF(MATCHED!AO62=13,MATCHED!$N62,IF(MATCHED!AO62=14,MATCHED!$O62,"")))))))&amp;IF(MATCHED!AO62=15,MATCHED!$P62,IF(MATCHED!AO62=16,MATCHED!$Q62,IF(MATCHED!AO62=17,MATCHED!$R62,IF(MATCHED!AO62=18,MATCHED!$S62,IF(MATCHED!AO62=19,MATCHED!$T62,IF(MATCHED!AO62=20,MATCHED!$U62,IF(MATCHED!AO62=21,MATCHED!$V62,)))))))&amp;IF(MATCHED!AO62=22,MATCHED!$W62,IF(MATCHED!AO62=23,MATCHED!$X62,IF(MATCHED!AO62=24,MATCHED!$Y62,IF(MATCHED!AO62=25,MATCHED!$Z62,IF(MATCHED!AO62=26,MATCHED!$AA62,IF(MATCHED!AO62=27,MATCHED!$AB62,"."))))))</f>
        <v>#N/A</v>
      </c>
      <c r="N62" s="379" t="e">
        <f>IF(MATCHED!AP62=1,MATCHED!$B62,IF(MATCHED!AP62=2,MATCHED!$C62,IF(MATCHED!AP62=3,MATCHED!$D62,IF(MATCHED!AP62=4,MATCHED!$E62,IF(MATCHED!AP62=3,MATCHED!$F62,IF(MATCHED!AP62=6,MATCHED!$G62,IF(MATCHED!AP62=7,MATCHED!$H62,"")))))))&amp;IF(MATCHED!AP62=8,MATCHED!$I62,IF(MATCHED!AP62=9,MATCHED!$J62,IF(MATCHED!AP62=10,MATCHED!$K62,IF(MATCHED!AP62=11,MATCHED!$L62,IF(MATCHED!AP62=12,MATCHED!$M62,IF(MATCHED!AP62=13,MATCHED!$N62,IF(MATCHED!AP62=14,MATCHED!$O62,"")))))))&amp;IF(MATCHED!AP62=15,MATCHED!$P62,IF(MATCHED!AP62=16,MATCHED!$Q62,IF(MATCHED!AP62=17,MATCHED!$R62,IF(MATCHED!AP62=18,MATCHED!$S62,IF(MATCHED!AP62=19,MATCHED!$T62,IF(MATCHED!AP62=20,MATCHED!$U62,IF(MATCHED!AP62=21,MATCHED!$V62,)))))))&amp;IF(MATCHED!AP62=22,MATCHED!$W62,IF(MATCHED!AP62=23,MATCHED!$X62,IF(MATCHED!AP62=24,MATCHED!$Y62,IF(MATCHED!AP62=25,MATCHED!$Z62,IF(MATCHED!AP62=26,MATCHED!$AA62,IF(MATCHED!AP62=27,MATCHED!$AB62,"."))))))</f>
        <v>#N/A</v>
      </c>
      <c r="O62" s="379" t="e">
        <f>IF(MATCHED!AQ62=1,MATCHED!$B62,IF(MATCHED!AQ62=2,MATCHED!$C62,IF(MATCHED!AQ62=3,MATCHED!$D62,IF(MATCHED!AQ62=4,MATCHED!$E62,IF(MATCHED!AQ62=3,MATCHED!$F62,IF(MATCHED!AQ62=6,MATCHED!$G62,IF(MATCHED!AQ62=7,MATCHED!$H62,"")))))))&amp;IF(MATCHED!AQ62=8,MATCHED!$I62,IF(MATCHED!AQ62=9,MATCHED!$J62,IF(MATCHED!AQ62=10,MATCHED!$K62,IF(MATCHED!AQ62=11,MATCHED!$L62,IF(MATCHED!AQ62=12,MATCHED!$M62,IF(MATCHED!AQ62=13,MATCHED!$N62,IF(MATCHED!AQ62=14,MATCHED!$O62,"")))))))&amp;IF(MATCHED!AQ62=15,MATCHED!$P62,IF(MATCHED!AQ62=16,MATCHED!$Q62,IF(MATCHED!AQ62=17,MATCHED!$R62,IF(MATCHED!AQ62=18,MATCHED!$S62,IF(MATCHED!AQ62=19,MATCHED!$T62,IF(MATCHED!AQ62=20,MATCHED!$U62,IF(MATCHED!AQ62=21,MATCHED!$V62,)))))))&amp;IF(MATCHED!AQ62=22,MATCHED!$W62,IF(MATCHED!AQ62=23,MATCHED!$X62,IF(MATCHED!AQ62=24,MATCHED!$Y62,IF(MATCHED!AQ62=25,MATCHED!$Z62,IF(MATCHED!AQ62=26,MATCHED!$AA62,IF(MATCHED!AQ62=27,MATCHED!$AB62,"."))))))</f>
        <v>#N/A</v>
      </c>
      <c r="P62" s="379" t="e">
        <f>IF(MATCHED!AR62=1,MATCHED!$B62,IF(MATCHED!AR62=2,MATCHED!$C62,IF(MATCHED!AR62=3,MATCHED!$D62,IF(MATCHED!AR62=4,MATCHED!$E62,IF(MATCHED!AR62=3,MATCHED!$F62,IF(MATCHED!AR62=6,MATCHED!$G62,IF(MATCHED!AR62=7,MATCHED!$H62,"")))))))&amp;IF(MATCHED!AR62=8,MATCHED!$I62,IF(MATCHED!AR62=9,MATCHED!$J62,IF(MATCHED!AR62=10,MATCHED!$K62,IF(MATCHED!AR62=11,MATCHED!$L62,IF(MATCHED!AR62=12,MATCHED!$M62,IF(MATCHED!AR62=13,MATCHED!$N62,IF(MATCHED!AR62=14,MATCHED!$O62,"")))))))&amp;IF(MATCHED!AR62=15,MATCHED!$P62,IF(MATCHED!AR62=16,MATCHED!$Q62,IF(MATCHED!AR62=17,MATCHED!$R62,IF(MATCHED!AR62=18,MATCHED!$S62,IF(MATCHED!AR62=19,MATCHED!$T62,IF(MATCHED!AR62=20,MATCHED!$U62,IF(MATCHED!AR62=21,MATCHED!$V62,)))))))&amp;IF(MATCHED!AR62=22,MATCHED!$W62,IF(MATCHED!AR62=23,MATCHED!$X62,IF(MATCHED!AR62=24,MATCHED!$Y62,IF(MATCHED!AR62=25,MATCHED!$Z62,IF(MATCHED!AR62=26,MATCHED!$AA62,IF(MATCHED!AR62=27,MATCHED!$AB62,"."))))))</f>
        <v>#N/A</v>
      </c>
      <c r="Q62" s="380" t="e">
        <f>IF(MATCHED!AS62=1,MATCHED!$B62,IF(MATCHED!AS62=2,MATCHED!$C62,IF(MATCHED!AS62=3,MATCHED!$D62,IF(MATCHED!AS62=4,MATCHED!$E62,IF(MATCHED!AS62=3,MATCHED!$F62,IF(MATCHED!AS62=6,MATCHED!$G62,IF(MATCHED!AS62=7,MATCHED!$H62,"")))))))&amp;IF(MATCHED!AS62=8,MATCHED!$I62,IF(MATCHED!AS62=9,MATCHED!$J62,IF(MATCHED!AS62=10,MATCHED!$K62,IF(MATCHED!AS62=11,MATCHED!$L62,IF(MATCHED!AS62=12,MATCHED!$M62,IF(MATCHED!AS62=13,MATCHED!$N62,IF(MATCHED!AS62=14,MATCHED!$O62,"")))))))&amp;IF(MATCHED!AS62=15,MATCHED!$P62,IF(MATCHED!AS62=16,MATCHED!$Q62,IF(MATCHED!AS62=17,MATCHED!$R62,IF(MATCHED!AS62=18,MATCHED!$S62,IF(MATCHED!AS62=19,MATCHED!$T62,IF(MATCHED!AS62=20,MATCHED!$U62,IF(MATCHED!AS62=21,MATCHED!$V62,)))))))&amp;IF(MATCHED!AS62=22,MATCHED!$W62,IF(MATCHED!AS62=23,MATCHED!$X62,IF(MATCHED!AS62=24,MATCHED!$Y62,IF(MATCHED!AS62=25,MATCHED!$Z62,IF(MATCHED!AS62=26,MATCHED!$AA62,IF(MATCHED!AS62=27,MATCHED!$AB62,"."))))))</f>
        <v>#N/A</v>
      </c>
      <c r="R62" s="379" t="e">
        <f>IF(MATCHED!AT62=1,MATCHED!$B62,IF(MATCHED!AT62=2,MATCHED!$C62,IF(MATCHED!AT62=3,MATCHED!$D62,IF(MATCHED!AT62=4,MATCHED!$E62,IF(MATCHED!AT62=3,MATCHED!$F62,IF(MATCHED!AT62=6,MATCHED!$G62,IF(MATCHED!AT62=7,MATCHED!$H62,"")))))))&amp;IF(MATCHED!AT62=8,MATCHED!$I62,IF(MATCHED!AT62=9,MATCHED!$J62,IF(MATCHED!AT62=10,MATCHED!$K62,IF(MATCHED!AT62=11,MATCHED!$L62,IF(MATCHED!AT62=12,MATCHED!$M62,IF(MATCHED!AT62=13,MATCHED!$N62,IF(MATCHED!AT62=14,MATCHED!$O62,"")))))))&amp;IF(MATCHED!AT62=15,MATCHED!$P62,IF(MATCHED!AT62=16,MATCHED!$Q62,IF(MATCHED!AT62=17,MATCHED!$R62,IF(MATCHED!AT62=18,MATCHED!$S62,IF(MATCHED!AT62=19,MATCHED!$T62,IF(MATCHED!AT62=20,MATCHED!$U62,IF(MATCHED!AT62=21,MATCHED!$V62,)))))))&amp;IF(MATCHED!AT62=22,MATCHED!$W62,IF(MATCHED!AT62=23,MATCHED!$X62,IF(MATCHED!AT62=24,MATCHED!$Y62,IF(MATCHED!AT62=25,MATCHED!$Z62,IF(MATCHED!AT62=26,MATCHED!$AA62,IF(MATCHED!AT62=27,MATCHED!$AB62,"."))))))</f>
        <v>#N/A</v>
      </c>
      <c r="S62" s="379" t="e">
        <f>IF(MATCHED!AU62=1,MATCHED!$B62,IF(MATCHED!AU62=2,MATCHED!$C62,IF(MATCHED!AU62=3,MATCHED!$D62,IF(MATCHED!AU62=4,MATCHED!$E62,IF(MATCHED!AU62=3,MATCHED!$F62,IF(MATCHED!AU62=6,MATCHED!$G62,IF(MATCHED!AU62=7,MATCHED!$H62,"")))))))&amp;IF(MATCHED!AU62=8,MATCHED!$I62,IF(MATCHED!AU62=9,MATCHED!$J62,IF(MATCHED!AU62=10,MATCHED!$K62,IF(MATCHED!AU62=11,MATCHED!$L62,IF(MATCHED!AU62=12,MATCHED!$M62,IF(MATCHED!AU62=13,MATCHED!$N62,IF(MATCHED!AU62=14,MATCHED!$O62,"")))))))&amp;IF(MATCHED!AU62=15,MATCHED!$P62,IF(MATCHED!AU62=16,MATCHED!$Q62,IF(MATCHED!AU62=17,MATCHED!$R62,IF(MATCHED!AU62=18,MATCHED!$S62,IF(MATCHED!AU62=19,MATCHED!$T62,IF(MATCHED!AU62=20,MATCHED!$U62,IF(MATCHED!AU62=21,MATCHED!$V62,)))))))&amp;IF(MATCHED!AU62=22,MATCHED!$W62,IF(MATCHED!AU62=23,MATCHED!$X62,IF(MATCHED!AU62=24,MATCHED!$Y62,IF(MATCHED!AU62=25,MATCHED!$Z62,IF(MATCHED!AU62=26,MATCHED!$AA62,IF(MATCHED!AU62=27,MATCHED!$AB62,"."))))))</f>
        <v>#N/A</v>
      </c>
      <c r="T62" s="379" t="e">
        <f>IF(MATCHED!AV62=1,MATCHED!$B62,IF(MATCHED!AV62=2,MATCHED!$C62,IF(MATCHED!AV62=3,MATCHED!$D62,IF(MATCHED!AV62=4,MATCHED!$E62,IF(MATCHED!AV62=3,MATCHED!$F62,IF(MATCHED!AV62=6,MATCHED!$G62,IF(MATCHED!AV62=7,MATCHED!$H62,"")))))))&amp;IF(MATCHED!AV62=8,MATCHED!$I62,IF(MATCHED!AV62=9,MATCHED!$J62,IF(MATCHED!AV62=10,MATCHED!$K62,IF(MATCHED!AV62=11,MATCHED!$L62,IF(MATCHED!AV62=12,MATCHED!$M62,IF(MATCHED!AV62=13,MATCHED!$N62,IF(MATCHED!AV62=14,MATCHED!$O62,"")))))))&amp;IF(MATCHED!AV62=15,MATCHED!$P62,IF(MATCHED!AV62=16,MATCHED!$Q62,IF(MATCHED!AV62=17,MATCHED!$R62,IF(MATCHED!AV62=18,MATCHED!$S62,IF(MATCHED!AV62=19,MATCHED!$T62,IF(MATCHED!AV62=20,MATCHED!$U62,IF(MATCHED!AV62=21,MATCHED!$V62,)))))))&amp;IF(MATCHED!AV62=22,MATCHED!$W62,IF(MATCHED!AV62=23,MATCHED!$X62,IF(MATCHED!AV62=24,MATCHED!$Y62,IF(MATCHED!AV62=25,MATCHED!$Z62,IF(MATCHED!AV62=26,MATCHED!$AA62,IF(MATCHED!AV62=27,MATCHED!$AB62,"."))))))</f>
        <v>#N/A</v>
      </c>
      <c r="U62" s="379" t="e">
        <f>IF(MATCHED!AW62=1,MATCHED!$B62,IF(MATCHED!AW62=2,MATCHED!$C62,IF(MATCHED!AW62=3,MATCHED!$D62,IF(MATCHED!AW62=4,MATCHED!$E62,IF(MATCHED!AW62=3,MATCHED!$F62,IF(MATCHED!AW62=6,MATCHED!$G62,IF(MATCHED!AW62=7,MATCHED!$H62,"")))))))&amp;IF(MATCHED!AW62=8,MATCHED!$I62,IF(MATCHED!AW62=9,MATCHED!$J62,IF(MATCHED!AW62=10,MATCHED!$K62,IF(MATCHED!AW62=11,MATCHED!$L62,IF(MATCHED!AW62=12,MATCHED!$M62,IF(MATCHED!AW62=13,MATCHED!$N62,IF(MATCHED!AW62=14,MATCHED!$O62,"")))))))&amp;IF(MATCHED!AW62=15,MATCHED!$P62,IF(MATCHED!AW62=16,MATCHED!$Q62,IF(MATCHED!AW62=17,MATCHED!$R62,IF(MATCHED!AW62=18,MATCHED!$S62,IF(MATCHED!AW62=19,MATCHED!$T62,IF(MATCHED!AW62=20,MATCHED!$U62,IF(MATCHED!AW62=21,MATCHED!$V62,)))))))&amp;IF(MATCHED!AW62=22,MATCHED!$W62,IF(MATCHED!AW62=23,MATCHED!$X62,IF(MATCHED!AW62=24,MATCHED!$Y62,IF(MATCHED!AW62=25,MATCHED!$Z62,IF(MATCHED!AW62=26,MATCHED!$AA62,IF(MATCHED!AW62=27,MATCHED!$AB62,"."))))))</f>
        <v>#N/A</v>
      </c>
      <c r="V62" s="379" t="e">
        <f>IF(MATCHED!AX62=1,MATCHED!$B62,IF(MATCHED!AX62=2,MATCHED!$C62,IF(MATCHED!AX62=3,MATCHED!$D62,IF(MATCHED!AX62=4,MATCHED!$E62,IF(MATCHED!AX62=3,MATCHED!$F62,IF(MATCHED!AX62=6,MATCHED!$G62,IF(MATCHED!AX62=7,MATCHED!$H62,"")))))))&amp;IF(MATCHED!AX62=8,MATCHED!$I62,IF(MATCHED!AX62=9,MATCHED!$J62,IF(MATCHED!AX62=10,MATCHED!$K62,IF(MATCHED!AX62=11,MATCHED!$L62,IF(MATCHED!AX62=12,MATCHED!$M62,IF(MATCHED!AX62=13,MATCHED!$N62,IF(MATCHED!AX62=14,MATCHED!$O62,"")))))))&amp;IF(MATCHED!AX62=15,MATCHED!$P62,IF(MATCHED!AX62=16,MATCHED!$Q62,IF(MATCHED!AX62=17,MATCHED!$R62,IF(MATCHED!AX62=18,MATCHED!$S62,IF(MATCHED!AX62=19,MATCHED!$T62,IF(MATCHED!AX62=20,MATCHED!$U62,IF(MATCHED!AX62=21,MATCHED!$V62,)))))))&amp;IF(MATCHED!AX62=22,MATCHED!$W62,IF(MATCHED!AX62=23,MATCHED!$X62,IF(MATCHED!AX62=24,MATCHED!$Y62,IF(MATCHED!AX62=25,MATCHED!$Z62,IF(MATCHED!AX62=26,MATCHED!$AA62,IF(MATCHED!AX62=27,MATCHED!$AB62,"."))))))</f>
        <v>#N/A</v>
      </c>
      <c r="W62" s="379" t="e">
        <f>IF(MATCHED!AY62=1,MATCHED!$B62,IF(MATCHED!AY62=2,MATCHED!$C62,IF(MATCHED!AY62=3,MATCHED!$D62,IF(MATCHED!AY62=4,MATCHED!$E62,IF(MATCHED!AY62=3,MATCHED!$F62,IF(MATCHED!AY62=6,MATCHED!$G62,IF(MATCHED!AY62=7,MATCHED!$H62,"")))))))&amp;IF(MATCHED!AY62=8,MATCHED!$I62,IF(MATCHED!AY62=9,MATCHED!$J62,IF(MATCHED!AY62=10,MATCHED!$K62,IF(MATCHED!AY62=11,MATCHED!$L62,IF(MATCHED!AY62=12,MATCHED!$M62,IF(MATCHED!AY62=13,MATCHED!$N62,IF(MATCHED!AY62=14,MATCHED!$O62,"")))))))&amp;IF(MATCHED!AY62=15,MATCHED!$P62,IF(MATCHED!AY62=16,MATCHED!$Q62,IF(MATCHED!AY62=17,MATCHED!$R62,IF(MATCHED!AY62=18,MATCHED!$S62,IF(MATCHED!AY62=19,MATCHED!$T62,IF(MATCHED!AY62=20,MATCHED!$U62,IF(MATCHED!AY62=21,MATCHED!$V62,)))))))&amp;IF(MATCHED!AY62=22,MATCHED!$W62,IF(MATCHED!AY62=23,MATCHED!$X62,IF(MATCHED!AY62=24,MATCHED!$Y62,IF(MATCHED!AY62=25,MATCHED!$Z62,IF(MATCHED!AY62=26,MATCHED!$AA62,IF(MATCHED!AY62=27,MATCHED!$AB62,"."))))))</f>
        <v>#N/A</v>
      </c>
      <c r="X62" s="379" t="e">
        <f>IF(MATCHED!AZ62=1,MATCHED!$B62,IF(MATCHED!AZ62=2,MATCHED!$C62,IF(MATCHED!AZ62=3,MATCHED!$D62,IF(MATCHED!AZ62=4,MATCHED!$E62,IF(MATCHED!AZ62=3,MATCHED!$F62,IF(MATCHED!AZ62=6,MATCHED!$G62,IF(MATCHED!AZ62=7,MATCHED!$H62,"")))))))&amp;IF(MATCHED!AZ62=8,MATCHED!$I62,IF(MATCHED!AZ62=9,MATCHED!$J62,IF(MATCHED!AZ62=10,MATCHED!$K62,IF(MATCHED!AZ62=11,MATCHED!$L62,IF(MATCHED!AZ62=12,MATCHED!$M62,IF(MATCHED!AZ62=13,MATCHED!$N62,IF(MATCHED!AZ62=14,MATCHED!$O62,"")))))))&amp;IF(MATCHED!AZ62=15,MATCHED!$P62,IF(MATCHED!AZ62=16,MATCHED!$Q62,IF(MATCHED!AZ62=17,MATCHED!$R62,IF(MATCHED!AZ62=18,MATCHED!$S62,IF(MATCHED!AZ62=19,MATCHED!$T62,IF(MATCHED!AZ62=20,MATCHED!$U62,IF(MATCHED!AZ62=21,MATCHED!$V62,)))))))&amp;IF(MATCHED!AZ62=22,MATCHED!$W62,IF(MATCHED!AZ62=23,MATCHED!$X62,IF(MATCHED!AZ62=24,MATCHED!$Y62,IF(MATCHED!AZ62=25,MATCHED!$Z62,IF(MATCHED!AZ62=26,MATCHED!$AA62,IF(MATCHED!AZ62=27,MATCHED!$AB62,"."))))))</f>
        <v>#N/A</v>
      </c>
      <c r="Y62" s="379" t="e">
        <f>IF(MATCHED!BA62=1,MATCHED!$B62,IF(MATCHED!BA62=2,MATCHED!$C62,IF(MATCHED!BA62=3,MATCHED!$D62,IF(MATCHED!BA62=4,MATCHED!$E62,IF(MATCHED!BA62=3,MATCHED!$F62,IF(MATCHED!BA62=6,MATCHED!$G62,IF(MATCHED!BA62=7,MATCHED!$H62,"")))))))&amp;IF(MATCHED!BA62=8,MATCHED!$I62,IF(MATCHED!BA62=9,MATCHED!$J62,IF(MATCHED!BA62=10,MATCHED!$K62,IF(MATCHED!BA62=11,MATCHED!$L62,IF(MATCHED!BA62=12,MATCHED!$M62,IF(MATCHED!BA62=13,MATCHED!$N62,IF(MATCHED!BA62=14,MATCHED!$O62,"")))))))&amp;IF(MATCHED!BA62=15,MATCHED!$P62,IF(MATCHED!BA62=16,MATCHED!$Q62,IF(MATCHED!BA62=17,MATCHED!$R62,IF(MATCHED!BA62=18,MATCHED!$S62,IF(MATCHED!BA62=19,MATCHED!$T62,IF(MATCHED!BA62=20,MATCHED!$U62,IF(MATCHED!BA62=21,MATCHED!$V62,)))))))&amp;IF(MATCHED!BA62=22,MATCHED!$W62,IF(MATCHED!BA62=23,MATCHED!$X62,IF(MATCHED!BA62=24,MATCHED!$Y62,IF(MATCHED!BA62=25,MATCHED!$Z62,IF(MATCHED!BA62=26,MATCHED!$AA62,IF(MATCHED!BA62=27,MATCHED!$AB62,"."))))))</f>
        <v>#N/A</v>
      </c>
      <c r="Z62" s="379" t="e">
        <f>IF(MATCHED!BB62=1,MATCHED!$B62,IF(MATCHED!BB62=2,MATCHED!$C62,IF(MATCHED!BB62=3,MATCHED!$D62,IF(MATCHED!BB62=4,MATCHED!$E62,IF(MATCHED!BB62=3,MATCHED!$F62,IF(MATCHED!BB62=6,MATCHED!$G62,IF(MATCHED!BB62=7,MATCHED!$H62,"")))))))&amp;IF(MATCHED!BB62=8,MATCHED!$I62,IF(MATCHED!BB62=9,MATCHED!$J62,IF(MATCHED!BB62=10,MATCHED!$K62,IF(MATCHED!BB62=11,MATCHED!$L62,IF(MATCHED!BB62=12,MATCHED!$M62,IF(MATCHED!BB62=13,MATCHED!$N62,IF(MATCHED!BB62=14,MATCHED!$O62,"")))))))&amp;IF(MATCHED!BB62=15,MATCHED!$P62,IF(MATCHED!BB62=16,MATCHED!$Q62,IF(MATCHED!BB62=17,MATCHED!$R62,IF(MATCHED!BB62=18,MATCHED!$S62,IF(MATCHED!BB62=19,MATCHED!$T62,IF(MATCHED!BB62=20,MATCHED!$U62,IF(MATCHED!BB62=21,MATCHED!$V62,)))))))&amp;IF(MATCHED!BB62=22,MATCHED!$W62,IF(MATCHED!BB62=23,MATCHED!$X62,IF(MATCHED!BB62=24,MATCHED!$Y62,IF(MATCHED!BB62=25,MATCHED!$Z62,IF(MATCHED!BB62=26,MATCHED!$AA62,IF(MATCHED!BB62=27,MATCHED!$AB62,"."))))))</f>
        <v>#N/A</v>
      </c>
      <c r="AA62" s="379" t="e">
        <f>IF(MATCHED!BC62=1,MATCHED!$B62,IF(MATCHED!BC62=2,MATCHED!$C62,IF(MATCHED!BC62=3,MATCHED!$D62,IF(MATCHED!BC62=4,MATCHED!$E62,IF(MATCHED!BC62=3,MATCHED!$F62,IF(MATCHED!BC62=6,MATCHED!$G62,IF(MATCHED!BC62=7,MATCHED!$H62,"")))))))&amp;IF(MATCHED!BC62=8,MATCHED!$I62,IF(MATCHED!BC62=9,MATCHED!$J62,IF(MATCHED!BC62=10,MATCHED!$K62,IF(MATCHED!BC62=11,MATCHED!$L62,IF(MATCHED!BC62=12,MATCHED!$M62,IF(MATCHED!BC62=13,MATCHED!$N62,IF(MATCHED!BC62=14,MATCHED!$O62,"")))))))&amp;IF(MATCHED!BC62=15,MATCHED!$P62,IF(MATCHED!BC62=16,MATCHED!$Q62,IF(MATCHED!BC62=17,MATCHED!$R62,IF(MATCHED!BC62=18,MATCHED!$S62,IF(MATCHED!BC62=19,MATCHED!$T62,IF(MATCHED!BC62=20,MATCHED!$U62,IF(MATCHED!BC62=21,MATCHED!$V62,)))))))&amp;IF(MATCHED!BC62=22,MATCHED!$W62,IF(MATCHED!BC62=23,MATCHED!$X62,IF(MATCHED!BC62=24,MATCHED!$Y62,IF(MATCHED!BC62=25,MATCHED!$Z62,IF(MATCHED!BC62=26,MATCHED!$AA62,IF(MATCHED!BC62=27,MATCHED!$AB62,"."))))))</f>
        <v>#N/A</v>
      </c>
      <c r="AB62" s="379" t="e">
        <f>IF(MATCHED!BD62=1,MATCHED!$B62,IF(MATCHED!BD62=2,MATCHED!$C62,IF(MATCHED!BD62=3,MATCHED!$D62,IF(MATCHED!BD62=4,MATCHED!$E62,IF(MATCHED!BD62=3,MATCHED!$F62,IF(MATCHED!BD62=6,MATCHED!$G62,IF(MATCHED!BD62=7,MATCHED!$H62,"")))))))&amp;IF(MATCHED!BD62=8,MATCHED!$I62,IF(MATCHED!BD62=9,MATCHED!$J62,IF(MATCHED!BD62=10,MATCHED!$K62,IF(MATCHED!BD62=11,MATCHED!$L62,IF(MATCHED!BD62=12,MATCHED!$M62,IF(MATCHED!BD62=13,MATCHED!$N62,IF(MATCHED!BD62=14,MATCHED!$O62,"")))))))&amp;IF(MATCHED!BD62=15,MATCHED!$P62,IF(MATCHED!BD62=16,MATCHED!$Q62,IF(MATCHED!BD62=17,MATCHED!$R62,IF(MATCHED!BD62=18,MATCHED!$S62,IF(MATCHED!BD62=19,MATCHED!$T62,IF(MATCHED!BD62=20,MATCHED!$U62,IF(MATCHED!BD62=21,MATCHED!$V62,)))))))&amp;IF(MATCHED!BD62=22,MATCHED!$W62,IF(MATCHED!BD62=23,MATCHED!$X62,IF(MATCHED!BD62=24,MATCHED!$Y62,IF(MATCHED!BD62=25,MATCHED!$Z62,IF(MATCHED!BD62=26,MATCHED!$AA62,IF(MATCHED!BD62=27,MATCHED!$AB62,"."))))))</f>
        <v>#N/A</v>
      </c>
      <c r="AC62" s="379" t="e">
        <f>IF(MATCHED!BE62=1,MATCHED!$B62,IF(MATCHED!BE62=2,MATCHED!$C62,IF(MATCHED!BE62=3,MATCHED!$D62,IF(MATCHED!BE62=4,MATCHED!$E62,IF(MATCHED!BE62=3,MATCHED!$F62,IF(MATCHED!BE62=6,MATCHED!$G62,IF(MATCHED!BE62=7,MATCHED!$H62,"")))))))&amp;IF(MATCHED!BE62=8,MATCHED!$I62,IF(MATCHED!BE62=9,MATCHED!$J62,IF(MATCHED!BE62=10,MATCHED!$K62,IF(MATCHED!BE62=11,MATCHED!$L62,IF(MATCHED!BE62=12,MATCHED!$M62,IF(MATCHED!BE62=13,MATCHED!$N62,IF(MATCHED!BE62=14,MATCHED!$O62,"")))))))&amp;IF(MATCHED!BE62=15,MATCHED!$P62,IF(MATCHED!BE62=16,MATCHED!$Q62,IF(MATCHED!BE62=17,MATCHED!$R62,IF(MATCHED!BE62=18,MATCHED!$S62,IF(MATCHED!BE62=19,MATCHED!$T62,IF(MATCHED!BE62=20,MATCHED!$U62,IF(MATCHED!BE62=21,MATCHED!$V62,)))))))&amp;IF(MATCHED!BE62=22,MATCHED!$W62,IF(MATCHED!BE62=23,MATCHED!$X62,IF(MATCHED!BE62=24,MATCHED!$Y62,IF(MATCHED!BE62=25,MATCHED!$Z62,IF(MATCHED!BE62=26,MATCHED!$AA62,IF(MATCHED!BE62=27,MATCHED!$AB62,"."))))))</f>
        <v>#N/A</v>
      </c>
      <c r="AD62" s="379" t="e">
        <f>IF(MATCHED!BF62=1,MATCHED!$B62,IF(MATCHED!BF62=2,MATCHED!$C62,IF(MATCHED!BF62=3,MATCHED!$D62,IF(MATCHED!BF62=4,MATCHED!$E62,IF(MATCHED!BF62=3,MATCHED!$F62,IF(MATCHED!BF62=6,MATCHED!$G62,IF(MATCHED!BF62=7,MATCHED!$H62,"")))))))&amp;IF(MATCHED!BF62=8,MATCHED!$I62,IF(MATCHED!BF62=9,MATCHED!$J62,IF(MATCHED!BF62=10,MATCHED!$K62,IF(MATCHED!BF62=11,MATCHED!$L62,IF(MATCHED!BF62=12,MATCHED!$M62,IF(MATCHED!BF62=13,MATCHED!$N62,IF(MATCHED!BF62=14,MATCHED!$O62,"")))))))&amp;IF(MATCHED!BF62=15,MATCHED!$P62,IF(MATCHED!BF62=16,MATCHED!$Q62,IF(MATCHED!BF62=17,MATCHED!$R62,IF(MATCHED!BF62=18,MATCHED!$S62,IF(MATCHED!BF62=19,MATCHED!$T62,IF(MATCHED!BF62=20,MATCHED!$U62,IF(MATCHED!BF62=21,MATCHED!$V62,)))))))&amp;IF(MATCHED!BF62=22,MATCHED!$W62,IF(MATCHED!BF62=23,MATCHED!$X62,IF(MATCHED!BF62=24,MATCHED!$Y62,IF(MATCHED!BF62=25,MATCHED!$Z62,IF(MATCHED!BF62=26,MATCHED!$AA62,IF(MATCHED!BF62=27,MATCHED!$AB62,"."))))))</f>
        <v>#N/A</v>
      </c>
      <c r="AE62" s="379" t="e">
        <f>IF(MATCHED!BG62=1,MATCHED!$B62,IF(MATCHED!BG62=2,MATCHED!$C62,IF(MATCHED!BG62=3,MATCHED!$D62,IF(MATCHED!BG62=4,MATCHED!$E62,IF(MATCHED!BG62=3,MATCHED!$F62,IF(MATCHED!BG62=6,MATCHED!$G62,IF(MATCHED!BG62=7,MATCHED!$H62,"")))))))&amp;IF(MATCHED!BG62=8,MATCHED!$I62,IF(MATCHED!BG62=9,MATCHED!$J62,IF(MATCHED!BG62=10,MATCHED!$K62,IF(MATCHED!BG62=11,MATCHED!$L62,IF(MATCHED!BG62=12,MATCHED!$M62,IF(MATCHED!BG62=13,MATCHED!$N62,IF(MATCHED!BG62=14,MATCHED!$O62,"")))))))&amp;IF(MATCHED!BG62=15,MATCHED!$P62,IF(MATCHED!BG62=16,MATCHED!$Q62,IF(MATCHED!BG62=17,MATCHED!$R62,IF(MATCHED!BG62=18,MATCHED!$S62,IF(MATCHED!BG62=19,MATCHED!$T62,IF(MATCHED!BG62=20,MATCHED!$U62,IF(MATCHED!BG62=21,MATCHED!$V62,)))))))&amp;IF(MATCHED!BG62=22,MATCHED!$W62,IF(MATCHED!BG62=23,MATCHED!$X62,IF(MATCHED!BG62=24,MATCHED!$Y62,IF(MATCHED!BG62=25,MATCHED!$Z62,IF(MATCHED!BG62=26,MATCHED!$AA62,IF(MATCHED!BG62=27,MATCHED!$AB62,"."))))))</f>
        <v>#N/A</v>
      </c>
      <c r="AF62" s="379" t="e">
        <f>IF(MATCHED!BH62=1,MATCHED!$B62,IF(MATCHED!BH62=2,MATCHED!$C62,IF(MATCHED!BH62=3,MATCHED!$D62,IF(MATCHED!BH62=4,MATCHED!$E62,IF(MATCHED!BH62=3,MATCHED!$F62,IF(MATCHED!BH62=6,MATCHED!$G62,IF(MATCHED!BH62=7,MATCHED!$H62,"")))))))&amp;IF(MATCHED!BH62=8,MATCHED!$I62,IF(MATCHED!BH62=9,MATCHED!$J62,IF(MATCHED!BH62=10,MATCHED!$K62,IF(MATCHED!BH62=11,MATCHED!$L62,IF(MATCHED!BH62=12,MATCHED!$M62,IF(MATCHED!BH62=13,MATCHED!$N62,IF(MATCHED!BH62=14,MATCHED!$O62,"")))))))&amp;IF(MATCHED!BH62=15,MATCHED!$P62,IF(MATCHED!BH62=16,MATCHED!$Q62,IF(MATCHED!BH62=17,MATCHED!$R62,IF(MATCHED!BH62=18,MATCHED!$S62,IF(MATCHED!BH62=19,MATCHED!$T62,IF(MATCHED!BH62=20,MATCHED!$U62,IF(MATCHED!BH62=21,MATCHED!$V62,)))))))&amp;IF(MATCHED!BH62=22,MATCHED!$W62,IF(MATCHED!BH62=23,MATCHED!$X62,IF(MATCHED!BH62=24,MATCHED!$Y62,IF(MATCHED!BH62=25,MATCHED!$Z62,IF(MATCHED!BH62=26,MATCHED!$AA62,IF(MATCHED!BH62=27,MATCHED!$AB62,"."))))))</f>
        <v>#N/A</v>
      </c>
      <c r="AG62" s="379" t="e">
        <f>IF(MATCHED!BI62=1,MATCHED!$B62,IF(MATCHED!BI62=2,MATCHED!$C62,IF(MATCHED!BI62=3,MATCHED!$D62,IF(MATCHED!BI62=4,MATCHED!$E62,IF(MATCHED!BI62=3,MATCHED!$F62,IF(MATCHED!BI62=6,MATCHED!$G62,IF(MATCHED!BI62=7,MATCHED!$H62,"")))))))&amp;IF(MATCHED!BI62=8,MATCHED!$I62,IF(MATCHED!BI62=9,MATCHED!$J62,IF(MATCHED!BI62=10,MATCHED!$K62,IF(MATCHED!BI62=11,MATCHED!$L62,IF(MATCHED!BI62=12,MATCHED!$M62,IF(MATCHED!BI62=13,MATCHED!$N62,IF(MATCHED!BI62=14,MATCHED!$O62,"")))))))&amp;IF(MATCHED!BI62=15,MATCHED!$P62,IF(MATCHED!BI62=16,MATCHED!$Q62,IF(MATCHED!BI62=17,MATCHED!$R62,IF(MATCHED!BI62=18,MATCHED!$S62,IF(MATCHED!BI62=19,MATCHED!$T62,IF(MATCHED!BI62=20,MATCHED!$U62,IF(MATCHED!BI62=21,MATCHED!$V62,)))))))&amp;IF(MATCHED!BI62=22,MATCHED!$W62,IF(MATCHED!BI62=23,MATCHED!$X62,IF(MATCHED!BI62=24,MATCHED!$Y62,IF(MATCHED!BI62=25,MATCHED!$Z62,IF(MATCHED!BI62=26,MATCHED!$AA62,IF(MATCHED!BI62=27,MATCHED!$AB62,"."))))))</f>
        <v>#N/A</v>
      </c>
      <c r="AH62" s="379" t="e">
        <f>IF(MATCHED!BJ62=1,MATCHED!$B62,IF(MATCHED!BJ62=2,MATCHED!$C62,IF(MATCHED!BJ62=3,MATCHED!$D62,IF(MATCHED!BJ62=4,MATCHED!$E62,IF(MATCHED!BJ62=3,MATCHED!$F62,IF(MATCHED!BJ62=6,MATCHED!$G62,IF(MATCHED!BJ62=7,MATCHED!$H62,"")))))))&amp;IF(MATCHED!BJ62=8,MATCHED!$I62,IF(MATCHED!BJ62=9,MATCHED!$J62,IF(MATCHED!BJ62=10,MATCHED!$K62,IF(MATCHED!BJ62=11,MATCHED!$L62,IF(MATCHED!BJ62=12,MATCHED!$M62,IF(MATCHED!BJ62=13,MATCHED!$N62,IF(MATCHED!BJ62=14,MATCHED!$O62,"")))))))&amp;IF(MATCHED!BJ62=15,MATCHED!$P62,IF(MATCHED!BJ62=16,MATCHED!$Q62,IF(MATCHED!BJ62=17,MATCHED!$R62,IF(MATCHED!BJ62=18,MATCHED!$S62,IF(MATCHED!BJ62=19,MATCHED!$T62,IF(MATCHED!BJ62=20,MATCHED!$U62,IF(MATCHED!BJ62=21,MATCHED!$V62,)))))))&amp;IF(MATCHED!BJ62=22,MATCHED!$W62,IF(MATCHED!BJ62=23,MATCHED!$X62,IF(MATCHED!BJ62=24,MATCHED!$Y62,IF(MATCHED!BJ62=25,MATCHED!$Z62,IF(MATCHED!BJ62=26,MATCHED!$AA62,IF(MATCHED!BJ62=27,MATCHED!$AB62,"."))))))</f>
        <v>#N/A</v>
      </c>
      <c r="AI62" s="379" t="e">
        <f>IF(MATCHED!BK62=1,MATCHED!$B62,IF(MATCHED!BK62=2,MATCHED!$C62,IF(MATCHED!BK62=3,MATCHED!$D62,IF(MATCHED!BK62=4,MATCHED!$E62,IF(MATCHED!BK62=3,MATCHED!$F62,IF(MATCHED!BK62=6,MATCHED!$G62,IF(MATCHED!BK62=7,MATCHED!$H62,"")))))))&amp;IF(MATCHED!BK62=8,MATCHED!$I62,IF(MATCHED!BK62=9,MATCHED!$J62,IF(MATCHED!BK62=10,MATCHED!$K62,IF(MATCHED!BK62=11,MATCHED!$L62,IF(MATCHED!BK62=12,MATCHED!$M62,IF(MATCHED!BK62=13,MATCHED!$N62,IF(MATCHED!BK62=14,MATCHED!$O62,"")))))))&amp;IF(MATCHED!BK62=15,MATCHED!$P62,IF(MATCHED!BK62=16,MATCHED!$Q62,IF(MATCHED!BK62=17,MATCHED!$R62,IF(MATCHED!BK62=18,MATCHED!$S62,IF(MATCHED!BK62=19,MATCHED!$T62,IF(MATCHED!BK62=20,MATCHED!$U62,IF(MATCHED!BK62=21,MATCHED!$V62,)))))))&amp;IF(MATCHED!BK62=22,MATCHED!$W62,IF(MATCHED!BK62=23,MATCHED!$X62,IF(MATCHED!BK62=24,MATCHED!$Y62,IF(MATCHED!BK62=25,MATCHED!$Z62,IF(MATCHED!BK62=26,MATCHED!$AA62,IF(MATCHED!BK62=27,MATCHED!$AB62,"."))))))</f>
        <v>#N/A</v>
      </c>
      <c r="AJ62" s="535"/>
    </row>
    <row r="63" spans="1:36" s="338" customFormat="1" ht="75" x14ac:dyDescent="0.25">
      <c r="A63" s="535"/>
      <c r="B63" s="378" t="e">
        <f>IF(MATCHED!AD63=1,MATCHED!$B63,IF(MATCHED!AD63=2,MATCHED!$C63,IF(MATCHED!AD63=3,MATCHED!$D63,IF(MATCHED!AD63=4,MATCHED!$E63,IF(MATCHED!AD63=3,MATCHED!$F63,IF(MATCHED!AD63=6,MATCHED!$G63,IF(MATCHED!AD63=7,MATCHED!$H63,"")))))))&amp;IF(MATCHED!AD63=8,MATCHED!$I63,IF(MATCHED!AD63=9,MATCHED!$J63,IF(MATCHED!AD63=10,MATCHED!$K63,IF(MATCHED!AD63=11,MATCHED!$L63,IF(MATCHED!AD63=12,MATCHED!$M63,IF(MATCHED!AD63=13,MATCHED!$N63,IF(MATCHED!AD63=14,MATCHED!$O63,"")))))))&amp;IF(MATCHED!AD63=15,MATCHED!$P63,IF(MATCHED!AD63=16,MATCHED!$Q63,IF(MATCHED!AD63=17,MATCHED!$R63,IF(MATCHED!AD63=18,MATCHED!$S63,IF(MATCHED!AD63=19,MATCHED!$T63,IF(MATCHED!AD63=20,MATCHED!$U63,IF(MATCHED!AD63=21,MATCHED!$V63,)))))))&amp;IF(MATCHED!AD63=22,MATCHED!$W63,IF(MATCHED!AD63=23,MATCHED!$X63,IF(MATCHED!AD63=24,MATCHED!$Y63,IF(MATCHED!AD63=25,MATCHED!$Z63,IF(MATCHED!AD63=26,MATCHED!$AA63,IF(MATCHED!AD63=27,MATCHED!$AB63,"."))))))</f>
        <v>#N/A</v>
      </c>
      <c r="C63" s="379" t="e">
        <f>IF(MATCHED!AE63=1,MATCHED!$B63,IF(MATCHED!AE63=2,MATCHED!$C63,IF(MATCHED!AE63=3,MATCHED!$D63,IF(MATCHED!AE63=4,MATCHED!$E63,IF(MATCHED!AE63=3,MATCHED!$F63,IF(MATCHED!AE63=6,MATCHED!$G63,IF(MATCHED!AE63=7,MATCHED!$H63,"")))))))&amp;IF(MATCHED!AE63=8,MATCHED!$I63,IF(MATCHED!AE63=9,MATCHED!$J63,IF(MATCHED!AE63=10,MATCHED!$K63,IF(MATCHED!AE63=11,MATCHED!$L63,IF(MATCHED!AE63=12,MATCHED!$M63,IF(MATCHED!AE63=13,MATCHED!$N63,IF(MATCHED!AE63=14,MATCHED!$O63,"")))))))&amp;IF(MATCHED!AE63=15,MATCHED!$P63,IF(MATCHED!AE63=16,MATCHED!$Q63,IF(MATCHED!AE63=17,MATCHED!$R63,IF(MATCHED!AE63=18,MATCHED!$S63,IF(MATCHED!AE63=19,MATCHED!$T63,IF(MATCHED!AE63=20,MATCHED!$U63,IF(MATCHED!AE63=21,MATCHED!$V63,)))))))&amp;IF(MATCHED!AE63=22,MATCHED!$W63,IF(MATCHED!AE63=23,MATCHED!$X63,IF(MATCHED!AE63=24,MATCHED!$Y63,IF(MATCHED!AE63=25,MATCHED!$Z63,IF(MATCHED!AE63=26,MATCHED!$AA63,IF(MATCHED!AE63=27,MATCHED!$AB63,"."))))))</f>
        <v>#N/A</v>
      </c>
      <c r="D63" s="379" t="e">
        <f>IF(MATCHED!AF63=1,MATCHED!$B63,IF(MATCHED!AF63=2,MATCHED!$C63,IF(MATCHED!AF63=3,MATCHED!$D63,IF(MATCHED!AF63=4,MATCHED!$E63,IF(MATCHED!AF63=3,MATCHED!$F63,IF(MATCHED!AF63=6,MATCHED!$G63,IF(MATCHED!AF63=7,MATCHED!$H63,"")))))))&amp;IF(MATCHED!AF63=8,MATCHED!$I63,IF(MATCHED!AF63=9,MATCHED!$J63,IF(MATCHED!AF63=10,MATCHED!$K63,IF(MATCHED!AF63=11,MATCHED!$L63,IF(MATCHED!AF63=12,MATCHED!$M63,IF(MATCHED!AF63=13,MATCHED!$N63,IF(MATCHED!AF63=14,MATCHED!$O63,"")))))))&amp;IF(MATCHED!AF63=15,MATCHED!$P63,IF(MATCHED!AF63=16,MATCHED!$Q63,IF(MATCHED!AF63=17,MATCHED!$R63,IF(MATCHED!AF63=18,MATCHED!$S63,IF(MATCHED!AF63=19,MATCHED!$T63,IF(MATCHED!AF63=20,MATCHED!$U63,IF(MATCHED!AF63=21,MATCHED!$V63,)))))))&amp;IF(MATCHED!AF63=22,MATCHED!$W63,IF(MATCHED!AF63=23,MATCHED!$X63,IF(MATCHED!AF63=24,MATCHED!$Y63,IF(MATCHED!AF63=25,MATCHED!$Z63,IF(MATCHED!AF63=26,MATCHED!$AA63,IF(MATCHED!AF63=27,MATCHED!$AB63,"."))))))</f>
        <v>#N/A</v>
      </c>
      <c r="E63" s="379" t="e">
        <f>IF(MATCHED!AG63=1,MATCHED!$B63,IF(MATCHED!AG63=2,MATCHED!$C63,IF(MATCHED!AG63=3,MATCHED!$D63,IF(MATCHED!AG63=4,MATCHED!$E63,IF(MATCHED!AG63=3,MATCHED!$F63,IF(MATCHED!AG63=6,MATCHED!$G63,IF(MATCHED!AG63=7,MATCHED!$H63,"")))))))&amp;IF(MATCHED!AG63=8,MATCHED!$I63,IF(MATCHED!AG63=9,MATCHED!$J63,IF(MATCHED!AG63=10,MATCHED!$K63,IF(MATCHED!AG63=11,MATCHED!$L63,IF(MATCHED!AG63=12,MATCHED!$M63,IF(MATCHED!AG63=13,MATCHED!$N63,IF(MATCHED!AG63=14,MATCHED!$O63,"")))))))&amp;IF(MATCHED!AG63=15,MATCHED!$P63,IF(MATCHED!AG63=16,MATCHED!$Q63,IF(MATCHED!AG63=17,MATCHED!$R63,IF(MATCHED!AG63=18,MATCHED!$S63,IF(MATCHED!AG63=19,MATCHED!$T63,IF(MATCHED!AG63=20,MATCHED!$U63,IF(MATCHED!AG63=21,MATCHED!$V63,)))))))&amp;IF(MATCHED!AG63=22,MATCHED!$W63,IF(MATCHED!AG63=23,MATCHED!$X63,IF(MATCHED!AG63=24,MATCHED!$Y63,IF(MATCHED!AG63=25,MATCHED!$Z63,IF(MATCHED!AG63=26,MATCHED!$AA63,IF(MATCHED!AG63=27,MATCHED!$AB63,"."))))))</f>
        <v>#N/A</v>
      </c>
      <c r="F63" s="379" t="e">
        <f>IF(MATCHED!AH63=1,MATCHED!$B63,IF(MATCHED!AH63=2,MATCHED!$C63,IF(MATCHED!AH63=3,MATCHED!$D63,IF(MATCHED!AH63=4,MATCHED!$E63,IF(MATCHED!AH63=3,MATCHED!$F63,IF(MATCHED!AH63=6,MATCHED!$G63,IF(MATCHED!AH63=7,MATCHED!$H63,"")))))))&amp;IF(MATCHED!AH63=8,MATCHED!$I63,IF(MATCHED!AH63=9,MATCHED!$J63,IF(MATCHED!AH63=10,MATCHED!$K63,IF(MATCHED!AH63=11,MATCHED!$L63,IF(MATCHED!AH63=12,MATCHED!$M63,IF(MATCHED!AH63=13,MATCHED!$N63,IF(MATCHED!AH63=14,MATCHED!$O63,"")))))))&amp;IF(MATCHED!AH63=15,MATCHED!$P63,IF(MATCHED!AH63=16,MATCHED!$Q63,IF(MATCHED!AH63=17,MATCHED!$R63,IF(MATCHED!AH63=18,MATCHED!$S63,IF(MATCHED!AH63=19,MATCHED!$T63,IF(MATCHED!AH63=20,MATCHED!$U63,IF(MATCHED!AH63=21,MATCHED!$V63,)))))))&amp;IF(MATCHED!AH63=22,MATCHED!$W63,IF(MATCHED!AH63=23,MATCHED!$X63,IF(MATCHED!AH63=24,MATCHED!$Y63,IF(MATCHED!AH63=25,MATCHED!$Z63,IF(MATCHED!AH63=26,MATCHED!$AA63,IF(MATCHED!AH63=27,MATCHED!$AB63,"."))))))</f>
        <v>#N/A</v>
      </c>
      <c r="G63" s="379" t="e">
        <f>IF(MATCHED!AI63=1,MATCHED!$B63,IF(MATCHED!AI63=2,MATCHED!$C63,IF(MATCHED!AI63=3,MATCHED!$D63,IF(MATCHED!AI63=4,MATCHED!$E63,IF(MATCHED!AI63=3,MATCHED!$F63,IF(MATCHED!AI63=6,MATCHED!$G63,IF(MATCHED!AI63=7,MATCHED!$H63,"")))))))&amp;IF(MATCHED!AI63=8,MATCHED!$I63,IF(MATCHED!AI63=9,MATCHED!$J63,IF(MATCHED!AI63=10,MATCHED!$K63,IF(MATCHED!AI63=11,MATCHED!$L63,IF(MATCHED!AI63=12,MATCHED!$M63,IF(MATCHED!AI63=13,MATCHED!$N63,IF(MATCHED!AI63=14,MATCHED!$O63,"")))))))&amp;IF(MATCHED!AI63=15,MATCHED!$P63,IF(MATCHED!AI63=16,MATCHED!$Q63,IF(MATCHED!AI63=17,MATCHED!$R63,IF(MATCHED!AI63=18,MATCHED!$S63,IF(MATCHED!AI63=19,MATCHED!$T63,IF(MATCHED!AI63=20,MATCHED!$U63,IF(MATCHED!AI63=21,MATCHED!$V63,)))))))&amp;IF(MATCHED!AI63=22,MATCHED!$W63,IF(MATCHED!AI63=23,MATCHED!$X63,IF(MATCHED!AI63=24,MATCHED!$Y63,IF(MATCHED!AI63=25,MATCHED!$Z63,IF(MATCHED!AI63=26,MATCHED!$AA63,IF(MATCHED!AI63=27,MATCHED!$AB63,"."))))))</f>
        <v>#N/A</v>
      </c>
      <c r="H63" s="379" t="e">
        <f>IF(MATCHED!AJ63=1,MATCHED!$B63,IF(MATCHED!AJ63=2,MATCHED!$C63,IF(MATCHED!AJ63=3,MATCHED!$D63,IF(MATCHED!AJ63=4,MATCHED!$E63,IF(MATCHED!AJ63=3,MATCHED!$F63,IF(MATCHED!AJ63=6,MATCHED!$G63,IF(MATCHED!AJ63=7,MATCHED!$H63,"")))))))&amp;IF(MATCHED!AJ63=8,MATCHED!$I63,IF(MATCHED!AJ63=9,MATCHED!$J63,IF(MATCHED!AJ63=10,MATCHED!$K63,IF(MATCHED!AJ63=11,MATCHED!$L63,IF(MATCHED!AJ63=12,MATCHED!$M63,IF(MATCHED!AJ63=13,MATCHED!$N63,IF(MATCHED!AJ63=14,MATCHED!$O63,"")))))))&amp;IF(MATCHED!AJ63=15,MATCHED!$P63,IF(MATCHED!AJ63=16,MATCHED!$Q63,IF(MATCHED!AJ63=17,MATCHED!$R63,IF(MATCHED!AJ63=18,MATCHED!$S63,IF(MATCHED!AJ63=19,MATCHED!$T63,IF(MATCHED!AJ63=20,MATCHED!$U63,IF(MATCHED!AJ63=21,MATCHED!$V63,)))))))&amp;IF(MATCHED!AJ63=22,MATCHED!$W63,IF(MATCHED!AJ63=23,MATCHED!$X63,IF(MATCHED!AJ63=24,MATCHED!$Y63,IF(MATCHED!AJ63=25,MATCHED!$Z63,IF(MATCHED!AJ63=26,MATCHED!$AA63,IF(MATCHED!AJ63=27,MATCHED!$AB63,"."))))))</f>
        <v>#N/A</v>
      </c>
      <c r="I63" s="379" t="e">
        <f>IF(MATCHED!AK63=1,MATCHED!$B63,IF(MATCHED!AK63=2,MATCHED!$C63,IF(MATCHED!AK63=3,MATCHED!$D63,IF(MATCHED!AK63=4,MATCHED!$E63,IF(MATCHED!AK63=3,MATCHED!$F63,IF(MATCHED!AK63=6,MATCHED!$G63,IF(MATCHED!AK63=7,MATCHED!$H63,"")))))))&amp;IF(MATCHED!AK63=8,MATCHED!$I63,IF(MATCHED!AK63=9,MATCHED!$J63,IF(MATCHED!AK63=10,MATCHED!$K63,IF(MATCHED!AK63=11,MATCHED!$L63,IF(MATCHED!AK63=12,MATCHED!$M63,IF(MATCHED!AK63=13,MATCHED!$N63,IF(MATCHED!AK63=14,MATCHED!$O63,"")))))))&amp;IF(MATCHED!AK63=15,MATCHED!$P63,IF(MATCHED!AK63=16,MATCHED!$Q63,IF(MATCHED!AK63=17,MATCHED!$R63,IF(MATCHED!AK63=18,MATCHED!$S63,IF(MATCHED!AK63=19,MATCHED!$T63,IF(MATCHED!AK63=20,MATCHED!$U63,IF(MATCHED!AK63=21,MATCHED!$V63,)))))))&amp;IF(MATCHED!AK63=22,MATCHED!$W63,IF(MATCHED!AK63=23,MATCHED!$X63,IF(MATCHED!AK63=24,MATCHED!$Y63,IF(MATCHED!AK63=25,MATCHED!$Z63,IF(MATCHED!AK63=26,MATCHED!$AA63,IF(MATCHED!AK63=27,MATCHED!$AB63,"."))))))</f>
        <v>#N/A</v>
      </c>
      <c r="J63" s="379" t="e">
        <f>IF(MATCHED!AL63=1,MATCHED!$B63,IF(MATCHED!AL63=2,MATCHED!$C63,IF(MATCHED!AL63=3,MATCHED!$D63,IF(MATCHED!AL63=4,MATCHED!$E63,IF(MATCHED!AL63=3,MATCHED!$F63,IF(MATCHED!AL63=6,MATCHED!$G63,IF(MATCHED!AL63=7,MATCHED!$H63,"")))))))&amp;IF(MATCHED!AL63=8,MATCHED!$I63,IF(MATCHED!AL63=9,MATCHED!$J63,IF(MATCHED!AL63=10,MATCHED!$K63,IF(MATCHED!AL63=11,MATCHED!$L63,IF(MATCHED!AL63=12,MATCHED!$M63,IF(MATCHED!AL63=13,MATCHED!$N63,IF(MATCHED!AL63=14,MATCHED!$O63,"")))))))&amp;IF(MATCHED!AL63=15,MATCHED!$P63,IF(MATCHED!AL63=16,MATCHED!$Q63,IF(MATCHED!AL63=17,MATCHED!$R63,IF(MATCHED!AL63=18,MATCHED!$S63,IF(MATCHED!AL63=19,MATCHED!$T63,IF(MATCHED!AL63=20,MATCHED!$U63,IF(MATCHED!AL63=21,MATCHED!$V63,)))))))&amp;IF(MATCHED!AL63=22,MATCHED!$W63,IF(MATCHED!AL63=23,MATCHED!$X63,IF(MATCHED!AL63=24,MATCHED!$Y63,IF(MATCHED!AL63=25,MATCHED!$Z63,IF(MATCHED!AL63=26,MATCHED!$AA63,IF(MATCHED!AL63=27,MATCHED!$AB63,"."))))))</f>
        <v>#N/A</v>
      </c>
      <c r="K63" s="379" t="e">
        <f>IF(MATCHED!AM63=1,MATCHED!$B63,IF(MATCHED!AM63=2,MATCHED!$C63,IF(MATCHED!AM63=3,MATCHED!$D63,IF(MATCHED!AM63=4,MATCHED!$E63,IF(MATCHED!AM63=3,MATCHED!$F63,IF(MATCHED!AM63=6,MATCHED!$G63,IF(MATCHED!AM63=7,MATCHED!$H63,"")))))))&amp;IF(MATCHED!AM63=8,MATCHED!$I63,IF(MATCHED!AM63=9,MATCHED!$J63,IF(MATCHED!AM63=10,MATCHED!$K63,IF(MATCHED!AM63=11,MATCHED!$L63,IF(MATCHED!AM63=12,MATCHED!$M63,IF(MATCHED!AM63=13,MATCHED!$N63,IF(MATCHED!AM63=14,MATCHED!$O63,"")))))))&amp;IF(MATCHED!AM63=15,MATCHED!$P63,IF(MATCHED!AM63=16,MATCHED!$Q63,IF(MATCHED!AM63=17,MATCHED!$R63,IF(MATCHED!AM63=18,MATCHED!$S63,IF(MATCHED!AM63=19,MATCHED!$T63,IF(MATCHED!AM63=20,MATCHED!$U63,IF(MATCHED!AM63=21,MATCHED!$V63,)))))))&amp;IF(MATCHED!AM63=22,MATCHED!$W63,IF(MATCHED!AM63=23,MATCHED!$X63,IF(MATCHED!AM63=24,MATCHED!$Y63,IF(MATCHED!AM63=25,MATCHED!$Z63,IF(MATCHED!AM63=26,MATCHED!$AA63,IF(MATCHED!AM63=27,MATCHED!$AB63,"."))))))</f>
        <v>#N/A</v>
      </c>
      <c r="L63" s="379" t="e">
        <f>IF(MATCHED!AN63=1,MATCHED!$B63,IF(MATCHED!AN63=2,MATCHED!$C63,IF(MATCHED!AN63=3,MATCHED!$D63,IF(MATCHED!AN63=4,MATCHED!$E63,IF(MATCHED!AN63=3,MATCHED!$F63,IF(MATCHED!AN63=6,MATCHED!$G63,IF(MATCHED!AN63=7,MATCHED!$H63,"")))))))&amp;IF(MATCHED!AN63=8,MATCHED!$I63,IF(MATCHED!AN63=9,MATCHED!$J63,IF(MATCHED!AN63=10,MATCHED!$K63,IF(MATCHED!AN63=11,MATCHED!$L63,IF(MATCHED!AN63=12,MATCHED!$M63,IF(MATCHED!AN63=13,MATCHED!$N63,IF(MATCHED!AN63=14,MATCHED!$O63,"")))))))&amp;IF(MATCHED!AN63=15,MATCHED!$P63,IF(MATCHED!AN63=16,MATCHED!$Q63,IF(MATCHED!AN63=17,MATCHED!$R63,IF(MATCHED!AN63=18,MATCHED!$S63,IF(MATCHED!AN63=19,MATCHED!$T63,IF(MATCHED!AN63=20,MATCHED!$U63,IF(MATCHED!AN63=21,MATCHED!$V63,)))))))&amp;IF(MATCHED!AN63=22,MATCHED!$W63,IF(MATCHED!AN63=23,MATCHED!$X63,IF(MATCHED!AN63=24,MATCHED!$Y63,IF(MATCHED!AN63=25,MATCHED!$Z63,IF(MATCHED!AN63=26,MATCHED!$AA63,IF(MATCHED!AN63=27,MATCHED!$AB63,"."))))))</f>
        <v>#N/A</v>
      </c>
      <c r="M63" s="379" t="e">
        <f>IF(MATCHED!AO63=1,MATCHED!$B63,IF(MATCHED!AO63=2,MATCHED!$C63,IF(MATCHED!AO63=3,MATCHED!$D63,IF(MATCHED!AO63=4,MATCHED!$E63,IF(MATCHED!AO63=3,MATCHED!$F63,IF(MATCHED!AO63=6,MATCHED!$G63,IF(MATCHED!AO63=7,MATCHED!$H63,"")))))))&amp;IF(MATCHED!AO63=8,MATCHED!$I63,IF(MATCHED!AO63=9,MATCHED!$J63,IF(MATCHED!AO63=10,MATCHED!$K63,IF(MATCHED!AO63=11,MATCHED!$L63,IF(MATCHED!AO63=12,MATCHED!$M63,IF(MATCHED!AO63=13,MATCHED!$N63,IF(MATCHED!AO63=14,MATCHED!$O63,"")))))))&amp;IF(MATCHED!AO63=15,MATCHED!$P63,IF(MATCHED!AO63=16,MATCHED!$Q63,IF(MATCHED!AO63=17,MATCHED!$R63,IF(MATCHED!AO63=18,MATCHED!$S63,IF(MATCHED!AO63=19,MATCHED!$T63,IF(MATCHED!AO63=20,MATCHED!$U63,IF(MATCHED!AO63=21,MATCHED!$V63,)))))))&amp;IF(MATCHED!AO63=22,MATCHED!$W63,IF(MATCHED!AO63=23,MATCHED!$X63,IF(MATCHED!AO63=24,MATCHED!$Y63,IF(MATCHED!AO63=25,MATCHED!$Z63,IF(MATCHED!AO63=26,MATCHED!$AA63,IF(MATCHED!AO63=27,MATCHED!$AB63,"."))))))</f>
        <v>#N/A</v>
      </c>
      <c r="N63" s="379" t="e">
        <f>IF(MATCHED!AP63=1,MATCHED!$B63,IF(MATCHED!AP63=2,MATCHED!$C63,IF(MATCHED!AP63=3,MATCHED!$D63,IF(MATCHED!AP63=4,MATCHED!$E63,IF(MATCHED!AP63=3,MATCHED!$F63,IF(MATCHED!AP63=6,MATCHED!$G63,IF(MATCHED!AP63=7,MATCHED!$H63,"")))))))&amp;IF(MATCHED!AP63=8,MATCHED!$I63,IF(MATCHED!AP63=9,MATCHED!$J63,IF(MATCHED!AP63=10,MATCHED!$K63,IF(MATCHED!AP63=11,MATCHED!$L63,IF(MATCHED!AP63=12,MATCHED!$M63,IF(MATCHED!AP63=13,MATCHED!$N63,IF(MATCHED!AP63=14,MATCHED!$O63,"")))))))&amp;IF(MATCHED!AP63=15,MATCHED!$P63,IF(MATCHED!AP63=16,MATCHED!$Q63,IF(MATCHED!AP63=17,MATCHED!$R63,IF(MATCHED!AP63=18,MATCHED!$S63,IF(MATCHED!AP63=19,MATCHED!$T63,IF(MATCHED!AP63=20,MATCHED!$U63,IF(MATCHED!AP63=21,MATCHED!$V63,)))))))&amp;IF(MATCHED!AP63=22,MATCHED!$W63,IF(MATCHED!AP63=23,MATCHED!$X63,IF(MATCHED!AP63=24,MATCHED!$Y63,IF(MATCHED!AP63=25,MATCHED!$Z63,IF(MATCHED!AP63=26,MATCHED!$AA63,IF(MATCHED!AP63=27,MATCHED!$AB63,"."))))))</f>
        <v>#N/A</v>
      </c>
      <c r="O63" s="379" t="e">
        <f>IF(MATCHED!AQ63=1,MATCHED!$B63,IF(MATCHED!AQ63=2,MATCHED!$C63,IF(MATCHED!AQ63=3,MATCHED!$D63,IF(MATCHED!AQ63=4,MATCHED!$E63,IF(MATCHED!AQ63=3,MATCHED!$F63,IF(MATCHED!AQ63=6,MATCHED!$G63,IF(MATCHED!AQ63=7,MATCHED!$H63,"")))))))&amp;IF(MATCHED!AQ63=8,MATCHED!$I63,IF(MATCHED!AQ63=9,MATCHED!$J63,IF(MATCHED!AQ63=10,MATCHED!$K63,IF(MATCHED!AQ63=11,MATCHED!$L63,IF(MATCHED!AQ63=12,MATCHED!$M63,IF(MATCHED!AQ63=13,MATCHED!$N63,IF(MATCHED!AQ63=14,MATCHED!$O63,"")))))))&amp;IF(MATCHED!AQ63=15,MATCHED!$P63,IF(MATCHED!AQ63=16,MATCHED!$Q63,IF(MATCHED!AQ63=17,MATCHED!$R63,IF(MATCHED!AQ63=18,MATCHED!$S63,IF(MATCHED!AQ63=19,MATCHED!$T63,IF(MATCHED!AQ63=20,MATCHED!$U63,IF(MATCHED!AQ63=21,MATCHED!$V63,)))))))&amp;IF(MATCHED!AQ63=22,MATCHED!$W63,IF(MATCHED!AQ63=23,MATCHED!$X63,IF(MATCHED!AQ63=24,MATCHED!$Y63,IF(MATCHED!AQ63=25,MATCHED!$Z63,IF(MATCHED!AQ63=26,MATCHED!$AA63,IF(MATCHED!AQ63=27,MATCHED!$AB63,"."))))))</f>
        <v>#N/A</v>
      </c>
      <c r="P63" s="379" t="e">
        <f>IF(MATCHED!AR63=1,MATCHED!$B63,IF(MATCHED!AR63=2,MATCHED!$C63,IF(MATCHED!AR63=3,MATCHED!$D63,IF(MATCHED!AR63=4,MATCHED!$E63,IF(MATCHED!AR63=3,MATCHED!$F63,IF(MATCHED!AR63=6,MATCHED!$G63,IF(MATCHED!AR63=7,MATCHED!$H63,"")))))))&amp;IF(MATCHED!AR63=8,MATCHED!$I63,IF(MATCHED!AR63=9,MATCHED!$J63,IF(MATCHED!AR63=10,MATCHED!$K63,IF(MATCHED!AR63=11,MATCHED!$L63,IF(MATCHED!AR63=12,MATCHED!$M63,IF(MATCHED!AR63=13,MATCHED!$N63,IF(MATCHED!AR63=14,MATCHED!$O63,"")))))))&amp;IF(MATCHED!AR63=15,MATCHED!$P63,IF(MATCHED!AR63=16,MATCHED!$Q63,IF(MATCHED!AR63=17,MATCHED!$R63,IF(MATCHED!AR63=18,MATCHED!$S63,IF(MATCHED!AR63=19,MATCHED!$T63,IF(MATCHED!AR63=20,MATCHED!$U63,IF(MATCHED!AR63=21,MATCHED!$V63,)))))))&amp;IF(MATCHED!AR63=22,MATCHED!$W63,IF(MATCHED!AR63=23,MATCHED!$X63,IF(MATCHED!AR63=24,MATCHED!$Y63,IF(MATCHED!AR63=25,MATCHED!$Z63,IF(MATCHED!AR63=26,MATCHED!$AA63,IF(MATCHED!AR63=27,MATCHED!$AB63,"."))))))</f>
        <v>#N/A</v>
      </c>
      <c r="Q63" s="380" t="e">
        <f>IF(MATCHED!AS63=1,MATCHED!$B63,IF(MATCHED!AS63=2,MATCHED!$C63,IF(MATCHED!AS63=3,MATCHED!$D63,IF(MATCHED!AS63=4,MATCHED!$E63,IF(MATCHED!AS63=3,MATCHED!$F63,IF(MATCHED!AS63=6,MATCHED!$G63,IF(MATCHED!AS63=7,MATCHED!$H63,"")))))))&amp;IF(MATCHED!AS63=8,MATCHED!$I63,IF(MATCHED!AS63=9,MATCHED!$J63,IF(MATCHED!AS63=10,MATCHED!$K63,IF(MATCHED!AS63=11,MATCHED!$L63,IF(MATCHED!AS63=12,MATCHED!$M63,IF(MATCHED!AS63=13,MATCHED!$N63,IF(MATCHED!AS63=14,MATCHED!$O63,"")))))))&amp;IF(MATCHED!AS63=15,MATCHED!$P63,IF(MATCHED!AS63=16,MATCHED!$Q63,IF(MATCHED!AS63=17,MATCHED!$R63,IF(MATCHED!AS63=18,MATCHED!$S63,IF(MATCHED!AS63=19,MATCHED!$T63,IF(MATCHED!AS63=20,MATCHED!$U63,IF(MATCHED!AS63=21,MATCHED!$V63,)))))))&amp;IF(MATCHED!AS63=22,MATCHED!$W63,IF(MATCHED!AS63=23,MATCHED!$X63,IF(MATCHED!AS63=24,MATCHED!$Y63,IF(MATCHED!AS63=25,MATCHED!$Z63,IF(MATCHED!AS63=26,MATCHED!$AA63,IF(MATCHED!AS63=27,MATCHED!$AB63,"."))))))</f>
        <v>#N/A</v>
      </c>
      <c r="R63" s="379" t="e">
        <f>IF(MATCHED!AT63=1,MATCHED!$B63,IF(MATCHED!AT63=2,MATCHED!$C63,IF(MATCHED!AT63=3,MATCHED!$D63,IF(MATCHED!AT63=4,MATCHED!$E63,IF(MATCHED!AT63=3,MATCHED!$F63,IF(MATCHED!AT63=6,MATCHED!$G63,IF(MATCHED!AT63=7,MATCHED!$H63,"")))))))&amp;IF(MATCHED!AT63=8,MATCHED!$I63,IF(MATCHED!AT63=9,MATCHED!$J63,IF(MATCHED!AT63=10,MATCHED!$K63,IF(MATCHED!AT63=11,MATCHED!$L63,IF(MATCHED!AT63=12,MATCHED!$M63,IF(MATCHED!AT63=13,MATCHED!$N63,IF(MATCHED!AT63=14,MATCHED!$O63,"")))))))&amp;IF(MATCHED!AT63=15,MATCHED!$P63,IF(MATCHED!AT63=16,MATCHED!$Q63,IF(MATCHED!AT63=17,MATCHED!$R63,IF(MATCHED!AT63=18,MATCHED!$S63,IF(MATCHED!AT63=19,MATCHED!$T63,IF(MATCHED!AT63=20,MATCHED!$U63,IF(MATCHED!AT63=21,MATCHED!$V63,)))))))&amp;IF(MATCHED!AT63=22,MATCHED!$W63,IF(MATCHED!AT63=23,MATCHED!$X63,IF(MATCHED!AT63=24,MATCHED!$Y63,IF(MATCHED!AT63=25,MATCHED!$Z63,IF(MATCHED!AT63=26,MATCHED!$AA63,IF(MATCHED!AT63=27,MATCHED!$AB63,"."))))))</f>
        <v>#N/A</v>
      </c>
      <c r="S63" s="379" t="e">
        <f>IF(MATCHED!AU63=1,MATCHED!$B63,IF(MATCHED!AU63=2,MATCHED!$C63,IF(MATCHED!AU63=3,MATCHED!$D63,IF(MATCHED!AU63=4,MATCHED!$E63,IF(MATCHED!AU63=3,MATCHED!$F63,IF(MATCHED!AU63=6,MATCHED!$G63,IF(MATCHED!AU63=7,MATCHED!$H63,"")))))))&amp;IF(MATCHED!AU63=8,MATCHED!$I63,IF(MATCHED!AU63=9,MATCHED!$J63,IF(MATCHED!AU63=10,MATCHED!$K63,IF(MATCHED!AU63=11,MATCHED!$L63,IF(MATCHED!AU63=12,MATCHED!$M63,IF(MATCHED!AU63=13,MATCHED!$N63,IF(MATCHED!AU63=14,MATCHED!$O63,"")))))))&amp;IF(MATCHED!AU63=15,MATCHED!$P63,IF(MATCHED!AU63=16,MATCHED!$Q63,IF(MATCHED!AU63=17,MATCHED!$R63,IF(MATCHED!AU63=18,MATCHED!$S63,IF(MATCHED!AU63=19,MATCHED!$T63,IF(MATCHED!AU63=20,MATCHED!$U63,IF(MATCHED!AU63=21,MATCHED!$V63,)))))))&amp;IF(MATCHED!AU63=22,MATCHED!$W63,IF(MATCHED!AU63=23,MATCHED!$X63,IF(MATCHED!AU63=24,MATCHED!$Y63,IF(MATCHED!AU63=25,MATCHED!$Z63,IF(MATCHED!AU63=26,MATCHED!$AA63,IF(MATCHED!AU63=27,MATCHED!$AB63,"."))))))</f>
        <v>#N/A</v>
      </c>
      <c r="T63" s="379" t="e">
        <f>IF(MATCHED!AV63=1,MATCHED!$B63,IF(MATCHED!AV63=2,MATCHED!$C63,IF(MATCHED!AV63=3,MATCHED!$D63,IF(MATCHED!AV63=4,MATCHED!$E63,IF(MATCHED!AV63=3,MATCHED!$F63,IF(MATCHED!AV63=6,MATCHED!$G63,IF(MATCHED!AV63=7,MATCHED!$H63,"")))))))&amp;IF(MATCHED!AV63=8,MATCHED!$I63,IF(MATCHED!AV63=9,MATCHED!$J63,IF(MATCHED!AV63=10,MATCHED!$K63,IF(MATCHED!AV63=11,MATCHED!$L63,IF(MATCHED!AV63=12,MATCHED!$M63,IF(MATCHED!AV63=13,MATCHED!$N63,IF(MATCHED!AV63=14,MATCHED!$O63,"")))))))&amp;IF(MATCHED!AV63=15,MATCHED!$P63,IF(MATCHED!AV63=16,MATCHED!$Q63,IF(MATCHED!AV63=17,MATCHED!$R63,IF(MATCHED!AV63=18,MATCHED!$S63,IF(MATCHED!AV63=19,MATCHED!$T63,IF(MATCHED!AV63=20,MATCHED!$U63,IF(MATCHED!AV63=21,MATCHED!$V63,)))))))&amp;IF(MATCHED!AV63=22,MATCHED!$W63,IF(MATCHED!AV63=23,MATCHED!$X63,IF(MATCHED!AV63=24,MATCHED!$Y63,IF(MATCHED!AV63=25,MATCHED!$Z63,IF(MATCHED!AV63=26,MATCHED!$AA63,IF(MATCHED!AV63=27,MATCHED!$AB63,"."))))))</f>
        <v>#N/A</v>
      </c>
      <c r="U63" s="379" t="e">
        <f>IF(MATCHED!AW63=1,MATCHED!$B63,IF(MATCHED!AW63=2,MATCHED!$C63,IF(MATCHED!AW63=3,MATCHED!$D63,IF(MATCHED!AW63=4,MATCHED!$E63,IF(MATCHED!AW63=3,MATCHED!$F63,IF(MATCHED!AW63=6,MATCHED!$G63,IF(MATCHED!AW63=7,MATCHED!$H63,"")))))))&amp;IF(MATCHED!AW63=8,MATCHED!$I63,IF(MATCHED!AW63=9,MATCHED!$J63,IF(MATCHED!AW63=10,MATCHED!$K63,IF(MATCHED!AW63=11,MATCHED!$L63,IF(MATCHED!AW63=12,MATCHED!$M63,IF(MATCHED!AW63=13,MATCHED!$N63,IF(MATCHED!AW63=14,MATCHED!$O63,"")))))))&amp;IF(MATCHED!AW63=15,MATCHED!$P63,IF(MATCHED!AW63=16,MATCHED!$Q63,IF(MATCHED!AW63=17,MATCHED!$R63,IF(MATCHED!AW63=18,MATCHED!$S63,IF(MATCHED!AW63=19,MATCHED!$T63,IF(MATCHED!AW63=20,MATCHED!$U63,IF(MATCHED!AW63=21,MATCHED!$V63,)))))))&amp;IF(MATCHED!AW63=22,MATCHED!$W63,IF(MATCHED!AW63=23,MATCHED!$X63,IF(MATCHED!AW63=24,MATCHED!$Y63,IF(MATCHED!AW63=25,MATCHED!$Z63,IF(MATCHED!AW63=26,MATCHED!$AA63,IF(MATCHED!AW63=27,MATCHED!$AB63,"."))))))</f>
        <v>#N/A</v>
      </c>
      <c r="V63" s="379" t="e">
        <f>IF(MATCHED!AX63=1,MATCHED!$B63,IF(MATCHED!AX63=2,MATCHED!$C63,IF(MATCHED!AX63=3,MATCHED!$D63,IF(MATCHED!AX63=4,MATCHED!$E63,IF(MATCHED!AX63=3,MATCHED!$F63,IF(MATCHED!AX63=6,MATCHED!$G63,IF(MATCHED!AX63=7,MATCHED!$H63,"")))))))&amp;IF(MATCHED!AX63=8,MATCHED!$I63,IF(MATCHED!AX63=9,MATCHED!$J63,IF(MATCHED!AX63=10,MATCHED!$K63,IF(MATCHED!AX63=11,MATCHED!$L63,IF(MATCHED!AX63=12,MATCHED!$M63,IF(MATCHED!AX63=13,MATCHED!$N63,IF(MATCHED!AX63=14,MATCHED!$O63,"")))))))&amp;IF(MATCHED!AX63=15,MATCHED!$P63,IF(MATCHED!AX63=16,MATCHED!$Q63,IF(MATCHED!AX63=17,MATCHED!$R63,IF(MATCHED!AX63=18,MATCHED!$S63,IF(MATCHED!AX63=19,MATCHED!$T63,IF(MATCHED!AX63=20,MATCHED!$U63,IF(MATCHED!AX63=21,MATCHED!$V63,)))))))&amp;IF(MATCHED!AX63=22,MATCHED!$W63,IF(MATCHED!AX63=23,MATCHED!$X63,IF(MATCHED!AX63=24,MATCHED!$Y63,IF(MATCHED!AX63=25,MATCHED!$Z63,IF(MATCHED!AX63=26,MATCHED!$AA63,IF(MATCHED!AX63=27,MATCHED!$AB63,"."))))))</f>
        <v>#N/A</v>
      </c>
      <c r="W63" s="379" t="e">
        <f>IF(MATCHED!AY63=1,MATCHED!$B63,IF(MATCHED!AY63=2,MATCHED!$C63,IF(MATCHED!AY63=3,MATCHED!$D63,IF(MATCHED!AY63=4,MATCHED!$E63,IF(MATCHED!AY63=3,MATCHED!$F63,IF(MATCHED!AY63=6,MATCHED!$G63,IF(MATCHED!AY63=7,MATCHED!$H63,"")))))))&amp;IF(MATCHED!AY63=8,MATCHED!$I63,IF(MATCHED!AY63=9,MATCHED!$J63,IF(MATCHED!AY63=10,MATCHED!$K63,IF(MATCHED!AY63=11,MATCHED!$L63,IF(MATCHED!AY63=12,MATCHED!$M63,IF(MATCHED!AY63=13,MATCHED!$N63,IF(MATCHED!AY63=14,MATCHED!$O63,"")))))))&amp;IF(MATCHED!AY63=15,MATCHED!$P63,IF(MATCHED!AY63=16,MATCHED!$Q63,IF(MATCHED!AY63=17,MATCHED!$R63,IF(MATCHED!AY63=18,MATCHED!$S63,IF(MATCHED!AY63=19,MATCHED!$T63,IF(MATCHED!AY63=20,MATCHED!$U63,IF(MATCHED!AY63=21,MATCHED!$V63,)))))))&amp;IF(MATCHED!AY63=22,MATCHED!$W63,IF(MATCHED!AY63=23,MATCHED!$X63,IF(MATCHED!AY63=24,MATCHED!$Y63,IF(MATCHED!AY63=25,MATCHED!$Z63,IF(MATCHED!AY63=26,MATCHED!$AA63,IF(MATCHED!AY63=27,MATCHED!$AB63,"."))))))</f>
        <v>#N/A</v>
      </c>
      <c r="X63" s="379" t="e">
        <f>IF(MATCHED!AZ63=1,MATCHED!$B63,IF(MATCHED!AZ63=2,MATCHED!$C63,IF(MATCHED!AZ63=3,MATCHED!$D63,IF(MATCHED!AZ63=4,MATCHED!$E63,IF(MATCHED!AZ63=3,MATCHED!$F63,IF(MATCHED!AZ63=6,MATCHED!$G63,IF(MATCHED!AZ63=7,MATCHED!$H63,"")))))))&amp;IF(MATCHED!AZ63=8,MATCHED!$I63,IF(MATCHED!AZ63=9,MATCHED!$J63,IF(MATCHED!AZ63=10,MATCHED!$K63,IF(MATCHED!AZ63=11,MATCHED!$L63,IF(MATCHED!AZ63=12,MATCHED!$M63,IF(MATCHED!AZ63=13,MATCHED!$N63,IF(MATCHED!AZ63=14,MATCHED!$O63,"")))))))&amp;IF(MATCHED!AZ63=15,MATCHED!$P63,IF(MATCHED!AZ63=16,MATCHED!$Q63,IF(MATCHED!AZ63=17,MATCHED!$R63,IF(MATCHED!AZ63=18,MATCHED!$S63,IF(MATCHED!AZ63=19,MATCHED!$T63,IF(MATCHED!AZ63=20,MATCHED!$U63,IF(MATCHED!AZ63=21,MATCHED!$V63,)))))))&amp;IF(MATCHED!AZ63=22,MATCHED!$W63,IF(MATCHED!AZ63=23,MATCHED!$X63,IF(MATCHED!AZ63=24,MATCHED!$Y63,IF(MATCHED!AZ63=25,MATCHED!$Z63,IF(MATCHED!AZ63=26,MATCHED!$AA63,IF(MATCHED!AZ63=27,MATCHED!$AB63,"."))))))</f>
        <v>#N/A</v>
      </c>
      <c r="Y63" s="379" t="e">
        <f>IF(MATCHED!BA63=1,MATCHED!$B63,IF(MATCHED!BA63=2,MATCHED!$C63,IF(MATCHED!BA63=3,MATCHED!$D63,IF(MATCHED!BA63=4,MATCHED!$E63,IF(MATCHED!BA63=3,MATCHED!$F63,IF(MATCHED!BA63=6,MATCHED!$G63,IF(MATCHED!BA63=7,MATCHED!$H63,"")))))))&amp;IF(MATCHED!BA63=8,MATCHED!$I63,IF(MATCHED!BA63=9,MATCHED!$J63,IF(MATCHED!BA63=10,MATCHED!$K63,IF(MATCHED!BA63=11,MATCHED!$L63,IF(MATCHED!BA63=12,MATCHED!$M63,IF(MATCHED!BA63=13,MATCHED!$N63,IF(MATCHED!BA63=14,MATCHED!$O63,"")))))))&amp;IF(MATCHED!BA63=15,MATCHED!$P63,IF(MATCHED!BA63=16,MATCHED!$Q63,IF(MATCHED!BA63=17,MATCHED!$R63,IF(MATCHED!BA63=18,MATCHED!$S63,IF(MATCHED!BA63=19,MATCHED!$T63,IF(MATCHED!BA63=20,MATCHED!$U63,IF(MATCHED!BA63=21,MATCHED!$V63,)))))))&amp;IF(MATCHED!BA63=22,MATCHED!$W63,IF(MATCHED!BA63=23,MATCHED!$X63,IF(MATCHED!BA63=24,MATCHED!$Y63,IF(MATCHED!BA63=25,MATCHED!$Z63,IF(MATCHED!BA63=26,MATCHED!$AA63,IF(MATCHED!BA63=27,MATCHED!$AB63,"."))))))</f>
        <v>#N/A</v>
      </c>
      <c r="Z63" s="379" t="e">
        <f>IF(MATCHED!BB63=1,MATCHED!$B63,IF(MATCHED!BB63=2,MATCHED!$C63,IF(MATCHED!BB63=3,MATCHED!$D63,IF(MATCHED!BB63=4,MATCHED!$E63,IF(MATCHED!BB63=3,MATCHED!$F63,IF(MATCHED!BB63=6,MATCHED!$G63,IF(MATCHED!BB63=7,MATCHED!$H63,"")))))))&amp;IF(MATCHED!BB63=8,MATCHED!$I63,IF(MATCHED!BB63=9,MATCHED!$J63,IF(MATCHED!BB63=10,MATCHED!$K63,IF(MATCHED!BB63=11,MATCHED!$L63,IF(MATCHED!BB63=12,MATCHED!$M63,IF(MATCHED!BB63=13,MATCHED!$N63,IF(MATCHED!BB63=14,MATCHED!$O63,"")))))))&amp;IF(MATCHED!BB63=15,MATCHED!$P63,IF(MATCHED!BB63=16,MATCHED!$Q63,IF(MATCHED!BB63=17,MATCHED!$R63,IF(MATCHED!BB63=18,MATCHED!$S63,IF(MATCHED!BB63=19,MATCHED!$T63,IF(MATCHED!BB63=20,MATCHED!$U63,IF(MATCHED!BB63=21,MATCHED!$V63,)))))))&amp;IF(MATCHED!BB63=22,MATCHED!$W63,IF(MATCHED!BB63=23,MATCHED!$X63,IF(MATCHED!BB63=24,MATCHED!$Y63,IF(MATCHED!BB63=25,MATCHED!$Z63,IF(MATCHED!BB63=26,MATCHED!$AA63,IF(MATCHED!BB63=27,MATCHED!$AB63,"."))))))</f>
        <v>#N/A</v>
      </c>
      <c r="AA63" s="379" t="e">
        <f>IF(MATCHED!BC63=1,MATCHED!$B63,IF(MATCHED!BC63=2,MATCHED!$C63,IF(MATCHED!BC63=3,MATCHED!$D63,IF(MATCHED!BC63=4,MATCHED!$E63,IF(MATCHED!BC63=3,MATCHED!$F63,IF(MATCHED!BC63=6,MATCHED!$G63,IF(MATCHED!BC63=7,MATCHED!$H63,"")))))))&amp;IF(MATCHED!BC63=8,MATCHED!$I63,IF(MATCHED!BC63=9,MATCHED!$J63,IF(MATCHED!BC63=10,MATCHED!$K63,IF(MATCHED!BC63=11,MATCHED!$L63,IF(MATCHED!BC63=12,MATCHED!$M63,IF(MATCHED!BC63=13,MATCHED!$N63,IF(MATCHED!BC63=14,MATCHED!$O63,"")))))))&amp;IF(MATCHED!BC63=15,MATCHED!$P63,IF(MATCHED!BC63=16,MATCHED!$Q63,IF(MATCHED!BC63=17,MATCHED!$R63,IF(MATCHED!BC63=18,MATCHED!$S63,IF(MATCHED!BC63=19,MATCHED!$T63,IF(MATCHED!BC63=20,MATCHED!$U63,IF(MATCHED!BC63=21,MATCHED!$V63,)))))))&amp;IF(MATCHED!BC63=22,MATCHED!$W63,IF(MATCHED!BC63=23,MATCHED!$X63,IF(MATCHED!BC63=24,MATCHED!$Y63,IF(MATCHED!BC63=25,MATCHED!$Z63,IF(MATCHED!BC63=26,MATCHED!$AA63,IF(MATCHED!BC63=27,MATCHED!$AB63,"."))))))</f>
        <v>#N/A</v>
      </c>
      <c r="AB63" s="379" t="e">
        <f>IF(MATCHED!BD63=1,MATCHED!$B63,IF(MATCHED!BD63=2,MATCHED!$C63,IF(MATCHED!BD63=3,MATCHED!$D63,IF(MATCHED!BD63=4,MATCHED!$E63,IF(MATCHED!BD63=3,MATCHED!$F63,IF(MATCHED!BD63=6,MATCHED!$G63,IF(MATCHED!BD63=7,MATCHED!$H63,"")))))))&amp;IF(MATCHED!BD63=8,MATCHED!$I63,IF(MATCHED!BD63=9,MATCHED!$J63,IF(MATCHED!BD63=10,MATCHED!$K63,IF(MATCHED!BD63=11,MATCHED!$L63,IF(MATCHED!BD63=12,MATCHED!$M63,IF(MATCHED!BD63=13,MATCHED!$N63,IF(MATCHED!BD63=14,MATCHED!$O63,"")))))))&amp;IF(MATCHED!BD63=15,MATCHED!$P63,IF(MATCHED!BD63=16,MATCHED!$Q63,IF(MATCHED!BD63=17,MATCHED!$R63,IF(MATCHED!BD63=18,MATCHED!$S63,IF(MATCHED!BD63=19,MATCHED!$T63,IF(MATCHED!BD63=20,MATCHED!$U63,IF(MATCHED!BD63=21,MATCHED!$V63,)))))))&amp;IF(MATCHED!BD63=22,MATCHED!$W63,IF(MATCHED!BD63=23,MATCHED!$X63,IF(MATCHED!BD63=24,MATCHED!$Y63,IF(MATCHED!BD63=25,MATCHED!$Z63,IF(MATCHED!BD63=26,MATCHED!$AA63,IF(MATCHED!BD63=27,MATCHED!$AB63,"."))))))</f>
        <v>#N/A</v>
      </c>
      <c r="AC63" s="379" t="e">
        <f>IF(MATCHED!BE63=1,MATCHED!$B63,IF(MATCHED!BE63=2,MATCHED!$C63,IF(MATCHED!BE63=3,MATCHED!$D63,IF(MATCHED!BE63=4,MATCHED!$E63,IF(MATCHED!BE63=3,MATCHED!$F63,IF(MATCHED!BE63=6,MATCHED!$G63,IF(MATCHED!BE63=7,MATCHED!$H63,"")))))))&amp;IF(MATCHED!BE63=8,MATCHED!$I63,IF(MATCHED!BE63=9,MATCHED!$J63,IF(MATCHED!BE63=10,MATCHED!$K63,IF(MATCHED!BE63=11,MATCHED!$L63,IF(MATCHED!BE63=12,MATCHED!$M63,IF(MATCHED!BE63=13,MATCHED!$N63,IF(MATCHED!BE63=14,MATCHED!$O63,"")))))))&amp;IF(MATCHED!BE63=15,MATCHED!$P63,IF(MATCHED!BE63=16,MATCHED!$Q63,IF(MATCHED!BE63=17,MATCHED!$R63,IF(MATCHED!BE63=18,MATCHED!$S63,IF(MATCHED!BE63=19,MATCHED!$T63,IF(MATCHED!BE63=20,MATCHED!$U63,IF(MATCHED!BE63=21,MATCHED!$V63,)))))))&amp;IF(MATCHED!BE63=22,MATCHED!$W63,IF(MATCHED!BE63=23,MATCHED!$X63,IF(MATCHED!BE63=24,MATCHED!$Y63,IF(MATCHED!BE63=25,MATCHED!$Z63,IF(MATCHED!BE63=26,MATCHED!$AA63,IF(MATCHED!BE63=27,MATCHED!$AB63,"."))))))</f>
        <v>#N/A</v>
      </c>
      <c r="AD63" s="379" t="e">
        <f>IF(MATCHED!BF63=1,MATCHED!$B63,IF(MATCHED!BF63=2,MATCHED!$C63,IF(MATCHED!BF63=3,MATCHED!$D63,IF(MATCHED!BF63=4,MATCHED!$E63,IF(MATCHED!BF63=3,MATCHED!$F63,IF(MATCHED!BF63=6,MATCHED!$G63,IF(MATCHED!BF63=7,MATCHED!$H63,"")))))))&amp;IF(MATCHED!BF63=8,MATCHED!$I63,IF(MATCHED!BF63=9,MATCHED!$J63,IF(MATCHED!BF63=10,MATCHED!$K63,IF(MATCHED!BF63=11,MATCHED!$L63,IF(MATCHED!BF63=12,MATCHED!$M63,IF(MATCHED!BF63=13,MATCHED!$N63,IF(MATCHED!BF63=14,MATCHED!$O63,"")))))))&amp;IF(MATCHED!BF63=15,MATCHED!$P63,IF(MATCHED!BF63=16,MATCHED!$Q63,IF(MATCHED!BF63=17,MATCHED!$R63,IF(MATCHED!BF63=18,MATCHED!$S63,IF(MATCHED!BF63=19,MATCHED!$T63,IF(MATCHED!BF63=20,MATCHED!$U63,IF(MATCHED!BF63=21,MATCHED!$V63,)))))))&amp;IF(MATCHED!BF63=22,MATCHED!$W63,IF(MATCHED!BF63=23,MATCHED!$X63,IF(MATCHED!BF63=24,MATCHED!$Y63,IF(MATCHED!BF63=25,MATCHED!$Z63,IF(MATCHED!BF63=26,MATCHED!$AA63,IF(MATCHED!BF63=27,MATCHED!$AB63,"."))))))</f>
        <v>#N/A</v>
      </c>
      <c r="AE63" s="379" t="e">
        <f>IF(MATCHED!BG63=1,MATCHED!$B63,IF(MATCHED!BG63=2,MATCHED!$C63,IF(MATCHED!BG63=3,MATCHED!$D63,IF(MATCHED!BG63=4,MATCHED!$E63,IF(MATCHED!BG63=3,MATCHED!$F63,IF(MATCHED!BG63=6,MATCHED!$G63,IF(MATCHED!BG63=7,MATCHED!$H63,"")))))))&amp;IF(MATCHED!BG63=8,MATCHED!$I63,IF(MATCHED!BG63=9,MATCHED!$J63,IF(MATCHED!BG63=10,MATCHED!$K63,IF(MATCHED!BG63=11,MATCHED!$L63,IF(MATCHED!BG63=12,MATCHED!$M63,IF(MATCHED!BG63=13,MATCHED!$N63,IF(MATCHED!BG63=14,MATCHED!$O63,"")))))))&amp;IF(MATCHED!BG63=15,MATCHED!$P63,IF(MATCHED!BG63=16,MATCHED!$Q63,IF(MATCHED!BG63=17,MATCHED!$R63,IF(MATCHED!BG63=18,MATCHED!$S63,IF(MATCHED!BG63=19,MATCHED!$T63,IF(MATCHED!BG63=20,MATCHED!$U63,IF(MATCHED!BG63=21,MATCHED!$V63,)))))))&amp;IF(MATCHED!BG63=22,MATCHED!$W63,IF(MATCHED!BG63=23,MATCHED!$X63,IF(MATCHED!BG63=24,MATCHED!$Y63,IF(MATCHED!BG63=25,MATCHED!$Z63,IF(MATCHED!BG63=26,MATCHED!$AA63,IF(MATCHED!BG63=27,MATCHED!$AB63,"."))))))</f>
        <v>#N/A</v>
      </c>
      <c r="AF63" s="379" t="e">
        <f>IF(MATCHED!BH63=1,MATCHED!$B63,IF(MATCHED!BH63=2,MATCHED!$C63,IF(MATCHED!BH63=3,MATCHED!$D63,IF(MATCHED!BH63=4,MATCHED!$E63,IF(MATCHED!BH63=3,MATCHED!$F63,IF(MATCHED!BH63=6,MATCHED!$G63,IF(MATCHED!BH63=7,MATCHED!$H63,"")))))))&amp;IF(MATCHED!BH63=8,MATCHED!$I63,IF(MATCHED!BH63=9,MATCHED!$J63,IF(MATCHED!BH63=10,MATCHED!$K63,IF(MATCHED!BH63=11,MATCHED!$L63,IF(MATCHED!BH63=12,MATCHED!$M63,IF(MATCHED!BH63=13,MATCHED!$N63,IF(MATCHED!BH63=14,MATCHED!$O63,"")))))))&amp;IF(MATCHED!BH63=15,MATCHED!$P63,IF(MATCHED!BH63=16,MATCHED!$Q63,IF(MATCHED!BH63=17,MATCHED!$R63,IF(MATCHED!BH63=18,MATCHED!$S63,IF(MATCHED!BH63=19,MATCHED!$T63,IF(MATCHED!BH63=20,MATCHED!$U63,IF(MATCHED!BH63=21,MATCHED!$V63,)))))))&amp;IF(MATCHED!BH63=22,MATCHED!$W63,IF(MATCHED!BH63=23,MATCHED!$X63,IF(MATCHED!BH63=24,MATCHED!$Y63,IF(MATCHED!BH63=25,MATCHED!$Z63,IF(MATCHED!BH63=26,MATCHED!$AA63,IF(MATCHED!BH63=27,MATCHED!$AB63,"."))))))</f>
        <v>#N/A</v>
      </c>
      <c r="AG63" s="379" t="e">
        <f>IF(MATCHED!BI63=1,MATCHED!$B63,IF(MATCHED!BI63=2,MATCHED!$C63,IF(MATCHED!BI63=3,MATCHED!$D63,IF(MATCHED!BI63=4,MATCHED!$E63,IF(MATCHED!BI63=3,MATCHED!$F63,IF(MATCHED!BI63=6,MATCHED!$G63,IF(MATCHED!BI63=7,MATCHED!$H63,"")))))))&amp;IF(MATCHED!BI63=8,MATCHED!$I63,IF(MATCHED!BI63=9,MATCHED!$J63,IF(MATCHED!BI63=10,MATCHED!$K63,IF(MATCHED!BI63=11,MATCHED!$L63,IF(MATCHED!BI63=12,MATCHED!$M63,IF(MATCHED!BI63=13,MATCHED!$N63,IF(MATCHED!BI63=14,MATCHED!$O63,"")))))))&amp;IF(MATCHED!BI63=15,MATCHED!$P63,IF(MATCHED!BI63=16,MATCHED!$Q63,IF(MATCHED!BI63=17,MATCHED!$R63,IF(MATCHED!BI63=18,MATCHED!$S63,IF(MATCHED!BI63=19,MATCHED!$T63,IF(MATCHED!BI63=20,MATCHED!$U63,IF(MATCHED!BI63=21,MATCHED!$V63,)))))))&amp;IF(MATCHED!BI63=22,MATCHED!$W63,IF(MATCHED!BI63=23,MATCHED!$X63,IF(MATCHED!BI63=24,MATCHED!$Y63,IF(MATCHED!BI63=25,MATCHED!$Z63,IF(MATCHED!BI63=26,MATCHED!$AA63,IF(MATCHED!BI63=27,MATCHED!$AB63,"."))))))</f>
        <v>#N/A</v>
      </c>
      <c r="AH63" s="379" t="e">
        <f>IF(MATCHED!BJ63=1,MATCHED!$B63,IF(MATCHED!BJ63=2,MATCHED!$C63,IF(MATCHED!BJ63=3,MATCHED!$D63,IF(MATCHED!BJ63=4,MATCHED!$E63,IF(MATCHED!BJ63=3,MATCHED!$F63,IF(MATCHED!BJ63=6,MATCHED!$G63,IF(MATCHED!BJ63=7,MATCHED!$H63,"")))))))&amp;IF(MATCHED!BJ63=8,MATCHED!$I63,IF(MATCHED!BJ63=9,MATCHED!$J63,IF(MATCHED!BJ63=10,MATCHED!$K63,IF(MATCHED!BJ63=11,MATCHED!$L63,IF(MATCHED!BJ63=12,MATCHED!$M63,IF(MATCHED!BJ63=13,MATCHED!$N63,IF(MATCHED!BJ63=14,MATCHED!$O63,"")))))))&amp;IF(MATCHED!BJ63=15,MATCHED!$P63,IF(MATCHED!BJ63=16,MATCHED!$Q63,IF(MATCHED!BJ63=17,MATCHED!$R63,IF(MATCHED!BJ63=18,MATCHED!$S63,IF(MATCHED!BJ63=19,MATCHED!$T63,IF(MATCHED!BJ63=20,MATCHED!$U63,IF(MATCHED!BJ63=21,MATCHED!$V63,)))))))&amp;IF(MATCHED!BJ63=22,MATCHED!$W63,IF(MATCHED!BJ63=23,MATCHED!$X63,IF(MATCHED!BJ63=24,MATCHED!$Y63,IF(MATCHED!BJ63=25,MATCHED!$Z63,IF(MATCHED!BJ63=26,MATCHED!$AA63,IF(MATCHED!BJ63=27,MATCHED!$AB63,"."))))))</f>
        <v>#N/A</v>
      </c>
      <c r="AI63" s="379" t="e">
        <f>IF(MATCHED!BK63=1,MATCHED!$B63,IF(MATCHED!BK63=2,MATCHED!$C63,IF(MATCHED!BK63=3,MATCHED!$D63,IF(MATCHED!BK63=4,MATCHED!$E63,IF(MATCHED!BK63=3,MATCHED!$F63,IF(MATCHED!BK63=6,MATCHED!$G63,IF(MATCHED!BK63=7,MATCHED!$H63,"")))))))&amp;IF(MATCHED!BK63=8,MATCHED!$I63,IF(MATCHED!BK63=9,MATCHED!$J63,IF(MATCHED!BK63=10,MATCHED!$K63,IF(MATCHED!BK63=11,MATCHED!$L63,IF(MATCHED!BK63=12,MATCHED!$M63,IF(MATCHED!BK63=13,MATCHED!$N63,IF(MATCHED!BK63=14,MATCHED!$O63,"")))))))&amp;IF(MATCHED!BK63=15,MATCHED!$P63,IF(MATCHED!BK63=16,MATCHED!$Q63,IF(MATCHED!BK63=17,MATCHED!$R63,IF(MATCHED!BK63=18,MATCHED!$S63,IF(MATCHED!BK63=19,MATCHED!$T63,IF(MATCHED!BK63=20,MATCHED!$U63,IF(MATCHED!BK63=21,MATCHED!$V63,)))))))&amp;IF(MATCHED!BK63=22,MATCHED!$W63,IF(MATCHED!BK63=23,MATCHED!$X63,IF(MATCHED!BK63=24,MATCHED!$Y63,IF(MATCHED!BK63=25,MATCHED!$Z63,IF(MATCHED!BK63=26,MATCHED!$AA63,IF(MATCHED!BK63=27,MATCHED!$AB63,"."))))))</f>
        <v>#N/A</v>
      </c>
      <c r="AJ63" s="535"/>
    </row>
    <row r="64" spans="1:36" s="338" customFormat="1" x14ac:dyDescent="0.25">
      <c r="A64" s="535"/>
      <c r="B64" s="378" t="e">
        <f>IF(MATCHED!AD64=1,MATCHED!$B64,IF(MATCHED!AD64=2,MATCHED!$C64,IF(MATCHED!AD64=3,MATCHED!$D64,IF(MATCHED!AD64=4,MATCHED!$E64,IF(MATCHED!AD64=3,MATCHED!$F64,IF(MATCHED!AD64=6,MATCHED!$G64,IF(MATCHED!AD64=7,MATCHED!$H64,"")))))))&amp;IF(MATCHED!AD64=8,MATCHED!$I64,IF(MATCHED!AD64=9,MATCHED!$J64,IF(MATCHED!AD64=10,MATCHED!$K64,IF(MATCHED!AD64=11,MATCHED!$L64,IF(MATCHED!AD64=12,MATCHED!$M64,IF(MATCHED!AD64=13,MATCHED!$N64,IF(MATCHED!AD64=14,MATCHED!$O64,"")))))))&amp;IF(MATCHED!AD64=15,MATCHED!$P64,IF(MATCHED!AD64=16,MATCHED!$Q64,IF(MATCHED!AD64=17,MATCHED!$R64,IF(MATCHED!AD64=18,MATCHED!$S64,IF(MATCHED!AD64=19,MATCHED!$T64,IF(MATCHED!AD64=20,MATCHED!$U64,IF(MATCHED!AD64=21,MATCHED!$V64,)))))))&amp;IF(MATCHED!AD64=22,MATCHED!$W64,IF(MATCHED!AD64=23,MATCHED!$X64,IF(MATCHED!AD64=24,MATCHED!$Y64,IF(MATCHED!AD64=25,MATCHED!$Z64,IF(MATCHED!AD64=26,MATCHED!$AA64,IF(MATCHED!AD64=27,MATCHED!$AB64,"."))))))</f>
        <v>#N/A</v>
      </c>
      <c r="C64" s="379" t="e">
        <f>IF(MATCHED!AE64=1,MATCHED!$B64,IF(MATCHED!AE64=2,MATCHED!$C64,IF(MATCHED!AE64=3,MATCHED!$D64,IF(MATCHED!AE64=4,MATCHED!$E64,IF(MATCHED!AE64=3,MATCHED!$F64,IF(MATCHED!AE64=6,MATCHED!$G64,IF(MATCHED!AE64=7,MATCHED!$H64,"")))))))&amp;IF(MATCHED!AE64=8,MATCHED!$I64,IF(MATCHED!AE64=9,MATCHED!$J64,IF(MATCHED!AE64=10,MATCHED!$K64,IF(MATCHED!AE64=11,MATCHED!$L64,IF(MATCHED!AE64=12,MATCHED!$M64,IF(MATCHED!AE64=13,MATCHED!$N64,IF(MATCHED!AE64=14,MATCHED!$O64,"")))))))&amp;IF(MATCHED!AE64=15,MATCHED!$P64,IF(MATCHED!AE64=16,MATCHED!$Q64,IF(MATCHED!AE64=17,MATCHED!$R64,IF(MATCHED!AE64=18,MATCHED!$S64,IF(MATCHED!AE64=19,MATCHED!$T64,IF(MATCHED!AE64=20,MATCHED!$U64,IF(MATCHED!AE64=21,MATCHED!$V64,)))))))&amp;IF(MATCHED!AE64=22,MATCHED!$W64,IF(MATCHED!AE64=23,MATCHED!$X64,IF(MATCHED!AE64=24,MATCHED!$Y64,IF(MATCHED!AE64=25,MATCHED!$Z64,IF(MATCHED!AE64=26,MATCHED!$AA64,IF(MATCHED!AE64=27,MATCHED!$AB64,"."))))))</f>
        <v>#N/A</v>
      </c>
      <c r="D64" s="379" t="e">
        <f>IF(MATCHED!AF64=1,MATCHED!$B64,IF(MATCHED!AF64=2,MATCHED!$C64,IF(MATCHED!AF64=3,MATCHED!$D64,IF(MATCHED!AF64=4,MATCHED!$E64,IF(MATCHED!AF64=3,MATCHED!$F64,IF(MATCHED!AF64=6,MATCHED!$G64,IF(MATCHED!AF64=7,MATCHED!$H64,"")))))))&amp;IF(MATCHED!AF64=8,MATCHED!$I64,IF(MATCHED!AF64=9,MATCHED!$J64,IF(MATCHED!AF64=10,MATCHED!$K64,IF(MATCHED!AF64=11,MATCHED!$L64,IF(MATCHED!AF64=12,MATCHED!$M64,IF(MATCHED!AF64=13,MATCHED!$N64,IF(MATCHED!AF64=14,MATCHED!$O64,"")))))))&amp;IF(MATCHED!AF64=15,MATCHED!$P64,IF(MATCHED!AF64=16,MATCHED!$Q64,IF(MATCHED!AF64=17,MATCHED!$R64,IF(MATCHED!AF64=18,MATCHED!$S64,IF(MATCHED!AF64=19,MATCHED!$T64,IF(MATCHED!AF64=20,MATCHED!$U64,IF(MATCHED!AF64=21,MATCHED!$V64,)))))))&amp;IF(MATCHED!AF64=22,MATCHED!$W64,IF(MATCHED!AF64=23,MATCHED!$X64,IF(MATCHED!AF64=24,MATCHED!$Y64,IF(MATCHED!AF64=25,MATCHED!$Z64,IF(MATCHED!AF64=26,MATCHED!$AA64,IF(MATCHED!AF64=27,MATCHED!$AB64,"."))))))</f>
        <v>#N/A</v>
      </c>
      <c r="E64" s="379" t="e">
        <f>IF(MATCHED!AG64=1,MATCHED!$B64,IF(MATCHED!AG64=2,MATCHED!$C64,IF(MATCHED!AG64=3,MATCHED!$D64,IF(MATCHED!AG64=4,MATCHED!$E64,IF(MATCHED!AG64=3,MATCHED!$F64,IF(MATCHED!AG64=6,MATCHED!$G64,IF(MATCHED!AG64=7,MATCHED!$H64,"")))))))&amp;IF(MATCHED!AG64=8,MATCHED!$I64,IF(MATCHED!AG64=9,MATCHED!$J64,IF(MATCHED!AG64=10,MATCHED!$K64,IF(MATCHED!AG64=11,MATCHED!$L64,IF(MATCHED!AG64=12,MATCHED!$M64,IF(MATCHED!AG64=13,MATCHED!$N64,IF(MATCHED!AG64=14,MATCHED!$O64,"")))))))&amp;IF(MATCHED!AG64=15,MATCHED!$P64,IF(MATCHED!AG64=16,MATCHED!$Q64,IF(MATCHED!AG64=17,MATCHED!$R64,IF(MATCHED!AG64=18,MATCHED!$S64,IF(MATCHED!AG64=19,MATCHED!$T64,IF(MATCHED!AG64=20,MATCHED!$U64,IF(MATCHED!AG64=21,MATCHED!$V64,)))))))&amp;IF(MATCHED!AG64=22,MATCHED!$W64,IF(MATCHED!AG64=23,MATCHED!$X64,IF(MATCHED!AG64=24,MATCHED!$Y64,IF(MATCHED!AG64=25,MATCHED!$Z64,IF(MATCHED!AG64=26,MATCHED!$AA64,IF(MATCHED!AG64=27,MATCHED!$AB64,"."))))))</f>
        <v>#N/A</v>
      </c>
      <c r="F64" s="379" t="e">
        <f>IF(MATCHED!AH64=1,MATCHED!$B64,IF(MATCHED!AH64=2,MATCHED!$C64,IF(MATCHED!AH64=3,MATCHED!$D64,IF(MATCHED!AH64=4,MATCHED!$E64,IF(MATCHED!AH64=3,MATCHED!$F64,IF(MATCHED!AH64=6,MATCHED!$G64,IF(MATCHED!AH64=7,MATCHED!$H64,"")))))))&amp;IF(MATCHED!AH64=8,MATCHED!$I64,IF(MATCHED!AH64=9,MATCHED!$J64,IF(MATCHED!AH64=10,MATCHED!$K64,IF(MATCHED!AH64=11,MATCHED!$L64,IF(MATCHED!AH64=12,MATCHED!$M64,IF(MATCHED!AH64=13,MATCHED!$N64,IF(MATCHED!AH64=14,MATCHED!$O64,"")))))))&amp;IF(MATCHED!AH64=15,MATCHED!$P64,IF(MATCHED!AH64=16,MATCHED!$Q64,IF(MATCHED!AH64=17,MATCHED!$R64,IF(MATCHED!AH64=18,MATCHED!$S64,IF(MATCHED!AH64=19,MATCHED!$T64,IF(MATCHED!AH64=20,MATCHED!$U64,IF(MATCHED!AH64=21,MATCHED!$V64,)))))))&amp;IF(MATCHED!AH64=22,MATCHED!$W64,IF(MATCHED!AH64=23,MATCHED!$X64,IF(MATCHED!AH64=24,MATCHED!$Y64,IF(MATCHED!AH64=25,MATCHED!$Z64,IF(MATCHED!AH64=26,MATCHED!$AA64,IF(MATCHED!AH64=27,MATCHED!$AB64,"."))))))</f>
        <v>#N/A</v>
      </c>
      <c r="G64" s="379" t="e">
        <f>IF(MATCHED!AI64=1,MATCHED!$B64,IF(MATCHED!AI64=2,MATCHED!$C64,IF(MATCHED!AI64=3,MATCHED!$D64,IF(MATCHED!AI64=4,MATCHED!$E64,IF(MATCHED!AI64=3,MATCHED!$F64,IF(MATCHED!AI64=6,MATCHED!$G64,IF(MATCHED!AI64=7,MATCHED!$H64,"")))))))&amp;IF(MATCHED!AI64=8,MATCHED!$I64,IF(MATCHED!AI64=9,MATCHED!$J64,IF(MATCHED!AI64=10,MATCHED!$K64,IF(MATCHED!AI64=11,MATCHED!$L64,IF(MATCHED!AI64=12,MATCHED!$M64,IF(MATCHED!AI64=13,MATCHED!$N64,IF(MATCHED!AI64=14,MATCHED!$O64,"")))))))&amp;IF(MATCHED!AI64=15,MATCHED!$P64,IF(MATCHED!AI64=16,MATCHED!$Q64,IF(MATCHED!AI64=17,MATCHED!$R64,IF(MATCHED!AI64=18,MATCHED!$S64,IF(MATCHED!AI64=19,MATCHED!$T64,IF(MATCHED!AI64=20,MATCHED!$U64,IF(MATCHED!AI64=21,MATCHED!$V64,)))))))&amp;IF(MATCHED!AI64=22,MATCHED!$W64,IF(MATCHED!AI64=23,MATCHED!$X64,IF(MATCHED!AI64=24,MATCHED!$Y64,IF(MATCHED!AI64=25,MATCHED!$Z64,IF(MATCHED!AI64=26,MATCHED!$AA64,IF(MATCHED!AI64=27,MATCHED!$AB64,"."))))))</f>
        <v>#N/A</v>
      </c>
      <c r="H64" s="379" t="e">
        <f>IF(MATCHED!AJ64=1,MATCHED!$B64,IF(MATCHED!AJ64=2,MATCHED!$C64,IF(MATCHED!AJ64=3,MATCHED!$D64,IF(MATCHED!AJ64=4,MATCHED!$E64,IF(MATCHED!AJ64=3,MATCHED!$F64,IF(MATCHED!AJ64=6,MATCHED!$G64,IF(MATCHED!AJ64=7,MATCHED!$H64,"")))))))&amp;IF(MATCHED!AJ64=8,MATCHED!$I64,IF(MATCHED!AJ64=9,MATCHED!$J64,IF(MATCHED!AJ64=10,MATCHED!$K64,IF(MATCHED!AJ64=11,MATCHED!$L64,IF(MATCHED!AJ64=12,MATCHED!$M64,IF(MATCHED!AJ64=13,MATCHED!$N64,IF(MATCHED!AJ64=14,MATCHED!$O64,"")))))))&amp;IF(MATCHED!AJ64=15,MATCHED!$P64,IF(MATCHED!AJ64=16,MATCHED!$Q64,IF(MATCHED!AJ64=17,MATCHED!$R64,IF(MATCHED!AJ64=18,MATCHED!$S64,IF(MATCHED!AJ64=19,MATCHED!$T64,IF(MATCHED!AJ64=20,MATCHED!$U64,IF(MATCHED!AJ64=21,MATCHED!$V64,)))))))&amp;IF(MATCHED!AJ64=22,MATCHED!$W64,IF(MATCHED!AJ64=23,MATCHED!$X64,IF(MATCHED!AJ64=24,MATCHED!$Y64,IF(MATCHED!AJ64=25,MATCHED!$Z64,IF(MATCHED!AJ64=26,MATCHED!$AA64,IF(MATCHED!AJ64=27,MATCHED!$AB64,"."))))))</f>
        <v>#N/A</v>
      </c>
      <c r="I64" s="379" t="e">
        <f>IF(MATCHED!AK64=1,MATCHED!$B64,IF(MATCHED!AK64=2,MATCHED!$C64,IF(MATCHED!AK64=3,MATCHED!$D64,IF(MATCHED!AK64=4,MATCHED!$E64,IF(MATCHED!AK64=3,MATCHED!$F64,IF(MATCHED!AK64=6,MATCHED!$G64,IF(MATCHED!AK64=7,MATCHED!$H64,"")))))))&amp;IF(MATCHED!AK64=8,MATCHED!$I64,IF(MATCHED!AK64=9,MATCHED!$J64,IF(MATCHED!AK64=10,MATCHED!$K64,IF(MATCHED!AK64=11,MATCHED!$L64,IF(MATCHED!AK64=12,MATCHED!$M64,IF(MATCHED!AK64=13,MATCHED!$N64,IF(MATCHED!AK64=14,MATCHED!$O64,"")))))))&amp;IF(MATCHED!AK64=15,MATCHED!$P64,IF(MATCHED!AK64=16,MATCHED!$Q64,IF(MATCHED!AK64=17,MATCHED!$R64,IF(MATCHED!AK64=18,MATCHED!$S64,IF(MATCHED!AK64=19,MATCHED!$T64,IF(MATCHED!AK64=20,MATCHED!$U64,IF(MATCHED!AK64=21,MATCHED!$V64,)))))))&amp;IF(MATCHED!AK64=22,MATCHED!$W64,IF(MATCHED!AK64=23,MATCHED!$X64,IF(MATCHED!AK64=24,MATCHED!$Y64,IF(MATCHED!AK64=25,MATCHED!$Z64,IF(MATCHED!AK64=26,MATCHED!$AA64,IF(MATCHED!AK64=27,MATCHED!$AB64,"."))))))</f>
        <v>#N/A</v>
      </c>
      <c r="J64" s="379" t="e">
        <f>IF(MATCHED!AL64=1,MATCHED!$B64,IF(MATCHED!AL64=2,MATCHED!$C64,IF(MATCHED!AL64=3,MATCHED!$D64,IF(MATCHED!AL64=4,MATCHED!$E64,IF(MATCHED!AL64=3,MATCHED!$F64,IF(MATCHED!AL64=6,MATCHED!$G64,IF(MATCHED!AL64=7,MATCHED!$H64,"")))))))&amp;IF(MATCHED!AL64=8,MATCHED!$I64,IF(MATCHED!AL64=9,MATCHED!$J64,IF(MATCHED!AL64=10,MATCHED!$K64,IF(MATCHED!AL64=11,MATCHED!$L64,IF(MATCHED!AL64=12,MATCHED!$M64,IF(MATCHED!AL64=13,MATCHED!$N64,IF(MATCHED!AL64=14,MATCHED!$O64,"")))))))&amp;IF(MATCHED!AL64=15,MATCHED!$P64,IF(MATCHED!AL64=16,MATCHED!$Q64,IF(MATCHED!AL64=17,MATCHED!$R64,IF(MATCHED!AL64=18,MATCHED!$S64,IF(MATCHED!AL64=19,MATCHED!$T64,IF(MATCHED!AL64=20,MATCHED!$U64,IF(MATCHED!AL64=21,MATCHED!$V64,)))))))&amp;IF(MATCHED!AL64=22,MATCHED!$W64,IF(MATCHED!AL64=23,MATCHED!$X64,IF(MATCHED!AL64=24,MATCHED!$Y64,IF(MATCHED!AL64=25,MATCHED!$Z64,IF(MATCHED!AL64=26,MATCHED!$AA64,IF(MATCHED!AL64=27,MATCHED!$AB64,"."))))))</f>
        <v>#N/A</v>
      </c>
      <c r="K64" s="379" t="e">
        <f>IF(MATCHED!AM64=1,MATCHED!$B64,IF(MATCHED!AM64=2,MATCHED!$C64,IF(MATCHED!AM64=3,MATCHED!$D64,IF(MATCHED!AM64=4,MATCHED!$E64,IF(MATCHED!AM64=3,MATCHED!$F64,IF(MATCHED!AM64=6,MATCHED!$G64,IF(MATCHED!AM64=7,MATCHED!$H64,"")))))))&amp;IF(MATCHED!AM64=8,MATCHED!$I64,IF(MATCHED!AM64=9,MATCHED!$J64,IF(MATCHED!AM64=10,MATCHED!$K64,IF(MATCHED!AM64=11,MATCHED!$L64,IF(MATCHED!AM64=12,MATCHED!$M64,IF(MATCHED!AM64=13,MATCHED!$N64,IF(MATCHED!AM64=14,MATCHED!$O64,"")))))))&amp;IF(MATCHED!AM64=15,MATCHED!$P64,IF(MATCHED!AM64=16,MATCHED!$Q64,IF(MATCHED!AM64=17,MATCHED!$R64,IF(MATCHED!AM64=18,MATCHED!$S64,IF(MATCHED!AM64=19,MATCHED!$T64,IF(MATCHED!AM64=20,MATCHED!$U64,IF(MATCHED!AM64=21,MATCHED!$V64,)))))))&amp;IF(MATCHED!AM64=22,MATCHED!$W64,IF(MATCHED!AM64=23,MATCHED!$X64,IF(MATCHED!AM64=24,MATCHED!$Y64,IF(MATCHED!AM64=25,MATCHED!$Z64,IF(MATCHED!AM64=26,MATCHED!$AA64,IF(MATCHED!AM64=27,MATCHED!$AB64,"."))))))</f>
        <v>#N/A</v>
      </c>
      <c r="L64" s="379" t="e">
        <f>IF(MATCHED!AN64=1,MATCHED!$B64,IF(MATCHED!AN64=2,MATCHED!$C64,IF(MATCHED!AN64=3,MATCHED!$D64,IF(MATCHED!AN64=4,MATCHED!$E64,IF(MATCHED!AN64=3,MATCHED!$F64,IF(MATCHED!AN64=6,MATCHED!$G64,IF(MATCHED!AN64=7,MATCHED!$H64,"")))))))&amp;IF(MATCHED!AN64=8,MATCHED!$I64,IF(MATCHED!AN64=9,MATCHED!$J64,IF(MATCHED!AN64=10,MATCHED!$K64,IF(MATCHED!AN64=11,MATCHED!$L64,IF(MATCHED!AN64=12,MATCHED!$M64,IF(MATCHED!AN64=13,MATCHED!$N64,IF(MATCHED!AN64=14,MATCHED!$O64,"")))))))&amp;IF(MATCHED!AN64=15,MATCHED!$P64,IF(MATCHED!AN64=16,MATCHED!$Q64,IF(MATCHED!AN64=17,MATCHED!$R64,IF(MATCHED!AN64=18,MATCHED!$S64,IF(MATCHED!AN64=19,MATCHED!$T64,IF(MATCHED!AN64=20,MATCHED!$U64,IF(MATCHED!AN64=21,MATCHED!$V64,)))))))&amp;IF(MATCHED!AN64=22,MATCHED!$W64,IF(MATCHED!AN64=23,MATCHED!$X64,IF(MATCHED!AN64=24,MATCHED!$Y64,IF(MATCHED!AN64=25,MATCHED!$Z64,IF(MATCHED!AN64=26,MATCHED!$AA64,IF(MATCHED!AN64=27,MATCHED!$AB64,"."))))))</f>
        <v>#N/A</v>
      </c>
      <c r="M64" s="379" t="e">
        <f>IF(MATCHED!AO64=1,MATCHED!$B64,IF(MATCHED!AO64=2,MATCHED!$C64,IF(MATCHED!AO64=3,MATCHED!$D64,IF(MATCHED!AO64=4,MATCHED!$E64,IF(MATCHED!AO64=3,MATCHED!$F64,IF(MATCHED!AO64=6,MATCHED!$G64,IF(MATCHED!AO64=7,MATCHED!$H64,"")))))))&amp;IF(MATCHED!AO64=8,MATCHED!$I64,IF(MATCHED!AO64=9,MATCHED!$J64,IF(MATCHED!AO64=10,MATCHED!$K64,IF(MATCHED!AO64=11,MATCHED!$L64,IF(MATCHED!AO64=12,MATCHED!$M64,IF(MATCHED!AO64=13,MATCHED!$N64,IF(MATCHED!AO64=14,MATCHED!$O64,"")))))))&amp;IF(MATCHED!AO64=15,MATCHED!$P64,IF(MATCHED!AO64=16,MATCHED!$Q64,IF(MATCHED!AO64=17,MATCHED!$R64,IF(MATCHED!AO64=18,MATCHED!$S64,IF(MATCHED!AO64=19,MATCHED!$T64,IF(MATCHED!AO64=20,MATCHED!$U64,IF(MATCHED!AO64=21,MATCHED!$V64,)))))))&amp;IF(MATCHED!AO64=22,MATCHED!$W64,IF(MATCHED!AO64=23,MATCHED!$X64,IF(MATCHED!AO64=24,MATCHED!$Y64,IF(MATCHED!AO64=25,MATCHED!$Z64,IF(MATCHED!AO64=26,MATCHED!$AA64,IF(MATCHED!AO64=27,MATCHED!$AB64,"."))))))</f>
        <v>#N/A</v>
      </c>
      <c r="N64" s="379" t="e">
        <f>IF(MATCHED!AP64=1,MATCHED!$B64,IF(MATCHED!AP64=2,MATCHED!$C64,IF(MATCHED!AP64=3,MATCHED!$D64,IF(MATCHED!AP64=4,MATCHED!$E64,IF(MATCHED!AP64=3,MATCHED!$F64,IF(MATCHED!AP64=6,MATCHED!$G64,IF(MATCHED!AP64=7,MATCHED!$H64,"")))))))&amp;IF(MATCHED!AP64=8,MATCHED!$I64,IF(MATCHED!AP64=9,MATCHED!$J64,IF(MATCHED!AP64=10,MATCHED!$K64,IF(MATCHED!AP64=11,MATCHED!$L64,IF(MATCHED!AP64=12,MATCHED!$M64,IF(MATCHED!AP64=13,MATCHED!$N64,IF(MATCHED!AP64=14,MATCHED!$O64,"")))))))&amp;IF(MATCHED!AP64=15,MATCHED!$P64,IF(MATCHED!AP64=16,MATCHED!$Q64,IF(MATCHED!AP64=17,MATCHED!$R64,IF(MATCHED!AP64=18,MATCHED!$S64,IF(MATCHED!AP64=19,MATCHED!$T64,IF(MATCHED!AP64=20,MATCHED!$U64,IF(MATCHED!AP64=21,MATCHED!$V64,)))))))&amp;IF(MATCHED!AP64=22,MATCHED!$W64,IF(MATCHED!AP64=23,MATCHED!$X64,IF(MATCHED!AP64=24,MATCHED!$Y64,IF(MATCHED!AP64=25,MATCHED!$Z64,IF(MATCHED!AP64=26,MATCHED!$AA64,IF(MATCHED!AP64=27,MATCHED!$AB64,"."))))))</f>
        <v>#N/A</v>
      </c>
      <c r="O64" s="379" t="e">
        <f>IF(MATCHED!AQ64=1,MATCHED!$B64,IF(MATCHED!AQ64=2,MATCHED!$C64,IF(MATCHED!AQ64=3,MATCHED!$D64,IF(MATCHED!AQ64=4,MATCHED!$E64,IF(MATCHED!AQ64=3,MATCHED!$F64,IF(MATCHED!AQ64=6,MATCHED!$G64,IF(MATCHED!AQ64=7,MATCHED!$H64,"")))))))&amp;IF(MATCHED!AQ64=8,MATCHED!$I64,IF(MATCHED!AQ64=9,MATCHED!$J64,IF(MATCHED!AQ64=10,MATCHED!$K64,IF(MATCHED!AQ64=11,MATCHED!$L64,IF(MATCHED!AQ64=12,MATCHED!$M64,IF(MATCHED!AQ64=13,MATCHED!$N64,IF(MATCHED!AQ64=14,MATCHED!$O64,"")))))))&amp;IF(MATCHED!AQ64=15,MATCHED!$P64,IF(MATCHED!AQ64=16,MATCHED!$Q64,IF(MATCHED!AQ64=17,MATCHED!$R64,IF(MATCHED!AQ64=18,MATCHED!$S64,IF(MATCHED!AQ64=19,MATCHED!$T64,IF(MATCHED!AQ64=20,MATCHED!$U64,IF(MATCHED!AQ64=21,MATCHED!$V64,)))))))&amp;IF(MATCHED!AQ64=22,MATCHED!$W64,IF(MATCHED!AQ64=23,MATCHED!$X64,IF(MATCHED!AQ64=24,MATCHED!$Y64,IF(MATCHED!AQ64=25,MATCHED!$Z64,IF(MATCHED!AQ64=26,MATCHED!$AA64,IF(MATCHED!AQ64=27,MATCHED!$AB64,"."))))))</f>
        <v>#N/A</v>
      </c>
      <c r="P64" s="379" t="e">
        <f>IF(MATCHED!AR64=1,MATCHED!$B64,IF(MATCHED!AR64=2,MATCHED!$C64,IF(MATCHED!AR64=3,MATCHED!$D64,IF(MATCHED!AR64=4,MATCHED!$E64,IF(MATCHED!AR64=3,MATCHED!$F64,IF(MATCHED!AR64=6,MATCHED!$G64,IF(MATCHED!AR64=7,MATCHED!$H64,"")))))))&amp;IF(MATCHED!AR64=8,MATCHED!$I64,IF(MATCHED!AR64=9,MATCHED!$J64,IF(MATCHED!AR64=10,MATCHED!$K64,IF(MATCHED!AR64=11,MATCHED!$L64,IF(MATCHED!AR64=12,MATCHED!$M64,IF(MATCHED!AR64=13,MATCHED!$N64,IF(MATCHED!AR64=14,MATCHED!$O64,"")))))))&amp;IF(MATCHED!AR64=15,MATCHED!$P64,IF(MATCHED!AR64=16,MATCHED!$Q64,IF(MATCHED!AR64=17,MATCHED!$R64,IF(MATCHED!AR64=18,MATCHED!$S64,IF(MATCHED!AR64=19,MATCHED!$T64,IF(MATCHED!AR64=20,MATCHED!$U64,IF(MATCHED!AR64=21,MATCHED!$V64,)))))))&amp;IF(MATCHED!AR64=22,MATCHED!$W64,IF(MATCHED!AR64=23,MATCHED!$X64,IF(MATCHED!AR64=24,MATCHED!$Y64,IF(MATCHED!AR64=25,MATCHED!$Z64,IF(MATCHED!AR64=26,MATCHED!$AA64,IF(MATCHED!AR64=27,MATCHED!$AB64,"."))))))</f>
        <v>#N/A</v>
      </c>
      <c r="Q64" s="380" t="e">
        <f>IF(MATCHED!AS64=1,MATCHED!$B64,IF(MATCHED!AS64=2,MATCHED!$C64,IF(MATCHED!AS64=3,MATCHED!$D64,IF(MATCHED!AS64=4,MATCHED!$E64,IF(MATCHED!AS64=3,MATCHED!$F64,IF(MATCHED!AS64=6,MATCHED!$G64,IF(MATCHED!AS64=7,MATCHED!$H64,"")))))))&amp;IF(MATCHED!AS64=8,MATCHED!$I64,IF(MATCHED!AS64=9,MATCHED!$J64,IF(MATCHED!AS64=10,MATCHED!$K64,IF(MATCHED!AS64=11,MATCHED!$L64,IF(MATCHED!AS64=12,MATCHED!$M64,IF(MATCHED!AS64=13,MATCHED!$N64,IF(MATCHED!AS64=14,MATCHED!$O64,"")))))))&amp;IF(MATCHED!AS64=15,MATCHED!$P64,IF(MATCHED!AS64=16,MATCHED!$Q64,IF(MATCHED!AS64=17,MATCHED!$R64,IF(MATCHED!AS64=18,MATCHED!$S64,IF(MATCHED!AS64=19,MATCHED!$T64,IF(MATCHED!AS64=20,MATCHED!$U64,IF(MATCHED!AS64=21,MATCHED!$V64,)))))))&amp;IF(MATCHED!AS64=22,MATCHED!$W64,IF(MATCHED!AS64=23,MATCHED!$X64,IF(MATCHED!AS64=24,MATCHED!$Y64,IF(MATCHED!AS64=25,MATCHED!$Z64,IF(MATCHED!AS64=26,MATCHED!$AA64,IF(MATCHED!AS64=27,MATCHED!$AB64,"."))))))</f>
        <v>#N/A</v>
      </c>
      <c r="R64" s="379" t="e">
        <f>IF(MATCHED!AT64=1,MATCHED!$B64,IF(MATCHED!AT64=2,MATCHED!$C64,IF(MATCHED!AT64=3,MATCHED!$D64,IF(MATCHED!AT64=4,MATCHED!$E64,IF(MATCHED!AT64=3,MATCHED!$F64,IF(MATCHED!AT64=6,MATCHED!$G64,IF(MATCHED!AT64=7,MATCHED!$H64,"")))))))&amp;IF(MATCHED!AT64=8,MATCHED!$I64,IF(MATCHED!AT64=9,MATCHED!$J64,IF(MATCHED!AT64=10,MATCHED!$K64,IF(MATCHED!AT64=11,MATCHED!$L64,IF(MATCHED!AT64=12,MATCHED!$M64,IF(MATCHED!AT64=13,MATCHED!$N64,IF(MATCHED!AT64=14,MATCHED!$O64,"")))))))&amp;IF(MATCHED!AT64=15,MATCHED!$P64,IF(MATCHED!AT64=16,MATCHED!$Q64,IF(MATCHED!AT64=17,MATCHED!$R64,IF(MATCHED!AT64=18,MATCHED!$S64,IF(MATCHED!AT64=19,MATCHED!$T64,IF(MATCHED!AT64=20,MATCHED!$U64,IF(MATCHED!AT64=21,MATCHED!$V64,)))))))&amp;IF(MATCHED!AT64=22,MATCHED!$W64,IF(MATCHED!AT64=23,MATCHED!$X64,IF(MATCHED!AT64=24,MATCHED!$Y64,IF(MATCHED!AT64=25,MATCHED!$Z64,IF(MATCHED!AT64=26,MATCHED!$AA64,IF(MATCHED!AT64=27,MATCHED!$AB64,"."))))))</f>
        <v>#N/A</v>
      </c>
      <c r="S64" s="379" t="e">
        <f>IF(MATCHED!AU64=1,MATCHED!$B64,IF(MATCHED!AU64=2,MATCHED!$C64,IF(MATCHED!AU64=3,MATCHED!$D64,IF(MATCHED!AU64=4,MATCHED!$E64,IF(MATCHED!AU64=3,MATCHED!$F64,IF(MATCHED!AU64=6,MATCHED!$G64,IF(MATCHED!AU64=7,MATCHED!$H64,"")))))))&amp;IF(MATCHED!AU64=8,MATCHED!$I64,IF(MATCHED!AU64=9,MATCHED!$J64,IF(MATCHED!AU64=10,MATCHED!$K64,IF(MATCHED!AU64=11,MATCHED!$L64,IF(MATCHED!AU64=12,MATCHED!$M64,IF(MATCHED!AU64=13,MATCHED!$N64,IF(MATCHED!AU64=14,MATCHED!$O64,"")))))))&amp;IF(MATCHED!AU64=15,MATCHED!$P64,IF(MATCHED!AU64=16,MATCHED!$Q64,IF(MATCHED!AU64=17,MATCHED!$R64,IF(MATCHED!AU64=18,MATCHED!$S64,IF(MATCHED!AU64=19,MATCHED!$T64,IF(MATCHED!AU64=20,MATCHED!$U64,IF(MATCHED!AU64=21,MATCHED!$V64,)))))))&amp;IF(MATCHED!AU64=22,MATCHED!$W64,IF(MATCHED!AU64=23,MATCHED!$X64,IF(MATCHED!AU64=24,MATCHED!$Y64,IF(MATCHED!AU64=25,MATCHED!$Z64,IF(MATCHED!AU64=26,MATCHED!$AA64,IF(MATCHED!AU64=27,MATCHED!$AB64,"."))))))</f>
        <v>#N/A</v>
      </c>
      <c r="T64" s="379" t="e">
        <f>IF(MATCHED!AV64=1,MATCHED!$B64,IF(MATCHED!AV64=2,MATCHED!$C64,IF(MATCHED!AV64=3,MATCHED!$D64,IF(MATCHED!AV64=4,MATCHED!$E64,IF(MATCHED!AV64=3,MATCHED!$F64,IF(MATCHED!AV64=6,MATCHED!$G64,IF(MATCHED!AV64=7,MATCHED!$H64,"")))))))&amp;IF(MATCHED!AV64=8,MATCHED!$I64,IF(MATCHED!AV64=9,MATCHED!$J64,IF(MATCHED!AV64=10,MATCHED!$K64,IF(MATCHED!AV64=11,MATCHED!$L64,IF(MATCHED!AV64=12,MATCHED!$M64,IF(MATCHED!AV64=13,MATCHED!$N64,IF(MATCHED!AV64=14,MATCHED!$O64,"")))))))&amp;IF(MATCHED!AV64=15,MATCHED!$P64,IF(MATCHED!AV64=16,MATCHED!$Q64,IF(MATCHED!AV64=17,MATCHED!$R64,IF(MATCHED!AV64=18,MATCHED!$S64,IF(MATCHED!AV64=19,MATCHED!$T64,IF(MATCHED!AV64=20,MATCHED!$U64,IF(MATCHED!AV64=21,MATCHED!$V64,)))))))&amp;IF(MATCHED!AV64=22,MATCHED!$W64,IF(MATCHED!AV64=23,MATCHED!$X64,IF(MATCHED!AV64=24,MATCHED!$Y64,IF(MATCHED!AV64=25,MATCHED!$Z64,IF(MATCHED!AV64=26,MATCHED!$AA64,IF(MATCHED!AV64=27,MATCHED!$AB64,"."))))))</f>
        <v>#N/A</v>
      </c>
      <c r="U64" s="379" t="e">
        <f>IF(MATCHED!AW64=1,MATCHED!$B64,IF(MATCHED!AW64=2,MATCHED!$C64,IF(MATCHED!AW64=3,MATCHED!$D64,IF(MATCHED!AW64=4,MATCHED!$E64,IF(MATCHED!AW64=3,MATCHED!$F64,IF(MATCHED!AW64=6,MATCHED!$G64,IF(MATCHED!AW64=7,MATCHED!$H64,"")))))))&amp;IF(MATCHED!AW64=8,MATCHED!$I64,IF(MATCHED!AW64=9,MATCHED!$J64,IF(MATCHED!AW64=10,MATCHED!$K64,IF(MATCHED!AW64=11,MATCHED!$L64,IF(MATCHED!AW64=12,MATCHED!$M64,IF(MATCHED!AW64=13,MATCHED!$N64,IF(MATCHED!AW64=14,MATCHED!$O64,"")))))))&amp;IF(MATCHED!AW64=15,MATCHED!$P64,IF(MATCHED!AW64=16,MATCHED!$Q64,IF(MATCHED!AW64=17,MATCHED!$R64,IF(MATCHED!AW64=18,MATCHED!$S64,IF(MATCHED!AW64=19,MATCHED!$T64,IF(MATCHED!AW64=20,MATCHED!$U64,IF(MATCHED!AW64=21,MATCHED!$V64,)))))))&amp;IF(MATCHED!AW64=22,MATCHED!$W64,IF(MATCHED!AW64=23,MATCHED!$X64,IF(MATCHED!AW64=24,MATCHED!$Y64,IF(MATCHED!AW64=25,MATCHED!$Z64,IF(MATCHED!AW64=26,MATCHED!$AA64,IF(MATCHED!AW64=27,MATCHED!$AB64,"."))))))</f>
        <v>#N/A</v>
      </c>
      <c r="V64" s="379" t="e">
        <f>IF(MATCHED!AX64=1,MATCHED!$B64,IF(MATCHED!AX64=2,MATCHED!$C64,IF(MATCHED!AX64=3,MATCHED!$D64,IF(MATCHED!AX64=4,MATCHED!$E64,IF(MATCHED!AX64=3,MATCHED!$F64,IF(MATCHED!AX64=6,MATCHED!$G64,IF(MATCHED!AX64=7,MATCHED!$H64,"")))))))&amp;IF(MATCHED!AX64=8,MATCHED!$I64,IF(MATCHED!AX64=9,MATCHED!$J64,IF(MATCHED!AX64=10,MATCHED!$K64,IF(MATCHED!AX64=11,MATCHED!$L64,IF(MATCHED!AX64=12,MATCHED!$M64,IF(MATCHED!AX64=13,MATCHED!$N64,IF(MATCHED!AX64=14,MATCHED!$O64,"")))))))&amp;IF(MATCHED!AX64=15,MATCHED!$P64,IF(MATCHED!AX64=16,MATCHED!$Q64,IF(MATCHED!AX64=17,MATCHED!$R64,IF(MATCHED!AX64=18,MATCHED!$S64,IF(MATCHED!AX64=19,MATCHED!$T64,IF(MATCHED!AX64=20,MATCHED!$U64,IF(MATCHED!AX64=21,MATCHED!$V64,)))))))&amp;IF(MATCHED!AX64=22,MATCHED!$W64,IF(MATCHED!AX64=23,MATCHED!$X64,IF(MATCHED!AX64=24,MATCHED!$Y64,IF(MATCHED!AX64=25,MATCHED!$Z64,IF(MATCHED!AX64=26,MATCHED!$AA64,IF(MATCHED!AX64=27,MATCHED!$AB64,"."))))))</f>
        <v>#N/A</v>
      </c>
      <c r="W64" s="379" t="e">
        <f>IF(MATCHED!AY64=1,MATCHED!$B64,IF(MATCHED!AY64=2,MATCHED!$C64,IF(MATCHED!AY64=3,MATCHED!$D64,IF(MATCHED!AY64=4,MATCHED!$E64,IF(MATCHED!AY64=3,MATCHED!$F64,IF(MATCHED!AY64=6,MATCHED!$G64,IF(MATCHED!AY64=7,MATCHED!$H64,"")))))))&amp;IF(MATCHED!AY64=8,MATCHED!$I64,IF(MATCHED!AY64=9,MATCHED!$J64,IF(MATCHED!AY64=10,MATCHED!$K64,IF(MATCHED!AY64=11,MATCHED!$L64,IF(MATCHED!AY64=12,MATCHED!$M64,IF(MATCHED!AY64=13,MATCHED!$N64,IF(MATCHED!AY64=14,MATCHED!$O64,"")))))))&amp;IF(MATCHED!AY64=15,MATCHED!$P64,IF(MATCHED!AY64=16,MATCHED!$Q64,IF(MATCHED!AY64=17,MATCHED!$R64,IF(MATCHED!AY64=18,MATCHED!$S64,IF(MATCHED!AY64=19,MATCHED!$T64,IF(MATCHED!AY64=20,MATCHED!$U64,IF(MATCHED!AY64=21,MATCHED!$V64,)))))))&amp;IF(MATCHED!AY64=22,MATCHED!$W64,IF(MATCHED!AY64=23,MATCHED!$X64,IF(MATCHED!AY64=24,MATCHED!$Y64,IF(MATCHED!AY64=25,MATCHED!$Z64,IF(MATCHED!AY64=26,MATCHED!$AA64,IF(MATCHED!AY64=27,MATCHED!$AB64,"."))))))</f>
        <v>#N/A</v>
      </c>
      <c r="X64" s="379" t="e">
        <f>IF(MATCHED!AZ64=1,MATCHED!$B64,IF(MATCHED!AZ64=2,MATCHED!$C64,IF(MATCHED!AZ64=3,MATCHED!$D64,IF(MATCHED!AZ64=4,MATCHED!$E64,IF(MATCHED!AZ64=3,MATCHED!$F64,IF(MATCHED!AZ64=6,MATCHED!$G64,IF(MATCHED!AZ64=7,MATCHED!$H64,"")))))))&amp;IF(MATCHED!AZ64=8,MATCHED!$I64,IF(MATCHED!AZ64=9,MATCHED!$J64,IF(MATCHED!AZ64=10,MATCHED!$K64,IF(MATCHED!AZ64=11,MATCHED!$L64,IF(MATCHED!AZ64=12,MATCHED!$M64,IF(MATCHED!AZ64=13,MATCHED!$N64,IF(MATCHED!AZ64=14,MATCHED!$O64,"")))))))&amp;IF(MATCHED!AZ64=15,MATCHED!$P64,IF(MATCHED!AZ64=16,MATCHED!$Q64,IF(MATCHED!AZ64=17,MATCHED!$R64,IF(MATCHED!AZ64=18,MATCHED!$S64,IF(MATCHED!AZ64=19,MATCHED!$T64,IF(MATCHED!AZ64=20,MATCHED!$U64,IF(MATCHED!AZ64=21,MATCHED!$V64,)))))))&amp;IF(MATCHED!AZ64=22,MATCHED!$W64,IF(MATCHED!AZ64=23,MATCHED!$X64,IF(MATCHED!AZ64=24,MATCHED!$Y64,IF(MATCHED!AZ64=25,MATCHED!$Z64,IF(MATCHED!AZ64=26,MATCHED!$AA64,IF(MATCHED!AZ64=27,MATCHED!$AB64,"."))))))</f>
        <v>#N/A</v>
      </c>
      <c r="Y64" s="379" t="e">
        <f>IF(MATCHED!BA64=1,MATCHED!$B64,IF(MATCHED!BA64=2,MATCHED!$C64,IF(MATCHED!BA64=3,MATCHED!$D64,IF(MATCHED!BA64=4,MATCHED!$E64,IF(MATCHED!BA64=3,MATCHED!$F64,IF(MATCHED!BA64=6,MATCHED!$G64,IF(MATCHED!BA64=7,MATCHED!$H64,"")))))))&amp;IF(MATCHED!BA64=8,MATCHED!$I64,IF(MATCHED!BA64=9,MATCHED!$J64,IF(MATCHED!BA64=10,MATCHED!$K64,IF(MATCHED!BA64=11,MATCHED!$L64,IF(MATCHED!BA64=12,MATCHED!$M64,IF(MATCHED!BA64=13,MATCHED!$N64,IF(MATCHED!BA64=14,MATCHED!$O64,"")))))))&amp;IF(MATCHED!BA64=15,MATCHED!$P64,IF(MATCHED!BA64=16,MATCHED!$Q64,IF(MATCHED!BA64=17,MATCHED!$R64,IF(MATCHED!BA64=18,MATCHED!$S64,IF(MATCHED!BA64=19,MATCHED!$T64,IF(MATCHED!BA64=20,MATCHED!$U64,IF(MATCHED!BA64=21,MATCHED!$V64,)))))))&amp;IF(MATCHED!BA64=22,MATCHED!$W64,IF(MATCHED!BA64=23,MATCHED!$X64,IF(MATCHED!BA64=24,MATCHED!$Y64,IF(MATCHED!BA64=25,MATCHED!$Z64,IF(MATCHED!BA64=26,MATCHED!$AA64,IF(MATCHED!BA64=27,MATCHED!$AB64,"."))))))</f>
        <v>#N/A</v>
      </c>
      <c r="Z64" s="379" t="e">
        <f>IF(MATCHED!BB64=1,MATCHED!$B64,IF(MATCHED!BB64=2,MATCHED!$C64,IF(MATCHED!BB64=3,MATCHED!$D64,IF(MATCHED!BB64=4,MATCHED!$E64,IF(MATCHED!BB64=3,MATCHED!$F64,IF(MATCHED!BB64=6,MATCHED!$G64,IF(MATCHED!BB64=7,MATCHED!$H64,"")))))))&amp;IF(MATCHED!BB64=8,MATCHED!$I64,IF(MATCHED!BB64=9,MATCHED!$J64,IF(MATCHED!BB64=10,MATCHED!$K64,IF(MATCHED!BB64=11,MATCHED!$L64,IF(MATCHED!BB64=12,MATCHED!$M64,IF(MATCHED!BB64=13,MATCHED!$N64,IF(MATCHED!BB64=14,MATCHED!$O64,"")))))))&amp;IF(MATCHED!BB64=15,MATCHED!$P64,IF(MATCHED!BB64=16,MATCHED!$Q64,IF(MATCHED!BB64=17,MATCHED!$R64,IF(MATCHED!BB64=18,MATCHED!$S64,IF(MATCHED!BB64=19,MATCHED!$T64,IF(MATCHED!BB64=20,MATCHED!$U64,IF(MATCHED!BB64=21,MATCHED!$V64,)))))))&amp;IF(MATCHED!BB64=22,MATCHED!$W64,IF(MATCHED!BB64=23,MATCHED!$X64,IF(MATCHED!BB64=24,MATCHED!$Y64,IF(MATCHED!BB64=25,MATCHED!$Z64,IF(MATCHED!BB64=26,MATCHED!$AA64,IF(MATCHED!BB64=27,MATCHED!$AB64,"."))))))</f>
        <v>#N/A</v>
      </c>
      <c r="AA64" s="379" t="e">
        <f>IF(MATCHED!BC64=1,MATCHED!$B64,IF(MATCHED!BC64=2,MATCHED!$C64,IF(MATCHED!BC64=3,MATCHED!$D64,IF(MATCHED!BC64=4,MATCHED!$E64,IF(MATCHED!BC64=3,MATCHED!$F64,IF(MATCHED!BC64=6,MATCHED!$G64,IF(MATCHED!BC64=7,MATCHED!$H64,"")))))))&amp;IF(MATCHED!BC64=8,MATCHED!$I64,IF(MATCHED!BC64=9,MATCHED!$J64,IF(MATCHED!BC64=10,MATCHED!$K64,IF(MATCHED!BC64=11,MATCHED!$L64,IF(MATCHED!BC64=12,MATCHED!$M64,IF(MATCHED!BC64=13,MATCHED!$N64,IF(MATCHED!BC64=14,MATCHED!$O64,"")))))))&amp;IF(MATCHED!BC64=15,MATCHED!$P64,IF(MATCHED!BC64=16,MATCHED!$Q64,IF(MATCHED!BC64=17,MATCHED!$R64,IF(MATCHED!BC64=18,MATCHED!$S64,IF(MATCHED!BC64=19,MATCHED!$T64,IF(MATCHED!BC64=20,MATCHED!$U64,IF(MATCHED!BC64=21,MATCHED!$V64,)))))))&amp;IF(MATCHED!BC64=22,MATCHED!$W64,IF(MATCHED!BC64=23,MATCHED!$X64,IF(MATCHED!BC64=24,MATCHED!$Y64,IF(MATCHED!BC64=25,MATCHED!$Z64,IF(MATCHED!BC64=26,MATCHED!$AA64,IF(MATCHED!BC64=27,MATCHED!$AB64,"."))))))</f>
        <v>#N/A</v>
      </c>
      <c r="AB64" s="379" t="e">
        <f>IF(MATCHED!BD64=1,MATCHED!$B64,IF(MATCHED!BD64=2,MATCHED!$C64,IF(MATCHED!BD64=3,MATCHED!$D64,IF(MATCHED!BD64=4,MATCHED!$E64,IF(MATCHED!BD64=3,MATCHED!$F64,IF(MATCHED!BD64=6,MATCHED!$G64,IF(MATCHED!BD64=7,MATCHED!$H64,"")))))))&amp;IF(MATCHED!BD64=8,MATCHED!$I64,IF(MATCHED!BD64=9,MATCHED!$J64,IF(MATCHED!BD64=10,MATCHED!$K64,IF(MATCHED!BD64=11,MATCHED!$L64,IF(MATCHED!BD64=12,MATCHED!$M64,IF(MATCHED!BD64=13,MATCHED!$N64,IF(MATCHED!BD64=14,MATCHED!$O64,"")))))))&amp;IF(MATCHED!BD64=15,MATCHED!$P64,IF(MATCHED!BD64=16,MATCHED!$Q64,IF(MATCHED!BD64=17,MATCHED!$R64,IF(MATCHED!BD64=18,MATCHED!$S64,IF(MATCHED!BD64=19,MATCHED!$T64,IF(MATCHED!BD64=20,MATCHED!$U64,IF(MATCHED!BD64=21,MATCHED!$V64,)))))))&amp;IF(MATCHED!BD64=22,MATCHED!$W64,IF(MATCHED!BD64=23,MATCHED!$X64,IF(MATCHED!BD64=24,MATCHED!$Y64,IF(MATCHED!BD64=25,MATCHED!$Z64,IF(MATCHED!BD64=26,MATCHED!$AA64,IF(MATCHED!BD64=27,MATCHED!$AB64,"."))))))</f>
        <v>#N/A</v>
      </c>
      <c r="AC64" s="379" t="e">
        <f>IF(MATCHED!BE64=1,MATCHED!$B64,IF(MATCHED!BE64=2,MATCHED!$C64,IF(MATCHED!BE64=3,MATCHED!$D64,IF(MATCHED!BE64=4,MATCHED!$E64,IF(MATCHED!BE64=3,MATCHED!$F64,IF(MATCHED!BE64=6,MATCHED!$G64,IF(MATCHED!BE64=7,MATCHED!$H64,"")))))))&amp;IF(MATCHED!BE64=8,MATCHED!$I64,IF(MATCHED!BE64=9,MATCHED!$J64,IF(MATCHED!BE64=10,MATCHED!$K64,IF(MATCHED!BE64=11,MATCHED!$L64,IF(MATCHED!BE64=12,MATCHED!$M64,IF(MATCHED!BE64=13,MATCHED!$N64,IF(MATCHED!BE64=14,MATCHED!$O64,"")))))))&amp;IF(MATCHED!BE64=15,MATCHED!$P64,IF(MATCHED!BE64=16,MATCHED!$Q64,IF(MATCHED!BE64=17,MATCHED!$R64,IF(MATCHED!BE64=18,MATCHED!$S64,IF(MATCHED!BE64=19,MATCHED!$T64,IF(MATCHED!BE64=20,MATCHED!$U64,IF(MATCHED!BE64=21,MATCHED!$V64,)))))))&amp;IF(MATCHED!BE64=22,MATCHED!$W64,IF(MATCHED!BE64=23,MATCHED!$X64,IF(MATCHED!BE64=24,MATCHED!$Y64,IF(MATCHED!BE64=25,MATCHED!$Z64,IF(MATCHED!BE64=26,MATCHED!$AA64,IF(MATCHED!BE64=27,MATCHED!$AB64,"."))))))</f>
        <v>#N/A</v>
      </c>
      <c r="AD64" s="379" t="e">
        <f>IF(MATCHED!BF64=1,MATCHED!$B64,IF(MATCHED!BF64=2,MATCHED!$C64,IF(MATCHED!BF64=3,MATCHED!$D64,IF(MATCHED!BF64=4,MATCHED!$E64,IF(MATCHED!BF64=3,MATCHED!$F64,IF(MATCHED!BF64=6,MATCHED!$G64,IF(MATCHED!BF64=7,MATCHED!$H64,"")))))))&amp;IF(MATCHED!BF64=8,MATCHED!$I64,IF(MATCHED!BF64=9,MATCHED!$J64,IF(MATCHED!BF64=10,MATCHED!$K64,IF(MATCHED!BF64=11,MATCHED!$L64,IF(MATCHED!BF64=12,MATCHED!$M64,IF(MATCHED!BF64=13,MATCHED!$N64,IF(MATCHED!BF64=14,MATCHED!$O64,"")))))))&amp;IF(MATCHED!BF64=15,MATCHED!$P64,IF(MATCHED!BF64=16,MATCHED!$Q64,IF(MATCHED!BF64=17,MATCHED!$R64,IF(MATCHED!BF64=18,MATCHED!$S64,IF(MATCHED!BF64=19,MATCHED!$T64,IF(MATCHED!BF64=20,MATCHED!$U64,IF(MATCHED!BF64=21,MATCHED!$V64,)))))))&amp;IF(MATCHED!BF64=22,MATCHED!$W64,IF(MATCHED!BF64=23,MATCHED!$X64,IF(MATCHED!BF64=24,MATCHED!$Y64,IF(MATCHED!BF64=25,MATCHED!$Z64,IF(MATCHED!BF64=26,MATCHED!$AA64,IF(MATCHED!BF64=27,MATCHED!$AB64,"."))))))</f>
        <v>#N/A</v>
      </c>
      <c r="AE64" s="379" t="e">
        <f>IF(MATCHED!BG64=1,MATCHED!$B64,IF(MATCHED!BG64=2,MATCHED!$C64,IF(MATCHED!BG64=3,MATCHED!$D64,IF(MATCHED!BG64=4,MATCHED!$E64,IF(MATCHED!BG64=3,MATCHED!$F64,IF(MATCHED!BG64=6,MATCHED!$G64,IF(MATCHED!BG64=7,MATCHED!$H64,"")))))))&amp;IF(MATCHED!BG64=8,MATCHED!$I64,IF(MATCHED!BG64=9,MATCHED!$J64,IF(MATCHED!BG64=10,MATCHED!$K64,IF(MATCHED!BG64=11,MATCHED!$L64,IF(MATCHED!BG64=12,MATCHED!$M64,IF(MATCHED!BG64=13,MATCHED!$N64,IF(MATCHED!BG64=14,MATCHED!$O64,"")))))))&amp;IF(MATCHED!BG64=15,MATCHED!$P64,IF(MATCHED!BG64=16,MATCHED!$Q64,IF(MATCHED!BG64=17,MATCHED!$R64,IF(MATCHED!BG64=18,MATCHED!$S64,IF(MATCHED!BG64=19,MATCHED!$T64,IF(MATCHED!BG64=20,MATCHED!$U64,IF(MATCHED!BG64=21,MATCHED!$V64,)))))))&amp;IF(MATCHED!BG64=22,MATCHED!$W64,IF(MATCHED!BG64=23,MATCHED!$X64,IF(MATCHED!BG64=24,MATCHED!$Y64,IF(MATCHED!BG64=25,MATCHED!$Z64,IF(MATCHED!BG64=26,MATCHED!$AA64,IF(MATCHED!BG64=27,MATCHED!$AB64,"."))))))</f>
        <v>#N/A</v>
      </c>
      <c r="AF64" s="379" t="e">
        <f>IF(MATCHED!BH64=1,MATCHED!$B64,IF(MATCHED!BH64=2,MATCHED!$C64,IF(MATCHED!BH64=3,MATCHED!$D64,IF(MATCHED!BH64=4,MATCHED!$E64,IF(MATCHED!BH64=3,MATCHED!$F64,IF(MATCHED!BH64=6,MATCHED!$G64,IF(MATCHED!BH64=7,MATCHED!$H64,"")))))))&amp;IF(MATCHED!BH64=8,MATCHED!$I64,IF(MATCHED!BH64=9,MATCHED!$J64,IF(MATCHED!BH64=10,MATCHED!$K64,IF(MATCHED!BH64=11,MATCHED!$L64,IF(MATCHED!BH64=12,MATCHED!$M64,IF(MATCHED!BH64=13,MATCHED!$N64,IF(MATCHED!BH64=14,MATCHED!$O64,"")))))))&amp;IF(MATCHED!BH64=15,MATCHED!$P64,IF(MATCHED!BH64=16,MATCHED!$Q64,IF(MATCHED!BH64=17,MATCHED!$R64,IF(MATCHED!BH64=18,MATCHED!$S64,IF(MATCHED!BH64=19,MATCHED!$T64,IF(MATCHED!BH64=20,MATCHED!$U64,IF(MATCHED!BH64=21,MATCHED!$V64,)))))))&amp;IF(MATCHED!BH64=22,MATCHED!$W64,IF(MATCHED!BH64=23,MATCHED!$X64,IF(MATCHED!BH64=24,MATCHED!$Y64,IF(MATCHED!BH64=25,MATCHED!$Z64,IF(MATCHED!BH64=26,MATCHED!$AA64,IF(MATCHED!BH64=27,MATCHED!$AB64,"."))))))</f>
        <v>#N/A</v>
      </c>
      <c r="AG64" s="379" t="e">
        <f>IF(MATCHED!BI64=1,MATCHED!$B64,IF(MATCHED!BI64=2,MATCHED!$C64,IF(MATCHED!BI64=3,MATCHED!$D64,IF(MATCHED!BI64=4,MATCHED!$E64,IF(MATCHED!BI64=3,MATCHED!$F64,IF(MATCHED!BI64=6,MATCHED!$G64,IF(MATCHED!BI64=7,MATCHED!$H64,"")))))))&amp;IF(MATCHED!BI64=8,MATCHED!$I64,IF(MATCHED!BI64=9,MATCHED!$J64,IF(MATCHED!BI64=10,MATCHED!$K64,IF(MATCHED!BI64=11,MATCHED!$L64,IF(MATCHED!BI64=12,MATCHED!$M64,IF(MATCHED!BI64=13,MATCHED!$N64,IF(MATCHED!BI64=14,MATCHED!$O64,"")))))))&amp;IF(MATCHED!BI64=15,MATCHED!$P64,IF(MATCHED!BI64=16,MATCHED!$Q64,IF(MATCHED!BI64=17,MATCHED!$R64,IF(MATCHED!BI64=18,MATCHED!$S64,IF(MATCHED!BI64=19,MATCHED!$T64,IF(MATCHED!BI64=20,MATCHED!$U64,IF(MATCHED!BI64=21,MATCHED!$V64,)))))))&amp;IF(MATCHED!BI64=22,MATCHED!$W64,IF(MATCHED!BI64=23,MATCHED!$X64,IF(MATCHED!BI64=24,MATCHED!$Y64,IF(MATCHED!BI64=25,MATCHED!$Z64,IF(MATCHED!BI64=26,MATCHED!$AA64,IF(MATCHED!BI64=27,MATCHED!$AB64,"."))))))</f>
        <v>#N/A</v>
      </c>
      <c r="AH64" s="379" t="e">
        <f>IF(MATCHED!BJ64=1,MATCHED!$B64,IF(MATCHED!BJ64=2,MATCHED!$C64,IF(MATCHED!BJ64=3,MATCHED!$D64,IF(MATCHED!BJ64=4,MATCHED!$E64,IF(MATCHED!BJ64=3,MATCHED!$F64,IF(MATCHED!BJ64=6,MATCHED!$G64,IF(MATCHED!BJ64=7,MATCHED!$H64,"")))))))&amp;IF(MATCHED!BJ64=8,MATCHED!$I64,IF(MATCHED!BJ64=9,MATCHED!$J64,IF(MATCHED!BJ64=10,MATCHED!$K64,IF(MATCHED!BJ64=11,MATCHED!$L64,IF(MATCHED!BJ64=12,MATCHED!$M64,IF(MATCHED!BJ64=13,MATCHED!$N64,IF(MATCHED!BJ64=14,MATCHED!$O64,"")))))))&amp;IF(MATCHED!BJ64=15,MATCHED!$P64,IF(MATCHED!BJ64=16,MATCHED!$Q64,IF(MATCHED!BJ64=17,MATCHED!$R64,IF(MATCHED!BJ64=18,MATCHED!$S64,IF(MATCHED!BJ64=19,MATCHED!$T64,IF(MATCHED!BJ64=20,MATCHED!$U64,IF(MATCHED!BJ64=21,MATCHED!$V64,)))))))&amp;IF(MATCHED!BJ64=22,MATCHED!$W64,IF(MATCHED!BJ64=23,MATCHED!$X64,IF(MATCHED!BJ64=24,MATCHED!$Y64,IF(MATCHED!BJ64=25,MATCHED!$Z64,IF(MATCHED!BJ64=26,MATCHED!$AA64,IF(MATCHED!BJ64=27,MATCHED!$AB64,"."))))))</f>
        <v>#N/A</v>
      </c>
      <c r="AI64" s="379" t="e">
        <f>IF(MATCHED!BK64=1,MATCHED!$B64,IF(MATCHED!BK64=2,MATCHED!$C64,IF(MATCHED!BK64=3,MATCHED!$D64,IF(MATCHED!BK64=4,MATCHED!$E64,IF(MATCHED!BK64=3,MATCHED!$F64,IF(MATCHED!BK64=6,MATCHED!$G64,IF(MATCHED!BK64=7,MATCHED!$H64,"")))))))&amp;IF(MATCHED!BK64=8,MATCHED!$I64,IF(MATCHED!BK64=9,MATCHED!$J64,IF(MATCHED!BK64=10,MATCHED!$K64,IF(MATCHED!BK64=11,MATCHED!$L64,IF(MATCHED!BK64=12,MATCHED!$M64,IF(MATCHED!BK64=13,MATCHED!$N64,IF(MATCHED!BK64=14,MATCHED!$O64,"")))))))&amp;IF(MATCHED!BK64=15,MATCHED!$P64,IF(MATCHED!BK64=16,MATCHED!$Q64,IF(MATCHED!BK64=17,MATCHED!$R64,IF(MATCHED!BK64=18,MATCHED!$S64,IF(MATCHED!BK64=19,MATCHED!$T64,IF(MATCHED!BK64=20,MATCHED!$U64,IF(MATCHED!BK64=21,MATCHED!$V64,)))))))&amp;IF(MATCHED!BK64=22,MATCHED!$W64,IF(MATCHED!BK64=23,MATCHED!$X64,IF(MATCHED!BK64=24,MATCHED!$Y64,IF(MATCHED!BK64=25,MATCHED!$Z64,IF(MATCHED!BK64=26,MATCHED!$AA64,IF(MATCHED!BK64=27,MATCHED!$AB64,"."))))))</f>
        <v>#N/A</v>
      </c>
      <c r="AJ64" s="535"/>
    </row>
    <row r="65" spans="1:36" s="338" customFormat="1" ht="15.6" thickBot="1" x14ac:dyDescent="0.3">
      <c r="A65" s="535"/>
      <c r="B65" s="381" t="e">
        <f>IF(MATCHED!AD65=1,MATCHED!$B65,IF(MATCHED!AD65=2,MATCHED!$C65,IF(MATCHED!AD65=3,MATCHED!$D65,IF(MATCHED!AD65=4,MATCHED!$E65,IF(MATCHED!AD65=3,MATCHED!$F65,IF(MATCHED!AD65=6,MATCHED!$G65,IF(MATCHED!AD65=7,MATCHED!$H65,"")))))))&amp;IF(MATCHED!AD65=8,MATCHED!$I65,IF(MATCHED!AD65=9,MATCHED!$J65,IF(MATCHED!AD65=10,MATCHED!$K65,IF(MATCHED!AD65=11,MATCHED!$L65,IF(MATCHED!AD65=12,MATCHED!$M65,IF(MATCHED!AD65=13,MATCHED!$N65,IF(MATCHED!AD65=14,MATCHED!$O65,"")))))))&amp;IF(MATCHED!AD65=15,MATCHED!$P65,IF(MATCHED!AD65=16,MATCHED!$Q65,IF(MATCHED!AD65=17,MATCHED!$R65,IF(MATCHED!AD65=18,MATCHED!$S65,IF(MATCHED!AD65=19,MATCHED!$T65,IF(MATCHED!AD65=20,MATCHED!$U65,IF(MATCHED!AD65=21,MATCHED!$V65,)))))))&amp;IF(MATCHED!AD65=22,MATCHED!$W65,IF(MATCHED!AD65=23,MATCHED!$X65,IF(MATCHED!AD65=24,MATCHED!$Y65,IF(MATCHED!AD65=25,MATCHED!$Z65,IF(MATCHED!AD65=26,MATCHED!$AA65,IF(MATCHED!AD65=27,MATCHED!$AB65,"."))))))</f>
        <v>#N/A</v>
      </c>
      <c r="C65" s="382" t="e">
        <f>IF(MATCHED!AE65=1,MATCHED!$B65,IF(MATCHED!AE65=2,MATCHED!$C65,IF(MATCHED!AE65=3,MATCHED!$D65,IF(MATCHED!AE65=4,MATCHED!$E65,IF(MATCHED!AE65=3,MATCHED!$F65,IF(MATCHED!AE65=6,MATCHED!$G65,IF(MATCHED!AE65=7,MATCHED!$H65,"")))))))&amp;IF(MATCHED!AE65=8,MATCHED!$I65,IF(MATCHED!AE65=9,MATCHED!$J65,IF(MATCHED!AE65=10,MATCHED!$K65,IF(MATCHED!AE65=11,MATCHED!$L65,IF(MATCHED!AE65=12,MATCHED!$M65,IF(MATCHED!AE65=13,MATCHED!$N65,IF(MATCHED!AE65=14,MATCHED!$O65,"")))))))&amp;IF(MATCHED!AE65=15,MATCHED!$P65,IF(MATCHED!AE65=16,MATCHED!$Q65,IF(MATCHED!AE65=17,MATCHED!$R65,IF(MATCHED!AE65=18,MATCHED!$S65,IF(MATCHED!AE65=19,MATCHED!$T65,IF(MATCHED!AE65=20,MATCHED!$U65,IF(MATCHED!AE65=21,MATCHED!$V65,)))))))&amp;IF(MATCHED!AE65=22,MATCHED!$W65,IF(MATCHED!AE65=23,MATCHED!$X65,IF(MATCHED!AE65=24,MATCHED!$Y65,IF(MATCHED!AE65=25,MATCHED!$Z65,IF(MATCHED!AE65=26,MATCHED!$AA65,IF(MATCHED!AE65=27,MATCHED!$AB65,"."))))))</f>
        <v>#N/A</v>
      </c>
      <c r="D65" s="382" t="e">
        <f>IF(MATCHED!AF65=1,MATCHED!$B65,IF(MATCHED!AF65=2,MATCHED!$C65,IF(MATCHED!AF65=3,MATCHED!$D65,IF(MATCHED!AF65=4,MATCHED!$E65,IF(MATCHED!AF65=3,MATCHED!$F65,IF(MATCHED!AF65=6,MATCHED!$G65,IF(MATCHED!AF65=7,MATCHED!$H65,"")))))))&amp;IF(MATCHED!AF65=8,MATCHED!$I65,IF(MATCHED!AF65=9,MATCHED!$J65,IF(MATCHED!AF65=10,MATCHED!$K65,IF(MATCHED!AF65=11,MATCHED!$L65,IF(MATCHED!AF65=12,MATCHED!$M65,IF(MATCHED!AF65=13,MATCHED!$N65,IF(MATCHED!AF65=14,MATCHED!$O65,"")))))))&amp;IF(MATCHED!AF65=15,MATCHED!$P65,IF(MATCHED!AF65=16,MATCHED!$Q65,IF(MATCHED!AF65=17,MATCHED!$R65,IF(MATCHED!AF65=18,MATCHED!$S65,IF(MATCHED!AF65=19,MATCHED!$T65,IF(MATCHED!AF65=20,MATCHED!$U65,IF(MATCHED!AF65=21,MATCHED!$V65,)))))))&amp;IF(MATCHED!AF65=22,MATCHED!$W65,IF(MATCHED!AF65=23,MATCHED!$X65,IF(MATCHED!AF65=24,MATCHED!$Y65,IF(MATCHED!AF65=25,MATCHED!$Z65,IF(MATCHED!AF65=26,MATCHED!$AA65,IF(MATCHED!AF65=27,MATCHED!$AB65,"."))))))</f>
        <v>#N/A</v>
      </c>
      <c r="E65" s="382" t="e">
        <f>IF(MATCHED!AG65=1,MATCHED!$B65,IF(MATCHED!AG65=2,MATCHED!$C65,IF(MATCHED!AG65=3,MATCHED!$D65,IF(MATCHED!AG65=4,MATCHED!$E65,IF(MATCHED!AG65=3,MATCHED!$F65,IF(MATCHED!AG65=6,MATCHED!$G65,IF(MATCHED!AG65=7,MATCHED!$H65,"")))))))&amp;IF(MATCHED!AG65=8,MATCHED!$I65,IF(MATCHED!AG65=9,MATCHED!$J65,IF(MATCHED!AG65=10,MATCHED!$K65,IF(MATCHED!AG65=11,MATCHED!$L65,IF(MATCHED!AG65=12,MATCHED!$M65,IF(MATCHED!AG65=13,MATCHED!$N65,IF(MATCHED!AG65=14,MATCHED!$O65,"")))))))&amp;IF(MATCHED!AG65=15,MATCHED!$P65,IF(MATCHED!AG65=16,MATCHED!$Q65,IF(MATCHED!AG65=17,MATCHED!$R65,IF(MATCHED!AG65=18,MATCHED!$S65,IF(MATCHED!AG65=19,MATCHED!$T65,IF(MATCHED!AG65=20,MATCHED!$U65,IF(MATCHED!AG65=21,MATCHED!$V65,)))))))&amp;IF(MATCHED!AG65=22,MATCHED!$W65,IF(MATCHED!AG65=23,MATCHED!$X65,IF(MATCHED!AG65=24,MATCHED!$Y65,IF(MATCHED!AG65=25,MATCHED!$Z65,IF(MATCHED!AG65=26,MATCHED!$AA65,IF(MATCHED!AG65=27,MATCHED!$AB65,"."))))))</f>
        <v>#N/A</v>
      </c>
      <c r="F65" s="382" t="e">
        <f>IF(MATCHED!AH65=1,MATCHED!$B65,IF(MATCHED!AH65=2,MATCHED!$C65,IF(MATCHED!AH65=3,MATCHED!$D65,IF(MATCHED!AH65=4,MATCHED!$E65,IF(MATCHED!AH65=3,MATCHED!$F65,IF(MATCHED!AH65=6,MATCHED!$G65,IF(MATCHED!AH65=7,MATCHED!$H65,"")))))))&amp;IF(MATCHED!AH65=8,MATCHED!$I65,IF(MATCHED!AH65=9,MATCHED!$J65,IF(MATCHED!AH65=10,MATCHED!$K65,IF(MATCHED!AH65=11,MATCHED!$L65,IF(MATCHED!AH65=12,MATCHED!$M65,IF(MATCHED!AH65=13,MATCHED!$N65,IF(MATCHED!AH65=14,MATCHED!$O65,"")))))))&amp;IF(MATCHED!AH65=15,MATCHED!$P65,IF(MATCHED!AH65=16,MATCHED!$Q65,IF(MATCHED!AH65=17,MATCHED!$R65,IF(MATCHED!AH65=18,MATCHED!$S65,IF(MATCHED!AH65=19,MATCHED!$T65,IF(MATCHED!AH65=20,MATCHED!$U65,IF(MATCHED!AH65=21,MATCHED!$V65,)))))))&amp;IF(MATCHED!AH65=22,MATCHED!$W65,IF(MATCHED!AH65=23,MATCHED!$X65,IF(MATCHED!AH65=24,MATCHED!$Y65,IF(MATCHED!AH65=25,MATCHED!$Z65,IF(MATCHED!AH65=26,MATCHED!$AA65,IF(MATCHED!AH65=27,MATCHED!$AB65,"."))))))</f>
        <v>#N/A</v>
      </c>
      <c r="G65" s="382" t="e">
        <f>IF(MATCHED!AI65=1,MATCHED!$B65,IF(MATCHED!AI65=2,MATCHED!$C65,IF(MATCHED!AI65=3,MATCHED!$D65,IF(MATCHED!AI65=4,MATCHED!$E65,IF(MATCHED!AI65=3,MATCHED!$F65,IF(MATCHED!AI65=6,MATCHED!$G65,IF(MATCHED!AI65=7,MATCHED!$H65,"")))))))&amp;IF(MATCHED!AI65=8,MATCHED!$I65,IF(MATCHED!AI65=9,MATCHED!$J65,IF(MATCHED!AI65=10,MATCHED!$K65,IF(MATCHED!AI65=11,MATCHED!$L65,IF(MATCHED!AI65=12,MATCHED!$M65,IF(MATCHED!AI65=13,MATCHED!$N65,IF(MATCHED!AI65=14,MATCHED!$O65,"")))))))&amp;IF(MATCHED!AI65=15,MATCHED!$P65,IF(MATCHED!AI65=16,MATCHED!$Q65,IF(MATCHED!AI65=17,MATCHED!$R65,IF(MATCHED!AI65=18,MATCHED!$S65,IF(MATCHED!AI65=19,MATCHED!$T65,IF(MATCHED!AI65=20,MATCHED!$U65,IF(MATCHED!AI65=21,MATCHED!$V65,)))))))&amp;IF(MATCHED!AI65=22,MATCHED!$W65,IF(MATCHED!AI65=23,MATCHED!$X65,IF(MATCHED!AI65=24,MATCHED!$Y65,IF(MATCHED!AI65=25,MATCHED!$Z65,IF(MATCHED!AI65=26,MATCHED!$AA65,IF(MATCHED!AI65=27,MATCHED!$AB65,"."))))))</f>
        <v>#N/A</v>
      </c>
      <c r="H65" s="382" t="e">
        <f>IF(MATCHED!AJ65=1,MATCHED!$B65,IF(MATCHED!AJ65=2,MATCHED!$C65,IF(MATCHED!AJ65=3,MATCHED!$D65,IF(MATCHED!AJ65=4,MATCHED!$E65,IF(MATCHED!AJ65=3,MATCHED!$F65,IF(MATCHED!AJ65=6,MATCHED!$G65,IF(MATCHED!AJ65=7,MATCHED!$H65,"")))))))&amp;IF(MATCHED!AJ65=8,MATCHED!$I65,IF(MATCHED!AJ65=9,MATCHED!$J65,IF(MATCHED!AJ65=10,MATCHED!$K65,IF(MATCHED!AJ65=11,MATCHED!$L65,IF(MATCHED!AJ65=12,MATCHED!$M65,IF(MATCHED!AJ65=13,MATCHED!$N65,IF(MATCHED!AJ65=14,MATCHED!$O65,"")))))))&amp;IF(MATCHED!AJ65=15,MATCHED!$P65,IF(MATCHED!AJ65=16,MATCHED!$Q65,IF(MATCHED!AJ65=17,MATCHED!$R65,IF(MATCHED!AJ65=18,MATCHED!$S65,IF(MATCHED!AJ65=19,MATCHED!$T65,IF(MATCHED!AJ65=20,MATCHED!$U65,IF(MATCHED!AJ65=21,MATCHED!$V65,)))))))&amp;IF(MATCHED!AJ65=22,MATCHED!$W65,IF(MATCHED!AJ65=23,MATCHED!$X65,IF(MATCHED!AJ65=24,MATCHED!$Y65,IF(MATCHED!AJ65=25,MATCHED!$Z65,IF(MATCHED!AJ65=26,MATCHED!$AA65,IF(MATCHED!AJ65=27,MATCHED!$AB65,"."))))))</f>
        <v>#N/A</v>
      </c>
      <c r="I65" s="382" t="e">
        <f>IF(MATCHED!AK65=1,MATCHED!$B65,IF(MATCHED!AK65=2,MATCHED!$C65,IF(MATCHED!AK65=3,MATCHED!$D65,IF(MATCHED!AK65=4,MATCHED!$E65,IF(MATCHED!AK65=3,MATCHED!$F65,IF(MATCHED!AK65=6,MATCHED!$G65,IF(MATCHED!AK65=7,MATCHED!$H65,"")))))))&amp;IF(MATCHED!AK65=8,MATCHED!$I65,IF(MATCHED!AK65=9,MATCHED!$J65,IF(MATCHED!AK65=10,MATCHED!$K65,IF(MATCHED!AK65=11,MATCHED!$L65,IF(MATCHED!AK65=12,MATCHED!$M65,IF(MATCHED!AK65=13,MATCHED!$N65,IF(MATCHED!AK65=14,MATCHED!$O65,"")))))))&amp;IF(MATCHED!AK65=15,MATCHED!$P65,IF(MATCHED!AK65=16,MATCHED!$Q65,IF(MATCHED!AK65=17,MATCHED!$R65,IF(MATCHED!AK65=18,MATCHED!$S65,IF(MATCHED!AK65=19,MATCHED!$T65,IF(MATCHED!AK65=20,MATCHED!$U65,IF(MATCHED!AK65=21,MATCHED!$V65,)))))))&amp;IF(MATCHED!AK65=22,MATCHED!$W65,IF(MATCHED!AK65=23,MATCHED!$X65,IF(MATCHED!AK65=24,MATCHED!$Y65,IF(MATCHED!AK65=25,MATCHED!$Z65,IF(MATCHED!AK65=26,MATCHED!$AA65,IF(MATCHED!AK65=27,MATCHED!$AB65,"."))))))</f>
        <v>#N/A</v>
      </c>
      <c r="J65" s="382" t="e">
        <f>IF(MATCHED!AL65=1,MATCHED!$B65,IF(MATCHED!AL65=2,MATCHED!$C65,IF(MATCHED!AL65=3,MATCHED!$D65,IF(MATCHED!AL65=4,MATCHED!$E65,IF(MATCHED!AL65=3,MATCHED!$F65,IF(MATCHED!AL65=6,MATCHED!$G65,IF(MATCHED!AL65=7,MATCHED!$H65,"")))))))&amp;IF(MATCHED!AL65=8,MATCHED!$I65,IF(MATCHED!AL65=9,MATCHED!$J65,IF(MATCHED!AL65=10,MATCHED!$K65,IF(MATCHED!AL65=11,MATCHED!$L65,IF(MATCHED!AL65=12,MATCHED!$M65,IF(MATCHED!AL65=13,MATCHED!$N65,IF(MATCHED!AL65=14,MATCHED!$O65,"")))))))&amp;IF(MATCHED!AL65=15,MATCHED!$P65,IF(MATCHED!AL65=16,MATCHED!$Q65,IF(MATCHED!AL65=17,MATCHED!$R65,IF(MATCHED!AL65=18,MATCHED!$S65,IF(MATCHED!AL65=19,MATCHED!$T65,IF(MATCHED!AL65=20,MATCHED!$U65,IF(MATCHED!AL65=21,MATCHED!$V65,)))))))&amp;IF(MATCHED!AL65=22,MATCHED!$W65,IF(MATCHED!AL65=23,MATCHED!$X65,IF(MATCHED!AL65=24,MATCHED!$Y65,IF(MATCHED!AL65=25,MATCHED!$Z65,IF(MATCHED!AL65=26,MATCHED!$AA65,IF(MATCHED!AL65=27,MATCHED!$AB65,"."))))))</f>
        <v>#N/A</v>
      </c>
      <c r="K65" s="382" t="e">
        <f>IF(MATCHED!AM65=1,MATCHED!$B65,IF(MATCHED!AM65=2,MATCHED!$C65,IF(MATCHED!AM65=3,MATCHED!$D65,IF(MATCHED!AM65=4,MATCHED!$E65,IF(MATCHED!AM65=3,MATCHED!$F65,IF(MATCHED!AM65=6,MATCHED!$G65,IF(MATCHED!AM65=7,MATCHED!$H65,"")))))))&amp;IF(MATCHED!AM65=8,MATCHED!$I65,IF(MATCHED!AM65=9,MATCHED!$J65,IF(MATCHED!AM65=10,MATCHED!$K65,IF(MATCHED!AM65=11,MATCHED!$L65,IF(MATCHED!AM65=12,MATCHED!$M65,IF(MATCHED!AM65=13,MATCHED!$N65,IF(MATCHED!AM65=14,MATCHED!$O65,"")))))))&amp;IF(MATCHED!AM65=15,MATCHED!$P65,IF(MATCHED!AM65=16,MATCHED!$Q65,IF(MATCHED!AM65=17,MATCHED!$R65,IF(MATCHED!AM65=18,MATCHED!$S65,IF(MATCHED!AM65=19,MATCHED!$T65,IF(MATCHED!AM65=20,MATCHED!$U65,IF(MATCHED!AM65=21,MATCHED!$V65,)))))))&amp;IF(MATCHED!AM65=22,MATCHED!$W65,IF(MATCHED!AM65=23,MATCHED!$X65,IF(MATCHED!AM65=24,MATCHED!$Y65,IF(MATCHED!AM65=25,MATCHED!$Z65,IF(MATCHED!AM65=26,MATCHED!$AA65,IF(MATCHED!AM65=27,MATCHED!$AB65,"."))))))</f>
        <v>#N/A</v>
      </c>
      <c r="L65" s="382" t="e">
        <f>IF(MATCHED!AN65=1,MATCHED!$B65,IF(MATCHED!AN65=2,MATCHED!$C65,IF(MATCHED!AN65=3,MATCHED!$D65,IF(MATCHED!AN65=4,MATCHED!$E65,IF(MATCHED!AN65=3,MATCHED!$F65,IF(MATCHED!AN65=6,MATCHED!$G65,IF(MATCHED!AN65=7,MATCHED!$H65,"")))))))&amp;IF(MATCHED!AN65=8,MATCHED!$I65,IF(MATCHED!AN65=9,MATCHED!$J65,IF(MATCHED!AN65=10,MATCHED!$K65,IF(MATCHED!AN65=11,MATCHED!$L65,IF(MATCHED!AN65=12,MATCHED!$M65,IF(MATCHED!AN65=13,MATCHED!$N65,IF(MATCHED!AN65=14,MATCHED!$O65,"")))))))&amp;IF(MATCHED!AN65=15,MATCHED!$P65,IF(MATCHED!AN65=16,MATCHED!$Q65,IF(MATCHED!AN65=17,MATCHED!$R65,IF(MATCHED!AN65=18,MATCHED!$S65,IF(MATCHED!AN65=19,MATCHED!$T65,IF(MATCHED!AN65=20,MATCHED!$U65,IF(MATCHED!AN65=21,MATCHED!$V65,)))))))&amp;IF(MATCHED!AN65=22,MATCHED!$W65,IF(MATCHED!AN65=23,MATCHED!$X65,IF(MATCHED!AN65=24,MATCHED!$Y65,IF(MATCHED!AN65=25,MATCHED!$Z65,IF(MATCHED!AN65=26,MATCHED!$AA65,IF(MATCHED!AN65=27,MATCHED!$AB65,"."))))))</f>
        <v>#N/A</v>
      </c>
      <c r="M65" s="382" t="e">
        <f>IF(MATCHED!AO65=1,MATCHED!$B65,IF(MATCHED!AO65=2,MATCHED!$C65,IF(MATCHED!AO65=3,MATCHED!$D65,IF(MATCHED!AO65=4,MATCHED!$E65,IF(MATCHED!AO65=3,MATCHED!$F65,IF(MATCHED!AO65=6,MATCHED!$G65,IF(MATCHED!AO65=7,MATCHED!$H65,"")))))))&amp;IF(MATCHED!AO65=8,MATCHED!$I65,IF(MATCHED!AO65=9,MATCHED!$J65,IF(MATCHED!AO65=10,MATCHED!$K65,IF(MATCHED!AO65=11,MATCHED!$L65,IF(MATCHED!AO65=12,MATCHED!$M65,IF(MATCHED!AO65=13,MATCHED!$N65,IF(MATCHED!AO65=14,MATCHED!$O65,"")))))))&amp;IF(MATCHED!AO65=15,MATCHED!$P65,IF(MATCHED!AO65=16,MATCHED!$Q65,IF(MATCHED!AO65=17,MATCHED!$R65,IF(MATCHED!AO65=18,MATCHED!$S65,IF(MATCHED!AO65=19,MATCHED!$T65,IF(MATCHED!AO65=20,MATCHED!$U65,IF(MATCHED!AO65=21,MATCHED!$V65,)))))))&amp;IF(MATCHED!AO65=22,MATCHED!$W65,IF(MATCHED!AO65=23,MATCHED!$X65,IF(MATCHED!AO65=24,MATCHED!$Y65,IF(MATCHED!AO65=25,MATCHED!$Z65,IF(MATCHED!AO65=26,MATCHED!$AA65,IF(MATCHED!AO65=27,MATCHED!$AB65,"."))))))</f>
        <v>#N/A</v>
      </c>
      <c r="N65" s="382" t="e">
        <f>IF(MATCHED!AP65=1,MATCHED!$B65,IF(MATCHED!AP65=2,MATCHED!$C65,IF(MATCHED!AP65=3,MATCHED!$D65,IF(MATCHED!AP65=4,MATCHED!$E65,IF(MATCHED!AP65=3,MATCHED!$F65,IF(MATCHED!AP65=6,MATCHED!$G65,IF(MATCHED!AP65=7,MATCHED!$H65,"")))))))&amp;IF(MATCHED!AP65=8,MATCHED!$I65,IF(MATCHED!AP65=9,MATCHED!$J65,IF(MATCHED!AP65=10,MATCHED!$K65,IF(MATCHED!AP65=11,MATCHED!$L65,IF(MATCHED!AP65=12,MATCHED!$M65,IF(MATCHED!AP65=13,MATCHED!$N65,IF(MATCHED!AP65=14,MATCHED!$O65,"")))))))&amp;IF(MATCHED!AP65=15,MATCHED!$P65,IF(MATCHED!AP65=16,MATCHED!$Q65,IF(MATCHED!AP65=17,MATCHED!$R65,IF(MATCHED!AP65=18,MATCHED!$S65,IF(MATCHED!AP65=19,MATCHED!$T65,IF(MATCHED!AP65=20,MATCHED!$U65,IF(MATCHED!AP65=21,MATCHED!$V65,)))))))&amp;IF(MATCHED!AP65=22,MATCHED!$W65,IF(MATCHED!AP65=23,MATCHED!$X65,IF(MATCHED!AP65=24,MATCHED!$Y65,IF(MATCHED!AP65=25,MATCHED!$Z65,IF(MATCHED!AP65=26,MATCHED!$AA65,IF(MATCHED!AP65=27,MATCHED!$AB65,"."))))))</f>
        <v>#N/A</v>
      </c>
      <c r="O65" s="382" t="e">
        <f>IF(MATCHED!AQ65=1,MATCHED!$B65,IF(MATCHED!AQ65=2,MATCHED!$C65,IF(MATCHED!AQ65=3,MATCHED!$D65,IF(MATCHED!AQ65=4,MATCHED!$E65,IF(MATCHED!AQ65=3,MATCHED!$F65,IF(MATCHED!AQ65=6,MATCHED!$G65,IF(MATCHED!AQ65=7,MATCHED!$H65,"")))))))&amp;IF(MATCHED!AQ65=8,MATCHED!$I65,IF(MATCHED!AQ65=9,MATCHED!$J65,IF(MATCHED!AQ65=10,MATCHED!$K65,IF(MATCHED!AQ65=11,MATCHED!$L65,IF(MATCHED!AQ65=12,MATCHED!$M65,IF(MATCHED!AQ65=13,MATCHED!$N65,IF(MATCHED!AQ65=14,MATCHED!$O65,"")))))))&amp;IF(MATCHED!AQ65=15,MATCHED!$P65,IF(MATCHED!AQ65=16,MATCHED!$Q65,IF(MATCHED!AQ65=17,MATCHED!$R65,IF(MATCHED!AQ65=18,MATCHED!$S65,IF(MATCHED!AQ65=19,MATCHED!$T65,IF(MATCHED!AQ65=20,MATCHED!$U65,IF(MATCHED!AQ65=21,MATCHED!$V65,)))))))&amp;IF(MATCHED!AQ65=22,MATCHED!$W65,IF(MATCHED!AQ65=23,MATCHED!$X65,IF(MATCHED!AQ65=24,MATCHED!$Y65,IF(MATCHED!AQ65=25,MATCHED!$Z65,IF(MATCHED!AQ65=26,MATCHED!$AA65,IF(MATCHED!AQ65=27,MATCHED!$AB65,"."))))))</f>
        <v>#N/A</v>
      </c>
      <c r="P65" s="382" t="e">
        <f>IF(MATCHED!AR65=1,MATCHED!$B65,IF(MATCHED!AR65=2,MATCHED!$C65,IF(MATCHED!AR65=3,MATCHED!$D65,IF(MATCHED!AR65=4,MATCHED!$E65,IF(MATCHED!AR65=3,MATCHED!$F65,IF(MATCHED!AR65=6,MATCHED!$G65,IF(MATCHED!AR65=7,MATCHED!$H65,"")))))))&amp;IF(MATCHED!AR65=8,MATCHED!$I65,IF(MATCHED!AR65=9,MATCHED!$J65,IF(MATCHED!AR65=10,MATCHED!$K65,IF(MATCHED!AR65=11,MATCHED!$L65,IF(MATCHED!AR65=12,MATCHED!$M65,IF(MATCHED!AR65=13,MATCHED!$N65,IF(MATCHED!AR65=14,MATCHED!$O65,"")))))))&amp;IF(MATCHED!AR65=15,MATCHED!$P65,IF(MATCHED!AR65=16,MATCHED!$Q65,IF(MATCHED!AR65=17,MATCHED!$R65,IF(MATCHED!AR65=18,MATCHED!$S65,IF(MATCHED!AR65=19,MATCHED!$T65,IF(MATCHED!AR65=20,MATCHED!$U65,IF(MATCHED!AR65=21,MATCHED!$V65,)))))))&amp;IF(MATCHED!AR65=22,MATCHED!$W65,IF(MATCHED!AR65=23,MATCHED!$X65,IF(MATCHED!AR65=24,MATCHED!$Y65,IF(MATCHED!AR65=25,MATCHED!$Z65,IF(MATCHED!AR65=26,MATCHED!$AA65,IF(MATCHED!AR65=27,MATCHED!$AB65,"."))))))</f>
        <v>#N/A</v>
      </c>
      <c r="Q65" s="383" t="e">
        <f>IF(MATCHED!AS65=1,MATCHED!$B65,IF(MATCHED!AS65=2,MATCHED!$C65,IF(MATCHED!AS65=3,MATCHED!$D65,IF(MATCHED!AS65=4,MATCHED!$E65,IF(MATCHED!AS65=3,MATCHED!$F65,IF(MATCHED!AS65=6,MATCHED!$G65,IF(MATCHED!AS65=7,MATCHED!$H65,"")))))))&amp;IF(MATCHED!AS65=8,MATCHED!$I65,IF(MATCHED!AS65=9,MATCHED!$J65,IF(MATCHED!AS65=10,MATCHED!$K65,IF(MATCHED!AS65=11,MATCHED!$L65,IF(MATCHED!AS65=12,MATCHED!$M65,IF(MATCHED!AS65=13,MATCHED!$N65,IF(MATCHED!AS65=14,MATCHED!$O65,"")))))))&amp;IF(MATCHED!AS65=15,MATCHED!$P65,IF(MATCHED!AS65=16,MATCHED!$Q65,IF(MATCHED!AS65=17,MATCHED!$R65,IF(MATCHED!AS65=18,MATCHED!$S65,IF(MATCHED!AS65=19,MATCHED!$T65,IF(MATCHED!AS65=20,MATCHED!$U65,IF(MATCHED!AS65=21,MATCHED!$V65,)))))))&amp;IF(MATCHED!AS65=22,MATCHED!$W65,IF(MATCHED!AS65=23,MATCHED!$X65,IF(MATCHED!AS65=24,MATCHED!$Y65,IF(MATCHED!AS65=25,MATCHED!$Z65,IF(MATCHED!AS65=26,MATCHED!$AA65,IF(MATCHED!AS65=27,MATCHED!$AB65,"."))))))</f>
        <v>#N/A</v>
      </c>
      <c r="R65" s="382" t="e">
        <f>IF(MATCHED!AT65=1,MATCHED!$B65,IF(MATCHED!AT65=2,MATCHED!$C65,IF(MATCHED!AT65=3,MATCHED!$D65,IF(MATCHED!AT65=4,MATCHED!$E65,IF(MATCHED!AT65=3,MATCHED!$F65,IF(MATCHED!AT65=6,MATCHED!$G65,IF(MATCHED!AT65=7,MATCHED!$H65,"")))))))&amp;IF(MATCHED!AT65=8,MATCHED!$I65,IF(MATCHED!AT65=9,MATCHED!$J65,IF(MATCHED!AT65=10,MATCHED!$K65,IF(MATCHED!AT65=11,MATCHED!$L65,IF(MATCHED!AT65=12,MATCHED!$M65,IF(MATCHED!AT65=13,MATCHED!$N65,IF(MATCHED!AT65=14,MATCHED!$O65,"")))))))&amp;IF(MATCHED!AT65=15,MATCHED!$P65,IF(MATCHED!AT65=16,MATCHED!$Q65,IF(MATCHED!AT65=17,MATCHED!$R65,IF(MATCHED!AT65=18,MATCHED!$S65,IF(MATCHED!AT65=19,MATCHED!$T65,IF(MATCHED!AT65=20,MATCHED!$U65,IF(MATCHED!AT65=21,MATCHED!$V65,)))))))&amp;IF(MATCHED!AT65=22,MATCHED!$W65,IF(MATCHED!AT65=23,MATCHED!$X65,IF(MATCHED!AT65=24,MATCHED!$Y65,IF(MATCHED!AT65=25,MATCHED!$Z65,IF(MATCHED!AT65=26,MATCHED!$AA65,IF(MATCHED!AT65=27,MATCHED!$AB65,"."))))))</f>
        <v>#N/A</v>
      </c>
      <c r="S65" s="382" t="e">
        <f>IF(MATCHED!AU65=1,MATCHED!$B65,IF(MATCHED!AU65=2,MATCHED!$C65,IF(MATCHED!AU65=3,MATCHED!$D65,IF(MATCHED!AU65=4,MATCHED!$E65,IF(MATCHED!AU65=3,MATCHED!$F65,IF(MATCHED!AU65=6,MATCHED!$G65,IF(MATCHED!AU65=7,MATCHED!$H65,"")))))))&amp;IF(MATCHED!AU65=8,MATCHED!$I65,IF(MATCHED!AU65=9,MATCHED!$J65,IF(MATCHED!AU65=10,MATCHED!$K65,IF(MATCHED!AU65=11,MATCHED!$L65,IF(MATCHED!AU65=12,MATCHED!$M65,IF(MATCHED!AU65=13,MATCHED!$N65,IF(MATCHED!AU65=14,MATCHED!$O65,"")))))))&amp;IF(MATCHED!AU65=15,MATCHED!$P65,IF(MATCHED!AU65=16,MATCHED!$Q65,IF(MATCHED!AU65=17,MATCHED!$R65,IF(MATCHED!AU65=18,MATCHED!$S65,IF(MATCHED!AU65=19,MATCHED!$T65,IF(MATCHED!AU65=20,MATCHED!$U65,IF(MATCHED!AU65=21,MATCHED!$V65,)))))))&amp;IF(MATCHED!AU65=22,MATCHED!$W65,IF(MATCHED!AU65=23,MATCHED!$X65,IF(MATCHED!AU65=24,MATCHED!$Y65,IF(MATCHED!AU65=25,MATCHED!$Z65,IF(MATCHED!AU65=26,MATCHED!$AA65,IF(MATCHED!AU65=27,MATCHED!$AB65,"."))))))</f>
        <v>#N/A</v>
      </c>
      <c r="T65" s="382" t="e">
        <f>IF(MATCHED!AV65=1,MATCHED!$B65,IF(MATCHED!AV65=2,MATCHED!$C65,IF(MATCHED!AV65=3,MATCHED!$D65,IF(MATCHED!AV65=4,MATCHED!$E65,IF(MATCHED!AV65=3,MATCHED!$F65,IF(MATCHED!AV65=6,MATCHED!$G65,IF(MATCHED!AV65=7,MATCHED!$H65,"")))))))&amp;IF(MATCHED!AV65=8,MATCHED!$I65,IF(MATCHED!AV65=9,MATCHED!$J65,IF(MATCHED!AV65=10,MATCHED!$K65,IF(MATCHED!AV65=11,MATCHED!$L65,IF(MATCHED!AV65=12,MATCHED!$M65,IF(MATCHED!AV65=13,MATCHED!$N65,IF(MATCHED!AV65=14,MATCHED!$O65,"")))))))&amp;IF(MATCHED!AV65=15,MATCHED!$P65,IF(MATCHED!AV65=16,MATCHED!$Q65,IF(MATCHED!AV65=17,MATCHED!$R65,IF(MATCHED!AV65=18,MATCHED!$S65,IF(MATCHED!AV65=19,MATCHED!$T65,IF(MATCHED!AV65=20,MATCHED!$U65,IF(MATCHED!AV65=21,MATCHED!$V65,)))))))&amp;IF(MATCHED!AV65=22,MATCHED!$W65,IF(MATCHED!AV65=23,MATCHED!$X65,IF(MATCHED!AV65=24,MATCHED!$Y65,IF(MATCHED!AV65=25,MATCHED!$Z65,IF(MATCHED!AV65=26,MATCHED!$AA65,IF(MATCHED!AV65=27,MATCHED!$AB65,"."))))))</f>
        <v>#N/A</v>
      </c>
      <c r="U65" s="382" t="e">
        <f>IF(MATCHED!AW65=1,MATCHED!$B65,IF(MATCHED!AW65=2,MATCHED!$C65,IF(MATCHED!AW65=3,MATCHED!$D65,IF(MATCHED!AW65=4,MATCHED!$E65,IF(MATCHED!AW65=3,MATCHED!$F65,IF(MATCHED!AW65=6,MATCHED!$G65,IF(MATCHED!AW65=7,MATCHED!$H65,"")))))))&amp;IF(MATCHED!AW65=8,MATCHED!$I65,IF(MATCHED!AW65=9,MATCHED!$J65,IF(MATCHED!AW65=10,MATCHED!$K65,IF(MATCHED!AW65=11,MATCHED!$L65,IF(MATCHED!AW65=12,MATCHED!$M65,IF(MATCHED!AW65=13,MATCHED!$N65,IF(MATCHED!AW65=14,MATCHED!$O65,"")))))))&amp;IF(MATCHED!AW65=15,MATCHED!$P65,IF(MATCHED!AW65=16,MATCHED!$Q65,IF(MATCHED!AW65=17,MATCHED!$R65,IF(MATCHED!AW65=18,MATCHED!$S65,IF(MATCHED!AW65=19,MATCHED!$T65,IF(MATCHED!AW65=20,MATCHED!$U65,IF(MATCHED!AW65=21,MATCHED!$V65,)))))))&amp;IF(MATCHED!AW65=22,MATCHED!$W65,IF(MATCHED!AW65=23,MATCHED!$X65,IF(MATCHED!AW65=24,MATCHED!$Y65,IF(MATCHED!AW65=25,MATCHED!$Z65,IF(MATCHED!AW65=26,MATCHED!$AA65,IF(MATCHED!AW65=27,MATCHED!$AB65,"."))))))</f>
        <v>#N/A</v>
      </c>
      <c r="V65" s="382" t="e">
        <f>IF(MATCHED!AX65=1,MATCHED!$B65,IF(MATCHED!AX65=2,MATCHED!$C65,IF(MATCHED!AX65=3,MATCHED!$D65,IF(MATCHED!AX65=4,MATCHED!$E65,IF(MATCHED!AX65=3,MATCHED!$F65,IF(MATCHED!AX65=6,MATCHED!$G65,IF(MATCHED!AX65=7,MATCHED!$H65,"")))))))&amp;IF(MATCHED!AX65=8,MATCHED!$I65,IF(MATCHED!AX65=9,MATCHED!$J65,IF(MATCHED!AX65=10,MATCHED!$K65,IF(MATCHED!AX65=11,MATCHED!$L65,IF(MATCHED!AX65=12,MATCHED!$M65,IF(MATCHED!AX65=13,MATCHED!$N65,IF(MATCHED!AX65=14,MATCHED!$O65,"")))))))&amp;IF(MATCHED!AX65=15,MATCHED!$P65,IF(MATCHED!AX65=16,MATCHED!$Q65,IF(MATCHED!AX65=17,MATCHED!$R65,IF(MATCHED!AX65=18,MATCHED!$S65,IF(MATCHED!AX65=19,MATCHED!$T65,IF(MATCHED!AX65=20,MATCHED!$U65,IF(MATCHED!AX65=21,MATCHED!$V65,)))))))&amp;IF(MATCHED!AX65=22,MATCHED!$W65,IF(MATCHED!AX65=23,MATCHED!$X65,IF(MATCHED!AX65=24,MATCHED!$Y65,IF(MATCHED!AX65=25,MATCHED!$Z65,IF(MATCHED!AX65=26,MATCHED!$AA65,IF(MATCHED!AX65=27,MATCHED!$AB65,"."))))))</f>
        <v>#N/A</v>
      </c>
      <c r="W65" s="382" t="e">
        <f>IF(MATCHED!AY65=1,MATCHED!$B65,IF(MATCHED!AY65=2,MATCHED!$C65,IF(MATCHED!AY65=3,MATCHED!$D65,IF(MATCHED!AY65=4,MATCHED!$E65,IF(MATCHED!AY65=3,MATCHED!$F65,IF(MATCHED!AY65=6,MATCHED!$G65,IF(MATCHED!AY65=7,MATCHED!$H65,"")))))))&amp;IF(MATCHED!AY65=8,MATCHED!$I65,IF(MATCHED!AY65=9,MATCHED!$J65,IF(MATCHED!AY65=10,MATCHED!$K65,IF(MATCHED!AY65=11,MATCHED!$L65,IF(MATCHED!AY65=12,MATCHED!$M65,IF(MATCHED!AY65=13,MATCHED!$N65,IF(MATCHED!AY65=14,MATCHED!$O65,"")))))))&amp;IF(MATCHED!AY65=15,MATCHED!$P65,IF(MATCHED!AY65=16,MATCHED!$Q65,IF(MATCHED!AY65=17,MATCHED!$R65,IF(MATCHED!AY65=18,MATCHED!$S65,IF(MATCHED!AY65=19,MATCHED!$T65,IF(MATCHED!AY65=20,MATCHED!$U65,IF(MATCHED!AY65=21,MATCHED!$V65,)))))))&amp;IF(MATCHED!AY65=22,MATCHED!$W65,IF(MATCHED!AY65=23,MATCHED!$X65,IF(MATCHED!AY65=24,MATCHED!$Y65,IF(MATCHED!AY65=25,MATCHED!$Z65,IF(MATCHED!AY65=26,MATCHED!$AA65,IF(MATCHED!AY65=27,MATCHED!$AB65,"."))))))</f>
        <v>#N/A</v>
      </c>
      <c r="X65" s="382" t="e">
        <f>IF(MATCHED!AZ65=1,MATCHED!$B65,IF(MATCHED!AZ65=2,MATCHED!$C65,IF(MATCHED!AZ65=3,MATCHED!$D65,IF(MATCHED!AZ65=4,MATCHED!$E65,IF(MATCHED!AZ65=3,MATCHED!$F65,IF(MATCHED!AZ65=6,MATCHED!$G65,IF(MATCHED!AZ65=7,MATCHED!$H65,"")))))))&amp;IF(MATCHED!AZ65=8,MATCHED!$I65,IF(MATCHED!AZ65=9,MATCHED!$J65,IF(MATCHED!AZ65=10,MATCHED!$K65,IF(MATCHED!AZ65=11,MATCHED!$L65,IF(MATCHED!AZ65=12,MATCHED!$M65,IF(MATCHED!AZ65=13,MATCHED!$N65,IF(MATCHED!AZ65=14,MATCHED!$O65,"")))))))&amp;IF(MATCHED!AZ65=15,MATCHED!$P65,IF(MATCHED!AZ65=16,MATCHED!$Q65,IF(MATCHED!AZ65=17,MATCHED!$R65,IF(MATCHED!AZ65=18,MATCHED!$S65,IF(MATCHED!AZ65=19,MATCHED!$T65,IF(MATCHED!AZ65=20,MATCHED!$U65,IF(MATCHED!AZ65=21,MATCHED!$V65,)))))))&amp;IF(MATCHED!AZ65=22,MATCHED!$W65,IF(MATCHED!AZ65=23,MATCHED!$X65,IF(MATCHED!AZ65=24,MATCHED!$Y65,IF(MATCHED!AZ65=25,MATCHED!$Z65,IF(MATCHED!AZ65=26,MATCHED!$AA65,IF(MATCHED!AZ65=27,MATCHED!$AB65,"."))))))</f>
        <v>#N/A</v>
      </c>
      <c r="Y65" s="382" t="e">
        <f>IF(MATCHED!BA65=1,MATCHED!$B65,IF(MATCHED!BA65=2,MATCHED!$C65,IF(MATCHED!BA65=3,MATCHED!$D65,IF(MATCHED!BA65=4,MATCHED!$E65,IF(MATCHED!BA65=3,MATCHED!$F65,IF(MATCHED!BA65=6,MATCHED!$G65,IF(MATCHED!BA65=7,MATCHED!$H65,"")))))))&amp;IF(MATCHED!BA65=8,MATCHED!$I65,IF(MATCHED!BA65=9,MATCHED!$J65,IF(MATCHED!BA65=10,MATCHED!$K65,IF(MATCHED!BA65=11,MATCHED!$L65,IF(MATCHED!BA65=12,MATCHED!$M65,IF(MATCHED!BA65=13,MATCHED!$N65,IF(MATCHED!BA65=14,MATCHED!$O65,"")))))))&amp;IF(MATCHED!BA65=15,MATCHED!$P65,IF(MATCHED!BA65=16,MATCHED!$Q65,IF(MATCHED!BA65=17,MATCHED!$R65,IF(MATCHED!BA65=18,MATCHED!$S65,IF(MATCHED!BA65=19,MATCHED!$T65,IF(MATCHED!BA65=20,MATCHED!$U65,IF(MATCHED!BA65=21,MATCHED!$V65,)))))))&amp;IF(MATCHED!BA65=22,MATCHED!$W65,IF(MATCHED!BA65=23,MATCHED!$X65,IF(MATCHED!BA65=24,MATCHED!$Y65,IF(MATCHED!BA65=25,MATCHED!$Z65,IF(MATCHED!BA65=26,MATCHED!$AA65,IF(MATCHED!BA65=27,MATCHED!$AB65,"."))))))</f>
        <v>#N/A</v>
      </c>
      <c r="Z65" s="382" t="e">
        <f>IF(MATCHED!BB65=1,MATCHED!$B65,IF(MATCHED!BB65=2,MATCHED!$C65,IF(MATCHED!BB65=3,MATCHED!$D65,IF(MATCHED!BB65=4,MATCHED!$E65,IF(MATCHED!BB65=3,MATCHED!$F65,IF(MATCHED!BB65=6,MATCHED!$G65,IF(MATCHED!BB65=7,MATCHED!$H65,"")))))))&amp;IF(MATCHED!BB65=8,MATCHED!$I65,IF(MATCHED!BB65=9,MATCHED!$J65,IF(MATCHED!BB65=10,MATCHED!$K65,IF(MATCHED!BB65=11,MATCHED!$L65,IF(MATCHED!BB65=12,MATCHED!$M65,IF(MATCHED!BB65=13,MATCHED!$N65,IF(MATCHED!BB65=14,MATCHED!$O65,"")))))))&amp;IF(MATCHED!BB65=15,MATCHED!$P65,IF(MATCHED!BB65=16,MATCHED!$Q65,IF(MATCHED!BB65=17,MATCHED!$R65,IF(MATCHED!BB65=18,MATCHED!$S65,IF(MATCHED!BB65=19,MATCHED!$T65,IF(MATCHED!BB65=20,MATCHED!$U65,IF(MATCHED!BB65=21,MATCHED!$V65,)))))))&amp;IF(MATCHED!BB65=22,MATCHED!$W65,IF(MATCHED!BB65=23,MATCHED!$X65,IF(MATCHED!BB65=24,MATCHED!$Y65,IF(MATCHED!BB65=25,MATCHED!$Z65,IF(MATCHED!BB65=26,MATCHED!$AA65,IF(MATCHED!BB65=27,MATCHED!$AB65,"."))))))</f>
        <v>#N/A</v>
      </c>
      <c r="AA65" s="382" t="e">
        <f>IF(MATCHED!BC65=1,MATCHED!$B65,IF(MATCHED!BC65=2,MATCHED!$C65,IF(MATCHED!BC65=3,MATCHED!$D65,IF(MATCHED!BC65=4,MATCHED!$E65,IF(MATCHED!BC65=3,MATCHED!$F65,IF(MATCHED!BC65=6,MATCHED!$G65,IF(MATCHED!BC65=7,MATCHED!$H65,"")))))))&amp;IF(MATCHED!BC65=8,MATCHED!$I65,IF(MATCHED!BC65=9,MATCHED!$J65,IF(MATCHED!BC65=10,MATCHED!$K65,IF(MATCHED!BC65=11,MATCHED!$L65,IF(MATCHED!BC65=12,MATCHED!$M65,IF(MATCHED!BC65=13,MATCHED!$N65,IF(MATCHED!BC65=14,MATCHED!$O65,"")))))))&amp;IF(MATCHED!BC65=15,MATCHED!$P65,IF(MATCHED!BC65=16,MATCHED!$Q65,IF(MATCHED!BC65=17,MATCHED!$R65,IF(MATCHED!BC65=18,MATCHED!$S65,IF(MATCHED!BC65=19,MATCHED!$T65,IF(MATCHED!BC65=20,MATCHED!$U65,IF(MATCHED!BC65=21,MATCHED!$V65,)))))))&amp;IF(MATCHED!BC65=22,MATCHED!$W65,IF(MATCHED!BC65=23,MATCHED!$X65,IF(MATCHED!BC65=24,MATCHED!$Y65,IF(MATCHED!BC65=25,MATCHED!$Z65,IF(MATCHED!BC65=26,MATCHED!$AA65,IF(MATCHED!BC65=27,MATCHED!$AB65,"."))))))</f>
        <v>#N/A</v>
      </c>
      <c r="AB65" s="382" t="e">
        <f>IF(MATCHED!BD65=1,MATCHED!$B65,IF(MATCHED!BD65=2,MATCHED!$C65,IF(MATCHED!BD65=3,MATCHED!$D65,IF(MATCHED!BD65=4,MATCHED!$E65,IF(MATCHED!BD65=3,MATCHED!$F65,IF(MATCHED!BD65=6,MATCHED!$G65,IF(MATCHED!BD65=7,MATCHED!$H65,"")))))))&amp;IF(MATCHED!BD65=8,MATCHED!$I65,IF(MATCHED!BD65=9,MATCHED!$J65,IF(MATCHED!BD65=10,MATCHED!$K65,IF(MATCHED!BD65=11,MATCHED!$L65,IF(MATCHED!BD65=12,MATCHED!$M65,IF(MATCHED!BD65=13,MATCHED!$N65,IF(MATCHED!BD65=14,MATCHED!$O65,"")))))))&amp;IF(MATCHED!BD65=15,MATCHED!$P65,IF(MATCHED!BD65=16,MATCHED!$Q65,IF(MATCHED!BD65=17,MATCHED!$R65,IF(MATCHED!BD65=18,MATCHED!$S65,IF(MATCHED!BD65=19,MATCHED!$T65,IF(MATCHED!BD65=20,MATCHED!$U65,IF(MATCHED!BD65=21,MATCHED!$V65,)))))))&amp;IF(MATCHED!BD65=22,MATCHED!$W65,IF(MATCHED!BD65=23,MATCHED!$X65,IF(MATCHED!BD65=24,MATCHED!$Y65,IF(MATCHED!BD65=25,MATCHED!$Z65,IF(MATCHED!BD65=26,MATCHED!$AA65,IF(MATCHED!BD65=27,MATCHED!$AB65,"."))))))</f>
        <v>#N/A</v>
      </c>
      <c r="AC65" s="382" t="e">
        <f>IF(MATCHED!BE65=1,MATCHED!$B65,IF(MATCHED!BE65=2,MATCHED!$C65,IF(MATCHED!BE65=3,MATCHED!$D65,IF(MATCHED!BE65=4,MATCHED!$E65,IF(MATCHED!BE65=3,MATCHED!$F65,IF(MATCHED!BE65=6,MATCHED!$G65,IF(MATCHED!BE65=7,MATCHED!$H65,"")))))))&amp;IF(MATCHED!BE65=8,MATCHED!$I65,IF(MATCHED!BE65=9,MATCHED!$J65,IF(MATCHED!BE65=10,MATCHED!$K65,IF(MATCHED!BE65=11,MATCHED!$L65,IF(MATCHED!BE65=12,MATCHED!$M65,IF(MATCHED!BE65=13,MATCHED!$N65,IF(MATCHED!BE65=14,MATCHED!$O65,"")))))))&amp;IF(MATCHED!BE65=15,MATCHED!$P65,IF(MATCHED!BE65=16,MATCHED!$Q65,IF(MATCHED!BE65=17,MATCHED!$R65,IF(MATCHED!BE65=18,MATCHED!$S65,IF(MATCHED!BE65=19,MATCHED!$T65,IF(MATCHED!BE65=20,MATCHED!$U65,IF(MATCHED!BE65=21,MATCHED!$V65,)))))))&amp;IF(MATCHED!BE65=22,MATCHED!$W65,IF(MATCHED!BE65=23,MATCHED!$X65,IF(MATCHED!BE65=24,MATCHED!$Y65,IF(MATCHED!BE65=25,MATCHED!$Z65,IF(MATCHED!BE65=26,MATCHED!$AA65,IF(MATCHED!BE65=27,MATCHED!$AB65,"."))))))</f>
        <v>#N/A</v>
      </c>
      <c r="AD65" s="382" t="e">
        <f>IF(MATCHED!BF65=1,MATCHED!$B65,IF(MATCHED!BF65=2,MATCHED!$C65,IF(MATCHED!BF65=3,MATCHED!$D65,IF(MATCHED!BF65=4,MATCHED!$E65,IF(MATCHED!BF65=3,MATCHED!$F65,IF(MATCHED!BF65=6,MATCHED!$G65,IF(MATCHED!BF65=7,MATCHED!$H65,"")))))))&amp;IF(MATCHED!BF65=8,MATCHED!$I65,IF(MATCHED!BF65=9,MATCHED!$J65,IF(MATCHED!BF65=10,MATCHED!$K65,IF(MATCHED!BF65=11,MATCHED!$L65,IF(MATCHED!BF65=12,MATCHED!$M65,IF(MATCHED!BF65=13,MATCHED!$N65,IF(MATCHED!BF65=14,MATCHED!$O65,"")))))))&amp;IF(MATCHED!BF65=15,MATCHED!$P65,IF(MATCHED!BF65=16,MATCHED!$Q65,IF(MATCHED!BF65=17,MATCHED!$R65,IF(MATCHED!BF65=18,MATCHED!$S65,IF(MATCHED!BF65=19,MATCHED!$T65,IF(MATCHED!BF65=20,MATCHED!$U65,IF(MATCHED!BF65=21,MATCHED!$V65,)))))))&amp;IF(MATCHED!BF65=22,MATCHED!$W65,IF(MATCHED!BF65=23,MATCHED!$X65,IF(MATCHED!BF65=24,MATCHED!$Y65,IF(MATCHED!BF65=25,MATCHED!$Z65,IF(MATCHED!BF65=26,MATCHED!$AA65,IF(MATCHED!BF65=27,MATCHED!$AB65,"."))))))</f>
        <v>#N/A</v>
      </c>
      <c r="AE65" s="382" t="e">
        <f>IF(MATCHED!BG65=1,MATCHED!$B65,IF(MATCHED!BG65=2,MATCHED!$C65,IF(MATCHED!BG65=3,MATCHED!$D65,IF(MATCHED!BG65=4,MATCHED!$E65,IF(MATCHED!BG65=3,MATCHED!$F65,IF(MATCHED!BG65=6,MATCHED!$G65,IF(MATCHED!BG65=7,MATCHED!$H65,"")))))))&amp;IF(MATCHED!BG65=8,MATCHED!$I65,IF(MATCHED!BG65=9,MATCHED!$J65,IF(MATCHED!BG65=10,MATCHED!$K65,IF(MATCHED!BG65=11,MATCHED!$L65,IF(MATCHED!BG65=12,MATCHED!$M65,IF(MATCHED!BG65=13,MATCHED!$N65,IF(MATCHED!BG65=14,MATCHED!$O65,"")))))))&amp;IF(MATCHED!BG65=15,MATCHED!$P65,IF(MATCHED!BG65=16,MATCHED!$Q65,IF(MATCHED!BG65=17,MATCHED!$R65,IF(MATCHED!BG65=18,MATCHED!$S65,IF(MATCHED!BG65=19,MATCHED!$T65,IF(MATCHED!BG65=20,MATCHED!$U65,IF(MATCHED!BG65=21,MATCHED!$V65,)))))))&amp;IF(MATCHED!BG65=22,MATCHED!$W65,IF(MATCHED!BG65=23,MATCHED!$X65,IF(MATCHED!BG65=24,MATCHED!$Y65,IF(MATCHED!BG65=25,MATCHED!$Z65,IF(MATCHED!BG65=26,MATCHED!$AA65,IF(MATCHED!BG65=27,MATCHED!$AB65,"."))))))</f>
        <v>#N/A</v>
      </c>
      <c r="AF65" s="382" t="e">
        <f>IF(MATCHED!BH65=1,MATCHED!$B65,IF(MATCHED!BH65=2,MATCHED!$C65,IF(MATCHED!BH65=3,MATCHED!$D65,IF(MATCHED!BH65=4,MATCHED!$E65,IF(MATCHED!BH65=3,MATCHED!$F65,IF(MATCHED!BH65=6,MATCHED!$G65,IF(MATCHED!BH65=7,MATCHED!$H65,"")))))))&amp;IF(MATCHED!BH65=8,MATCHED!$I65,IF(MATCHED!BH65=9,MATCHED!$J65,IF(MATCHED!BH65=10,MATCHED!$K65,IF(MATCHED!BH65=11,MATCHED!$L65,IF(MATCHED!BH65=12,MATCHED!$M65,IF(MATCHED!BH65=13,MATCHED!$N65,IF(MATCHED!BH65=14,MATCHED!$O65,"")))))))&amp;IF(MATCHED!BH65=15,MATCHED!$P65,IF(MATCHED!BH65=16,MATCHED!$Q65,IF(MATCHED!BH65=17,MATCHED!$R65,IF(MATCHED!BH65=18,MATCHED!$S65,IF(MATCHED!BH65=19,MATCHED!$T65,IF(MATCHED!BH65=20,MATCHED!$U65,IF(MATCHED!BH65=21,MATCHED!$V65,)))))))&amp;IF(MATCHED!BH65=22,MATCHED!$W65,IF(MATCHED!BH65=23,MATCHED!$X65,IF(MATCHED!BH65=24,MATCHED!$Y65,IF(MATCHED!BH65=25,MATCHED!$Z65,IF(MATCHED!BH65=26,MATCHED!$AA65,IF(MATCHED!BH65=27,MATCHED!$AB65,"."))))))</f>
        <v>#N/A</v>
      </c>
      <c r="AG65" s="382" t="e">
        <f>IF(MATCHED!BI65=1,MATCHED!$B65,IF(MATCHED!BI65=2,MATCHED!$C65,IF(MATCHED!BI65=3,MATCHED!$D65,IF(MATCHED!BI65=4,MATCHED!$E65,IF(MATCHED!BI65=3,MATCHED!$F65,IF(MATCHED!BI65=6,MATCHED!$G65,IF(MATCHED!BI65=7,MATCHED!$H65,"")))))))&amp;IF(MATCHED!BI65=8,MATCHED!$I65,IF(MATCHED!BI65=9,MATCHED!$J65,IF(MATCHED!BI65=10,MATCHED!$K65,IF(MATCHED!BI65=11,MATCHED!$L65,IF(MATCHED!BI65=12,MATCHED!$M65,IF(MATCHED!BI65=13,MATCHED!$N65,IF(MATCHED!BI65=14,MATCHED!$O65,"")))))))&amp;IF(MATCHED!BI65=15,MATCHED!$P65,IF(MATCHED!BI65=16,MATCHED!$Q65,IF(MATCHED!BI65=17,MATCHED!$R65,IF(MATCHED!BI65=18,MATCHED!$S65,IF(MATCHED!BI65=19,MATCHED!$T65,IF(MATCHED!BI65=20,MATCHED!$U65,IF(MATCHED!BI65=21,MATCHED!$V65,)))))))&amp;IF(MATCHED!BI65=22,MATCHED!$W65,IF(MATCHED!BI65=23,MATCHED!$X65,IF(MATCHED!BI65=24,MATCHED!$Y65,IF(MATCHED!BI65=25,MATCHED!$Z65,IF(MATCHED!BI65=26,MATCHED!$AA65,IF(MATCHED!BI65=27,MATCHED!$AB65,"."))))))</f>
        <v>#N/A</v>
      </c>
      <c r="AH65" s="382" t="e">
        <f>IF(MATCHED!BJ65=1,MATCHED!$B65,IF(MATCHED!BJ65=2,MATCHED!$C65,IF(MATCHED!BJ65=3,MATCHED!$D65,IF(MATCHED!BJ65=4,MATCHED!$E65,IF(MATCHED!BJ65=3,MATCHED!$F65,IF(MATCHED!BJ65=6,MATCHED!$G65,IF(MATCHED!BJ65=7,MATCHED!$H65,"")))))))&amp;IF(MATCHED!BJ65=8,MATCHED!$I65,IF(MATCHED!BJ65=9,MATCHED!$J65,IF(MATCHED!BJ65=10,MATCHED!$K65,IF(MATCHED!BJ65=11,MATCHED!$L65,IF(MATCHED!BJ65=12,MATCHED!$M65,IF(MATCHED!BJ65=13,MATCHED!$N65,IF(MATCHED!BJ65=14,MATCHED!$O65,"")))))))&amp;IF(MATCHED!BJ65=15,MATCHED!$P65,IF(MATCHED!BJ65=16,MATCHED!$Q65,IF(MATCHED!BJ65=17,MATCHED!$R65,IF(MATCHED!BJ65=18,MATCHED!$S65,IF(MATCHED!BJ65=19,MATCHED!$T65,IF(MATCHED!BJ65=20,MATCHED!$U65,IF(MATCHED!BJ65=21,MATCHED!$V65,)))))))&amp;IF(MATCHED!BJ65=22,MATCHED!$W65,IF(MATCHED!BJ65=23,MATCHED!$X65,IF(MATCHED!BJ65=24,MATCHED!$Y65,IF(MATCHED!BJ65=25,MATCHED!$Z65,IF(MATCHED!BJ65=26,MATCHED!$AA65,IF(MATCHED!BJ65=27,MATCHED!$AB65,"."))))))</f>
        <v>#N/A</v>
      </c>
      <c r="AI65" s="382" t="e">
        <f>IF(MATCHED!BK65=1,MATCHED!$B65,IF(MATCHED!BK65=2,MATCHED!$C65,IF(MATCHED!BK65=3,MATCHED!$D65,IF(MATCHED!BK65=4,MATCHED!$E65,IF(MATCHED!BK65=3,MATCHED!$F65,IF(MATCHED!BK65=6,MATCHED!$G65,IF(MATCHED!BK65=7,MATCHED!$H65,"")))))))&amp;IF(MATCHED!BK65=8,MATCHED!$I65,IF(MATCHED!BK65=9,MATCHED!$J65,IF(MATCHED!BK65=10,MATCHED!$K65,IF(MATCHED!BK65=11,MATCHED!$L65,IF(MATCHED!BK65=12,MATCHED!$M65,IF(MATCHED!BK65=13,MATCHED!$N65,IF(MATCHED!BK65=14,MATCHED!$O65,"")))))))&amp;IF(MATCHED!BK65=15,MATCHED!$P65,IF(MATCHED!BK65=16,MATCHED!$Q65,IF(MATCHED!BK65=17,MATCHED!$R65,IF(MATCHED!BK65=18,MATCHED!$S65,IF(MATCHED!BK65=19,MATCHED!$T65,IF(MATCHED!BK65=20,MATCHED!$U65,IF(MATCHED!BK65=21,MATCHED!$V65,)))))))&amp;IF(MATCHED!BK65=22,MATCHED!$W65,IF(MATCHED!BK65=23,MATCHED!$X65,IF(MATCHED!BK65=24,MATCHED!$Y65,IF(MATCHED!BK65=25,MATCHED!$Z65,IF(MATCHED!BK65=26,MATCHED!$AA65,IF(MATCHED!BK65=27,MATCHED!$AB65,"."))))))</f>
        <v>#N/A</v>
      </c>
      <c r="AJ65" s="535"/>
    </row>
    <row r="66" spans="1:36" s="338" customFormat="1" ht="27" thickBot="1" x14ac:dyDescent="0.3">
      <c r="A66" s="534"/>
      <c r="B66" s="384" t="e">
        <f>IF(MATCHED!AD66=1,MATCHED!$B66,IF(MATCHED!AD66=2,MATCHED!$C66,IF(MATCHED!AD66=3,MATCHED!$D66,IF(MATCHED!AD66=4,MATCHED!$E66,IF(MATCHED!AD66=3,MATCHED!$F66,IF(MATCHED!AD66=6,MATCHED!$G66,IF(MATCHED!AD66=7,MATCHED!$H66,"")))))))&amp;IF(MATCHED!AD66=8,MATCHED!$I66,IF(MATCHED!AD66=9,MATCHED!$J66,IF(MATCHED!AD66=10,MATCHED!$K66,IF(MATCHED!AD66=11,MATCHED!$L66,IF(MATCHED!AD66=12,MATCHED!$M66,IF(MATCHED!AD66=13,MATCHED!$N66,IF(MATCHED!AD66=14,MATCHED!$O66,"")))))))&amp;IF(MATCHED!AD66=15,MATCHED!$P66,IF(MATCHED!AD66=16,MATCHED!$Q66,IF(MATCHED!AD66=17,MATCHED!$R66,IF(MATCHED!AD66=18,MATCHED!$S66,IF(MATCHED!AD66=19,MATCHED!$T66,IF(MATCHED!AD66=20,MATCHED!$U66,IF(MATCHED!AD66=21,MATCHED!$V66,)))))))&amp;IF(MATCHED!AD66=22,MATCHED!$W66,IF(MATCHED!AD66=23,MATCHED!$X66,IF(MATCHED!AD66=24,MATCHED!$Y66,IF(MATCHED!AD66=25,MATCHED!$Z66,IF(MATCHED!AD66=26,MATCHED!$AA66,IF(MATCHED!AD66=27,MATCHED!$AB66,"."))))))</f>
        <v>#N/A</v>
      </c>
      <c r="C66" s="384" t="e">
        <f>IF(MATCHED!AE66=1,MATCHED!$B66,IF(MATCHED!AE66=2,MATCHED!$C66,IF(MATCHED!AE66=3,MATCHED!$D66,IF(MATCHED!AE66=4,MATCHED!$E66,IF(MATCHED!AE66=3,MATCHED!$F66,IF(MATCHED!AE66=6,MATCHED!$G66,IF(MATCHED!AE66=7,MATCHED!$H66,"")))))))&amp;IF(MATCHED!AE66=8,MATCHED!$I66,IF(MATCHED!AE66=9,MATCHED!$J66,IF(MATCHED!AE66=10,MATCHED!$K66,IF(MATCHED!AE66=11,MATCHED!$L66,IF(MATCHED!AE66=12,MATCHED!$M66,IF(MATCHED!AE66=13,MATCHED!$N66,IF(MATCHED!AE66=14,MATCHED!$O66,"")))))))&amp;IF(MATCHED!AE66=15,MATCHED!$P66,IF(MATCHED!AE66=16,MATCHED!$Q66,IF(MATCHED!AE66=17,MATCHED!$R66,IF(MATCHED!AE66=18,MATCHED!$S66,IF(MATCHED!AE66=19,MATCHED!$T66,IF(MATCHED!AE66=20,MATCHED!$U66,IF(MATCHED!AE66=21,MATCHED!$V66,)))))))&amp;IF(MATCHED!AE66=22,MATCHED!$W66,IF(MATCHED!AE66=23,MATCHED!$X66,IF(MATCHED!AE66=24,MATCHED!$Y66,IF(MATCHED!AE66=25,MATCHED!$Z66,IF(MATCHED!AE66=26,MATCHED!$AA66,IF(MATCHED!AE66=27,MATCHED!$AB66,"."))))))</f>
        <v>#N/A</v>
      </c>
      <c r="D66" s="384" t="e">
        <f>IF(MATCHED!AF66=1,MATCHED!$B66,IF(MATCHED!AF66=2,MATCHED!$C66,IF(MATCHED!AF66=3,MATCHED!$D66,IF(MATCHED!AF66=4,MATCHED!$E66,IF(MATCHED!AF66=3,MATCHED!$F66,IF(MATCHED!AF66=6,MATCHED!$G66,IF(MATCHED!AF66=7,MATCHED!$H66,"")))))))&amp;IF(MATCHED!AF66=8,MATCHED!$I66,IF(MATCHED!AF66=9,MATCHED!$J66,IF(MATCHED!AF66=10,MATCHED!$K66,IF(MATCHED!AF66=11,MATCHED!$L66,IF(MATCHED!AF66=12,MATCHED!$M66,IF(MATCHED!AF66=13,MATCHED!$N66,IF(MATCHED!AF66=14,MATCHED!$O66,"")))))))&amp;IF(MATCHED!AF66=15,MATCHED!$P66,IF(MATCHED!AF66=16,MATCHED!$Q66,IF(MATCHED!AF66=17,MATCHED!$R66,IF(MATCHED!AF66=18,MATCHED!$S66,IF(MATCHED!AF66=19,MATCHED!$T66,IF(MATCHED!AF66=20,MATCHED!$U66,IF(MATCHED!AF66=21,MATCHED!$V66,)))))))&amp;IF(MATCHED!AF66=22,MATCHED!$W66,IF(MATCHED!AF66=23,MATCHED!$X66,IF(MATCHED!AF66=24,MATCHED!$Y66,IF(MATCHED!AF66=25,MATCHED!$Z66,IF(MATCHED!AF66=26,MATCHED!$AA66,IF(MATCHED!AF66=27,MATCHED!$AB66,"."))))))</f>
        <v>#N/A</v>
      </c>
      <c r="E66" s="384" t="e">
        <f>IF(MATCHED!AG66=1,MATCHED!$B66,IF(MATCHED!AG66=2,MATCHED!$C66,IF(MATCHED!AG66=3,MATCHED!$D66,IF(MATCHED!AG66=4,MATCHED!$E66,IF(MATCHED!AG66=3,MATCHED!$F66,IF(MATCHED!AG66=6,MATCHED!$G66,IF(MATCHED!AG66=7,MATCHED!$H66,"")))))))&amp;IF(MATCHED!AG66=8,MATCHED!$I66,IF(MATCHED!AG66=9,MATCHED!$J66,IF(MATCHED!AG66=10,MATCHED!$K66,IF(MATCHED!AG66=11,MATCHED!$L66,IF(MATCHED!AG66=12,MATCHED!$M66,IF(MATCHED!AG66=13,MATCHED!$N66,IF(MATCHED!AG66=14,MATCHED!$O66,"")))))))&amp;IF(MATCHED!AG66=15,MATCHED!$P66,IF(MATCHED!AG66=16,MATCHED!$Q66,IF(MATCHED!AG66=17,MATCHED!$R66,IF(MATCHED!AG66=18,MATCHED!$S66,IF(MATCHED!AG66=19,MATCHED!$T66,IF(MATCHED!AG66=20,MATCHED!$U66,IF(MATCHED!AG66=21,MATCHED!$V66,)))))))&amp;IF(MATCHED!AG66=22,MATCHED!$W66,IF(MATCHED!AG66=23,MATCHED!$X66,IF(MATCHED!AG66=24,MATCHED!$Y66,IF(MATCHED!AG66=25,MATCHED!$Z66,IF(MATCHED!AG66=26,MATCHED!$AA66,IF(MATCHED!AG66=27,MATCHED!$AB66,"."))))))</f>
        <v>#N/A</v>
      </c>
      <c r="F66" s="384" t="e">
        <f>IF(MATCHED!AH66=1,MATCHED!$B66,IF(MATCHED!AH66=2,MATCHED!$C66,IF(MATCHED!AH66=3,MATCHED!$D66,IF(MATCHED!AH66=4,MATCHED!$E66,IF(MATCHED!AH66=3,MATCHED!$F66,IF(MATCHED!AH66=6,MATCHED!$G66,IF(MATCHED!AH66=7,MATCHED!$H66,"")))))))&amp;IF(MATCHED!AH66=8,MATCHED!$I66,IF(MATCHED!AH66=9,MATCHED!$J66,IF(MATCHED!AH66=10,MATCHED!$K66,IF(MATCHED!AH66=11,MATCHED!$L66,IF(MATCHED!AH66=12,MATCHED!$M66,IF(MATCHED!AH66=13,MATCHED!$N66,IF(MATCHED!AH66=14,MATCHED!$O66,"")))))))&amp;IF(MATCHED!AH66=15,MATCHED!$P66,IF(MATCHED!AH66=16,MATCHED!$Q66,IF(MATCHED!AH66=17,MATCHED!$R66,IF(MATCHED!AH66=18,MATCHED!$S66,IF(MATCHED!AH66=19,MATCHED!$T66,IF(MATCHED!AH66=20,MATCHED!$U66,IF(MATCHED!AH66=21,MATCHED!$V66,)))))))&amp;IF(MATCHED!AH66=22,MATCHED!$W66,IF(MATCHED!AH66=23,MATCHED!$X66,IF(MATCHED!AH66=24,MATCHED!$Y66,IF(MATCHED!AH66=25,MATCHED!$Z66,IF(MATCHED!AH66=26,MATCHED!$AA66,IF(MATCHED!AH66=27,MATCHED!$AB66,"."))))))</f>
        <v>#N/A</v>
      </c>
      <c r="G66" s="384" t="e">
        <f>IF(MATCHED!AI66=1,MATCHED!$B66,IF(MATCHED!AI66=2,MATCHED!$C66,IF(MATCHED!AI66=3,MATCHED!$D66,IF(MATCHED!AI66=4,MATCHED!$E66,IF(MATCHED!AI66=3,MATCHED!$F66,IF(MATCHED!AI66=6,MATCHED!$G66,IF(MATCHED!AI66=7,MATCHED!$H66,"")))))))&amp;IF(MATCHED!AI66=8,MATCHED!$I66,IF(MATCHED!AI66=9,MATCHED!$J66,IF(MATCHED!AI66=10,MATCHED!$K66,IF(MATCHED!AI66=11,MATCHED!$L66,IF(MATCHED!AI66=12,MATCHED!$M66,IF(MATCHED!AI66=13,MATCHED!$N66,IF(MATCHED!AI66=14,MATCHED!$O66,"")))))))&amp;IF(MATCHED!AI66=15,MATCHED!$P66,IF(MATCHED!AI66=16,MATCHED!$Q66,IF(MATCHED!AI66=17,MATCHED!$R66,IF(MATCHED!AI66=18,MATCHED!$S66,IF(MATCHED!AI66=19,MATCHED!$T66,IF(MATCHED!AI66=20,MATCHED!$U66,IF(MATCHED!AI66=21,MATCHED!$V66,)))))))&amp;IF(MATCHED!AI66=22,MATCHED!$W66,IF(MATCHED!AI66=23,MATCHED!$X66,IF(MATCHED!AI66=24,MATCHED!$Y66,IF(MATCHED!AI66=25,MATCHED!$Z66,IF(MATCHED!AI66=26,MATCHED!$AA66,IF(MATCHED!AI66=27,MATCHED!$AB66,"."))))))</f>
        <v>#N/A</v>
      </c>
      <c r="H66" s="384" t="e">
        <f>IF(MATCHED!AJ66=1,MATCHED!$B66,IF(MATCHED!AJ66=2,MATCHED!$C66,IF(MATCHED!AJ66=3,MATCHED!$D66,IF(MATCHED!AJ66=4,MATCHED!$E66,IF(MATCHED!AJ66=3,MATCHED!$F66,IF(MATCHED!AJ66=6,MATCHED!$G66,IF(MATCHED!AJ66=7,MATCHED!$H66,"")))))))&amp;IF(MATCHED!AJ66=8,MATCHED!$I66,IF(MATCHED!AJ66=9,MATCHED!$J66,IF(MATCHED!AJ66=10,MATCHED!$K66,IF(MATCHED!AJ66=11,MATCHED!$L66,IF(MATCHED!AJ66=12,MATCHED!$M66,IF(MATCHED!AJ66=13,MATCHED!$N66,IF(MATCHED!AJ66=14,MATCHED!$O66,"")))))))&amp;IF(MATCHED!AJ66=15,MATCHED!$P66,IF(MATCHED!AJ66=16,MATCHED!$Q66,IF(MATCHED!AJ66=17,MATCHED!$R66,IF(MATCHED!AJ66=18,MATCHED!$S66,IF(MATCHED!AJ66=19,MATCHED!$T66,IF(MATCHED!AJ66=20,MATCHED!$U66,IF(MATCHED!AJ66=21,MATCHED!$V66,)))))))&amp;IF(MATCHED!AJ66=22,MATCHED!$W66,IF(MATCHED!AJ66=23,MATCHED!$X66,IF(MATCHED!AJ66=24,MATCHED!$Y66,IF(MATCHED!AJ66=25,MATCHED!$Z66,IF(MATCHED!AJ66=26,MATCHED!$AA66,IF(MATCHED!AJ66=27,MATCHED!$AB66,"."))))))</f>
        <v>#N/A</v>
      </c>
      <c r="I66" s="384" t="e">
        <f>IF(MATCHED!AK66=1,MATCHED!$B66,IF(MATCHED!AK66=2,MATCHED!$C66,IF(MATCHED!AK66=3,MATCHED!$D66,IF(MATCHED!AK66=4,MATCHED!$E66,IF(MATCHED!AK66=3,MATCHED!$F66,IF(MATCHED!AK66=6,MATCHED!$G66,IF(MATCHED!AK66=7,MATCHED!$H66,"")))))))&amp;IF(MATCHED!AK66=8,MATCHED!$I66,IF(MATCHED!AK66=9,MATCHED!$J66,IF(MATCHED!AK66=10,MATCHED!$K66,IF(MATCHED!AK66=11,MATCHED!$L66,IF(MATCHED!AK66=12,MATCHED!$M66,IF(MATCHED!AK66=13,MATCHED!$N66,IF(MATCHED!AK66=14,MATCHED!$O66,"")))))))&amp;IF(MATCHED!AK66=15,MATCHED!$P66,IF(MATCHED!AK66=16,MATCHED!$Q66,IF(MATCHED!AK66=17,MATCHED!$R66,IF(MATCHED!AK66=18,MATCHED!$S66,IF(MATCHED!AK66=19,MATCHED!$T66,IF(MATCHED!AK66=20,MATCHED!$U66,IF(MATCHED!AK66=21,MATCHED!$V66,)))))))&amp;IF(MATCHED!AK66=22,MATCHED!$W66,IF(MATCHED!AK66=23,MATCHED!$X66,IF(MATCHED!AK66=24,MATCHED!$Y66,IF(MATCHED!AK66=25,MATCHED!$Z66,IF(MATCHED!AK66=26,MATCHED!$AA66,IF(MATCHED!AK66=27,MATCHED!$AB66,"."))))))</f>
        <v>#N/A</v>
      </c>
      <c r="J66" s="384" t="e">
        <f>IF(MATCHED!AL66=1,MATCHED!$B66,IF(MATCHED!AL66=2,MATCHED!$C66,IF(MATCHED!AL66=3,MATCHED!$D66,IF(MATCHED!AL66=4,MATCHED!$E66,IF(MATCHED!AL66=3,MATCHED!$F66,IF(MATCHED!AL66=6,MATCHED!$G66,IF(MATCHED!AL66=7,MATCHED!$H66,"")))))))&amp;IF(MATCHED!AL66=8,MATCHED!$I66,IF(MATCHED!AL66=9,MATCHED!$J66,IF(MATCHED!AL66=10,MATCHED!$K66,IF(MATCHED!AL66=11,MATCHED!$L66,IF(MATCHED!AL66=12,MATCHED!$M66,IF(MATCHED!AL66=13,MATCHED!$N66,IF(MATCHED!AL66=14,MATCHED!$O66,"")))))))&amp;IF(MATCHED!AL66=15,MATCHED!$P66,IF(MATCHED!AL66=16,MATCHED!$Q66,IF(MATCHED!AL66=17,MATCHED!$R66,IF(MATCHED!AL66=18,MATCHED!$S66,IF(MATCHED!AL66=19,MATCHED!$T66,IF(MATCHED!AL66=20,MATCHED!$U66,IF(MATCHED!AL66=21,MATCHED!$V66,)))))))&amp;IF(MATCHED!AL66=22,MATCHED!$W66,IF(MATCHED!AL66=23,MATCHED!$X66,IF(MATCHED!AL66=24,MATCHED!$Y66,IF(MATCHED!AL66=25,MATCHED!$Z66,IF(MATCHED!AL66=26,MATCHED!$AA66,IF(MATCHED!AL66=27,MATCHED!$AB66,"."))))))</f>
        <v>#N/A</v>
      </c>
      <c r="K66" s="384" t="e">
        <f>IF(MATCHED!AM66=1,MATCHED!$B66,IF(MATCHED!AM66=2,MATCHED!$C66,IF(MATCHED!AM66=3,MATCHED!$D66,IF(MATCHED!AM66=4,MATCHED!$E66,IF(MATCHED!AM66=3,MATCHED!$F66,IF(MATCHED!AM66=6,MATCHED!$G66,IF(MATCHED!AM66=7,MATCHED!$H66,"")))))))&amp;IF(MATCHED!AM66=8,MATCHED!$I66,IF(MATCHED!AM66=9,MATCHED!$J66,IF(MATCHED!AM66=10,MATCHED!$K66,IF(MATCHED!AM66=11,MATCHED!$L66,IF(MATCHED!AM66=12,MATCHED!$M66,IF(MATCHED!AM66=13,MATCHED!$N66,IF(MATCHED!AM66=14,MATCHED!$O66,"")))))))&amp;IF(MATCHED!AM66=15,MATCHED!$P66,IF(MATCHED!AM66=16,MATCHED!$Q66,IF(MATCHED!AM66=17,MATCHED!$R66,IF(MATCHED!AM66=18,MATCHED!$S66,IF(MATCHED!AM66=19,MATCHED!$T66,IF(MATCHED!AM66=20,MATCHED!$U66,IF(MATCHED!AM66=21,MATCHED!$V66,)))))))&amp;IF(MATCHED!AM66=22,MATCHED!$W66,IF(MATCHED!AM66=23,MATCHED!$X66,IF(MATCHED!AM66=24,MATCHED!$Y66,IF(MATCHED!AM66=25,MATCHED!$Z66,IF(MATCHED!AM66=26,MATCHED!$AA66,IF(MATCHED!AM66=27,MATCHED!$AB66,"."))))))</f>
        <v>#N/A</v>
      </c>
      <c r="L66" s="384" t="e">
        <f>IF(MATCHED!AN66=1,MATCHED!$B66,IF(MATCHED!AN66=2,MATCHED!$C66,IF(MATCHED!AN66=3,MATCHED!$D66,IF(MATCHED!AN66=4,MATCHED!$E66,IF(MATCHED!AN66=3,MATCHED!$F66,IF(MATCHED!AN66=6,MATCHED!$G66,IF(MATCHED!AN66=7,MATCHED!$H66,"")))))))&amp;IF(MATCHED!AN66=8,MATCHED!$I66,IF(MATCHED!AN66=9,MATCHED!$J66,IF(MATCHED!AN66=10,MATCHED!$K66,IF(MATCHED!AN66=11,MATCHED!$L66,IF(MATCHED!AN66=12,MATCHED!$M66,IF(MATCHED!AN66=13,MATCHED!$N66,IF(MATCHED!AN66=14,MATCHED!$O66,"")))))))&amp;IF(MATCHED!AN66=15,MATCHED!$P66,IF(MATCHED!AN66=16,MATCHED!$Q66,IF(MATCHED!AN66=17,MATCHED!$R66,IF(MATCHED!AN66=18,MATCHED!$S66,IF(MATCHED!AN66=19,MATCHED!$T66,IF(MATCHED!AN66=20,MATCHED!$U66,IF(MATCHED!AN66=21,MATCHED!$V66,)))))))&amp;IF(MATCHED!AN66=22,MATCHED!$W66,IF(MATCHED!AN66=23,MATCHED!$X66,IF(MATCHED!AN66=24,MATCHED!$Y66,IF(MATCHED!AN66=25,MATCHED!$Z66,IF(MATCHED!AN66=26,MATCHED!$AA66,IF(MATCHED!AN66=27,MATCHED!$AB66,"."))))))</f>
        <v>#N/A</v>
      </c>
      <c r="M66" s="384" t="e">
        <f>IF(MATCHED!AO66=1,MATCHED!$B66,IF(MATCHED!AO66=2,MATCHED!$C66,IF(MATCHED!AO66=3,MATCHED!$D66,IF(MATCHED!AO66=4,MATCHED!$E66,IF(MATCHED!AO66=3,MATCHED!$F66,IF(MATCHED!AO66=6,MATCHED!$G66,IF(MATCHED!AO66=7,MATCHED!$H66,"")))))))&amp;IF(MATCHED!AO66=8,MATCHED!$I66,IF(MATCHED!AO66=9,MATCHED!$J66,IF(MATCHED!AO66=10,MATCHED!$K66,IF(MATCHED!AO66=11,MATCHED!$L66,IF(MATCHED!AO66=12,MATCHED!$M66,IF(MATCHED!AO66=13,MATCHED!$N66,IF(MATCHED!AO66=14,MATCHED!$O66,"")))))))&amp;IF(MATCHED!AO66=15,MATCHED!$P66,IF(MATCHED!AO66=16,MATCHED!$Q66,IF(MATCHED!AO66=17,MATCHED!$R66,IF(MATCHED!AO66=18,MATCHED!$S66,IF(MATCHED!AO66=19,MATCHED!$T66,IF(MATCHED!AO66=20,MATCHED!$U66,IF(MATCHED!AO66=21,MATCHED!$V66,)))))))&amp;IF(MATCHED!AO66=22,MATCHED!$W66,IF(MATCHED!AO66=23,MATCHED!$X66,IF(MATCHED!AO66=24,MATCHED!$Y66,IF(MATCHED!AO66=25,MATCHED!$Z66,IF(MATCHED!AO66=26,MATCHED!$AA66,IF(MATCHED!AO66=27,MATCHED!$AB66,"."))))))</f>
        <v>#N/A</v>
      </c>
      <c r="N66" s="384" t="e">
        <f>IF(MATCHED!AP66=1,MATCHED!$B66,IF(MATCHED!AP66=2,MATCHED!$C66,IF(MATCHED!AP66=3,MATCHED!$D66,IF(MATCHED!AP66=4,MATCHED!$E66,IF(MATCHED!AP66=3,MATCHED!$F66,IF(MATCHED!AP66=6,MATCHED!$G66,IF(MATCHED!AP66=7,MATCHED!$H66,"")))))))&amp;IF(MATCHED!AP66=8,MATCHED!$I66,IF(MATCHED!AP66=9,MATCHED!$J66,IF(MATCHED!AP66=10,MATCHED!$K66,IF(MATCHED!AP66=11,MATCHED!$L66,IF(MATCHED!AP66=12,MATCHED!$M66,IF(MATCHED!AP66=13,MATCHED!$N66,IF(MATCHED!AP66=14,MATCHED!$O66,"")))))))&amp;IF(MATCHED!AP66=15,MATCHED!$P66,IF(MATCHED!AP66=16,MATCHED!$Q66,IF(MATCHED!AP66=17,MATCHED!$R66,IF(MATCHED!AP66=18,MATCHED!$S66,IF(MATCHED!AP66=19,MATCHED!$T66,IF(MATCHED!AP66=20,MATCHED!$U66,IF(MATCHED!AP66=21,MATCHED!$V66,)))))))&amp;IF(MATCHED!AP66=22,MATCHED!$W66,IF(MATCHED!AP66=23,MATCHED!$X66,IF(MATCHED!AP66=24,MATCHED!$Y66,IF(MATCHED!AP66=25,MATCHED!$Z66,IF(MATCHED!AP66=26,MATCHED!$AA66,IF(MATCHED!AP66=27,MATCHED!$AB66,"."))))))</f>
        <v>#N/A</v>
      </c>
      <c r="O66" s="384" t="e">
        <f>IF(MATCHED!AQ66=1,MATCHED!$B66,IF(MATCHED!AQ66=2,MATCHED!$C66,IF(MATCHED!AQ66=3,MATCHED!$D66,IF(MATCHED!AQ66=4,MATCHED!$E66,IF(MATCHED!AQ66=3,MATCHED!$F66,IF(MATCHED!AQ66=6,MATCHED!$G66,IF(MATCHED!AQ66=7,MATCHED!$H66,"")))))))&amp;IF(MATCHED!AQ66=8,MATCHED!$I66,IF(MATCHED!AQ66=9,MATCHED!$J66,IF(MATCHED!AQ66=10,MATCHED!$K66,IF(MATCHED!AQ66=11,MATCHED!$L66,IF(MATCHED!AQ66=12,MATCHED!$M66,IF(MATCHED!AQ66=13,MATCHED!$N66,IF(MATCHED!AQ66=14,MATCHED!$O66,"")))))))&amp;IF(MATCHED!AQ66=15,MATCHED!$P66,IF(MATCHED!AQ66=16,MATCHED!$Q66,IF(MATCHED!AQ66=17,MATCHED!$R66,IF(MATCHED!AQ66=18,MATCHED!$S66,IF(MATCHED!AQ66=19,MATCHED!$T66,IF(MATCHED!AQ66=20,MATCHED!$U66,IF(MATCHED!AQ66=21,MATCHED!$V66,)))))))&amp;IF(MATCHED!AQ66=22,MATCHED!$W66,IF(MATCHED!AQ66=23,MATCHED!$X66,IF(MATCHED!AQ66=24,MATCHED!$Y66,IF(MATCHED!AQ66=25,MATCHED!$Z66,IF(MATCHED!AQ66=26,MATCHED!$AA66,IF(MATCHED!AQ66=27,MATCHED!$AB66,"."))))))</f>
        <v>#N/A</v>
      </c>
      <c r="P66" s="384" t="e">
        <f>IF(MATCHED!AR66=1,MATCHED!$B66,IF(MATCHED!AR66=2,MATCHED!$C66,IF(MATCHED!AR66=3,MATCHED!$D66,IF(MATCHED!AR66=4,MATCHED!$E66,IF(MATCHED!AR66=3,MATCHED!$F66,IF(MATCHED!AR66=6,MATCHED!$G66,IF(MATCHED!AR66=7,MATCHED!$H66,"")))))))&amp;IF(MATCHED!AR66=8,MATCHED!$I66,IF(MATCHED!AR66=9,MATCHED!$J66,IF(MATCHED!AR66=10,MATCHED!$K66,IF(MATCHED!AR66=11,MATCHED!$L66,IF(MATCHED!AR66=12,MATCHED!$M66,IF(MATCHED!AR66=13,MATCHED!$N66,IF(MATCHED!AR66=14,MATCHED!$O66,"")))))))&amp;IF(MATCHED!AR66=15,MATCHED!$P66,IF(MATCHED!AR66=16,MATCHED!$Q66,IF(MATCHED!AR66=17,MATCHED!$R66,IF(MATCHED!AR66=18,MATCHED!$S66,IF(MATCHED!AR66=19,MATCHED!$T66,IF(MATCHED!AR66=20,MATCHED!$U66,IF(MATCHED!AR66=21,MATCHED!$V66,)))))))&amp;IF(MATCHED!AR66=22,MATCHED!$W66,IF(MATCHED!AR66=23,MATCHED!$X66,IF(MATCHED!AR66=24,MATCHED!$Y66,IF(MATCHED!AR66=25,MATCHED!$Z66,IF(MATCHED!AR66=26,MATCHED!$AA66,IF(MATCHED!AR66=27,MATCHED!$AB66,"."))))))</f>
        <v>#N/A</v>
      </c>
      <c r="Q66" s="384" t="e">
        <f>IF(MATCHED!AS66=1,MATCHED!$B66,IF(MATCHED!AS66=2,MATCHED!$C66,IF(MATCHED!AS66=3,MATCHED!$D66,IF(MATCHED!AS66=4,MATCHED!$E66,IF(MATCHED!AS66=3,MATCHED!$F66,IF(MATCHED!AS66=6,MATCHED!$G66,IF(MATCHED!AS66=7,MATCHED!$H66,"")))))))&amp;IF(MATCHED!AS66=8,MATCHED!$I66,IF(MATCHED!AS66=9,MATCHED!$J66,IF(MATCHED!AS66=10,MATCHED!$K66,IF(MATCHED!AS66=11,MATCHED!$L66,IF(MATCHED!AS66=12,MATCHED!$M66,IF(MATCHED!AS66=13,MATCHED!$N66,IF(MATCHED!AS66=14,MATCHED!$O66,"")))))))&amp;IF(MATCHED!AS66=15,MATCHED!$P66,IF(MATCHED!AS66=16,MATCHED!$Q66,IF(MATCHED!AS66=17,MATCHED!$R66,IF(MATCHED!AS66=18,MATCHED!$S66,IF(MATCHED!AS66=19,MATCHED!$T66,IF(MATCHED!AS66=20,MATCHED!$U66,IF(MATCHED!AS66=21,MATCHED!$V66,)))))))&amp;IF(MATCHED!AS66=22,MATCHED!$W66,IF(MATCHED!AS66=23,MATCHED!$X66,IF(MATCHED!AS66=24,MATCHED!$Y66,IF(MATCHED!AS66=25,MATCHED!$Z66,IF(MATCHED!AS66=26,MATCHED!$AA66,IF(MATCHED!AS66=27,MATCHED!$AB66,"."))))))</f>
        <v>#N/A</v>
      </c>
      <c r="R66" s="384" t="e">
        <f>IF(MATCHED!AT66=1,MATCHED!$B66,IF(MATCHED!AT66=2,MATCHED!$C66,IF(MATCHED!AT66=3,MATCHED!$D66,IF(MATCHED!AT66=4,MATCHED!$E66,IF(MATCHED!AT66=3,MATCHED!$F66,IF(MATCHED!AT66=6,MATCHED!$G66,IF(MATCHED!AT66=7,MATCHED!$H66,"")))))))&amp;IF(MATCHED!AT66=8,MATCHED!$I66,IF(MATCHED!AT66=9,MATCHED!$J66,IF(MATCHED!AT66=10,MATCHED!$K66,IF(MATCHED!AT66=11,MATCHED!$L66,IF(MATCHED!AT66=12,MATCHED!$M66,IF(MATCHED!AT66=13,MATCHED!$N66,IF(MATCHED!AT66=14,MATCHED!$O66,"")))))))&amp;IF(MATCHED!AT66=15,MATCHED!$P66,IF(MATCHED!AT66=16,MATCHED!$Q66,IF(MATCHED!AT66=17,MATCHED!$R66,IF(MATCHED!AT66=18,MATCHED!$S66,IF(MATCHED!AT66=19,MATCHED!$T66,IF(MATCHED!AT66=20,MATCHED!$U66,IF(MATCHED!AT66=21,MATCHED!$V66,)))))))&amp;IF(MATCHED!AT66=22,MATCHED!$W66,IF(MATCHED!AT66=23,MATCHED!$X66,IF(MATCHED!AT66=24,MATCHED!$Y66,IF(MATCHED!AT66=25,MATCHED!$Z66,IF(MATCHED!AT66=26,MATCHED!$AA66,IF(MATCHED!AT66=27,MATCHED!$AB66,"."))))))</f>
        <v>#N/A</v>
      </c>
      <c r="S66" s="384" t="e">
        <f>IF(MATCHED!AU66=1,MATCHED!$B66,IF(MATCHED!AU66=2,MATCHED!$C66,IF(MATCHED!AU66=3,MATCHED!$D66,IF(MATCHED!AU66=4,MATCHED!$E66,IF(MATCHED!AU66=3,MATCHED!$F66,IF(MATCHED!AU66=6,MATCHED!$G66,IF(MATCHED!AU66=7,MATCHED!$H66,"")))))))&amp;IF(MATCHED!AU66=8,MATCHED!$I66,IF(MATCHED!AU66=9,MATCHED!$J66,IF(MATCHED!AU66=10,MATCHED!$K66,IF(MATCHED!AU66=11,MATCHED!$L66,IF(MATCHED!AU66=12,MATCHED!$M66,IF(MATCHED!AU66=13,MATCHED!$N66,IF(MATCHED!AU66=14,MATCHED!$O66,"")))))))&amp;IF(MATCHED!AU66=15,MATCHED!$P66,IF(MATCHED!AU66=16,MATCHED!$Q66,IF(MATCHED!AU66=17,MATCHED!$R66,IF(MATCHED!AU66=18,MATCHED!$S66,IF(MATCHED!AU66=19,MATCHED!$T66,IF(MATCHED!AU66=20,MATCHED!$U66,IF(MATCHED!AU66=21,MATCHED!$V66,)))))))&amp;IF(MATCHED!AU66=22,MATCHED!$W66,IF(MATCHED!AU66=23,MATCHED!$X66,IF(MATCHED!AU66=24,MATCHED!$Y66,IF(MATCHED!AU66=25,MATCHED!$Z66,IF(MATCHED!AU66=26,MATCHED!$AA66,IF(MATCHED!AU66=27,MATCHED!$AB66,"."))))))</f>
        <v>#N/A</v>
      </c>
      <c r="T66" s="384" t="e">
        <f>IF(MATCHED!AV66=1,MATCHED!$B66,IF(MATCHED!AV66=2,MATCHED!$C66,IF(MATCHED!AV66=3,MATCHED!$D66,IF(MATCHED!AV66=4,MATCHED!$E66,IF(MATCHED!AV66=3,MATCHED!$F66,IF(MATCHED!AV66=6,MATCHED!$G66,IF(MATCHED!AV66=7,MATCHED!$H66,"")))))))&amp;IF(MATCHED!AV66=8,MATCHED!$I66,IF(MATCHED!AV66=9,MATCHED!$J66,IF(MATCHED!AV66=10,MATCHED!$K66,IF(MATCHED!AV66=11,MATCHED!$L66,IF(MATCHED!AV66=12,MATCHED!$M66,IF(MATCHED!AV66=13,MATCHED!$N66,IF(MATCHED!AV66=14,MATCHED!$O66,"")))))))&amp;IF(MATCHED!AV66=15,MATCHED!$P66,IF(MATCHED!AV66=16,MATCHED!$Q66,IF(MATCHED!AV66=17,MATCHED!$R66,IF(MATCHED!AV66=18,MATCHED!$S66,IF(MATCHED!AV66=19,MATCHED!$T66,IF(MATCHED!AV66=20,MATCHED!$U66,IF(MATCHED!AV66=21,MATCHED!$V66,)))))))&amp;IF(MATCHED!AV66=22,MATCHED!$W66,IF(MATCHED!AV66=23,MATCHED!$X66,IF(MATCHED!AV66=24,MATCHED!$Y66,IF(MATCHED!AV66=25,MATCHED!$Z66,IF(MATCHED!AV66=26,MATCHED!$AA66,IF(MATCHED!AV66=27,MATCHED!$AB66,"."))))))</f>
        <v>#N/A</v>
      </c>
      <c r="U66" s="384" t="e">
        <f>IF(MATCHED!AW66=1,MATCHED!$B66,IF(MATCHED!AW66=2,MATCHED!$C66,IF(MATCHED!AW66=3,MATCHED!$D66,IF(MATCHED!AW66=4,MATCHED!$E66,IF(MATCHED!AW66=3,MATCHED!$F66,IF(MATCHED!AW66=6,MATCHED!$G66,IF(MATCHED!AW66=7,MATCHED!$H66,"")))))))&amp;IF(MATCHED!AW66=8,MATCHED!$I66,IF(MATCHED!AW66=9,MATCHED!$J66,IF(MATCHED!AW66=10,MATCHED!$K66,IF(MATCHED!AW66=11,MATCHED!$L66,IF(MATCHED!AW66=12,MATCHED!$M66,IF(MATCHED!AW66=13,MATCHED!$N66,IF(MATCHED!AW66=14,MATCHED!$O66,"")))))))&amp;IF(MATCHED!AW66=15,MATCHED!$P66,IF(MATCHED!AW66=16,MATCHED!$Q66,IF(MATCHED!AW66=17,MATCHED!$R66,IF(MATCHED!AW66=18,MATCHED!$S66,IF(MATCHED!AW66=19,MATCHED!$T66,IF(MATCHED!AW66=20,MATCHED!$U66,IF(MATCHED!AW66=21,MATCHED!$V66,)))))))&amp;IF(MATCHED!AW66=22,MATCHED!$W66,IF(MATCHED!AW66=23,MATCHED!$X66,IF(MATCHED!AW66=24,MATCHED!$Y66,IF(MATCHED!AW66=25,MATCHED!$Z66,IF(MATCHED!AW66=26,MATCHED!$AA66,IF(MATCHED!AW66=27,MATCHED!$AB66,"."))))))</f>
        <v>#N/A</v>
      </c>
      <c r="V66" s="384" t="e">
        <f>IF(MATCHED!AX66=1,MATCHED!$B66,IF(MATCHED!AX66=2,MATCHED!$C66,IF(MATCHED!AX66=3,MATCHED!$D66,IF(MATCHED!AX66=4,MATCHED!$E66,IF(MATCHED!AX66=3,MATCHED!$F66,IF(MATCHED!AX66=6,MATCHED!$G66,IF(MATCHED!AX66=7,MATCHED!$H66,"")))))))&amp;IF(MATCHED!AX66=8,MATCHED!$I66,IF(MATCHED!AX66=9,MATCHED!$J66,IF(MATCHED!AX66=10,MATCHED!$K66,IF(MATCHED!AX66=11,MATCHED!$L66,IF(MATCHED!AX66=12,MATCHED!$M66,IF(MATCHED!AX66=13,MATCHED!$N66,IF(MATCHED!AX66=14,MATCHED!$O66,"")))))))&amp;IF(MATCHED!AX66=15,MATCHED!$P66,IF(MATCHED!AX66=16,MATCHED!$Q66,IF(MATCHED!AX66=17,MATCHED!$R66,IF(MATCHED!AX66=18,MATCHED!$S66,IF(MATCHED!AX66=19,MATCHED!$T66,IF(MATCHED!AX66=20,MATCHED!$U66,IF(MATCHED!AX66=21,MATCHED!$V66,)))))))&amp;IF(MATCHED!AX66=22,MATCHED!$W66,IF(MATCHED!AX66=23,MATCHED!$X66,IF(MATCHED!AX66=24,MATCHED!$Y66,IF(MATCHED!AX66=25,MATCHED!$Z66,IF(MATCHED!AX66=26,MATCHED!$AA66,IF(MATCHED!AX66=27,MATCHED!$AB66,"."))))))</f>
        <v>#N/A</v>
      </c>
      <c r="W66" s="384" t="e">
        <f>IF(MATCHED!AY66=1,MATCHED!$B66,IF(MATCHED!AY66=2,MATCHED!$C66,IF(MATCHED!AY66=3,MATCHED!$D66,IF(MATCHED!AY66=4,MATCHED!$E66,IF(MATCHED!AY66=3,MATCHED!$F66,IF(MATCHED!AY66=6,MATCHED!$G66,IF(MATCHED!AY66=7,MATCHED!$H66,"")))))))&amp;IF(MATCHED!AY66=8,MATCHED!$I66,IF(MATCHED!AY66=9,MATCHED!$J66,IF(MATCHED!AY66=10,MATCHED!$K66,IF(MATCHED!AY66=11,MATCHED!$L66,IF(MATCHED!AY66=12,MATCHED!$M66,IF(MATCHED!AY66=13,MATCHED!$N66,IF(MATCHED!AY66=14,MATCHED!$O66,"")))))))&amp;IF(MATCHED!AY66=15,MATCHED!$P66,IF(MATCHED!AY66=16,MATCHED!$Q66,IF(MATCHED!AY66=17,MATCHED!$R66,IF(MATCHED!AY66=18,MATCHED!$S66,IF(MATCHED!AY66=19,MATCHED!$T66,IF(MATCHED!AY66=20,MATCHED!$U66,IF(MATCHED!AY66=21,MATCHED!$V66,)))))))&amp;IF(MATCHED!AY66=22,MATCHED!$W66,IF(MATCHED!AY66=23,MATCHED!$X66,IF(MATCHED!AY66=24,MATCHED!$Y66,IF(MATCHED!AY66=25,MATCHED!$Z66,IF(MATCHED!AY66=26,MATCHED!$AA66,IF(MATCHED!AY66=27,MATCHED!$AB66,"."))))))</f>
        <v>#N/A</v>
      </c>
      <c r="X66" s="384" t="e">
        <f>IF(MATCHED!AZ66=1,MATCHED!$B66,IF(MATCHED!AZ66=2,MATCHED!$C66,IF(MATCHED!AZ66=3,MATCHED!$D66,IF(MATCHED!AZ66=4,MATCHED!$E66,IF(MATCHED!AZ66=3,MATCHED!$F66,IF(MATCHED!AZ66=6,MATCHED!$G66,IF(MATCHED!AZ66=7,MATCHED!$H66,"")))))))&amp;IF(MATCHED!AZ66=8,MATCHED!$I66,IF(MATCHED!AZ66=9,MATCHED!$J66,IF(MATCHED!AZ66=10,MATCHED!$K66,IF(MATCHED!AZ66=11,MATCHED!$L66,IF(MATCHED!AZ66=12,MATCHED!$M66,IF(MATCHED!AZ66=13,MATCHED!$N66,IF(MATCHED!AZ66=14,MATCHED!$O66,"")))))))&amp;IF(MATCHED!AZ66=15,MATCHED!$P66,IF(MATCHED!AZ66=16,MATCHED!$Q66,IF(MATCHED!AZ66=17,MATCHED!$R66,IF(MATCHED!AZ66=18,MATCHED!$S66,IF(MATCHED!AZ66=19,MATCHED!$T66,IF(MATCHED!AZ66=20,MATCHED!$U66,IF(MATCHED!AZ66=21,MATCHED!$V66,)))))))&amp;IF(MATCHED!AZ66=22,MATCHED!$W66,IF(MATCHED!AZ66=23,MATCHED!$X66,IF(MATCHED!AZ66=24,MATCHED!$Y66,IF(MATCHED!AZ66=25,MATCHED!$Z66,IF(MATCHED!AZ66=26,MATCHED!$AA66,IF(MATCHED!AZ66=27,MATCHED!$AB66,"."))))))</f>
        <v>#N/A</v>
      </c>
      <c r="Y66" s="384" t="e">
        <f>IF(MATCHED!BA66=1,MATCHED!$B66,IF(MATCHED!BA66=2,MATCHED!$C66,IF(MATCHED!BA66=3,MATCHED!$D66,IF(MATCHED!BA66=4,MATCHED!$E66,IF(MATCHED!BA66=3,MATCHED!$F66,IF(MATCHED!BA66=6,MATCHED!$G66,IF(MATCHED!BA66=7,MATCHED!$H66,"")))))))&amp;IF(MATCHED!BA66=8,MATCHED!$I66,IF(MATCHED!BA66=9,MATCHED!$J66,IF(MATCHED!BA66=10,MATCHED!$K66,IF(MATCHED!BA66=11,MATCHED!$L66,IF(MATCHED!BA66=12,MATCHED!$M66,IF(MATCHED!BA66=13,MATCHED!$N66,IF(MATCHED!BA66=14,MATCHED!$O66,"")))))))&amp;IF(MATCHED!BA66=15,MATCHED!$P66,IF(MATCHED!BA66=16,MATCHED!$Q66,IF(MATCHED!BA66=17,MATCHED!$R66,IF(MATCHED!BA66=18,MATCHED!$S66,IF(MATCHED!BA66=19,MATCHED!$T66,IF(MATCHED!BA66=20,MATCHED!$U66,IF(MATCHED!BA66=21,MATCHED!$V66,)))))))&amp;IF(MATCHED!BA66=22,MATCHED!$W66,IF(MATCHED!BA66=23,MATCHED!$X66,IF(MATCHED!BA66=24,MATCHED!$Y66,IF(MATCHED!BA66=25,MATCHED!$Z66,IF(MATCHED!BA66=26,MATCHED!$AA66,IF(MATCHED!BA66=27,MATCHED!$AB66,"."))))))</f>
        <v>#N/A</v>
      </c>
      <c r="Z66" s="384" t="e">
        <f>IF(MATCHED!BB66=1,MATCHED!$B66,IF(MATCHED!BB66=2,MATCHED!$C66,IF(MATCHED!BB66=3,MATCHED!$D66,IF(MATCHED!BB66=4,MATCHED!$E66,IF(MATCHED!BB66=3,MATCHED!$F66,IF(MATCHED!BB66=6,MATCHED!$G66,IF(MATCHED!BB66=7,MATCHED!$H66,"")))))))&amp;IF(MATCHED!BB66=8,MATCHED!$I66,IF(MATCHED!BB66=9,MATCHED!$J66,IF(MATCHED!BB66=10,MATCHED!$K66,IF(MATCHED!BB66=11,MATCHED!$L66,IF(MATCHED!BB66=12,MATCHED!$M66,IF(MATCHED!BB66=13,MATCHED!$N66,IF(MATCHED!BB66=14,MATCHED!$O66,"")))))))&amp;IF(MATCHED!BB66=15,MATCHED!$P66,IF(MATCHED!BB66=16,MATCHED!$Q66,IF(MATCHED!BB66=17,MATCHED!$R66,IF(MATCHED!BB66=18,MATCHED!$S66,IF(MATCHED!BB66=19,MATCHED!$T66,IF(MATCHED!BB66=20,MATCHED!$U66,IF(MATCHED!BB66=21,MATCHED!$V66,)))))))&amp;IF(MATCHED!BB66=22,MATCHED!$W66,IF(MATCHED!BB66=23,MATCHED!$X66,IF(MATCHED!BB66=24,MATCHED!$Y66,IF(MATCHED!BB66=25,MATCHED!$Z66,IF(MATCHED!BB66=26,MATCHED!$AA66,IF(MATCHED!BB66=27,MATCHED!$AB66,"."))))))</f>
        <v>#N/A</v>
      </c>
      <c r="AA66" s="384" t="e">
        <f>IF(MATCHED!BC66=1,MATCHED!$B66,IF(MATCHED!BC66=2,MATCHED!$C66,IF(MATCHED!BC66=3,MATCHED!$D66,IF(MATCHED!BC66=4,MATCHED!$E66,IF(MATCHED!BC66=3,MATCHED!$F66,IF(MATCHED!BC66=6,MATCHED!$G66,IF(MATCHED!BC66=7,MATCHED!$H66,"")))))))&amp;IF(MATCHED!BC66=8,MATCHED!$I66,IF(MATCHED!BC66=9,MATCHED!$J66,IF(MATCHED!BC66=10,MATCHED!$K66,IF(MATCHED!BC66=11,MATCHED!$L66,IF(MATCHED!BC66=12,MATCHED!$M66,IF(MATCHED!BC66=13,MATCHED!$N66,IF(MATCHED!BC66=14,MATCHED!$O66,"")))))))&amp;IF(MATCHED!BC66=15,MATCHED!$P66,IF(MATCHED!BC66=16,MATCHED!$Q66,IF(MATCHED!BC66=17,MATCHED!$R66,IF(MATCHED!BC66=18,MATCHED!$S66,IF(MATCHED!BC66=19,MATCHED!$T66,IF(MATCHED!BC66=20,MATCHED!$U66,IF(MATCHED!BC66=21,MATCHED!$V66,)))))))&amp;IF(MATCHED!BC66=22,MATCHED!$W66,IF(MATCHED!BC66=23,MATCHED!$X66,IF(MATCHED!BC66=24,MATCHED!$Y66,IF(MATCHED!BC66=25,MATCHED!$Z66,IF(MATCHED!BC66=26,MATCHED!$AA66,IF(MATCHED!BC66=27,MATCHED!$AB66,"."))))))</f>
        <v>#N/A</v>
      </c>
      <c r="AB66" s="384" t="e">
        <f>IF(MATCHED!BD66=1,MATCHED!$B66,IF(MATCHED!BD66=2,MATCHED!$C66,IF(MATCHED!BD66=3,MATCHED!$D66,IF(MATCHED!BD66=4,MATCHED!$E66,IF(MATCHED!BD66=3,MATCHED!$F66,IF(MATCHED!BD66=6,MATCHED!$G66,IF(MATCHED!BD66=7,MATCHED!$H66,"")))))))&amp;IF(MATCHED!BD66=8,MATCHED!$I66,IF(MATCHED!BD66=9,MATCHED!$J66,IF(MATCHED!BD66=10,MATCHED!$K66,IF(MATCHED!BD66=11,MATCHED!$L66,IF(MATCHED!BD66=12,MATCHED!$M66,IF(MATCHED!BD66=13,MATCHED!$N66,IF(MATCHED!BD66=14,MATCHED!$O66,"")))))))&amp;IF(MATCHED!BD66=15,MATCHED!$P66,IF(MATCHED!BD66=16,MATCHED!$Q66,IF(MATCHED!BD66=17,MATCHED!$R66,IF(MATCHED!BD66=18,MATCHED!$S66,IF(MATCHED!BD66=19,MATCHED!$T66,IF(MATCHED!BD66=20,MATCHED!$U66,IF(MATCHED!BD66=21,MATCHED!$V66,)))))))&amp;IF(MATCHED!BD66=22,MATCHED!$W66,IF(MATCHED!BD66=23,MATCHED!$X66,IF(MATCHED!BD66=24,MATCHED!$Y66,IF(MATCHED!BD66=25,MATCHED!$Z66,IF(MATCHED!BD66=26,MATCHED!$AA66,IF(MATCHED!BD66=27,MATCHED!$AB66,"."))))))</f>
        <v>#N/A</v>
      </c>
      <c r="AC66" s="384" t="e">
        <f>IF(MATCHED!BE66=1,MATCHED!$B66,IF(MATCHED!BE66=2,MATCHED!$C66,IF(MATCHED!BE66=3,MATCHED!$D66,IF(MATCHED!BE66=4,MATCHED!$E66,IF(MATCHED!BE66=3,MATCHED!$F66,IF(MATCHED!BE66=6,MATCHED!$G66,IF(MATCHED!BE66=7,MATCHED!$H66,"")))))))&amp;IF(MATCHED!BE66=8,MATCHED!$I66,IF(MATCHED!BE66=9,MATCHED!$J66,IF(MATCHED!BE66=10,MATCHED!$K66,IF(MATCHED!BE66=11,MATCHED!$L66,IF(MATCHED!BE66=12,MATCHED!$M66,IF(MATCHED!BE66=13,MATCHED!$N66,IF(MATCHED!BE66=14,MATCHED!$O66,"")))))))&amp;IF(MATCHED!BE66=15,MATCHED!$P66,IF(MATCHED!BE66=16,MATCHED!$Q66,IF(MATCHED!BE66=17,MATCHED!$R66,IF(MATCHED!BE66=18,MATCHED!$S66,IF(MATCHED!BE66=19,MATCHED!$T66,IF(MATCHED!BE66=20,MATCHED!$U66,IF(MATCHED!BE66=21,MATCHED!$V66,)))))))&amp;IF(MATCHED!BE66=22,MATCHED!$W66,IF(MATCHED!BE66=23,MATCHED!$X66,IF(MATCHED!BE66=24,MATCHED!$Y66,IF(MATCHED!BE66=25,MATCHED!$Z66,IF(MATCHED!BE66=26,MATCHED!$AA66,IF(MATCHED!BE66=27,MATCHED!$AB66,"."))))))</f>
        <v>#N/A</v>
      </c>
      <c r="AD66" s="384" t="e">
        <f>IF(MATCHED!BF66=1,MATCHED!$B66,IF(MATCHED!BF66=2,MATCHED!$C66,IF(MATCHED!BF66=3,MATCHED!$D66,IF(MATCHED!BF66=4,MATCHED!$E66,IF(MATCHED!BF66=3,MATCHED!$F66,IF(MATCHED!BF66=6,MATCHED!$G66,IF(MATCHED!BF66=7,MATCHED!$H66,"")))))))&amp;IF(MATCHED!BF66=8,MATCHED!$I66,IF(MATCHED!BF66=9,MATCHED!$J66,IF(MATCHED!BF66=10,MATCHED!$K66,IF(MATCHED!BF66=11,MATCHED!$L66,IF(MATCHED!BF66=12,MATCHED!$M66,IF(MATCHED!BF66=13,MATCHED!$N66,IF(MATCHED!BF66=14,MATCHED!$O66,"")))))))&amp;IF(MATCHED!BF66=15,MATCHED!$P66,IF(MATCHED!BF66=16,MATCHED!$Q66,IF(MATCHED!BF66=17,MATCHED!$R66,IF(MATCHED!BF66=18,MATCHED!$S66,IF(MATCHED!BF66=19,MATCHED!$T66,IF(MATCHED!BF66=20,MATCHED!$U66,IF(MATCHED!BF66=21,MATCHED!$V66,)))))))&amp;IF(MATCHED!BF66=22,MATCHED!$W66,IF(MATCHED!BF66=23,MATCHED!$X66,IF(MATCHED!BF66=24,MATCHED!$Y66,IF(MATCHED!BF66=25,MATCHED!$Z66,IF(MATCHED!BF66=26,MATCHED!$AA66,IF(MATCHED!BF66=27,MATCHED!$AB66,"."))))))</f>
        <v>#N/A</v>
      </c>
      <c r="AE66" s="384" t="e">
        <f>IF(MATCHED!BG66=1,MATCHED!$B66,IF(MATCHED!BG66=2,MATCHED!$C66,IF(MATCHED!BG66=3,MATCHED!$D66,IF(MATCHED!BG66=4,MATCHED!$E66,IF(MATCHED!BG66=3,MATCHED!$F66,IF(MATCHED!BG66=6,MATCHED!$G66,IF(MATCHED!BG66=7,MATCHED!$H66,"")))))))&amp;IF(MATCHED!BG66=8,MATCHED!$I66,IF(MATCHED!BG66=9,MATCHED!$J66,IF(MATCHED!BG66=10,MATCHED!$K66,IF(MATCHED!BG66=11,MATCHED!$L66,IF(MATCHED!BG66=12,MATCHED!$M66,IF(MATCHED!BG66=13,MATCHED!$N66,IF(MATCHED!BG66=14,MATCHED!$O66,"")))))))&amp;IF(MATCHED!BG66=15,MATCHED!$P66,IF(MATCHED!BG66=16,MATCHED!$Q66,IF(MATCHED!BG66=17,MATCHED!$R66,IF(MATCHED!BG66=18,MATCHED!$S66,IF(MATCHED!BG66=19,MATCHED!$T66,IF(MATCHED!BG66=20,MATCHED!$U66,IF(MATCHED!BG66=21,MATCHED!$V66,)))))))&amp;IF(MATCHED!BG66=22,MATCHED!$W66,IF(MATCHED!BG66=23,MATCHED!$X66,IF(MATCHED!BG66=24,MATCHED!$Y66,IF(MATCHED!BG66=25,MATCHED!$Z66,IF(MATCHED!BG66=26,MATCHED!$AA66,IF(MATCHED!BG66=27,MATCHED!$AB66,"."))))))</f>
        <v>#N/A</v>
      </c>
      <c r="AF66" s="384" t="e">
        <f>IF(MATCHED!BH66=1,MATCHED!$B66,IF(MATCHED!BH66=2,MATCHED!$C66,IF(MATCHED!BH66=3,MATCHED!$D66,IF(MATCHED!BH66=4,MATCHED!$E66,IF(MATCHED!BH66=3,MATCHED!$F66,IF(MATCHED!BH66=6,MATCHED!$G66,IF(MATCHED!BH66=7,MATCHED!$H66,"")))))))&amp;IF(MATCHED!BH66=8,MATCHED!$I66,IF(MATCHED!BH66=9,MATCHED!$J66,IF(MATCHED!BH66=10,MATCHED!$K66,IF(MATCHED!BH66=11,MATCHED!$L66,IF(MATCHED!BH66=12,MATCHED!$M66,IF(MATCHED!BH66=13,MATCHED!$N66,IF(MATCHED!BH66=14,MATCHED!$O66,"")))))))&amp;IF(MATCHED!BH66=15,MATCHED!$P66,IF(MATCHED!BH66=16,MATCHED!$Q66,IF(MATCHED!BH66=17,MATCHED!$R66,IF(MATCHED!BH66=18,MATCHED!$S66,IF(MATCHED!BH66=19,MATCHED!$T66,IF(MATCHED!BH66=20,MATCHED!$U66,IF(MATCHED!BH66=21,MATCHED!$V66,)))))))&amp;IF(MATCHED!BH66=22,MATCHED!$W66,IF(MATCHED!BH66=23,MATCHED!$X66,IF(MATCHED!BH66=24,MATCHED!$Y66,IF(MATCHED!BH66=25,MATCHED!$Z66,IF(MATCHED!BH66=26,MATCHED!$AA66,IF(MATCHED!BH66=27,MATCHED!$AB66,"."))))))</f>
        <v>#N/A</v>
      </c>
      <c r="AG66" s="384" t="e">
        <f>IF(MATCHED!BI66=1,MATCHED!$B66,IF(MATCHED!BI66=2,MATCHED!$C66,IF(MATCHED!BI66=3,MATCHED!$D66,IF(MATCHED!BI66=4,MATCHED!$E66,IF(MATCHED!BI66=3,MATCHED!$F66,IF(MATCHED!BI66=6,MATCHED!$G66,IF(MATCHED!BI66=7,MATCHED!$H66,"")))))))&amp;IF(MATCHED!BI66=8,MATCHED!$I66,IF(MATCHED!BI66=9,MATCHED!$J66,IF(MATCHED!BI66=10,MATCHED!$K66,IF(MATCHED!BI66=11,MATCHED!$L66,IF(MATCHED!BI66=12,MATCHED!$M66,IF(MATCHED!BI66=13,MATCHED!$N66,IF(MATCHED!BI66=14,MATCHED!$O66,"")))))))&amp;IF(MATCHED!BI66=15,MATCHED!$P66,IF(MATCHED!BI66=16,MATCHED!$Q66,IF(MATCHED!BI66=17,MATCHED!$R66,IF(MATCHED!BI66=18,MATCHED!$S66,IF(MATCHED!BI66=19,MATCHED!$T66,IF(MATCHED!BI66=20,MATCHED!$U66,IF(MATCHED!BI66=21,MATCHED!$V66,)))))))&amp;IF(MATCHED!BI66=22,MATCHED!$W66,IF(MATCHED!BI66=23,MATCHED!$X66,IF(MATCHED!BI66=24,MATCHED!$Y66,IF(MATCHED!BI66=25,MATCHED!$Z66,IF(MATCHED!BI66=26,MATCHED!$AA66,IF(MATCHED!BI66=27,MATCHED!$AB66,"."))))))</f>
        <v>#N/A</v>
      </c>
      <c r="AH66" s="384" t="e">
        <f>IF(MATCHED!BJ66=1,MATCHED!$B66,IF(MATCHED!BJ66=2,MATCHED!$C66,IF(MATCHED!BJ66=3,MATCHED!$D66,IF(MATCHED!BJ66=4,MATCHED!$E66,IF(MATCHED!BJ66=3,MATCHED!$F66,IF(MATCHED!BJ66=6,MATCHED!$G66,IF(MATCHED!BJ66=7,MATCHED!$H66,"")))))))&amp;IF(MATCHED!BJ66=8,MATCHED!$I66,IF(MATCHED!BJ66=9,MATCHED!$J66,IF(MATCHED!BJ66=10,MATCHED!$K66,IF(MATCHED!BJ66=11,MATCHED!$L66,IF(MATCHED!BJ66=12,MATCHED!$M66,IF(MATCHED!BJ66=13,MATCHED!$N66,IF(MATCHED!BJ66=14,MATCHED!$O66,"")))))))&amp;IF(MATCHED!BJ66=15,MATCHED!$P66,IF(MATCHED!BJ66=16,MATCHED!$Q66,IF(MATCHED!BJ66=17,MATCHED!$R66,IF(MATCHED!BJ66=18,MATCHED!$S66,IF(MATCHED!BJ66=19,MATCHED!$T66,IF(MATCHED!BJ66=20,MATCHED!$U66,IF(MATCHED!BJ66=21,MATCHED!$V66,)))))))&amp;IF(MATCHED!BJ66=22,MATCHED!$W66,IF(MATCHED!BJ66=23,MATCHED!$X66,IF(MATCHED!BJ66=24,MATCHED!$Y66,IF(MATCHED!BJ66=25,MATCHED!$Z66,IF(MATCHED!BJ66=26,MATCHED!$AA66,IF(MATCHED!BJ66=27,MATCHED!$AB66,"."))))))</f>
        <v>#N/A</v>
      </c>
      <c r="AI66" s="384" t="e">
        <f>IF(MATCHED!BK66=1,MATCHED!$B66,IF(MATCHED!BK66=2,MATCHED!$C66,IF(MATCHED!BK66=3,MATCHED!$D66,IF(MATCHED!BK66=4,MATCHED!$E66,IF(MATCHED!BK66=3,MATCHED!$F66,IF(MATCHED!BK66=6,MATCHED!$G66,IF(MATCHED!BK66=7,MATCHED!$H66,"")))))))&amp;IF(MATCHED!BK66=8,MATCHED!$I66,IF(MATCHED!BK66=9,MATCHED!$J66,IF(MATCHED!BK66=10,MATCHED!$K66,IF(MATCHED!BK66=11,MATCHED!$L66,IF(MATCHED!BK66=12,MATCHED!$M66,IF(MATCHED!BK66=13,MATCHED!$N66,IF(MATCHED!BK66=14,MATCHED!$O66,"")))))))&amp;IF(MATCHED!BK66=15,MATCHED!$P66,IF(MATCHED!BK66=16,MATCHED!$Q66,IF(MATCHED!BK66=17,MATCHED!$R66,IF(MATCHED!BK66=18,MATCHED!$S66,IF(MATCHED!BK66=19,MATCHED!$T66,IF(MATCHED!BK66=20,MATCHED!$U66,IF(MATCHED!BK66=21,MATCHED!$V66,)))))))&amp;IF(MATCHED!BK66=22,MATCHED!$W66,IF(MATCHED!BK66=23,MATCHED!$X66,IF(MATCHED!BK66=24,MATCHED!$Y66,IF(MATCHED!BK66=25,MATCHED!$Z66,IF(MATCHED!BK66=26,MATCHED!$AA66,IF(MATCHED!BK66=27,MATCHED!$AB66,"."))))))</f>
        <v>#N/A</v>
      </c>
      <c r="AJ66" s="534"/>
    </row>
    <row r="67" spans="1:36" s="338" customFormat="1" x14ac:dyDescent="0.25">
      <c r="A67" s="535"/>
      <c r="B67" s="375" t="e">
        <f>IF(MATCHED!AD67=1,MATCHED!$B67,IF(MATCHED!AD67=2,MATCHED!$C67,IF(MATCHED!AD67=3,MATCHED!$D67,IF(MATCHED!AD67=4,MATCHED!$E67,IF(MATCHED!AD67=3,MATCHED!$F67,IF(MATCHED!AD67=6,MATCHED!$G67,IF(MATCHED!AD67=7,MATCHED!$H67,"")))))))&amp;IF(MATCHED!AD67=8,MATCHED!$I67,IF(MATCHED!AD67=9,MATCHED!$J67,IF(MATCHED!AD67=10,MATCHED!$K67,IF(MATCHED!AD67=11,MATCHED!$L67,IF(MATCHED!AD67=12,MATCHED!$M67,IF(MATCHED!AD67=13,MATCHED!$N67,IF(MATCHED!AD67=14,MATCHED!$O67,"")))))))&amp;IF(MATCHED!AD67=15,MATCHED!$P67,IF(MATCHED!AD67=16,MATCHED!$Q67,IF(MATCHED!AD67=17,MATCHED!$R67,IF(MATCHED!AD67=18,MATCHED!$S67,IF(MATCHED!AD67=19,MATCHED!$T67,IF(MATCHED!AD67=20,MATCHED!$U67,IF(MATCHED!AD67=21,MATCHED!$V67,)))))))&amp;IF(MATCHED!AD67=22,MATCHED!$W67,IF(MATCHED!AD67=23,MATCHED!$X67,IF(MATCHED!AD67=24,MATCHED!$Y67,IF(MATCHED!AD67=25,MATCHED!$Z67,IF(MATCHED!AD67=26,MATCHED!$AA67,IF(MATCHED!AD67=27,MATCHED!$AB67,"."))))))</f>
        <v>#N/A</v>
      </c>
      <c r="C67" s="376" t="e">
        <f>IF(MATCHED!AE67=1,MATCHED!$B67,IF(MATCHED!AE67=2,MATCHED!$C67,IF(MATCHED!AE67=3,MATCHED!$D67,IF(MATCHED!AE67=4,MATCHED!$E67,IF(MATCHED!AE67=3,MATCHED!$F67,IF(MATCHED!AE67=6,MATCHED!$G67,IF(MATCHED!AE67=7,MATCHED!$H67,"")))))))&amp;IF(MATCHED!AE67=8,MATCHED!$I67,IF(MATCHED!AE67=9,MATCHED!$J67,IF(MATCHED!AE67=10,MATCHED!$K67,IF(MATCHED!AE67=11,MATCHED!$L67,IF(MATCHED!AE67=12,MATCHED!$M67,IF(MATCHED!AE67=13,MATCHED!$N67,IF(MATCHED!AE67=14,MATCHED!$O67,"")))))))&amp;IF(MATCHED!AE67=15,MATCHED!$P67,IF(MATCHED!AE67=16,MATCHED!$Q67,IF(MATCHED!AE67=17,MATCHED!$R67,IF(MATCHED!AE67=18,MATCHED!$S67,IF(MATCHED!AE67=19,MATCHED!$T67,IF(MATCHED!AE67=20,MATCHED!$U67,IF(MATCHED!AE67=21,MATCHED!$V67,)))))))&amp;IF(MATCHED!AE67=22,MATCHED!$W67,IF(MATCHED!AE67=23,MATCHED!$X67,IF(MATCHED!AE67=24,MATCHED!$Y67,IF(MATCHED!AE67=25,MATCHED!$Z67,IF(MATCHED!AE67=26,MATCHED!$AA67,IF(MATCHED!AE67=27,MATCHED!$AB67,"."))))))</f>
        <v>#N/A</v>
      </c>
      <c r="D67" s="376" t="e">
        <f>IF(MATCHED!AF67=1,MATCHED!$B67,IF(MATCHED!AF67=2,MATCHED!$C67,IF(MATCHED!AF67=3,MATCHED!$D67,IF(MATCHED!AF67=4,MATCHED!$E67,IF(MATCHED!AF67=3,MATCHED!$F67,IF(MATCHED!AF67=6,MATCHED!$G67,IF(MATCHED!AF67=7,MATCHED!$H67,"")))))))&amp;IF(MATCHED!AF67=8,MATCHED!$I67,IF(MATCHED!AF67=9,MATCHED!$J67,IF(MATCHED!AF67=10,MATCHED!$K67,IF(MATCHED!AF67=11,MATCHED!$L67,IF(MATCHED!AF67=12,MATCHED!$M67,IF(MATCHED!AF67=13,MATCHED!$N67,IF(MATCHED!AF67=14,MATCHED!$O67,"")))))))&amp;IF(MATCHED!AF67=15,MATCHED!$P67,IF(MATCHED!AF67=16,MATCHED!$Q67,IF(MATCHED!AF67=17,MATCHED!$R67,IF(MATCHED!AF67=18,MATCHED!$S67,IF(MATCHED!AF67=19,MATCHED!$T67,IF(MATCHED!AF67=20,MATCHED!$U67,IF(MATCHED!AF67=21,MATCHED!$V67,)))))))&amp;IF(MATCHED!AF67=22,MATCHED!$W67,IF(MATCHED!AF67=23,MATCHED!$X67,IF(MATCHED!AF67=24,MATCHED!$Y67,IF(MATCHED!AF67=25,MATCHED!$Z67,IF(MATCHED!AF67=26,MATCHED!$AA67,IF(MATCHED!AF67=27,MATCHED!$AB67,"."))))))</f>
        <v>#N/A</v>
      </c>
      <c r="E67" s="376" t="e">
        <f>IF(MATCHED!AG67=1,MATCHED!$B67,IF(MATCHED!AG67=2,MATCHED!$C67,IF(MATCHED!AG67=3,MATCHED!$D67,IF(MATCHED!AG67=4,MATCHED!$E67,IF(MATCHED!AG67=3,MATCHED!$F67,IF(MATCHED!AG67=6,MATCHED!$G67,IF(MATCHED!AG67=7,MATCHED!$H67,"")))))))&amp;IF(MATCHED!AG67=8,MATCHED!$I67,IF(MATCHED!AG67=9,MATCHED!$J67,IF(MATCHED!AG67=10,MATCHED!$K67,IF(MATCHED!AG67=11,MATCHED!$L67,IF(MATCHED!AG67=12,MATCHED!$M67,IF(MATCHED!AG67=13,MATCHED!$N67,IF(MATCHED!AG67=14,MATCHED!$O67,"")))))))&amp;IF(MATCHED!AG67=15,MATCHED!$P67,IF(MATCHED!AG67=16,MATCHED!$Q67,IF(MATCHED!AG67=17,MATCHED!$R67,IF(MATCHED!AG67=18,MATCHED!$S67,IF(MATCHED!AG67=19,MATCHED!$T67,IF(MATCHED!AG67=20,MATCHED!$U67,IF(MATCHED!AG67=21,MATCHED!$V67,)))))))&amp;IF(MATCHED!AG67=22,MATCHED!$W67,IF(MATCHED!AG67=23,MATCHED!$X67,IF(MATCHED!AG67=24,MATCHED!$Y67,IF(MATCHED!AG67=25,MATCHED!$Z67,IF(MATCHED!AG67=26,MATCHED!$AA67,IF(MATCHED!AG67=27,MATCHED!$AB67,"."))))))</f>
        <v>#N/A</v>
      </c>
      <c r="F67" s="376" t="e">
        <f>IF(MATCHED!AH67=1,MATCHED!$B67,IF(MATCHED!AH67=2,MATCHED!$C67,IF(MATCHED!AH67=3,MATCHED!$D67,IF(MATCHED!AH67=4,MATCHED!$E67,IF(MATCHED!AH67=3,MATCHED!$F67,IF(MATCHED!AH67=6,MATCHED!$G67,IF(MATCHED!AH67=7,MATCHED!$H67,"")))))))&amp;IF(MATCHED!AH67=8,MATCHED!$I67,IF(MATCHED!AH67=9,MATCHED!$J67,IF(MATCHED!AH67=10,MATCHED!$K67,IF(MATCHED!AH67=11,MATCHED!$L67,IF(MATCHED!AH67=12,MATCHED!$M67,IF(MATCHED!AH67=13,MATCHED!$N67,IF(MATCHED!AH67=14,MATCHED!$O67,"")))))))&amp;IF(MATCHED!AH67=15,MATCHED!$P67,IF(MATCHED!AH67=16,MATCHED!$Q67,IF(MATCHED!AH67=17,MATCHED!$R67,IF(MATCHED!AH67=18,MATCHED!$S67,IF(MATCHED!AH67=19,MATCHED!$T67,IF(MATCHED!AH67=20,MATCHED!$U67,IF(MATCHED!AH67=21,MATCHED!$V67,)))))))&amp;IF(MATCHED!AH67=22,MATCHED!$W67,IF(MATCHED!AH67=23,MATCHED!$X67,IF(MATCHED!AH67=24,MATCHED!$Y67,IF(MATCHED!AH67=25,MATCHED!$Z67,IF(MATCHED!AH67=26,MATCHED!$AA67,IF(MATCHED!AH67=27,MATCHED!$AB67,"."))))))</f>
        <v>#N/A</v>
      </c>
      <c r="G67" s="376" t="e">
        <f>IF(MATCHED!AI67=1,MATCHED!$B67,IF(MATCHED!AI67=2,MATCHED!$C67,IF(MATCHED!AI67=3,MATCHED!$D67,IF(MATCHED!AI67=4,MATCHED!$E67,IF(MATCHED!AI67=3,MATCHED!$F67,IF(MATCHED!AI67=6,MATCHED!$G67,IF(MATCHED!AI67=7,MATCHED!$H67,"")))))))&amp;IF(MATCHED!AI67=8,MATCHED!$I67,IF(MATCHED!AI67=9,MATCHED!$J67,IF(MATCHED!AI67=10,MATCHED!$K67,IF(MATCHED!AI67=11,MATCHED!$L67,IF(MATCHED!AI67=12,MATCHED!$M67,IF(MATCHED!AI67=13,MATCHED!$N67,IF(MATCHED!AI67=14,MATCHED!$O67,"")))))))&amp;IF(MATCHED!AI67=15,MATCHED!$P67,IF(MATCHED!AI67=16,MATCHED!$Q67,IF(MATCHED!AI67=17,MATCHED!$R67,IF(MATCHED!AI67=18,MATCHED!$S67,IF(MATCHED!AI67=19,MATCHED!$T67,IF(MATCHED!AI67=20,MATCHED!$U67,IF(MATCHED!AI67=21,MATCHED!$V67,)))))))&amp;IF(MATCHED!AI67=22,MATCHED!$W67,IF(MATCHED!AI67=23,MATCHED!$X67,IF(MATCHED!AI67=24,MATCHED!$Y67,IF(MATCHED!AI67=25,MATCHED!$Z67,IF(MATCHED!AI67=26,MATCHED!$AA67,IF(MATCHED!AI67=27,MATCHED!$AB67,"."))))))</f>
        <v>#N/A</v>
      </c>
      <c r="H67" s="376" t="e">
        <f>IF(MATCHED!AJ67=1,MATCHED!$B67,IF(MATCHED!AJ67=2,MATCHED!$C67,IF(MATCHED!AJ67=3,MATCHED!$D67,IF(MATCHED!AJ67=4,MATCHED!$E67,IF(MATCHED!AJ67=3,MATCHED!$F67,IF(MATCHED!AJ67=6,MATCHED!$G67,IF(MATCHED!AJ67=7,MATCHED!$H67,"")))))))&amp;IF(MATCHED!AJ67=8,MATCHED!$I67,IF(MATCHED!AJ67=9,MATCHED!$J67,IF(MATCHED!AJ67=10,MATCHED!$K67,IF(MATCHED!AJ67=11,MATCHED!$L67,IF(MATCHED!AJ67=12,MATCHED!$M67,IF(MATCHED!AJ67=13,MATCHED!$N67,IF(MATCHED!AJ67=14,MATCHED!$O67,"")))))))&amp;IF(MATCHED!AJ67=15,MATCHED!$P67,IF(MATCHED!AJ67=16,MATCHED!$Q67,IF(MATCHED!AJ67=17,MATCHED!$R67,IF(MATCHED!AJ67=18,MATCHED!$S67,IF(MATCHED!AJ67=19,MATCHED!$T67,IF(MATCHED!AJ67=20,MATCHED!$U67,IF(MATCHED!AJ67=21,MATCHED!$V67,)))))))&amp;IF(MATCHED!AJ67=22,MATCHED!$W67,IF(MATCHED!AJ67=23,MATCHED!$X67,IF(MATCHED!AJ67=24,MATCHED!$Y67,IF(MATCHED!AJ67=25,MATCHED!$Z67,IF(MATCHED!AJ67=26,MATCHED!$AA67,IF(MATCHED!AJ67=27,MATCHED!$AB67,"."))))))</f>
        <v>#N/A</v>
      </c>
      <c r="I67" s="376" t="e">
        <f>IF(MATCHED!AK67=1,MATCHED!$B67,IF(MATCHED!AK67=2,MATCHED!$C67,IF(MATCHED!AK67=3,MATCHED!$D67,IF(MATCHED!AK67=4,MATCHED!$E67,IF(MATCHED!AK67=3,MATCHED!$F67,IF(MATCHED!AK67=6,MATCHED!$G67,IF(MATCHED!AK67=7,MATCHED!$H67,"")))))))&amp;IF(MATCHED!AK67=8,MATCHED!$I67,IF(MATCHED!AK67=9,MATCHED!$J67,IF(MATCHED!AK67=10,MATCHED!$K67,IF(MATCHED!AK67=11,MATCHED!$L67,IF(MATCHED!AK67=12,MATCHED!$M67,IF(MATCHED!AK67=13,MATCHED!$N67,IF(MATCHED!AK67=14,MATCHED!$O67,"")))))))&amp;IF(MATCHED!AK67=15,MATCHED!$P67,IF(MATCHED!AK67=16,MATCHED!$Q67,IF(MATCHED!AK67=17,MATCHED!$R67,IF(MATCHED!AK67=18,MATCHED!$S67,IF(MATCHED!AK67=19,MATCHED!$T67,IF(MATCHED!AK67=20,MATCHED!$U67,IF(MATCHED!AK67=21,MATCHED!$V67,)))))))&amp;IF(MATCHED!AK67=22,MATCHED!$W67,IF(MATCHED!AK67=23,MATCHED!$X67,IF(MATCHED!AK67=24,MATCHED!$Y67,IF(MATCHED!AK67=25,MATCHED!$Z67,IF(MATCHED!AK67=26,MATCHED!$AA67,IF(MATCHED!AK67=27,MATCHED!$AB67,"."))))))</f>
        <v>#N/A</v>
      </c>
      <c r="J67" s="376" t="e">
        <f>IF(MATCHED!AL67=1,MATCHED!$B67,IF(MATCHED!AL67=2,MATCHED!$C67,IF(MATCHED!AL67=3,MATCHED!$D67,IF(MATCHED!AL67=4,MATCHED!$E67,IF(MATCHED!AL67=3,MATCHED!$F67,IF(MATCHED!AL67=6,MATCHED!$G67,IF(MATCHED!AL67=7,MATCHED!$H67,"")))))))&amp;IF(MATCHED!AL67=8,MATCHED!$I67,IF(MATCHED!AL67=9,MATCHED!$J67,IF(MATCHED!AL67=10,MATCHED!$K67,IF(MATCHED!AL67=11,MATCHED!$L67,IF(MATCHED!AL67=12,MATCHED!$M67,IF(MATCHED!AL67=13,MATCHED!$N67,IF(MATCHED!AL67=14,MATCHED!$O67,"")))))))&amp;IF(MATCHED!AL67=15,MATCHED!$P67,IF(MATCHED!AL67=16,MATCHED!$Q67,IF(MATCHED!AL67=17,MATCHED!$R67,IF(MATCHED!AL67=18,MATCHED!$S67,IF(MATCHED!AL67=19,MATCHED!$T67,IF(MATCHED!AL67=20,MATCHED!$U67,IF(MATCHED!AL67=21,MATCHED!$V67,)))))))&amp;IF(MATCHED!AL67=22,MATCHED!$W67,IF(MATCHED!AL67=23,MATCHED!$X67,IF(MATCHED!AL67=24,MATCHED!$Y67,IF(MATCHED!AL67=25,MATCHED!$Z67,IF(MATCHED!AL67=26,MATCHED!$AA67,IF(MATCHED!AL67=27,MATCHED!$AB67,"."))))))</f>
        <v>#N/A</v>
      </c>
      <c r="K67" s="376" t="e">
        <f>IF(MATCHED!AM67=1,MATCHED!$B67,IF(MATCHED!AM67=2,MATCHED!$C67,IF(MATCHED!AM67=3,MATCHED!$D67,IF(MATCHED!AM67=4,MATCHED!$E67,IF(MATCHED!AM67=3,MATCHED!$F67,IF(MATCHED!AM67=6,MATCHED!$G67,IF(MATCHED!AM67=7,MATCHED!$H67,"")))))))&amp;IF(MATCHED!AM67=8,MATCHED!$I67,IF(MATCHED!AM67=9,MATCHED!$J67,IF(MATCHED!AM67=10,MATCHED!$K67,IF(MATCHED!AM67=11,MATCHED!$L67,IF(MATCHED!AM67=12,MATCHED!$M67,IF(MATCHED!AM67=13,MATCHED!$N67,IF(MATCHED!AM67=14,MATCHED!$O67,"")))))))&amp;IF(MATCHED!AM67=15,MATCHED!$P67,IF(MATCHED!AM67=16,MATCHED!$Q67,IF(MATCHED!AM67=17,MATCHED!$R67,IF(MATCHED!AM67=18,MATCHED!$S67,IF(MATCHED!AM67=19,MATCHED!$T67,IF(MATCHED!AM67=20,MATCHED!$U67,IF(MATCHED!AM67=21,MATCHED!$V67,)))))))&amp;IF(MATCHED!AM67=22,MATCHED!$W67,IF(MATCHED!AM67=23,MATCHED!$X67,IF(MATCHED!AM67=24,MATCHED!$Y67,IF(MATCHED!AM67=25,MATCHED!$Z67,IF(MATCHED!AM67=26,MATCHED!$AA67,IF(MATCHED!AM67=27,MATCHED!$AB67,"."))))))</f>
        <v>#N/A</v>
      </c>
      <c r="L67" s="376" t="e">
        <f>IF(MATCHED!AN67=1,MATCHED!$B67,IF(MATCHED!AN67=2,MATCHED!$C67,IF(MATCHED!AN67=3,MATCHED!$D67,IF(MATCHED!AN67=4,MATCHED!$E67,IF(MATCHED!AN67=3,MATCHED!$F67,IF(MATCHED!AN67=6,MATCHED!$G67,IF(MATCHED!AN67=7,MATCHED!$H67,"")))))))&amp;IF(MATCHED!AN67=8,MATCHED!$I67,IF(MATCHED!AN67=9,MATCHED!$J67,IF(MATCHED!AN67=10,MATCHED!$K67,IF(MATCHED!AN67=11,MATCHED!$L67,IF(MATCHED!AN67=12,MATCHED!$M67,IF(MATCHED!AN67=13,MATCHED!$N67,IF(MATCHED!AN67=14,MATCHED!$O67,"")))))))&amp;IF(MATCHED!AN67=15,MATCHED!$P67,IF(MATCHED!AN67=16,MATCHED!$Q67,IF(MATCHED!AN67=17,MATCHED!$R67,IF(MATCHED!AN67=18,MATCHED!$S67,IF(MATCHED!AN67=19,MATCHED!$T67,IF(MATCHED!AN67=20,MATCHED!$U67,IF(MATCHED!AN67=21,MATCHED!$V67,)))))))&amp;IF(MATCHED!AN67=22,MATCHED!$W67,IF(MATCHED!AN67=23,MATCHED!$X67,IF(MATCHED!AN67=24,MATCHED!$Y67,IF(MATCHED!AN67=25,MATCHED!$Z67,IF(MATCHED!AN67=26,MATCHED!$AA67,IF(MATCHED!AN67=27,MATCHED!$AB67,"."))))))</f>
        <v>#N/A</v>
      </c>
      <c r="M67" s="376" t="e">
        <f>IF(MATCHED!AO67=1,MATCHED!$B67,IF(MATCHED!AO67=2,MATCHED!$C67,IF(MATCHED!AO67=3,MATCHED!$D67,IF(MATCHED!AO67=4,MATCHED!$E67,IF(MATCHED!AO67=3,MATCHED!$F67,IF(MATCHED!AO67=6,MATCHED!$G67,IF(MATCHED!AO67=7,MATCHED!$H67,"")))))))&amp;IF(MATCHED!AO67=8,MATCHED!$I67,IF(MATCHED!AO67=9,MATCHED!$J67,IF(MATCHED!AO67=10,MATCHED!$K67,IF(MATCHED!AO67=11,MATCHED!$L67,IF(MATCHED!AO67=12,MATCHED!$M67,IF(MATCHED!AO67=13,MATCHED!$N67,IF(MATCHED!AO67=14,MATCHED!$O67,"")))))))&amp;IF(MATCHED!AO67=15,MATCHED!$P67,IF(MATCHED!AO67=16,MATCHED!$Q67,IF(MATCHED!AO67=17,MATCHED!$R67,IF(MATCHED!AO67=18,MATCHED!$S67,IF(MATCHED!AO67=19,MATCHED!$T67,IF(MATCHED!AO67=20,MATCHED!$U67,IF(MATCHED!AO67=21,MATCHED!$V67,)))))))&amp;IF(MATCHED!AO67=22,MATCHED!$W67,IF(MATCHED!AO67=23,MATCHED!$X67,IF(MATCHED!AO67=24,MATCHED!$Y67,IF(MATCHED!AO67=25,MATCHED!$Z67,IF(MATCHED!AO67=26,MATCHED!$AA67,IF(MATCHED!AO67=27,MATCHED!$AB67,"."))))))</f>
        <v>#N/A</v>
      </c>
      <c r="N67" s="376" t="e">
        <f>IF(MATCHED!AP67=1,MATCHED!$B67,IF(MATCHED!AP67=2,MATCHED!$C67,IF(MATCHED!AP67=3,MATCHED!$D67,IF(MATCHED!AP67=4,MATCHED!$E67,IF(MATCHED!AP67=3,MATCHED!$F67,IF(MATCHED!AP67=6,MATCHED!$G67,IF(MATCHED!AP67=7,MATCHED!$H67,"")))))))&amp;IF(MATCHED!AP67=8,MATCHED!$I67,IF(MATCHED!AP67=9,MATCHED!$J67,IF(MATCHED!AP67=10,MATCHED!$K67,IF(MATCHED!AP67=11,MATCHED!$L67,IF(MATCHED!AP67=12,MATCHED!$M67,IF(MATCHED!AP67=13,MATCHED!$N67,IF(MATCHED!AP67=14,MATCHED!$O67,"")))))))&amp;IF(MATCHED!AP67=15,MATCHED!$P67,IF(MATCHED!AP67=16,MATCHED!$Q67,IF(MATCHED!AP67=17,MATCHED!$R67,IF(MATCHED!AP67=18,MATCHED!$S67,IF(MATCHED!AP67=19,MATCHED!$T67,IF(MATCHED!AP67=20,MATCHED!$U67,IF(MATCHED!AP67=21,MATCHED!$V67,)))))))&amp;IF(MATCHED!AP67=22,MATCHED!$W67,IF(MATCHED!AP67=23,MATCHED!$X67,IF(MATCHED!AP67=24,MATCHED!$Y67,IF(MATCHED!AP67=25,MATCHED!$Z67,IF(MATCHED!AP67=26,MATCHED!$AA67,IF(MATCHED!AP67=27,MATCHED!$AB67,"."))))))</f>
        <v>#N/A</v>
      </c>
      <c r="O67" s="376" t="e">
        <f>IF(MATCHED!AQ67=1,MATCHED!$B67,IF(MATCHED!AQ67=2,MATCHED!$C67,IF(MATCHED!AQ67=3,MATCHED!$D67,IF(MATCHED!AQ67=4,MATCHED!$E67,IF(MATCHED!AQ67=3,MATCHED!$F67,IF(MATCHED!AQ67=6,MATCHED!$G67,IF(MATCHED!AQ67=7,MATCHED!$H67,"")))))))&amp;IF(MATCHED!AQ67=8,MATCHED!$I67,IF(MATCHED!AQ67=9,MATCHED!$J67,IF(MATCHED!AQ67=10,MATCHED!$K67,IF(MATCHED!AQ67=11,MATCHED!$L67,IF(MATCHED!AQ67=12,MATCHED!$M67,IF(MATCHED!AQ67=13,MATCHED!$N67,IF(MATCHED!AQ67=14,MATCHED!$O67,"")))))))&amp;IF(MATCHED!AQ67=15,MATCHED!$P67,IF(MATCHED!AQ67=16,MATCHED!$Q67,IF(MATCHED!AQ67=17,MATCHED!$R67,IF(MATCHED!AQ67=18,MATCHED!$S67,IF(MATCHED!AQ67=19,MATCHED!$T67,IF(MATCHED!AQ67=20,MATCHED!$U67,IF(MATCHED!AQ67=21,MATCHED!$V67,)))))))&amp;IF(MATCHED!AQ67=22,MATCHED!$W67,IF(MATCHED!AQ67=23,MATCHED!$X67,IF(MATCHED!AQ67=24,MATCHED!$Y67,IF(MATCHED!AQ67=25,MATCHED!$Z67,IF(MATCHED!AQ67=26,MATCHED!$AA67,IF(MATCHED!AQ67=27,MATCHED!$AB67,"."))))))</f>
        <v>#N/A</v>
      </c>
      <c r="P67" s="376" t="e">
        <f>IF(MATCHED!AR67=1,MATCHED!$B67,IF(MATCHED!AR67=2,MATCHED!$C67,IF(MATCHED!AR67=3,MATCHED!$D67,IF(MATCHED!AR67=4,MATCHED!$E67,IF(MATCHED!AR67=3,MATCHED!$F67,IF(MATCHED!AR67=6,MATCHED!$G67,IF(MATCHED!AR67=7,MATCHED!$H67,"")))))))&amp;IF(MATCHED!AR67=8,MATCHED!$I67,IF(MATCHED!AR67=9,MATCHED!$J67,IF(MATCHED!AR67=10,MATCHED!$K67,IF(MATCHED!AR67=11,MATCHED!$L67,IF(MATCHED!AR67=12,MATCHED!$M67,IF(MATCHED!AR67=13,MATCHED!$N67,IF(MATCHED!AR67=14,MATCHED!$O67,"")))))))&amp;IF(MATCHED!AR67=15,MATCHED!$P67,IF(MATCHED!AR67=16,MATCHED!$Q67,IF(MATCHED!AR67=17,MATCHED!$R67,IF(MATCHED!AR67=18,MATCHED!$S67,IF(MATCHED!AR67=19,MATCHED!$T67,IF(MATCHED!AR67=20,MATCHED!$U67,IF(MATCHED!AR67=21,MATCHED!$V67,)))))))&amp;IF(MATCHED!AR67=22,MATCHED!$W67,IF(MATCHED!AR67=23,MATCHED!$X67,IF(MATCHED!AR67=24,MATCHED!$Y67,IF(MATCHED!AR67=25,MATCHED!$Z67,IF(MATCHED!AR67=26,MATCHED!$AA67,IF(MATCHED!AR67=27,MATCHED!$AB67,"."))))))</f>
        <v>#N/A</v>
      </c>
      <c r="Q67" s="376" t="e">
        <f>IF(MATCHED!AS67=1,MATCHED!$B67,IF(MATCHED!AS67=2,MATCHED!$C67,IF(MATCHED!AS67=3,MATCHED!$D67,IF(MATCHED!AS67=4,MATCHED!$E67,IF(MATCHED!AS67=3,MATCHED!$F67,IF(MATCHED!AS67=6,MATCHED!$G67,IF(MATCHED!AS67=7,MATCHED!$H67,"")))))))&amp;IF(MATCHED!AS67=8,MATCHED!$I67,IF(MATCHED!AS67=9,MATCHED!$J67,IF(MATCHED!AS67=10,MATCHED!$K67,IF(MATCHED!AS67=11,MATCHED!$L67,IF(MATCHED!AS67=12,MATCHED!$M67,IF(MATCHED!AS67=13,MATCHED!$N67,IF(MATCHED!AS67=14,MATCHED!$O67,"")))))))&amp;IF(MATCHED!AS67=15,MATCHED!$P67,IF(MATCHED!AS67=16,MATCHED!$Q67,IF(MATCHED!AS67=17,MATCHED!$R67,IF(MATCHED!AS67=18,MATCHED!$S67,IF(MATCHED!AS67=19,MATCHED!$T67,IF(MATCHED!AS67=20,MATCHED!$U67,IF(MATCHED!AS67=21,MATCHED!$V67,)))))))&amp;IF(MATCHED!AS67=22,MATCHED!$W67,IF(MATCHED!AS67=23,MATCHED!$X67,IF(MATCHED!AS67=24,MATCHED!$Y67,IF(MATCHED!AS67=25,MATCHED!$Z67,IF(MATCHED!AS67=26,MATCHED!$AA67,IF(MATCHED!AS67=27,MATCHED!$AB67,"."))))))</f>
        <v>#N/A</v>
      </c>
      <c r="R67" s="377" t="e">
        <f>IF(MATCHED!AT67=1,MATCHED!$B67,IF(MATCHED!AT67=2,MATCHED!$C67,IF(MATCHED!AT67=3,MATCHED!$D67,IF(MATCHED!AT67=4,MATCHED!$E67,IF(MATCHED!AT67=3,MATCHED!$F67,IF(MATCHED!AT67=6,MATCHED!$G67,IF(MATCHED!AT67=7,MATCHED!$H67,"")))))))&amp;IF(MATCHED!AT67=8,MATCHED!$I67,IF(MATCHED!AT67=9,MATCHED!$J67,IF(MATCHED!AT67=10,MATCHED!$K67,IF(MATCHED!AT67=11,MATCHED!$L67,IF(MATCHED!AT67=12,MATCHED!$M67,IF(MATCHED!AT67=13,MATCHED!$N67,IF(MATCHED!AT67=14,MATCHED!$O67,"")))))))&amp;IF(MATCHED!AT67=15,MATCHED!$P67,IF(MATCHED!AT67=16,MATCHED!$Q67,IF(MATCHED!AT67=17,MATCHED!$R67,IF(MATCHED!AT67=18,MATCHED!$S67,IF(MATCHED!AT67=19,MATCHED!$T67,IF(MATCHED!AT67=20,MATCHED!$U67,IF(MATCHED!AT67=21,MATCHED!$V67,)))))))&amp;IF(MATCHED!AT67=22,MATCHED!$W67,IF(MATCHED!AT67=23,MATCHED!$X67,IF(MATCHED!AT67=24,MATCHED!$Y67,IF(MATCHED!AT67=25,MATCHED!$Z67,IF(MATCHED!AT67=26,MATCHED!$AA67,IF(MATCHED!AT67=27,MATCHED!$AB67,"."))))))</f>
        <v>#N/A</v>
      </c>
      <c r="S67" s="376" t="e">
        <f>IF(MATCHED!AU67=1,MATCHED!$B67,IF(MATCHED!AU67=2,MATCHED!$C67,IF(MATCHED!AU67=3,MATCHED!$D67,IF(MATCHED!AU67=4,MATCHED!$E67,IF(MATCHED!AU67=3,MATCHED!$F67,IF(MATCHED!AU67=6,MATCHED!$G67,IF(MATCHED!AU67=7,MATCHED!$H67,"")))))))&amp;IF(MATCHED!AU67=8,MATCHED!$I67,IF(MATCHED!AU67=9,MATCHED!$J67,IF(MATCHED!AU67=10,MATCHED!$K67,IF(MATCHED!AU67=11,MATCHED!$L67,IF(MATCHED!AU67=12,MATCHED!$M67,IF(MATCHED!AU67=13,MATCHED!$N67,IF(MATCHED!AU67=14,MATCHED!$O67,"")))))))&amp;IF(MATCHED!AU67=15,MATCHED!$P67,IF(MATCHED!AU67=16,MATCHED!$Q67,IF(MATCHED!AU67=17,MATCHED!$R67,IF(MATCHED!AU67=18,MATCHED!$S67,IF(MATCHED!AU67=19,MATCHED!$T67,IF(MATCHED!AU67=20,MATCHED!$U67,IF(MATCHED!AU67=21,MATCHED!$V67,)))))))&amp;IF(MATCHED!AU67=22,MATCHED!$W67,IF(MATCHED!AU67=23,MATCHED!$X67,IF(MATCHED!AU67=24,MATCHED!$Y67,IF(MATCHED!AU67=25,MATCHED!$Z67,IF(MATCHED!AU67=26,MATCHED!$AA67,IF(MATCHED!AU67=27,MATCHED!$AB67,"."))))))</f>
        <v>#N/A</v>
      </c>
      <c r="T67" s="376" t="e">
        <f>IF(MATCHED!AV67=1,MATCHED!$B67,IF(MATCHED!AV67=2,MATCHED!$C67,IF(MATCHED!AV67=3,MATCHED!$D67,IF(MATCHED!AV67=4,MATCHED!$E67,IF(MATCHED!AV67=3,MATCHED!$F67,IF(MATCHED!AV67=6,MATCHED!$G67,IF(MATCHED!AV67=7,MATCHED!$H67,"")))))))&amp;IF(MATCHED!AV67=8,MATCHED!$I67,IF(MATCHED!AV67=9,MATCHED!$J67,IF(MATCHED!AV67=10,MATCHED!$K67,IF(MATCHED!AV67=11,MATCHED!$L67,IF(MATCHED!AV67=12,MATCHED!$M67,IF(MATCHED!AV67=13,MATCHED!$N67,IF(MATCHED!AV67=14,MATCHED!$O67,"")))))))&amp;IF(MATCHED!AV67=15,MATCHED!$P67,IF(MATCHED!AV67=16,MATCHED!$Q67,IF(MATCHED!AV67=17,MATCHED!$R67,IF(MATCHED!AV67=18,MATCHED!$S67,IF(MATCHED!AV67=19,MATCHED!$T67,IF(MATCHED!AV67=20,MATCHED!$U67,IF(MATCHED!AV67=21,MATCHED!$V67,)))))))&amp;IF(MATCHED!AV67=22,MATCHED!$W67,IF(MATCHED!AV67=23,MATCHED!$X67,IF(MATCHED!AV67=24,MATCHED!$Y67,IF(MATCHED!AV67=25,MATCHED!$Z67,IF(MATCHED!AV67=26,MATCHED!$AA67,IF(MATCHED!AV67=27,MATCHED!$AB67,"."))))))</f>
        <v>#N/A</v>
      </c>
      <c r="U67" s="376" t="e">
        <f>IF(MATCHED!AW67=1,MATCHED!$B67,IF(MATCHED!AW67=2,MATCHED!$C67,IF(MATCHED!AW67=3,MATCHED!$D67,IF(MATCHED!AW67=4,MATCHED!$E67,IF(MATCHED!AW67=3,MATCHED!$F67,IF(MATCHED!AW67=6,MATCHED!$G67,IF(MATCHED!AW67=7,MATCHED!$H67,"")))))))&amp;IF(MATCHED!AW67=8,MATCHED!$I67,IF(MATCHED!AW67=9,MATCHED!$J67,IF(MATCHED!AW67=10,MATCHED!$K67,IF(MATCHED!AW67=11,MATCHED!$L67,IF(MATCHED!AW67=12,MATCHED!$M67,IF(MATCHED!AW67=13,MATCHED!$N67,IF(MATCHED!AW67=14,MATCHED!$O67,"")))))))&amp;IF(MATCHED!AW67=15,MATCHED!$P67,IF(MATCHED!AW67=16,MATCHED!$Q67,IF(MATCHED!AW67=17,MATCHED!$R67,IF(MATCHED!AW67=18,MATCHED!$S67,IF(MATCHED!AW67=19,MATCHED!$T67,IF(MATCHED!AW67=20,MATCHED!$U67,IF(MATCHED!AW67=21,MATCHED!$V67,)))))))&amp;IF(MATCHED!AW67=22,MATCHED!$W67,IF(MATCHED!AW67=23,MATCHED!$X67,IF(MATCHED!AW67=24,MATCHED!$Y67,IF(MATCHED!AW67=25,MATCHED!$Z67,IF(MATCHED!AW67=26,MATCHED!$AA67,IF(MATCHED!AW67=27,MATCHED!$AB67,"."))))))</f>
        <v>#N/A</v>
      </c>
      <c r="V67" s="376" t="e">
        <f>IF(MATCHED!AX67=1,MATCHED!$B67,IF(MATCHED!AX67=2,MATCHED!$C67,IF(MATCHED!AX67=3,MATCHED!$D67,IF(MATCHED!AX67=4,MATCHED!$E67,IF(MATCHED!AX67=3,MATCHED!$F67,IF(MATCHED!AX67=6,MATCHED!$G67,IF(MATCHED!AX67=7,MATCHED!$H67,"")))))))&amp;IF(MATCHED!AX67=8,MATCHED!$I67,IF(MATCHED!AX67=9,MATCHED!$J67,IF(MATCHED!AX67=10,MATCHED!$K67,IF(MATCHED!AX67=11,MATCHED!$L67,IF(MATCHED!AX67=12,MATCHED!$M67,IF(MATCHED!AX67=13,MATCHED!$N67,IF(MATCHED!AX67=14,MATCHED!$O67,"")))))))&amp;IF(MATCHED!AX67=15,MATCHED!$P67,IF(MATCHED!AX67=16,MATCHED!$Q67,IF(MATCHED!AX67=17,MATCHED!$R67,IF(MATCHED!AX67=18,MATCHED!$S67,IF(MATCHED!AX67=19,MATCHED!$T67,IF(MATCHED!AX67=20,MATCHED!$U67,IF(MATCHED!AX67=21,MATCHED!$V67,)))))))&amp;IF(MATCHED!AX67=22,MATCHED!$W67,IF(MATCHED!AX67=23,MATCHED!$X67,IF(MATCHED!AX67=24,MATCHED!$Y67,IF(MATCHED!AX67=25,MATCHED!$Z67,IF(MATCHED!AX67=26,MATCHED!$AA67,IF(MATCHED!AX67=27,MATCHED!$AB67,"."))))))</f>
        <v>#N/A</v>
      </c>
      <c r="W67" s="376" t="e">
        <f>IF(MATCHED!AY67=1,MATCHED!$B67,IF(MATCHED!AY67=2,MATCHED!$C67,IF(MATCHED!AY67=3,MATCHED!$D67,IF(MATCHED!AY67=4,MATCHED!$E67,IF(MATCHED!AY67=3,MATCHED!$F67,IF(MATCHED!AY67=6,MATCHED!$G67,IF(MATCHED!AY67=7,MATCHED!$H67,"")))))))&amp;IF(MATCHED!AY67=8,MATCHED!$I67,IF(MATCHED!AY67=9,MATCHED!$J67,IF(MATCHED!AY67=10,MATCHED!$K67,IF(MATCHED!AY67=11,MATCHED!$L67,IF(MATCHED!AY67=12,MATCHED!$M67,IF(MATCHED!AY67=13,MATCHED!$N67,IF(MATCHED!AY67=14,MATCHED!$O67,"")))))))&amp;IF(MATCHED!AY67=15,MATCHED!$P67,IF(MATCHED!AY67=16,MATCHED!$Q67,IF(MATCHED!AY67=17,MATCHED!$R67,IF(MATCHED!AY67=18,MATCHED!$S67,IF(MATCHED!AY67=19,MATCHED!$T67,IF(MATCHED!AY67=20,MATCHED!$U67,IF(MATCHED!AY67=21,MATCHED!$V67,)))))))&amp;IF(MATCHED!AY67=22,MATCHED!$W67,IF(MATCHED!AY67=23,MATCHED!$X67,IF(MATCHED!AY67=24,MATCHED!$Y67,IF(MATCHED!AY67=25,MATCHED!$Z67,IF(MATCHED!AY67=26,MATCHED!$AA67,IF(MATCHED!AY67=27,MATCHED!$AB67,"."))))))</f>
        <v>#N/A</v>
      </c>
      <c r="X67" s="376" t="e">
        <f>IF(MATCHED!AZ67=1,MATCHED!$B67,IF(MATCHED!AZ67=2,MATCHED!$C67,IF(MATCHED!AZ67=3,MATCHED!$D67,IF(MATCHED!AZ67=4,MATCHED!$E67,IF(MATCHED!AZ67=3,MATCHED!$F67,IF(MATCHED!AZ67=6,MATCHED!$G67,IF(MATCHED!AZ67=7,MATCHED!$H67,"")))))))&amp;IF(MATCHED!AZ67=8,MATCHED!$I67,IF(MATCHED!AZ67=9,MATCHED!$J67,IF(MATCHED!AZ67=10,MATCHED!$K67,IF(MATCHED!AZ67=11,MATCHED!$L67,IF(MATCHED!AZ67=12,MATCHED!$M67,IF(MATCHED!AZ67=13,MATCHED!$N67,IF(MATCHED!AZ67=14,MATCHED!$O67,"")))))))&amp;IF(MATCHED!AZ67=15,MATCHED!$P67,IF(MATCHED!AZ67=16,MATCHED!$Q67,IF(MATCHED!AZ67=17,MATCHED!$R67,IF(MATCHED!AZ67=18,MATCHED!$S67,IF(MATCHED!AZ67=19,MATCHED!$T67,IF(MATCHED!AZ67=20,MATCHED!$U67,IF(MATCHED!AZ67=21,MATCHED!$V67,)))))))&amp;IF(MATCHED!AZ67=22,MATCHED!$W67,IF(MATCHED!AZ67=23,MATCHED!$X67,IF(MATCHED!AZ67=24,MATCHED!$Y67,IF(MATCHED!AZ67=25,MATCHED!$Z67,IF(MATCHED!AZ67=26,MATCHED!$AA67,IF(MATCHED!AZ67=27,MATCHED!$AB67,"."))))))</f>
        <v>#N/A</v>
      </c>
      <c r="Y67" s="376" t="e">
        <f>IF(MATCHED!BA67=1,MATCHED!$B67,IF(MATCHED!BA67=2,MATCHED!$C67,IF(MATCHED!BA67=3,MATCHED!$D67,IF(MATCHED!BA67=4,MATCHED!$E67,IF(MATCHED!BA67=3,MATCHED!$F67,IF(MATCHED!BA67=6,MATCHED!$G67,IF(MATCHED!BA67=7,MATCHED!$H67,"")))))))&amp;IF(MATCHED!BA67=8,MATCHED!$I67,IF(MATCHED!BA67=9,MATCHED!$J67,IF(MATCHED!BA67=10,MATCHED!$K67,IF(MATCHED!BA67=11,MATCHED!$L67,IF(MATCHED!BA67=12,MATCHED!$M67,IF(MATCHED!BA67=13,MATCHED!$N67,IF(MATCHED!BA67=14,MATCHED!$O67,"")))))))&amp;IF(MATCHED!BA67=15,MATCHED!$P67,IF(MATCHED!BA67=16,MATCHED!$Q67,IF(MATCHED!BA67=17,MATCHED!$R67,IF(MATCHED!BA67=18,MATCHED!$S67,IF(MATCHED!BA67=19,MATCHED!$T67,IF(MATCHED!BA67=20,MATCHED!$U67,IF(MATCHED!BA67=21,MATCHED!$V67,)))))))&amp;IF(MATCHED!BA67=22,MATCHED!$W67,IF(MATCHED!BA67=23,MATCHED!$X67,IF(MATCHED!BA67=24,MATCHED!$Y67,IF(MATCHED!BA67=25,MATCHED!$Z67,IF(MATCHED!BA67=26,MATCHED!$AA67,IF(MATCHED!BA67=27,MATCHED!$AB67,"."))))))</f>
        <v>#N/A</v>
      </c>
      <c r="Z67" s="376" t="e">
        <f>IF(MATCHED!BB67=1,MATCHED!$B67,IF(MATCHED!BB67=2,MATCHED!$C67,IF(MATCHED!BB67=3,MATCHED!$D67,IF(MATCHED!BB67=4,MATCHED!$E67,IF(MATCHED!BB67=3,MATCHED!$F67,IF(MATCHED!BB67=6,MATCHED!$G67,IF(MATCHED!BB67=7,MATCHED!$H67,"")))))))&amp;IF(MATCHED!BB67=8,MATCHED!$I67,IF(MATCHED!BB67=9,MATCHED!$J67,IF(MATCHED!BB67=10,MATCHED!$K67,IF(MATCHED!BB67=11,MATCHED!$L67,IF(MATCHED!BB67=12,MATCHED!$M67,IF(MATCHED!BB67=13,MATCHED!$N67,IF(MATCHED!BB67=14,MATCHED!$O67,"")))))))&amp;IF(MATCHED!BB67=15,MATCHED!$P67,IF(MATCHED!BB67=16,MATCHED!$Q67,IF(MATCHED!BB67=17,MATCHED!$R67,IF(MATCHED!BB67=18,MATCHED!$S67,IF(MATCHED!BB67=19,MATCHED!$T67,IF(MATCHED!BB67=20,MATCHED!$U67,IF(MATCHED!BB67=21,MATCHED!$V67,)))))))&amp;IF(MATCHED!BB67=22,MATCHED!$W67,IF(MATCHED!BB67=23,MATCHED!$X67,IF(MATCHED!BB67=24,MATCHED!$Y67,IF(MATCHED!BB67=25,MATCHED!$Z67,IF(MATCHED!BB67=26,MATCHED!$AA67,IF(MATCHED!BB67=27,MATCHED!$AB67,"."))))))</f>
        <v>#N/A</v>
      </c>
      <c r="AA67" s="376" t="e">
        <f>IF(MATCHED!BC67=1,MATCHED!$B67,IF(MATCHED!BC67=2,MATCHED!$C67,IF(MATCHED!BC67=3,MATCHED!$D67,IF(MATCHED!BC67=4,MATCHED!$E67,IF(MATCHED!BC67=3,MATCHED!$F67,IF(MATCHED!BC67=6,MATCHED!$G67,IF(MATCHED!BC67=7,MATCHED!$H67,"")))))))&amp;IF(MATCHED!BC67=8,MATCHED!$I67,IF(MATCHED!BC67=9,MATCHED!$J67,IF(MATCHED!BC67=10,MATCHED!$K67,IF(MATCHED!BC67=11,MATCHED!$L67,IF(MATCHED!BC67=12,MATCHED!$M67,IF(MATCHED!BC67=13,MATCHED!$N67,IF(MATCHED!BC67=14,MATCHED!$O67,"")))))))&amp;IF(MATCHED!BC67=15,MATCHED!$P67,IF(MATCHED!BC67=16,MATCHED!$Q67,IF(MATCHED!BC67=17,MATCHED!$R67,IF(MATCHED!BC67=18,MATCHED!$S67,IF(MATCHED!BC67=19,MATCHED!$T67,IF(MATCHED!BC67=20,MATCHED!$U67,IF(MATCHED!BC67=21,MATCHED!$V67,)))))))&amp;IF(MATCHED!BC67=22,MATCHED!$W67,IF(MATCHED!BC67=23,MATCHED!$X67,IF(MATCHED!BC67=24,MATCHED!$Y67,IF(MATCHED!BC67=25,MATCHED!$Z67,IF(MATCHED!BC67=26,MATCHED!$AA67,IF(MATCHED!BC67=27,MATCHED!$AB67,"."))))))</f>
        <v>#N/A</v>
      </c>
      <c r="AB67" s="376" t="e">
        <f>IF(MATCHED!BD67=1,MATCHED!$B67,IF(MATCHED!BD67=2,MATCHED!$C67,IF(MATCHED!BD67=3,MATCHED!$D67,IF(MATCHED!BD67=4,MATCHED!$E67,IF(MATCHED!BD67=3,MATCHED!$F67,IF(MATCHED!BD67=6,MATCHED!$G67,IF(MATCHED!BD67=7,MATCHED!$H67,"")))))))&amp;IF(MATCHED!BD67=8,MATCHED!$I67,IF(MATCHED!BD67=9,MATCHED!$J67,IF(MATCHED!BD67=10,MATCHED!$K67,IF(MATCHED!BD67=11,MATCHED!$L67,IF(MATCHED!BD67=12,MATCHED!$M67,IF(MATCHED!BD67=13,MATCHED!$N67,IF(MATCHED!BD67=14,MATCHED!$O67,"")))))))&amp;IF(MATCHED!BD67=15,MATCHED!$P67,IF(MATCHED!BD67=16,MATCHED!$Q67,IF(MATCHED!BD67=17,MATCHED!$R67,IF(MATCHED!BD67=18,MATCHED!$S67,IF(MATCHED!BD67=19,MATCHED!$T67,IF(MATCHED!BD67=20,MATCHED!$U67,IF(MATCHED!BD67=21,MATCHED!$V67,)))))))&amp;IF(MATCHED!BD67=22,MATCHED!$W67,IF(MATCHED!BD67=23,MATCHED!$X67,IF(MATCHED!BD67=24,MATCHED!$Y67,IF(MATCHED!BD67=25,MATCHED!$Z67,IF(MATCHED!BD67=26,MATCHED!$AA67,IF(MATCHED!BD67=27,MATCHED!$AB67,"."))))))</f>
        <v>#N/A</v>
      </c>
      <c r="AC67" s="376" t="e">
        <f>IF(MATCHED!BE67=1,MATCHED!$B67,IF(MATCHED!BE67=2,MATCHED!$C67,IF(MATCHED!BE67=3,MATCHED!$D67,IF(MATCHED!BE67=4,MATCHED!$E67,IF(MATCHED!BE67=3,MATCHED!$F67,IF(MATCHED!BE67=6,MATCHED!$G67,IF(MATCHED!BE67=7,MATCHED!$H67,"")))))))&amp;IF(MATCHED!BE67=8,MATCHED!$I67,IF(MATCHED!BE67=9,MATCHED!$J67,IF(MATCHED!BE67=10,MATCHED!$K67,IF(MATCHED!BE67=11,MATCHED!$L67,IF(MATCHED!BE67=12,MATCHED!$M67,IF(MATCHED!BE67=13,MATCHED!$N67,IF(MATCHED!BE67=14,MATCHED!$O67,"")))))))&amp;IF(MATCHED!BE67=15,MATCHED!$P67,IF(MATCHED!BE67=16,MATCHED!$Q67,IF(MATCHED!BE67=17,MATCHED!$R67,IF(MATCHED!BE67=18,MATCHED!$S67,IF(MATCHED!BE67=19,MATCHED!$T67,IF(MATCHED!BE67=20,MATCHED!$U67,IF(MATCHED!BE67=21,MATCHED!$V67,)))))))&amp;IF(MATCHED!BE67=22,MATCHED!$W67,IF(MATCHED!BE67=23,MATCHED!$X67,IF(MATCHED!BE67=24,MATCHED!$Y67,IF(MATCHED!BE67=25,MATCHED!$Z67,IF(MATCHED!BE67=26,MATCHED!$AA67,IF(MATCHED!BE67=27,MATCHED!$AB67,"."))))))</f>
        <v>#N/A</v>
      </c>
      <c r="AD67" s="376" t="e">
        <f>IF(MATCHED!BF67=1,MATCHED!$B67,IF(MATCHED!BF67=2,MATCHED!$C67,IF(MATCHED!BF67=3,MATCHED!$D67,IF(MATCHED!BF67=4,MATCHED!$E67,IF(MATCHED!BF67=3,MATCHED!$F67,IF(MATCHED!BF67=6,MATCHED!$G67,IF(MATCHED!BF67=7,MATCHED!$H67,"")))))))&amp;IF(MATCHED!BF67=8,MATCHED!$I67,IF(MATCHED!BF67=9,MATCHED!$J67,IF(MATCHED!BF67=10,MATCHED!$K67,IF(MATCHED!BF67=11,MATCHED!$L67,IF(MATCHED!BF67=12,MATCHED!$M67,IF(MATCHED!BF67=13,MATCHED!$N67,IF(MATCHED!BF67=14,MATCHED!$O67,"")))))))&amp;IF(MATCHED!BF67=15,MATCHED!$P67,IF(MATCHED!BF67=16,MATCHED!$Q67,IF(MATCHED!BF67=17,MATCHED!$R67,IF(MATCHED!BF67=18,MATCHED!$S67,IF(MATCHED!BF67=19,MATCHED!$T67,IF(MATCHED!BF67=20,MATCHED!$U67,IF(MATCHED!BF67=21,MATCHED!$V67,)))))))&amp;IF(MATCHED!BF67=22,MATCHED!$W67,IF(MATCHED!BF67=23,MATCHED!$X67,IF(MATCHED!BF67=24,MATCHED!$Y67,IF(MATCHED!BF67=25,MATCHED!$Z67,IF(MATCHED!BF67=26,MATCHED!$AA67,IF(MATCHED!BF67=27,MATCHED!$AB67,"."))))))</f>
        <v>#N/A</v>
      </c>
      <c r="AE67" s="376" t="e">
        <f>IF(MATCHED!BG67=1,MATCHED!$B67,IF(MATCHED!BG67=2,MATCHED!$C67,IF(MATCHED!BG67=3,MATCHED!$D67,IF(MATCHED!BG67=4,MATCHED!$E67,IF(MATCHED!BG67=3,MATCHED!$F67,IF(MATCHED!BG67=6,MATCHED!$G67,IF(MATCHED!BG67=7,MATCHED!$H67,"")))))))&amp;IF(MATCHED!BG67=8,MATCHED!$I67,IF(MATCHED!BG67=9,MATCHED!$J67,IF(MATCHED!BG67=10,MATCHED!$K67,IF(MATCHED!BG67=11,MATCHED!$L67,IF(MATCHED!BG67=12,MATCHED!$M67,IF(MATCHED!BG67=13,MATCHED!$N67,IF(MATCHED!BG67=14,MATCHED!$O67,"")))))))&amp;IF(MATCHED!BG67=15,MATCHED!$P67,IF(MATCHED!BG67=16,MATCHED!$Q67,IF(MATCHED!BG67=17,MATCHED!$R67,IF(MATCHED!BG67=18,MATCHED!$S67,IF(MATCHED!BG67=19,MATCHED!$T67,IF(MATCHED!BG67=20,MATCHED!$U67,IF(MATCHED!BG67=21,MATCHED!$V67,)))))))&amp;IF(MATCHED!BG67=22,MATCHED!$W67,IF(MATCHED!BG67=23,MATCHED!$X67,IF(MATCHED!BG67=24,MATCHED!$Y67,IF(MATCHED!BG67=25,MATCHED!$Z67,IF(MATCHED!BG67=26,MATCHED!$AA67,IF(MATCHED!BG67=27,MATCHED!$AB67,"."))))))</f>
        <v>#N/A</v>
      </c>
      <c r="AF67" s="376" t="e">
        <f>IF(MATCHED!BH67=1,MATCHED!$B67,IF(MATCHED!BH67=2,MATCHED!$C67,IF(MATCHED!BH67=3,MATCHED!$D67,IF(MATCHED!BH67=4,MATCHED!$E67,IF(MATCHED!BH67=3,MATCHED!$F67,IF(MATCHED!BH67=6,MATCHED!$G67,IF(MATCHED!BH67=7,MATCHED!$H67,"")))))))&amp;IF(MATCHED!BH67=8,MATCHED!$I67,IF(MATCHED!BH67=9,MATCHED!$J67,IF(MATCHED!BH67=10,MATCHED!$K67,IF(MATCHED!BH67=11,MATCHED!$L67,IF(MATCHED!BH67=12,MATCHED!$M67,IF(MATCHED!BH67=13,MATCHED!$N67,IF(MATCHED!BH67=14,MATCHED!$O67,"")))))))&amp;IF(MATCHED!BH67=15,MATCHED!$P67,IF(MATCHED!BH67=16,MATCHED!$Q67,IF(MATCHED!BH67=17,MATCHED!$R67,IF(MATCHED!BH67=18,MATCHED!$S67,IF(MATCHED!BH67=19,MATCHED!$T67,IF(MATCHED!BH67=20,MATCHED!$U67,IF(MATCHED!BH67=21,MATCHED!$V67,)))))))&amp;IF(MATCHED!BH67=22,MATCHED!$W67,IF(MATCHED!BH67=23,MATCHED!$X67,IF(MATCHED!BH67=24,MATCHED!$Y67,IF(MATCHED!BH67=25,MATCHED!$Z67,IF(MATCHED!BH67=26,MATCHED!$AA67,IF(MATCHED!BH67=27,MATCHED!$AB67,"."))))))</f>
        <v>#N/A</v>
      </c>
      <c r="AG67" s="376" t="e">
        <f>IF(MATCHED!BI67=1,MATCHED!$B67,IF(MATCHED!BI67=2,MATCHED!$C67,IF(MATCHED!BI67=3,MATCHED!$D67,IF(MATCHED!BI67=4,MATCHED!$E67,IF(MATCHED!BI67=3,MATCHED!$F67,IF(MATCHED!BI67=6,MATCHED!$G67,IF(MATCHED!BI67=7,MATCHED!$H67,"")))))))&amp;IF(MATCHED!BI67=8,MATCHED!$I67,IF(MATCHED!BI67=9,MATCHED!$J67,IF(MATCHED!BI67=10,MATCHED!$K67,IF(MATCHED!BI67=11,MATCHED!$L67,IF(MATCHED!BI67=12,MATCHED!$M67,IF(MATCHED!BI67=13,MATCHED!$N67,IF(MATCHED!BI67=14,MATCHED!$O67,"")))))))&amp;IF(MATCHED!BI67=15,MATCHED!$P67,IF(MATCHED!BI67=16,MATCHED!$Q67,IF(MATCHED!BI67=17,MATCHED!$R67,IF(MATCHED!BI67=18,MATCHED!$S67,IF(MATCHED!BI67=19,MATCHED!$T67,IF(MATCHED!BI67=20,MATCHED!$U67,IF(MATCHED!BI67=21,MATCHED!$V67,)))))))&amp;IF(MATCHED!BI67=22,MATCHED!$W67,IF(MATCHED!BI67=23,MATCHED!$X67,IF(MATCHED!BI67=24,MATCHED!$Y67,IF(MATCHED!BI67=25,MATCHED!$Z67,IF(MATCHED!BI67=26,MATCHED!$AA67,IF(MATCHED!BI67=27,MATCHED!$AB67,"."))))))</f>
        <v>#N/A</v>
      </c>
      <c r="AH67" s="376" t="e">
        <f>IF(MATCHED!BJ67=1,MATCHED!$B67,IF(MATCHED!BJ67=2,MATCHED!$C67,IF(MATCHED!BJ67=3,MATCHED!$D67,IF(MATCHED!BJ67=4,MATCHED!$E67,IF(MATCHED!BJ67=3,MATCHED!$F67,IF(MATCHED!BJ67=6,MATCHED!$G67,IF(MATCHED!BJ67=7,MATCHED!$H67,"")))))))&amp;IF(MATCHED!BJ67=8,MATCHED!$I67,IF(MATCHED!BJ67=9,MATCHED!$J67,IF(MATCHED!BJ67=10,MATCHED!$K67,IF(MATCHED!BJ67=11,MATCHED!$L67,IF(MATCHED!BJ67=12,MATCHED!$M67,IF(MATCHED!BJ67=13,MATCHED!$N67,IF(MATCHED!BJ67=14,MATCHED!$O67,"")))))))&amp;IF(MATCHED!BJ67=15,MATCHED!$P67,IF(MATCHED!BJ67=16,MATCHED!$Q67,IF(MATCHED!BJ67=17,MATCHED!$R67,IF(MATCHED!BJ67=18,MATCHED!$S67,IF(MATCHED!BJ67=19,MATCHED!$T67,IF(MATCHED!BJ67=20,MATCHED!$U67,IF(MATCHED!BJ67=21,MATCHED!$V67,)))))))&amp;IF(MATCHED!BJ67=22,MATCHED!$W67,IF(MATCHED!BJ67=23,MATCHED!$X67,IF(MATCHED!BJ67=24,MATCHED!$Y67,IF(MATCHED!BJ67=25,MATCHED!$Z67,IF(MATCHED!BJ67=26,MATCHED!$AA67,IF(MATCHED!BJ67=27,MATCHED!$AB67,"."))))))</f>
        <v>#N/A</v>
      </c>
      <c r="AI67" s="376" t="e">
        <f>IF(MATCHED!BK67=1,MATCHED!$B67,IF(MATCHED!BK67=2,MATCHED!$C67,IF(MATCHED!BK67=3,MATCHED!$D67,IF(MATCHED!BK67=4,MATCHED!$E67,IF(MATCHED!BK67=3,MATCHED!$F67,IF(MATCHED!BK67=6,MATCHED!$G67,IF(MATCHED!BK67=7,MATCHED!$H67,"")))))))&amp;IF(MATCHED!BK67=8,MATCHED!$I67,IF(MATCHED!BK67=9,MATCHED!$J67,IF(MATCHED!BK67=10,MATCHED!$K67,IF(MATCHED!BK67=11,MATCHED!$L67,IF(MATCHED!BK67=12,MATCHED!$M67,IF(MATCHED!BK67=13,MATCHED!$N67,IF(MATCHED!BK67=14,MATCHED!$O67,"")))))))&amp;IF(MATCHED!BK67=15,MATCHED!$P67,IF(MATCHED!BK67=16,MATCHED!$Q67,IF(MATCHED!BK67=17,MATCHED!$R67,IF(MATCHED!BK67=18,MATCHED!$S67,IF(MATCHED!BK67=19,MATCHED!$T67,IF(MATCHED!BK67=20,MATCHED!$U67,IF(MATCHED!BK67=21,MATCHED!$V67,)))))))&amp;IF(MATCHED!BK67=22,MATCHED!$W67,IF(MATCHED!BK67=23,MATCHED!$X67,IF(MATCHED!BK67=24,MATCHED!$Y67,IF(MATCHED!BK67=25,MATCHED!$Z67,IF(MATCHED!BK67=26,MATCHED!$AA67,IF(MATCHED!BK67=27,MATCHED!$AB67,"."))))))</f>
        <v>#N/A</v>
      </c>
      <c r="AJ67" s="535"/>
    </row>
    <row r="68" spans="1:36" s="338" customFormat="1" x14ac:dyDescent="0.25">
      <c r="A68" s="535"/>
      <c r="B68" s="378" t="e">
        <f>IF(MATCHED!AD68=1,MATCHED!$B68,IF(MATCHED!AD68=2,MATCHED!$C68,IF(MATCHED!AD68=3,MATCHED!$D68,IF(MATCHED!AD68=4,MATCHED!$E68,IF(MATCHED!AD68=3,MATCHED!$F68,IF(MATCHED!AD68=6,MATCHED!$G68,IF(MATCHED!AD68=7,MATCHED!$H68,"")))))))&amp;IF(MATCHED!AD68=8,MATCHED!$I68,IF(MATCHED!AD68=9,MATCHED!$J68,IF(MATCHED!AD68=10,MATCHED!$K68,IF(MATCHED!AD68=11,MATCHED!$L68,IF(MATCHED!AD68=12,MATCHED!$M68,IF(MATCHED!AD68=13,MATCHED!$N68,IF(MATCHED!AD68=14,MATCHED!$O68,"")))))))&amp;IF(MATCHED!AD68=15,MATCHED!$P68,IF(MATCHED!AD68=16,MATCHED!$Q68,IF(MATCHED!AD68=17,MATCHED!$R68,IF(MATCHED!AD68=18,MATCHED!$S68,IF(MATCHED!AD68=19,MATCHED!$T68,IF(MATCHED!AD68=20,MATCHED!$U68,IF(MATCHED!AD68=21,MATCHED!$V68,)))))))&amp;IF(MATCHED!AD68=22,MATCHED!$W68,IF(MATCHED!AD68=23,MATCHED!$X68,IF(MATCHED!AD68=24,MATCHED!$Y68,IF(MATCHED!AD68=25,MATCHED!$Z68,IF(MATCHED!AD68=26,MATCHED!$AA68,IF(MATCHED!AD68=27,MATCHED!$AB68,"."))))))</f>
        <v>#N/A</v>
      </c>
      <c r="C68" s="379" t="e">
        <f>IF(MATCHED!AE68=1,MATCHED!$B68,IF(MATCHED!AE68=2,MATCHED!$C68,IF(MATCHED!AE68=3,MATCHED!$D68,IF(MATCHED!AE68=4,MATCHED!$E68,IF(MATCHED!AE68=3,MATCHED!$F68,IF(MATCHED!AE68=6,MATCHED!$G68,IF(MATCHED!AE68=7,MATCHED!$H68,"")))))))&amp;IF(MATCHED!AE68=8,MATCHED!$I68,IF(MATCHED!AE68=9,MATCHED!$J68,IF(MATCHED!AE68=10,MATCHED!$K68,IF(MATCHED!AE68=11,MATCHED!$L68,IF(MATCHED!AE68=12,MATCHED!$M68,IF(MATCHED!AE68=13,MATCHED!$N68,IF(MATCHED!AE68=14,MATCHED!$O68,"")))))))&amp;IF(MATCHED!AE68=15,MATCHED!$P68,IF(MATCHED!AE68=16,MATCHED!$Q68,IF(MATCHED!AE68=17,MATCHED!$R68,IF(MATCHED!AE68=18,MATCHED!$S68,IF(MATCHED!AE68=19,MATCHED!$T68,IF(MATCHED!AE68=20,MATCHED!$U68,IF(MATCHED!AE68=21,MATCHED!$V68,)))))))&amp;IF(MATCHED!AE68=22,MATCHED!$W68,IF(MATCHED!AE68=23,MATCHED!$X68,IF(MATCHED!AE68=24,MATCHED!$Y68,IF(MATCHED!AE68=25,MATCHED!$Z68,IF(MATCHED!AE68=26,MATCHED!$AA68,IF(MATCHED!AE68=27,MATCHED!$AB68,"."))))))</f>
        <v>#N/A</v>
      </c>
      <c r="D68" s="379" t="e">
        <f>IF(MATCHED!AF68=1,MATCHED!$B68,IF(MATCHED!AF68=2,MATCHED!$C68,IF(MATCHED!AF68=3,MATCHED!$D68,IF(MATCHED!AF68=4,MATCHED!$E68,IF(MATCHED!AF68=3,MATCHED!$F68,IF(MATCHED!AF68=6,MATCHED!$G68,IF(MATCHED!AF68=7,MATCHED!$H68,"")))))))&amp;IF(MATCHED!AF68=8,MATCHED!$I68,IF(MATCHED!AF68=9,MATCHED!$J68,IF(MATCHED!AF68=10,MATCHED!$K68,IF(MATCHED!AF68=11,MATCHED!$L68,IF(MATCHED!AF68=12,MATCHED!$M68,IF(MATCHED!AF68=13,MATCHED!$N68,IF(MATCHED!AF68=14,MATCHED!$O68,"")))))))&amp;IF(MATCHED!AF68=15,MATCHED!$P68,IF(MATCHED!AF68=16,MATCHED!$Q68,IF(MATCHED!AF68=17,MATCHED!$R68,IF(MATCHED!AF68=18,MATCHED!$S68,IF(MATCHED!AF68=19,MATCHED!$T68,IF(MATCHED!AF68=20,MATCHED!$U68,IF(MATCHED!AF68=21,MATCHED!$V68,)))))))&amp;IF(MATCHED!AF68=22,MATCHED!$W68,IF(MATCHED!AF68=23,MATCHED!$X68,IF(MATCHED!AF68=24,MATCHED!$Y68,IF(MATCHED!AF68=25,MATCHED!$Z68,IF(MATCHED!AF68=26,MATCHED!$AA68,IF(MATCHED!AF68=27,MATCHED!$AB68,"."))))))</f>
        <v>#N/A</v>
      </c>
      <c r="E68" s="379" t="e">
        <f>IF(MATCHED!AG68=1,MATCHED!$B68,IF(MATCHED!AG68=2,MATCHED!$C68,IF(MATCHED!AG68=3,MATCHED!$D68,IF(MATCHED!AG68=4,MATCHED!$E68,IF(MATCHED!AG68=3,MATCHED!$F68,IF(MATCHED!AG68=6,MATCHED!$G68,IF(MATCHED!AG68=7,MATCHED!$H68,"")))))))&amp;IF(MATCHED!AG68=8,MATCHED!$I68,IF(MATCHED!AG68=9,MATCHED!$J68,IF(MATCHED!AG68=10,MATCHED!$K68,IF(MATCHED!AG68=11,MATCHED!$L68,IF(MATCHED!AG68=12,MATCHED!$M68,IF(MATCHED!AG68=13,MATCHED!$N68,IF(MATCHED!AG68=14,MATCHED!$O68,"")))))))&amp;IF(MATCHED!AG68=15,MATCHED!$P68,IF(MATCHED!AG68=16,MATCHED!$Q68,IF(MATCHED!AG68=17,MATCHED!$R68,IF(MATCHED!AG68=18,MATCHED!$S68,IF(MATCHED!AG68=19,MATCHED!$T68,IF(MATCHED!AG68=20,MATCHED!$U68,IF(MATCHED!AG68=21,MATCHED!$V68,)))))))&amp;IF(MATCHED!AG68=22,MATCHED!$W68,IF(MATCHED!AG68=23,MATCHED!$X68,IF(MATCHED!AG68=24,MATCHED!$Y68,IF(MATCHED!AG68=25,MATCHED!$Z68,IF(MATCHED!AG68=26,MATCHED!$AA68,IF(MATCHED!AG68=27,MATCHED!$AB68,"."))))))</f>
        <v>#N/A</v>
      </c>
      <c r="F68" s="379" t="e">
        <f>IF(MATCHED!AH68=1,MATCHED!$B68,IF(MATCHED!AH68=2,MATCHED!$C68,IF(MATCHED!AH68=3,MATCHED!$D68,IF(MATCHED!AH68=4,MATCHED!$E68,IF(MATCHED!AH68=3,MATCHED!$F68,IF(MATCHED!AH68=6,MATCHED!$G68,IF(MATCHED!AH68=7,MATCHED!$H68,"")))))))&amp;IF(MATCHED!AH68=8,MATCHED!$I68,IF(MATCHED!AH68=9,MATCHED!$J68,IF(MATCHED!AH68=10,MATCHED!$K68,IF(MATCHED!AH68=11,MATCHED!$L68,IF(MATCHED!AH68=12,MATCHED!$M68,IF(MATCHED!AH68=13,MATCHED!$N68,IF(MATCHED!AH68=14,MATCHED!$O68,"")))))))&amp;IF(MATCHED!AH68=15,MATCHED!$P68,IF(MATCHED!AH68=16,MATCHED!$Q68,IF(MATCHED!AH68=17,MATCHED!$R68,IF(MATCHED!AH68=18,MATCHED!$S68,IF(MATCHED!AH68=19,MATCHED!$T68,IF(MATCHED!AH68=20,MATCHED!$U68,IF(MATCHED!AH68=21,MATCHED!$V68,)))))))&amp;IF(MATCHED!AH68=22,MATCHED!$W68,IF(MATCHED!AH68=23,MATCHED!$X68,IF(MATCHED!AH68=24,MATCHED!$Y68,IF(MATCHED!AH68=25,MATCHED!$Z68,IF(MATCHED!AH68=26,MATCHED!$AA68,IF(MATCHED!AH68=27,MATCHED!$AB68,"."))))))</f>
        <v>#N/A</v>
      </c>
      <c r="G68" s="379" t="e">
        <f>IF(MATCHED!AI68=1,MATCHED!$B68,IF(MATCHED!AI68=2,MATCHED!$C68,IF(MATCHED!AI68=3,MATCHED!$D68,IF(MATCHED!AI68=4,MATCHED!$E68,IF(MATCHED!AI68=3,MATCHED!$F68,IF(MATCHED!AI68=6,MATCHED!$G68,IF(MATCHED!AI68=7,MATCHED!$H68,"")))))))&amp;IF(MATCHED!AI68=8,MATCHED!$I68,IF(MATCHED!AI68=9,MATCHED!$J68,IF(MATCHED!AI68=10,MATCHED!$K68,IF(MATCHED!AI68=11,MATCHED!$L68,IF(MATCHED!AI68=12,MATCHED!$M68,IF(MATCHED!AI68=13,MATCHED!$N68,IF(MATCHED!AI68=14,MATCHED!$O68,"")))))))&amp;IF(MATCHED!AI68=15,MATCHED!$P68,IF(MATCHED!AI68=16,MATCHED!$Q68,IF(MATCHED!AI68=17,MATCHED!$R68,IF(MATCHED!AI68=18,MATCHED!$S68,IF(MATCHED!AI68=19,MATCHED!$T68,IF(MATCHED!AI68=20,MATCHED!$U68,IF(MATCHED!AI68=21,MATCHED!$V68,)))))))&amp;IF(MATCHED!AI68=22,MATCHED!$W68,IF(MATCHED!AI68=23,MATCHED!$X68,IF(MATCHED!AI68=24,MATCHED!$Y68,IF(MATCHED!AI68=25,MATCHED!$Z68,IF(MATCHED!AI68=26,MATCHED!$AA68,IF(MATCHED!AI68=27,MATCHED!$AB68,"."))))))</f>
        <v>#N/A</v>
      </c>
      <c r="H68" s="379" t="e">
        <f>IF(MATCHED!AJ68=1,MATCHED!$B68,IF(MATCHED!AJ68=2,MATCHED!$C68,IF(MATCHED!AJ68=3,MATCHED!$D68,IF(MATCHED!AJ68=4,MATCHED!$E68,IF(MATCHED!AJ68=3,MATCHED!$F68,IF(MATCHED!AJ68=6,MATCHED!$G68,IF(MATCHED!AJ68=7,MATCHED!$H68,"")))))))&amp;IF(MATCHED!AJ68=8,MATCHED!$I68,IF(MATCHED!AJ68=9,MATCHED!$J68,IF(MATCHED!AJ68=10,MATCHED!$K68,IF(MATCHED!AJ68=11,MATCHED!$L68,IF(MATCHED!AJ68=12,MATCHED!$M68,IF(MATCHED!AJ68=13,MATCHED!$N68,IF(MATCHED!AJ68=14,MATCHED!$O68,"")))))))&amp;IF(MATCHED!AJ68=15,MATCHED!$P68,IF(MATCHED!AJ68=16,MATCHED!$Q68,IF(MATCHED!AJ68=17,MATCHED!$R68,IF(MATCHED!AJ68=18,MATCHED!$S68,IF(MATCHED!AJ68=19,MATCHED!$T68,IF(MATCHED!AJ68=20,MATCHED!$U68,IF(MATCHED!AJ68=21,MATCHED!$V68,)))))))&amp;IF(MATCHED!AJ68=22,MATCHED!$W68,IF(MATCHED!AJ68=23,MATCHED!$X68,IF(MATCHED!AJ68=24,MATCHED!$Y68,IF(MATCHED!AJ68=25,MATCHED!$Z68,IF(MATCHED!AJ68=26,MATCHED!$AA68,IF(MATCHED!AJ68=27,MATCHED!$AB68,"."))))))</f>
        <v>#N/A</v>
      </c>
      <c r="I68" s="379" t="e">
        <f>IF(MATCHED!AK68=1,MATCHED!$B68,IF(MATCHED!AK68=2,MATCHED!$C68,IF(MATCHED!AK68=3,MATCHED!$D68,IF(MATCHED!AK68=4,MATCHED!$E68,IF(MATCHED!AK68=3,MATCHED!$F68,IF(MATCHED!AK68=6,MATCHED!$G68,IF(MATCHED!AK68=7,MATCHED!$H68,"")))))))&amp;IF(MATCHED!AK68=8,MATCHED!$I68,IF(MATCHED!AK68=9,MATCHED!$J68,IF(MATCHED!AK68=10,MATCHED!$K68,IF(MATCHED!AK68=11,MATCHED!$L68,IF(MATCHED!AK68=12,MATCHED!$M68,IF(MATCHED!AK68=13,MATCHED!$N68,IF(MATCHED!AK68=14,MATCHED!$O68,"")))))))&amp;IF(MATCHED!AK68=15,MATCHED!$P68,IF(MATCHED!AK68=16,MATCHED!$Q68,IF(MATCHED!AK68=17,MATCHED!$R68,IF(MATCHED!AK68=18,MATCHED!$S68,IF(MATCHED!AK68=19,MATCHED!$T68,IF(MATCHED!AK68=20,MATCHED!$U68,IF(MATCHED!AK68=21,MATCHED!$V68,)))))))&amp;IF(MATCHED!AK68=22,MATCHED!$W68,IF(MATCHED!AK68=23,MATCHED!$X68,IF(MATCHED!AK68=24,MATCHED!$Y68,IF(MATCHED!AK68=25,MATCHED!$Z68,IF(MATCHED!AK68=26,MATCHED!$AA68,IF(MATCHED!AK68=27,MATCHED!$AB68,"."))))))</f>
        <v>#N/A</v>
      </c>
      <c r="J68" s="379" t="e">
        <f>IF(MATCHED!AL68=1,MATCHED!$B68,IF(MATCHED!AL68=2,MATCHED!$C68,IF(MATCHED!AL68=3,MATCHED!$D68,IF(MATCHED!AL68=4,MATCHED!$E68,IF(MATCHED!AL68=3,MATCHED!$F68,IF(MATCHED!AL68=6,MATCHED!$G68,IF(MATCHED!AL68=7,MATCHED!$H68,"")))))))&amp;IF(MATCHED!AL68=8,MATCHED!$I68,IF(MATCHED!AL68=9,MATCHED!$J68,IF(MATCHED!AL68=10,MATCHED!$K68,IF(MATCHED!AL68=11,MATCHED!$L68,IF(MATCHED!AL68=12,MATCHED!$M68,IF(MATCHED!AL68=13,MATCHED!$N68,IF(MATCHED!AL68=14,MATCHED!$O68,"")))))))&amp;IF(MATCHED!AL68=15,MATCHED!$P68,IF(MATCHED!AL68=16,MATCHED!$Q68,IF(MATCHED!AL68=17,MATCHED!$R68,IF(MATCHED!AL68=18,MATCHED!$S68,IF(MATCHED!AL68=19,MATCHED!$T68,IF(MATCHED!AL68=20,MATCHED!$U68,IF(MATCHED!AL68=21,MATCHED!$V68,)))))))&amp;IF(MATCHED!AL68=22,MATCHED!$W68,IF(MATCHED!AL68=23,MATCHED!$X68,IF(MATCHED!AL68=24,MATCHED!$Y68,IF(MATCHED!AL68=25,MATCHED!$Z68,IF(MATCHED!AL68=26,MATCHED!$AA68,IF(MATCHED!AL68=27,MATCHED!$AB68,"."))))))</f>
        <v>#N/A</v>
      </c>
      <c r="K68" s="379" t="e">
        <f>IF(MATCHED!AM68=1,MATCHED!$B68,IF(MATCHED!AM68=2,MATCHED!$C68,IF(MATCHED!AM68=3,MATCHED!$D68,IF(MATCHED!AM68=4,MATCHED!$E68,IF(MATCHED!AM68=3,MATCHED!$F68,IF(MATCHED!AM68=6,MATCHED!$G68,IF(MATCHED!AM68=7,MATCHED!$H68,"")))))))&amp;IF(MATCHED!AM68=8,MATCHED!$I68,IF(MATCHED!AM68=9,MATCHED!$J68,IF(MATCHED!AM68=10,MATCHED!$K68,IF(MATCHED!AM68=11,MATCHED!$L68,IF(MATCHED!AM68=12,MATCHED!$M68,IF(MATCHED!AM68=13,MATCHED!$N68,IF(MATCHED!AM68=14,MATCHED!$O68,"")))))))&amp;IF(MATCHED!AM68=15,MATCHED!$P68,IF(MATCHED!AM68=16,MATCHED!$Q68,IF(MATCHED!AM68=17,MATCHED!$R68,IF(MATCHED!AM68=18,MATCHED!$S68,IF(MATCHED!AM68=19,MATCHED!$T68,IF(MATCHED!AM68=20,MATCHED!$U68,IF(MATCHED!AM68=21,MATCHED!$V68,)))))))&amp;IF(MATCHED!AM68=22,MATCHED!$W68,IF(MATCHED!AM68=23,MATCHED!$X68,IF(MATCHED!AM68=24,MATCHED!$Y68,IF(MATCHED!AM68=25,MATCHED!$Z68,IF(MATCHED!AM68=26,MATCHED!$AA68,IF(MATCHED!AM68=27,MATCHED!$AB68,"."))))))</f>
        <v>#N/A</v>
      </c>
      <c r="L68" s="379" t="e">
        <f>IF(MATCHED!AN68=1,MATCHED!$B68,IF(MATCHED!AN68=2,MATCHED!$C68,IF(MATCHED!AN68=3,MATCHED!$D68,IF(MATCHED!AN68=4,MATCHED!$E68,IF(MATCHED!AN68=3,MATCHED!$F68,IF(MATCHED!AN68=6,MATCHED!$G68,IF(MATCHED!AN68=7,MATCHED!$H68,"")))))))&amp;IF(MATCHED!AN68=8,MATCHED!$I68,IF(MATCHED!AN68=9,MATCHED!$J68,IF(MATCHED!AN68=10,MATCHED!$K68,IF(MATCHED!AN68=11,MATCHED!$L68,IF(MATCHED!AN68=12,MATCHED!$M68,IF(MATCHED!AN68=13,MATCHED!$N68,IF(MATCHED!AN68=14,MATCHED!$O68,"")))))))&amp;IF(MATCHED!AN68=15,MATCHED!$P68,IF(MATCHED!AN68=16,MATCHED!$Q68,IF(MATCHED!AN68=17,MATCHED!$R68,IF(MATCHED!AN68=18,MATCHED!$S68,IF(MATCHED!AN68=19,MATCHED!$T68,IF(MATCHED!AN68=20,MATCHED!$U68,IF(MATCHED!AN68=21,MATCHED!$V68,)))))))&amp;IF(MATCHED!AN68=22,MATCHED!$W68,IF(MATCHED!AN68=23,MATCHED!$X68,IF(MATCHED!AN68=24,MATCHED!$Y68,IF(MATCHED!AN68=25,MATCHED!$Z68,IF(MATCHED!AN68=26,MATCHED!$AA68,IF(MATCHED!AN68=27,MATCHED!$AB68,"."))))))</f>
        <v>#N/A</v>
      </c>
      <c r="M68" s="379" t="e">
        <f>IF(MATCHED!AO68=1,MATCHED!$B68,IF(MATCHED!AO68=2,MATCHED!$C68,IF(MATCHED!AO68=3,MATCHED!$D68,IF(MATCHED!AO68=4,MATCHED!$E68,IF(MATCHED!AO68=3,MATCHED!$F68,IF(MATCHED!AO68=6,MATCHED!$G68,IF(MATCHED!AO68=7,MATCHED!$H68,"")))))))&amp;IF(MATCHED!AO68=8,MATCHED!$I68,IF(MATCHED!AO68=9,MATCHED!$J68,IF(MATCHED!AO68=10,MATCHED!$K68,IF(MATCHED!AO68=11,MATCHED!$L68,IF(MATCHED!AO68=12,MATCHED!$M68,IF(MATCHED!AO68=13,MATCHED!$N68,IF(MATCHED!AO68=14,MATCHED!$O68,"")))))))&amp;IF(MATCHED!AO68=15,MATCHED!$P68,IF(MATCHED!AO68=16,MATCHED!$Q68,IF(MATCHED!AO68=17,MATCHED!$R68,IF(MATCHED!AO68=18,MATCHED!$S68,IF(MATCHED!AO68=19,MATCHED!$T68,IF(MATCHED!AO68=20,MATCHED!$U68,IF(MATCHED!AO68=21,MATCHED!$V68,)))))))&amp;IF(MATCHED!AO68=22,MATCHED!$W68,IF(MATCHED!AO68=23,MATCHED!$X68,IF(MATCHED!AO68=24,MATCHED!$Y68,IF(MATCHED!AO68=25,MATCHED!$Z68,IF(MATCHED!AO68=26,MATCHED!$AA68,IF(MATCHED!AO68=27,MATCHED!$AB68,"."))))))</f>
        <v>#N/A</v>
      </c>
      <c r="N68" s="379" t="e">
        <f>IF(MATCHED!AP68=1,MATCHED!$B68,IF(MATCHED!AP68=2,MATCHED!$C68,IF(MATCHED!AP68=3,MATCHED!$D68,IF(MATCHED!AP68=4,MATCHED!$E68,IF(MATCHED!AP68=3,MATCHED!$F68,IF(MATCHED!AP68=6,MATCHED!$G68,IF(MATCHED!AP68=7,MATCHED!$H68,"")))))))&amp;IF(MATCHED!AP68=8,MATCHED!$I68,IF(MATCHED!AP68=9,MATCHED!$J68,IF(MATCHED!AP68=10,MATCHED!$K68,IF(MATCHED!AP68=11,MATCHED!$L68,IF(MATCHED!AP68=12,MATCHED!$M68,IF(MATCHED!AP68=13,MATCHED!$N68,IF(MATCHED!AP68=14,MATCHED!$O68,"")))))))&amp;IF(MATCHED!AP68=15,MATCHED!$P68,IF(MATCHED!AP68=16,MATCHED!$Q68,IF(MATCHED!AP68=17,MATCHED!$R68,IF(MATCHED!AP68=18,MATCHED!$S68,IF(MATCHED!AP68=19,MATCHED!$T68,IF(MATCHED!AP68=20,MATCHED!$U68,IF(MATCHED!AP68=21,MATCHED!$V68,)))))))&amp;IF(MATCHED!AP68=22,MATCHED!$W68,IF(MATCHED!AP68=23,MATCHED!$X68,IF(MATCHED!AP68=24,MATCHED!$Y68,IF(MATCHED!AP68=25,MATCHED!$Z68,IF(MATCHED!AP68=26,MATCHED!$AA68,IF(MATCHED!AP68=27,MATCHED!$AB68,"."))))))</f>
        <v>#N/A</v>
      </c>
      <c r="O68" s="379" t="e">
        <f>IF(MATCHED!AQ68=1,MATCHED!$B68,IF(MATCHED!AQ68=2,MATCHED!$C68,IF(MATCHED!AQ68=3,MATCHED!$D68,IF(MATCHED!AQ68=4,MATCHED!$E68,IF(MATCHED!AQ68=3,MATCHED!$F68,IF(MATCHED!AQ68=6,MATCHED!$G68,IF(MATCHED!AQ68=7,MATCHED!$H68,"")))))))&amp;IF(MATCHED!AQ68=8,MATCHED!$I68,IF(MATCHED!AQ68=9,MATCHED!$J68,IF(MATCHED!AQ68=10,MATCHED!$K68,IF(MATCHED!AQ68=11,MATCHED!$L68,IF(MATCHED!AQ68=12,MATCHED!$M68,IF(MATCHED!AQ68=13,MATCHED!$N68,IF(MATCHED!AQ68=14,MATCHED!$O68,"")))))))&amp;IF(MATCHED!AQ68=15,MATCHED!$P68,IF(MATCHED!AQ68=16,MATCHED!$Q68,IF(MATCHED!AQ68=17,MATCHED!$R68,IF(MATCHED!AQ68=18,MATCHED!$S68,IF(MATCHED!AQ68=19,MATCHED!$T68,IF(MATCHED!AQ68=20,MATCHED!$U68,IF(MATCHED!AQ68=21,MATCHED!$V68,)))))))&amp;IF(MATCHED!AQ68=22,MATCHED!$W68,IF(MATCHED!AQ68=23,MATCHED!$X68,IF(MATCHED!AQ68=24,MATCHED!$Y68,IF(MATCHED!AQ68=25,MATCHED!$Z68,IF(MATCHED!AQ68=26,MATCHED!$AA68,IF(MATCHED!AQ68=27,MATCHED!$AB68,"."))))))</f>
        <v>#N/A</v>
      </c>
      <c r="P68" s="379" t="e">
        <f>IF(MATCHED!AR68=1,MATCHED!$B68,IF(MATCHED!AR68=2,MATCHED!$C68,IF(MATCHED!AR68=3,MATCHED!$D68,IF(MATCHED!AR68=4,MATCHED!$E68,IF(MATCHED!AR68=3,MATCHED!$F68,IF(MATCHED!AR68=6,MATCHED!$G68,IF(MATCHED!AR68=7,MATCHED!$H68,"")))))))&amp;IF(MATCHED!AR68=8,MATCHED!$I68,IF(MATCHED!AR68=9,MATCHED!$J68,IF(MATCHED!AR68=10,MATCHED!$K68,IF(MATCHED!AR68=11,MATCHED!$L68,IF(MATCHED!AR68=12,MATCHED!$M68,IF(MATCHED!AR68=13,MATCHED!$N68,IF(MATCHED!AR68=14,MATCHED!$O68,"")))))))&amp;IF(MATCHED!AR68=15,MATCHED!$P68,IF(MATCHED!AR68=16,MATCHED!$Q68,IF(MATCHED!AR68=17,MATCHED!$R68,IF(MATCHED!AR68=18,MATCHED!$S68,IF(MATCHED!AR68=19,MATCHED!$T68,IF(MATCHED!AR68=20,MATCHED!$U68,IF(MATCHED!AR68=21,MATCHED!$V68,)))))))&amp;IF(MATCHED!AR68=22,MATCHED!$W68,IF(MATCHED!AR68=23,MATCHED!$X68,IF(MATCHED!AR68=24,MATCHED!$Y68,IF(MATCHED!AR68=25,MATCHED!$Z68,IF(MATCHED!AR68=26,MATCHED!$AA68,IF(MATCHED!AR68=27,MATCHED!$AB68,"."))))))</f>
        <v>#N/A</v>
      </c>
      <c r="Q68" s="379" t="e">
        <f>IF(MATCHED!AS68=1,MATCHED!$B68,IF(MATCHED!AS68=2,MATCHED!$C68,IF(MATCHED!AS68=3,MATCHED!$D68,IF(MATCHED!AS68=4,MATCHED!$E68,IF(MATCHED!AS68=3,MATCHED!$F68,IF(MATCHED!AS68=6,MATCHED!$G68,IF(MATCHED!AS68=7,MATCHED!$H68,"")))))))&amp;IF(MATCHED!AS68=8,MATCHED!$I68,IF(MATCHED!AS68=9,MATCHED!$J68,IF(MATCHED!AS68=10,MATCHED!$K68,IF(MATCHED!AS68=11,MATCHED!$L68,IF(MATCHED!AS68=12,MATCHED!$M68,IF(MATCHED!AS68=13,MATCHED!$N68,IF(MATCHED!AS68=14,MATCHED!$O68,"")))))))&amp;IF(MATCHED!AS68=15,MATCHED!$P68,IF(MATCHED!AS68=16,MATCHED!$Q68,IF(MATCHED!AS68=17,MATCHED!$R68,IF(MATCHED!AS68=18,MATCHED!$S68,IF(MATCHED!AS68=19,MATCHED!$T68,IF(MATCHED!AS68=20,MATCHED!$U68,IF(MATCHED!AS68=21,MATCHED!$V68,)))))))&amp;IF(MATCHED!AS68=22,MATCHED!$W68,IF(MATCHED!AS68=23,MATCHED!$X68,IF(MATCHED!AS68=24,MATCHED!$Y68,IF(MATCHED!AS68=25,MATCHED!$Z68,IF(MATCHED!AS68=26,MATCHED!$AA68,IF(MATCHED!AS68=27,MATCHED!$AB68,"."))))))</f>
        <v>#N/A</v>
      </c>
      <c r="R68" s="380" t="e">
        <f>IF(MATCHED!AT68=1,MATCHED!$B68,IF(MATCHED!AT68=2,MATCHED!$C68,IF(MATCHED!AT68=3,MATCHED!$D68,IF(MATCHED!AT68=4,MATCHED!$E68,IF(MATCHED!AT68=3,MATCHED!$F68,IF(MATCHED!AT68=6,MATCHED!$G68,IF(MATCHED!AT68=7,MATCHED!$H68,"")))))))&amp;IF(MATCHED!AT68=8,MATCHED!$I68,IF(MATCHED!AT68=9,MATCHED!$J68,IF(MATCHED!AT68=10,MATCHED!$K68,IF(MATCHED!AT68=11,MATCHED!$L68,IF(MATCHED!AT68=12,MATCHED!$M68,IF(MATCHED!AT68=13,MATCHED!$N68,IF(MATCHED!AT68=14,MATCHED!$O68,"")))))))&amp;IF(MATCHED!AT68=15,MATCHED!$P68,IF(MATCHED!AT68=16,MATCHED!$Q68,IF(MATCHED!AT68=17,MATCHED!$R68,IF(MATCHED!AT68=18,MATCHED!$S68,IF(MATCHED!AT68=19,MATCHED!$T68,IF(MATCHED!AT68=20,MATCHED!$U68,IF(MATCHED!AT68=21,MATCHED!$V68,)))))))&amp;IF(MATCHED!AT68=22,MATCHED!$W68,IF(MATCHED!AT68=23,MATCHED!$X68,IF(MATCHED!AT68=24,MATCHED!$Y68,IF(MATCHED!AT68=25,MATCHED!$Z68,IF(MATCHED!AT68=26,MATCHED!$AA68,IF(MATCHED!AT68=27,MATCHED!$AB68,"."))))))</f>
        <v>#N/A</v>
      </c>
      <c r="S68" s="379" t="e">
        <f>IF(MATCHED!AU68=1,MATCHED!$B68,IF(MATCHED!AU68=2,MATCHED!$C68,IF(MATCHED!AU68=3,MATCHED!$D68,IF(MATCHED!AU68=4,MATCHED!$E68,IF(MATCHED!AU68=3,MATCHED!$F68,IF(MATCHED!AU68=6,MATCHED!$G68,IF(MATCHED!AU68=7,MATCHED!$H68,"")))))))&amp;IF(MATCHED!AU68=8,MATCHED!$I68,IF(MATCHED!AU68=9,MATCHED!$J68,IF(MATCHED!AU68=10,MATCHED!$K68,IF(MATCHED!AU68=11,MATCHED!$L68,IF(MATCHED!AU68=12,MATCHED!$M68,IF(MATCHED!AU68=13,MATCHED!$N68,IF(MATCHED!AU68=14,MATCHED!$O68,"")))))))&amp;IF(MATCHED!AU68=15,MATCHED!$P68,IF(MATCHED!AU68=16,MATCHED!$Q68,IF(MATCHED!AU68=17,MATCHED!$R68,IF(MATCHED!AU68=18,MATCHED!$S68,IF(MATCHED!AU68=19,MATCHED!$T68,IF(MATCHED!AU68=20,MATCHED!$U68,IF(MATCHED!AU68=21,MATCHED!$V68,)))))))&amp;IF(MATCHED!AU68=22,MATCHED!$W68,IF(MATCHED!AU68=23,MATCHED!$X68,IF(MATCHED!AU68=24,MATCHED!$Y68,IF(MATCHED!AU68=25,MATCHED!$Z68,IF(MATCHED!AU68=26,MATCHED!$AA68,IF(MATCHED!AU68=27,MATCHED!$AB68,"."))))))</f>
        <v>#N/A</v>
      </c>
      <c r="T68" s="379" t="e">
        <f>IF(MATCHED!AV68=1,MATCHED!$B68,IF(MATCHED!AV68=2,MATCHED!$C68,IF(MATCHED!AV68=3,MATCHED!$D68,IF(MATCHED!AV68=4,MATCHED!$E68,IF(MATCHED!AV68=3,MATCHED!$F68,IF(MATCHED!AV68=6,MATCHED!$G68,IF(MATCHED!AV68=7,MATCHED!$H68,"")))))))&amp;IF(MATCHED!AV68=8,MATCHED!$I68,IF(MATCHED!AV68=9,MATCHED!$J68,IF(MATCHED!AV68=10,MATCHED!$K68,IF(MATCHED!AV68=11,MATCHED!$L68,IF(MATCHED!AV68=12,MATCHED!$M68,IF(MATCHED!AV68=13,MATCHED!$N68,IF(MATCHED!AV68=14,MATCHED!$O68,"")))))))&amp;IF(MATCHED!AV68=15,MATCHED!$P68,IF(MATCHED!AV68=16,MATCHED!$Q68,IF(MATCHED!AV68=17,MATCHED!$R68,IF(MATCHED!AV68=18,MATCHED!$S68,IF(MATCHED!AV68=19,MATCHED!$T68,IF(MATCHED!AV68=20,MATCHED!$U68,IF(MATCHED!AV68=21,MATCHED!$V68,)))))))&amp;IF(MATCHED!AV68=22,MATCHED!$W68,IF(MATCHED!AV68=23,MATCHED!$X68,IF(MATCHED!AV68=24,MATCHED!$Y68,IF(MATCHED!AV68=25,MATCHED!$Z68,IF(MATCHED!AV68=26,MATCHED!$AA68,IF(MATCHED!AV68=27,MATCHED!$AB68,"."))))))</f>
        <v>#N/A</v>
      </c>
      <c r="U68" s="379" t="e">
        <f>IF(MATCHED!AW68=1,MATCHED!$B68,IF(MATCHED!AW68=2,MATCHED!$C68,IF(MATCHED!AW68=3,MATCHED!$D68,IF(MATCHED!AW68=4,MATCHED!$E68,IF(MATCHED!AW68=3,MATCHED!$F68,IF(MATCHED!AW68=6,MATCHED!$G68,IF(MATCHED!AW68=7,MATCHED!$H68,"")))))))&amp;IF(MATCHED!AW68=8,MATCHED!$I68,IF(MATCHED!AW68=9,MATCHED!$J68,IF(MATCHED!AW68=10,MATCHED!$K68,IF(MATCHED!AW68=11,MATCHED!$L68,IF(MATCHED!AW68=12,MATCHED!$M68,IF(MATCHED!AW68=13,MATCHED!$N68,IF(MATCHED!AW68=14,MATCHED!$O68,"")))))))&amp;IF(MATCHED!AW68=15,MATCHED!$P68,IF(MATCHED!AW68=16,MATCHED!$Q68,IF(MATCHED!AW68=17,MATCHED!$R68,IF(MATCHED!AW68=18,MATCHED!$S68,IF(MATCHED!AW68=19,MATCHED!$T68,IF(MATCHED!AW68=20,MATCHED!$U68,IF(MATCHED!AW68=21,MATCHED!$V68,)))))))&amp;IF(MATCHED!AW68=22,MATCHED!$W68,IF(MATCHED!AW68=23,MATCHED!$X68,IF(MATCHED!AW68=24,MATCHED!$Y68,IF(MATCHED!AW68=25,MATCHED!$Z68,IF(MATCHED!AW68=26,MATCHED!$AA68,IF(MATCHED!AW68=27,MATCHED!$AB68,"."))))))</f>
        <v>#N/A</v>
      </c>
      <c r="V68" s="379" t="e">
        <f>IF(MATCHED!AX68=1,MATCHED!$B68,IF(MATCHED!AX68=2,MATCHED!$C68,IF(MATCHED!AX68=3,MATCHED!$D68,IF(MATCHED!AX68=4,MATCHED!$E68,IF(MATCHED!AX68=3,MATCHED!$F68,IF(MATCHED!AX68=6,MATCHED!$G68,IF(MATCHED!AX68=7,MATCHED!$H68,"")))))))&amp;IF(MATCHED!AX68=8,MATCHED!$I68,IF(MATCHED!AX68=9,MATCHED!$J68,IF(MATCHED!AX68=10,MATCHED!$K68,IF(MATCHED!AX68=11,MATCHED!$L68,IF(MATCHED!AX68=12,MATCHED!$M68,IF(MATCHED!AX68=13,MATCHED!$N68,IF(MATCHED!AX68=14,MATCHED!$O68,"")))))))&amp;IF(MATCHED!AX68=15,MATCHED!$P68,IF(MATCHED!AX68=16,MATCHED!$Q68,IF(MATCHED!AX68=17,MATCHED!$R68,IF(MATCHED!AX68=18,MATCHED!$S68,IF(MATCHED!AX68=19,MATCHED!$T68,IF(MATCHED!AX68=20,MATCHED!$U68,IF(MATCHED!AX68=21,MATCHED!$V68,)))))))&amp;IF(MATCHED!AX68=22,MATCHED!$W68,IF(MATCHED!AX68=23,MATCHED!$X68,IF(MATCHED!AX68=24,MATCHED!$Y68,IF(MATCHED!AX68=25,MATCHED!$Z68,IF(MATCHED!AX68=26,MATCHED!$AA68,IF(MATCHED!AX68=27,MATCHED!$AB68,"."))))))</f>
        <v>#N/A</v>
      </c>
      <c r="W68" s="379" t="e">
        <f>IF(MATCHED!AY68=1,MATCHED!$B68,IF(MATCHED!AY68=2,MATCHED!$C68,IF(MATCHED!AY68=3,MATCHED!$D68,IF(MATCHED!AY68=4,MATCHED!$E68,IF(MATCHED!AY68=3,MATCHED!$F68,IF(MATCHED!AY68=6,MATCHED!$G68,IF(MATCHED!AY68=7,MATCHED!$H68,"")))))))&amp;IF(MATCHED!AY68=8,MATCHED!$I68,IF(MATCHED!AY68=9,MATCHED!$J68,IF(MATCHED!AY68=10,MATCHED!$K68,IF(MATCHED!AY68=11,MATCHED!$L68,IF(MATCHED!AY68=12,MATCHED!$M68,IF(MATCHED!AY68=13,MATCHED!$N68,IF(MATCHED!AY68=14,MATCHED!$O68,"")))))))&amp;IF(MATCHED!AY68=15,MATCHED!$P68,IF(MATCHED!AY68=16,MATCHED!$Q68,IF(MATCHED!AY68=17,MATCHED!$R68,IF(MATCHED!AY68=18,MATCHED!$S68,IF(MATCHED!AY68=19,MATCHED!$T68,IF(MATCHED!AY68=20,MATCHED!$U68,IF(MATCHED!AY68=21,MATCHED!$V68,)))))))&amp;IF(MATCHED!AY68=22,MATCHED!$W68,IF(MATCHED!AY68=23,MATCHED!$X68,IF(MATCHED!AY68=24,MATCHED!$Y68,IF(MATCHED!AY68=25,MATCHED!$Z68,IF(MATCHED!AY68=26,MATCHED!$AA68,IF(MATCHED!AY68=27,MATCHED!$AB68,"."))))))</f>
        <v>#N/A</v>
      </c>
      <c r="X68" s="379" t="e">
        <f>IF(MATCHED!AZ68=1,MATCHED!$B68,IF(MATCHED!AZ68=2,MATCHED!$C68,IF(MATCHED!AZ68=3,MATCHED!$D68,IF(MATCHED!AZ68=4,MATCHED!$E68,IF(MATCHED!AZ68=3,MATCHED!$F68,IF(MATCHED!AZ68=6,MATCHED!$G68,IF(MATCHED!AZ68=7,MATCHED!$H68,"")))))))&amp;IF(MATCHED!AZ68=8,MATCHED!$I68,IF(MATCHED!AZ68=9,MATCHED!$J68,IF(MATCHED!AZ68=10,MATCHED!$K68,IF(MATCHED!AZ68=11,MATCHED!$L68,IF(MATCHED!AZ68=12,MATCHED!$M68,IF(MATCHED!AZ68=13,MATCHED!$N68,IF(MATCHED!AZ68=14,MATCHED!$O68,"")))))))&amp;IF(MATCHED!AZ68=15,MATCHED!$P68,IF(MATCHED!AZ68=16,MATCHED!$Q68,IF(MATCHED!AZ68=17,MATCHED!$R68,IF(MATCHED!AZ68=18,MATCHED!$S68,IF(MATCHED!AZ68=19,MATCHED!$T68,IF(MATCHED!AZ68=20,MATCHED!$U68,IF(MATCHED!AZ68=21,MATCHED!$V68,)))))))&amp;IF(MATCHED!AZ68=22,MATCHED!$W68,IF(MATCHED!AZ68=23,MATCHED!$X68,IF(MATCHED!AZ68=24,MATCHED!$Y68,IF(MATCHED!AZ68=25,MATCHED!$Z68,IF(MATCHED!AZ68=26,MATCHED!$AA68,IF(MATCHED!AZ68=27,MATCHED!$AB68,"."))))))</f>
        <v>#N/A</v>
      </c>
      <c r="Y68" s="379" t="e">
        <f>IF(MATCHED!BA68=1,MATCHED!$B68,IF(MATCHED!BA68=2,MATCHED!$C68,IF(MATCHED!BA68=3,MATCHED!$D68,IF(MATCHED!BA68=4,MATCHED!$E68,IF(MATCHED!BA68=3,MATCHED!$F68,IF(MATCHED!BA68=6,MATCHED!$G68,IF(MATCHED!BA68=7,MATCHED!$H68,"")))))))&amp;IF(MATCHED!BA68=8,MATCHED!$I68,IF(MATCHED!BA68=9,MATCHED!$J68,IF(MATCHED!BA68=10,MATCHED!$K68,IF(MATCHED!BA68=11,MATCHED!$L68,IF(MATCHED!BA68=12,MATCHED!$M68,IF(MATCHED!BA68=13,MATCHED!$N68,IF(MATCHED!BA68=14,MATCHED!$O68,"")))))))&amp;IF(MATCHED!BA68=15,MATCHED!$P68,IF(MATCHED!BA68=16,MATCHED!$Q68,IF(MATCHED!BA68=17,MATCHED!$R68,IF(MATCHED!BA68=18,MATCHED!$S68,IF(MATCHED!BA68=19,MATCHED!$T68,IF(MATCHED!BA68=20,MATCHED!$U68,IF(MATCHED!BA68=21,MATCHED!$V68,)))))))&amp;IF(MATCHED!BA68=22,MATCHED!$W68,IF(MATCHED!BA68=23,MATCHED!$X68,IF(MATCHED!BA68=24,MATCHED!$Y68,IF(MATCHED!BA68=25,MATCHED!$Z68,IF(MATCHED!BA68=26,MATCHED!$AA68,IF(MATCHED!BA68=27,MATCHED!$AB68,"."))))))</f>
        <v>#N/A</v>
      </c>
      <c r="Z68" s="379" t="e">
        <f>IF(MATCHED!BB68=1,MATCHED!$B68,IF(MATCHED!BB68=2,MATCHED!$C68,IF(MATCHED!BB68=3,MATCHED!$D68,IF(MATCHED!BB68=4,MATCHED!$E68,IF(MATCHED!BB68=3,MATCHED!$F68,IF(MATCHED!BB68=6,MATCHED!$G68,IF(MATCHED!BB68=7,MATCHED!$H68,"")))))))&amp;IF(MATCHED!BB68=8,MATCHED!$I68,IF(MATCHED!BB68=9,MATCHED!$J68,IF(MATCHED!BB68=10,MATCHED!$K68,IF(MATCHED!BB68=11,MATCHED!$L68,IF(MATCHED!BB68=12,MATCHED!$M68,IF(MATCHED!BB68=13,MATCHED!$N68,IF(MATCHED!BB68=14,MATCHED!$O68,"")))))))&amp;IF(MATCHED!BB68=15,MATCHED!$P68,IF(MATCHED!BB68=16,MATCHED!$Q68,IF(MATCHED!BB68=17,MATCHED!$R68,IF(MATCHED!BB68=18,MATCHED!$S68,IF(MATCHED!BB68=19,MATCHED!$T68,IF(MATCHED!BB68=20,MATCHED!$U68,IF(MATCHED!BB68=21,MATCHED!$V68,)))))))&amp;IF(MATCHED!BB68=22,MATCHED!$W68,IF(MATCHED!BB68=23,MATCHED!$X68,IF(MATCHED!BB68=24,MATCHED!$Y68,IF(MATCHED!BB68=25,MATCHED!$Z68,IF(MATCHED!BB68=26,MATCHED!$AA68,IF(MATCHED!BB68=27,MATCHED!$AB68,"."))))))</f>
        <v>#N/A</v>
      </c>
      <c r="AA68" s="379" t="e">
        <f>IF(MATCHED!BC68=1,MATCHED!$B68,IF(MATCHED!BC68=2,MATCHED!$C68,IF(MATCHED!BC68=3,MATCHED!$D68,IF(MATCHED!BC68=4,MATCHED!$E68,IF(MATCHED!BC68=3,MATCHED!$F68,IF(MATCHED!BC68=6,MATCHED!$G68,IF(MATCHED!BC68=7,MATCHED!$H68,"")))))))&amp;IF(MATCHED!BC68=8,MATCHED!$I68,IF(MATCHED!BC68=9,MATCHED!$J68,IF(MATCHED!BC68=10,MATCHED!$K68,IF(MATCHED!BC68=11,MATCHED!$L68,IF(MATCHED!BC68=12,MATCHED!$M68,IF(MATCHED!BC68=13,MATCHED!$N68,IF(MATCHED!BC68=14,MATCHED!$O68,"")))))))&amp;IF(MATCHED!BC68=15,MATCHED!$P68,IF(MATCHED!BC68=16,MATCHED!$Q68,IF(MATCHED!BC68=17,MATCHED!$R68,IF(MATCHED!BC68=18,MATCHED!$S68,IF(MATCHED!BC68=19,MATCHED!$T68,IF(MATCHED!BC68=20,MATCHED!$U68,IF(MATCHED!BC68=21,MATCHED!$V68,)))))))&amp;IF(MATCHED!BC68=22,MATCHED!$W68,IF(MATCHED!BC68=23,MATCHED!$X68,IF(MATCHED!BC68=24,MATCHED!$Y68,IF(MATCHED!BC68=25,MATCHED!$Z68,IF(MATCHED!BC68=26,MATCHED!$AA68,IF(MATCHED!BC68=27,MATCHED!$AB68,"."))))))</f>
        <v>#N/A</v>
      </c>
      <c r="AB68" s="379" t="e">
        <f>IF(MATCHED!BD68=1,MATCHED!$B68,IF(MATCHED!BD68=2,MATCHED!$C68,IF(MATCHED!BD68=3,MATCHED!$D68,IF(MATCHED!BD68=4,MATCHED!$E68,IF(MATCHED!BD68=3,MATCHED!$F68,IF(MATCHED!BD68=6,MATCHED!$G68,IF(MATCHED!BD68=7,MATCHED!$H68,"")))))))&amp;IF(MATCHED!BD68=8,MATCHED!$I68,IF(MATCHED!BD68=9,MATCHED!$J68,IF(MATCHED!BD68=10,MATCHED!$K68,IF(MATCHED!BD68=11,MATCHED!$L68,IF(MATCHED!BD68=12,MATCHED!$M68,IF(MATCHED!BD68=13,MATCHED!$N68,IF(MATCHED!BD68=14,MATCHED!$O68,"")))))))&amp;IF(MATCHED!BD68=15,MATCHED!$P68,IF(MATCHED!BD68=16,MATCHED!$Q68,IF(MATCHED!BD68=17,MATCHED!$R68,IF(MATCHED!BD68=18,MATCHED!$S68,IF(MATCHED!BD68=19,MATCHED!$T68,IF(MATCHED!BD68=20,MATCHED!$U68,IF(MATCHED!BD68=21,MATCHED!$V68,)))))))&amp;IF(MATCHED!BD68=22,MATCHED!$W68,IF(MATCHED!BD68=23,MATCHED!$X68,IF(MATCHED!BD68=24,MATCHED!$Y68,IF(MATCHED!BD68=25,MATCHED!$Z68,IF(MATCHED!BD68=26,MATCHED!$AA68,IF(MATCHED!BD68=27,MATCHED!$AB68,"."))))))</f>
        <v>#N/A</v>
      </c>
      <c r="AC68" s="379" t="e">
        <f>IF(MATCHED!BE68=1,MATCHED!$B68,IF(MATCHED!BE68=2,MATCHED!$C68,IF(MATCHED!BE68=3,MATCHED!$D68,IF(MATCHED!BE68=4,MATCHED!$E68,IF(MATCHED!BE68=3,MATCHED!$F68,IF(MATCHED!BE68=6,MATCHED!$G68,IF(MATCHED!BE68=7,MATCHED!$H68,"")))))))&amp;IF(MATCHED!BE68=8,MATCHED!$I68,IF(MATCHED!BE68=9,MATCHED!$J68,IF(MATCHED!BE68=10,MATCHED!$K68,IF(MATCHED!BE68=11,MATCHED!$L68,IF(MATCHED!BE68=12,MATCHED!$M68,IF(MATCHED!BE68=13,MATCHED!$N68,IF(MATCHED!BE68=14,MATCHED!$O68,"")))))))&amp;IF(MATCHED!BE68=15,MATCHED!$P68,IF(MATCHED!BE68=16,MATCHED!$Q68,IF(MATCHED!BE68=17,MATCHED!$R68,IF(MATCHED!BE68=18,MATCHED!$S68,IF(MATCHED!BE68=19,MATCHED!$T68,IF(MATCHED!BE68=20,MATCHED!$U68,IF(MATCHED!BE68=21,MATCHED!$V68,)))))))&amp;IF(MATCHED!BE68=22,MATCHED!$W68,IF(MATCHED!BE68=23,MATCHED!$X68,IF(MATCHED!BE68=24,MATCHED!$Y68,IF(MATCHED!BE68=25,MATCHED!$Z68,IF(MATCHED!BE68=26,MATCHED!$AA68,IF(MATCHED!BE68=27,MATCHED!$AB68,"."))))))</f>
        <v>#N/A</v>
      </c>
      <c r="AD68" s="379" t="e">
        <f>IF(MATCHED!BF68=1,MATCHED!$B68,IF(MATCHED!BF68=2,MATCHED!$C68,IF(MATCHED!BF68=3,MATCHED!$D68,IF(MATCHED!BF68=4,MATCHED!$E68,IF(MATCHED!BF68=3,MATCHED!$F68,IF(MATCHED!BF68=6,MATCHED!$G68,IF(MATCHED!BF68=7,MATCHED!$H68,"")))))))&amp;IF(MATCHED!BF68=8,MATCHED!$I68,IF(MATCHED!BF68=9,MATCHED!$J68,IF(MATCHED!BF68=10,MATCHED!$K68,IF(MATCHED!BF68=11,MATCHED!$L68,IF(MATCHED!BF68=12,MATCHED!$M68,IF(MATCHED!BF68=13,MATCHED!$N68,IF(MATCHED!BF68=14,MATCHED!$O68,"")))))))&amp;IF(MATCHED!BF68=15,MATCHED!$P68,IF(MATCHED!BF68=16,MATCHED!$Q68,IF(MATCHED!BF68=17,MATCHED!$R68,IF(MATCHED!BF68=18,MATCHED!$S68,IF(MATCHED!BF68=19,MATCHED!$T68,IF(MATCHED!BF68=20,MATCHED!$U68,IF(MATCHED!BF68=21,MATCHED!$V68,)))))))&amp;IF(MATCHED!BF68=22,MATCHED!$W68,IF(MATCHED!BF68=23,MATCHED!$X68,IF(MATCHED!BF68=24,MATCHED!$Y68,IF(MATCHED!BF68=25,MATCHED!$Z68,IF(MATCHED!BF68=26,MATCHED!$AA68,IF(MATCHED!BF68=27,MATCHED!$AB68,"."))))))</f>
        <v>#N/A</v>
      </c>
      <c r="AE68" s="379" t="e">
        <f>IF(MATCHED!BG68=1,MATCHED!$B68,IF(MATCHED!BG68=2,MATCHED!$C68,IF(MATCHED!BG68=3,MATCHED!$D68,IF(MATCHED!BG68=4,MATCHED!$E68,IF(MATCHED!BG68=3,MATCHED!$F68,IF(MATCHED!BG68=6,MATCHED!$G68,IF(MATCHED!BG68=7,MATCHED!$H68,"")))))))&amp;IF(MATCHED!BG68=8,MATCHED!$I68,IF(MATCHED!BG68=9,MATCHED!$J68,IF(MATCHED!BG68=10,MATCHED!$K68,IF(MATCHED!BG68=11,MATCHED!$L68,IF(MATCHED!BG68=12,MATCHED!$M68,IF(MATCHED!BG68=13,MATCHED!$N68,IF(MATCHED!BG68=14,MATCHED!$O68,"")))))))&amp;IF(MATCHED!BG68=15,MATCHED!$P68,IF(MATCHED!BG68=16,MATCHED!$Q68,IF(MATCHED!BG68=17,MATCHED!$R68,IF(MATCHED!BG68=18,MATCHED!$S68,IF(MATCHED!BG68=19,MATCHED!$T68,IF(MATCHED!BG68=20,MATCHED!$U68,IF(MATCHED!BG68=21,MATCHED!$V68,)))))))&amp;IF(MATCHED!BG68=22,MATCHED!$W68,IF(MATCHED!BG68=23,MATCHED!$X68,IF(MATCHED!BG68=24,MATCHED!$Y68,IF(MATCHED!BG68=25,MATCHED!$Z68,IF(MATCHED!BG68=26,MATCHED!$AA68,IF(MATCHED!BG68=27,MATCHED!$AB68,"."))))))</f>
        <v>#N/A</v>
      </c>
      <c r="AF68" s="379" t="e">
        <f>IF(MATCHED!BH68=1,MATCHED!$B68,IF(MATCHED!BH68=2,MATCHED!$C68,IF(MATCHED!BH68=3,MATCHED!$D68,IF(MATCHED!BH68=4,MATCHED!$E68,IF(MATCHED!BH68=3,MATCHED!$F68,IF(MATCHED!BH68=6,MATCHED!$G68,IF(MATCHED!BH68=7,MATCHED!$H68,"")))))))&amp;IF(MATCHED!BH68=8,MATCHED!$I68,IF(MATCHED!BH68=9,MATCHED!$J68,IF(MATCHED!BH68=10,MATCHED!$K68,IF(MATCHED!BH68=11,MATCHED!$L68,IF(MATCHED!BH68=12,MATCHED!$M68,IF(MATCHED!BH68=13,MATCHED!$N68,IF(MATCHED!BH68=14,MATCHED!$O68,"")))))))&amp;IF(MATCHED!BH68=15,MATCHED!$P68,IF(MATCHED!BH68=16,MATCHED!$Q68,IF(MATCHED!BH68=17,MATCHED!$R68,IF(MATCHED!BH68=18,MATCHED!$S68,IF(MATCHED!BH68=19,MATCHED!$T68,IF(MATCHED!BH68=20,MATCHED!$U68,IF(MATCHED!BH68=21,MATCHED!$V68,)))))))&amp;IF(MATCHED!BH68=22,MATCHED!$W68,IF(MATCHED!BH68=23,MATCHED!$X68,IF(MATCHED!BH68=24,MATCHED!$Y68,IF(MATCHED!BH68=25,MATCHED!$Z68,IF(MATCHED!BH68=26,MATCHED!$AA68,IF(MATCHED!BH68=27,MATCHED!$AB68,"."))))))</f>
        <v>#N/A</v>
      </c>
      <c r="AG68" s="379" t="e">
        <f>IF(MATCHED!BI68=1,MATCHED!$B68,IF(MATCHED!BI68=2,MATCHED!$C68,IF(MATCHED!BI68=3,MATCHED!$D68,IF(MATCHED!BI68=4,MATCHED!$E68,IF(MATCHED!BI68=3,MATCHED!$F68,IF(MATCHED!BI68=6,MATCHED!$G68,IF(MATCHED!BI68=7,MATCHED!$H68,"")))))))&amp;IF(MATCHED!BI68=8,MATCHED!$I68,IF(MATCHED!BI68=9,MATCHED!$J68,IF(MATCHED!BI68=10,MATCHED!$K68,IF(MATCHED!BI68=11,MATCHED!$L68,IF(MATCHED!BI68=12,MATCHED!$M68,IF(MATCHED!BI68=13,MATCHED!$N68,IF(MATCHED!BI68=14,MATCHED!$O68,"")))))))&amp;IF(MATCHED!BI68=15,MATCHED!$P68,IF(MATCHED!BI68=16,MATCHED!$Q68,IF(MATCHED!BI68=17,MATCHED!$R68,IF(MATCHED!BI68=18,MATCHED!$S68,IF(MATCHED!BI68=19,MATCHED!$T68,IF(MATCHED!BI68=20,MATCHED!$U68,IF(MATCHED!BI68=21,MATCHED!$V68,)))))))&amp;IF(MATCHED!BI68=22,MATCHED!$W68,IF(MATCHED!BI68=23,MATCHED!$X68,IF(MATCHED!BI68=24,MATCHED!$Y68,IF(MATCHED!BI68=25,MATCHED!$Z68,IF(MATCHED!BI68=26,MATCHED!$AA68,IF(MATCHED!BI68=27,MATCHED!$AB68,"."))))))</f>
        <v>#N/A</v>
      </c>
      <c r="AH68" s="379" t="e">
        <f>IF(MATCHED!BJ68=1,MATCHED!$B68,IF(MATCHED!BJ68=2,MATCHED!$C68,IF(MATCHED!BJ68=3,MATCHED!$D68,IF(MATCHED!BJ68=4,MATCHED!$E68,IF(MATCHED!BJ68=3,MATCHED!$F68,IF(MATCHED!BJ68=6,MATCHED!$G68,IF(MATCHED!BJ68=7,MATCHED!$H68,"")))))))&amp;IF(MATCHED!BJ68=8,MATCHED!$I68,IF(MATCHED!BJ68=9,MATCHED!$J68,IF(MATCHED!BJ68=10,MATCHED!$K68,IF(MATCHED!BJ68=11,MATCHED!$L68,IF(MATCHED!BJ68=12,MATCHED!$M68,IF(MATCHED!BJ68=13,MATCHED!$N68,IF(MATCHED!BJ68=14,MATCHED!$O68,"")))))))&amp;IF(MATCHED!BJ68=15,MATCHED!$P68,IF(MATCHED!BJ68=16,MATCHED!$Q68,IF(MATCHED!BJ68=17,MATCHED!$R68,IF(MATCHED!BJ68=18,MATCHED!$S68,IF(MATCHED!BJ68=19,MATCHED!$T68,IF(MATCHED!BJ68=20,MATCHED!$U68,IF(MATCHED!BJ68=21,MATCHED!$V68,)))))))&amp;IF(MATCHED!BJ68=22,MATCHED!$W68,IF(MATCHED!BJ68=23,MATCHED!$X68,IF(MATCHED!BJ68=24,MATCHED!$Y68,IF(MATCHED!BJ68=25,MATCHED!$Z68,IF(MATCHED!BJ68=26,MATCHED!$AA68,IF(MATCHED!BJ68=27,MATCHED!$AB68,"."))))))</f>
        <v>#N/A</v>
      </c>
      <c r="AI68" s="379" t="e">
        <f>IF(MATCHED!BK68=1,MATCHED!$B68,IF(MATCHED!BK68=2,MATCHED!$C68,IF(MATCHED!BK68=3,MATCHED!$D68,IF(MATCHED!BK68=4,MATCHED!$E68,IF(MATCHED!BK68=3,MATCHED!$F68,IF(MATCHED!BK68=6,MATCHED!$G68,IF(MATCHED!BK68=7,MATCHED!$H68,"")))))))&amp;IF(MATCHED!BK68=8,MATCHED!$I68,IF(MATCHED!BK68=9,MATCHED!$J68,IF(MATCHED!BK68=10,MATCHED!$K68,IF(MATCHED!BK68=11,MATCHED!$L68,IF(MATCHED!BK68=12,MATCHED!$M68,IF(MATCHED!BK68=13,MATCHED!$N68,IF(MATCHED!BK68=14,MATCHED!$O68,"")))))))&amp;IF(MATCHED!BK68=15,MATCHED!$P68,IF(MATCHED!BK68=16,MATCHED!$Q68,IF(MATCHED!BK68=17,MATCHED!$R68,IF(MATCHED!BK68=18,MATCHED!$S68,IF(MATCHED!BK68=19,MATCHED!$T68,IF(MATCHED!BK68=20,MATCHED!$U68,IF(MATCHED!BK68=21,MATCHED!$V68,)))))))&amp;IF(MATCHED!BK68=22,MATCHED!$W68,IF(MATCHED!BK68=23,MATCHED!$X68,IF(MATCHED!BK68=24,MATCHED!$Y68,IF(MATCHED!BK68=25,MATCHED!$Z68,IF(MATCHED!BK68=26,MATCHED!$AA68,IF(MATCHED!BK68=27,MATCHED!$AB68,"."))))))</f>
        <v>#N/A</v>
      </c>
      <c r="AJ68" s="535"/>
    </row>
    <row r="69" spans="1:36" s="338" customFormat="1" x14ac:dyDescent="0.25">
      <c r="A69" s="535"/>
      <c r="B69" s="378" t="e">
        <f>IF(MATCHED!AD69=1,MATCHED!$B69,IF(MATCHED!AD69=2,MATCHED!$C69,IF(MATCHED!AD69=3,MATCHED!$D69,IF(MATCHED!AD69=4,MATCHED!$E69,IF(MATCHED!AD69=3,MATCHED!$F69,IF(MATCHED!AD69=6,MATCHED!$G69,IF(MATCHED!AD69=7,MATCHED!$H69,"")))))))&amp;IF(MATCHED!AD69=8,MATCHED!$I69,IF(MATCHED!AD69=9,MATCHED!$J69,IF(MATCHED!AD69=10,MATCHED!$K69,IF(MATCHED!AD69=11,MATCHED!$L69,IF(MATCHED!AD69=12,MATCHED!$M69,IF(MATCHED!AD69=13,MATCHED!$N69,IF(MATCHED!AD69=14,MATCHED!$O69,"")))))))&amp;IF(MATCHED!AD69=15,MATCHED!$P69,IF(MATCHED!AD69=16,MATCHED!$Q69,IF(MATCHED!AD69=17,MATCHED!$R69,IF(MATCHED!AD69=18,MATCHED!$S69,IF(MATCHED!AD69=19,MATCHED!$T69,IF(MATCHED!AD69=20,MATCHED!$U69,IF(MATCHED!AD69=21,MATCHED!$V69,)))))))&amp;IF(MATCHED!AD69=22,MATCHED!$W69,IF(MATCHED!AD69=23,MATCHED!$X69,IF(MATCHED!AD69=24,MATCHED!$Y69,IF(MATCHED!AD69=25,MATCHED!$Z69,IF(MATCHED!AD69=26,MATCHED!$AA69,IF(MATCHED!AD69=27,MATCHED!$AB69,"."))))))</f>
        <v>#N/A</v>
      </c>
      <c r="C69" s="379" t="e">
        <f>IF(MATCHED!AE69=1,MATCHED!$B69,IF(MATCHED!AE69=2,MATCHED!$C69,IF(MATCHED!AE69=3,MATCHED!$D69,IF(MATCHED!AE69=4,MATCHED!$E69,IF(MATCHED!AE69=3,MATCHED!$F69,IF(MATCHED!AE69=6,MATCHED!$G69,IF(MATCHED!AE69=7,MATCHED!$H69,"")))))))&amp;IF(MATCHED!AE69=8,MATCHED!$I69,IF(MATCHED!AE69=9,MATCHED!$J69,IF(MATCHED!AE69=10,MATCHED!$K69,IF(MATCHED!AE69=11,MATCHED!$L69,IF(MATCHED!AE69=12,MATCHED!$M69,IF(MATCHED!AE69=13,MATCHED!$N69,IF(MATCHED!AE69=14,MATCHED!$O69,"")))))))&amp;IF(MATCHED!AE69=15,MATCHED!$P69,IF(MATCHED!AE69=16,MATCHED!$Q69,IF(MATCHED!AE69=17,MATCHED!$R69,IF(MATCHED!AE69=18,MATCHED!$S69,IF(MATCHED!AE69=19,MATCHED!$T69,IF(MATCHED!AE69=20,MATCHED!$U69,IF(MATCHED!AE69=21,MATCHED!$V69,)))))))&amp;IF(MATCHED!AE69=22,MATCHED!$W69,IF(MATCHED!AE69=23,MATCHED!$X69,IF(MATCHED!AE69=24,MATCHED!$Y69,IF(MATCHED!AE69=25,MATCHED!$Z69,IF(MATCHED!AE69=26,MATCHED!$AA69,IF(MATCHED!AE69=27,MATCHED!$AB69,"."))))))</f>
        <v>#N/A</v>
      </c>
      <c r="D69" s="379" t="e">
        <f>IF(MATCHED!AF69=1,MATCHED!$B69,IF(MATCHED!AF69=2,MATCHED!$C69,IF(MATCHED!AF69=3,MATCHED!$D69,IF(MATCHED!AF69=4,MATCHED!$E69,IF(MATCHED!AF69=3,MATCHED!$F69,IF(MATCHED!AF69=6,MATCHED!$G69,IF(MATCHED!AF69=7,MATCHED!$H69,"")))))))&amp;IF(MATCHED!AF69=8,MATCHED!$I69,IF(MATCHED!AF69=9,MATCHED!$J69,IF(MATCHED!AF69=10,MATCHED!$K69,IF(MATCHED!AF69=11,MATCHED!$L69,IF(MATCHED!AF69=12,MATCHED!$M69,IF(MATCHED!AF69=13,MATCHED!$N69,IF(MATCHED!AF69=14,MATCHED!$O69,"")))))))&amp;IF(MATCHED!AF69=15,MATCHED!$P69,IF(MATCHED!AF69=16,MATCHED!$Q69,IF(MATCHED!AF69=17,MATCHED!$R69,IF(MATCHED!AF69=18,MATCHED!$S69,IF(MATCHED!AF69=19,MATCHED!$T69,IF(MATCHED!AF69=20,MATCHED!$U69,IF(MATCHED!AF69=21,MATCHED!$V69,)))))))&amp;IF(MATCHED!AF69=22,MATCHED!$W69,IF(MATCHED!AF69=23,MATCHED!$X69,IF(MATCHED!AF69=24,MATCHED!$Y69,IF(MATCHED!AF69=25,MATCHED!$Z69,IF(MATCHED!AF69=26,MATCHED!$AA69,IF(MATCHED!AF69=27,MATCHED!$AB69,"."))))))</f>
        <v>#N/A</v>
      </c>
      <c r="E69" s="379" t="e">
        <f>IF(MATCHED!AG69=1,MATCHED!$B69,IF(MATCHED!AG69=2,MATCHED!$C69,IF(MATCHED!AG69=3,MATCHED!$D69,IF(MATCHED!AG69=4,MATCHED!$E69,IF(MATCHED!AG69=3,MATCHED!$F69,IF(MATCHED!AG69=6,MATCHED!$G69,IF(MATCHED!AG69=7,MATCHED!$H69,"")))))))&amp;IF(MATCHED!AG69=8,MATCHED!$I69,IF(MATCHED!AG69=9,MATCHED!$J69,IF(MATCHED!AG69=10,MATCHED!$K69,IF(MATCHED!AG69=11,MATCHED!$L69,IF(MATCHED!AG69=12,MATCHED!$M69,IF(MATCHED!AG69=13,MATCHED!$N69,IF(MATCHED!AG69=14,MATCHED!$O69,"")))))))&amp;IF(MATCHED!AG69=15,MATCHED!$P69,IF(MATCHED!AG69=16,MATCHED!$Q69,IF(MATCHED!AG69=17,MATCHED!$R69,IF(MATCHED!AG69=18,MATCHED!$S69,IF(MATCHED!AG69=19,MATCHED!$T69,IF(MATCHED!AG69=20,MATCHED!$U69,IF(MATCHED!AG69=21,MATCHED!$V69,)))))))&amp;IF(MATCHED!AG69=22,MATCHED!$W69,IF(MATCHED!AG69=23,MATCHED!$X69,IF(MATCHED!AG69=24,MATCHED!$Y69,IF(MATCHED!AG69=25,MATCHED!$Z69,IF(MATCHED!AG69=26,MATCHED!$AA69,IF(MATCHED!AG69=27,MATCHED!$AB69,"."))))))</f>
        <v>#N/A</v>
      </c>
      <c r="F69" s="379" t="e">
        <f>IF(MATCHED!AH69=1,MATCHED!$B69,IF(MATCHED!AH69=2,MATCHED!$C69,IF(MATCHED!AH69=3,MATCHED!$D69,IF(MATCHED!AH69=4,MATCHED!$E69,IF(MATCHED!AH69=3,MATCHED!$F69,IF(MATCHED!AH69=6,MATCHED!$G69,IF(MATCHED!AH69=7,MATCHED!$H69,"")))))))&amp;IF(MATCHED!AH69=8,MATCHED!$I69,IF(MATCHED!AH69=9,MATCHED!$J69,IF(MATCHED!AH69=10,MATCHED!$K69,IF(MATCHED!AH69=11,MATCHED!$L69,IF(MATCHED!AH69=12,MATCHED!$M69,IF(MATCHED!AH69=13,MATCHED!$N69,IF(MATCHED!AH69=14,MATCHED!$O69,"")))))))&amp;IF(MATCHED!AH69=15,MATCHED!$P69,IF(MATCHED!AH69=16,MATCHED!$Q69,IF(MATCHED!AH69=17,MATCHED!$R69,IF(MATCHED!AH69=18,MATCHED!$S69,IF(MATCHED!AH69=19,MATCHED!$T69,IF(MATCHED!AH69=20,MATCHED!$U69,IF(MATCHED!AH69=21,MATCHED!$V69,)))))))&amp;IF(MATCHED!AH69=22,MATCHED!$W69,IF(MATCHED!AH69=23,MATCHED!$X69,IF(MATCHED!AH69=24,MATCHED!$Y69,IF(MATCHED!AH69=25,MATCHED!$Z69,IF(MATCHED!AH69=26,MATCHED!$AA69,IF(MATCHED!AH69=27,MATCHED!$AB69,"."))))))</f>
        <v>#N/A</v>
      </c>
      <c r="G69" s="379" t="e">
        <f>IF(MATCHED!AI69=1,MATCHED!$B69,IF(MATCHED!AI69=2,MATCHED!$C69,IF(MATCHED!AI69=3,MATCHED!$D69,IF(MATCHED!AI69=4,MATCHED!$E69,IF(MATCHED!AI69=3,MATCHED!$F69,IF(MATCHED!AI69=6,MATCHED!$G69,IF(MATCHED!AI69=7,MATCHED!$H69,"")))))))&amp;IF(MATCHED!AI69=8,MATCHED!$I69,IF(MATCHED!AI69=9,MATCHED!$J69,IF(MATCHED!AI69=10,MATCHED!$K69,IF(MATCHED!AI69=11,MATCHED!$L69,IF(MATCHED!AI69=12,MATCHED!$M69,IF(MATCHED!AI69=13,MATCHED!$N69,IF(MATCHED!AI69=14,MATCHED!$O69,"")))))))&amp;IF(MATCHED!AI69=15,MATCHED!$P69,IF(MATCHED!AI69=16,MATCHED!$Q69,IF(MATCHED!AI69=17,MATCHED!$R69,IF(MATCHED!AI69=18,MATCHED!$S69,IF(MATCHED!AI69=19,MATCHED!$T69,IF(MATCHED!AI69=20,MATCHED!$U69,IF(MATCHED!AI69=21,MATCHED!$V69,)))))))&amp;IF(MATCHED!AI69=22,MATCHED!$W69,IF(MATCHED!AI69=23,MATCHED!$X69,IF(MATCHED!AI69=24,MATCHED!$Y69,IF(MATCHED!AI69=25,MATCHED!$Z69,IF(MATCHED!AI69=26,MATCHED!$AA69,IF(MATCHED!AI69=27,MATCHED!$AB69,"."))))))</f>
        <v>#N/A</v>
      </c>
      <c r="H69" s="379" t="e">
        <f>IF(MATCHED!AJ69=1,MATCHED!$B69,IF(MATCHED!AJ69=2,MATCHED!$C69,IF(MATCHED!AJ69=3,MATCHED!$D69,IF(MATCHED!AJ69=4,MATCHED!$E69,IF(MATCHED!AJ69=3,MATCHED!$F69,IF(MATCHED!AJ69=6,MATCHED!$G69,IF(MATCHED!AJ69=7,MATCHED!$H69,"")))))))&amp;IF(MATCHED!AJ69=8,MATCHED!$I69,IF(MATCHED!AJ69=9,MATCHED!$J69,IF(MATCHED!AJ69=10,MATCHED!$K69,IF(MATCHED!AJ69=11,MATCHED!$L69,IF(MATCHED!AJ69=12,MATCHED!$M69,IF(MATCHED!AJ69=13,MATCHED!$N69,IF(MATCHED!AJ69=14,MATCHED!$O69,"")))))))&amp;IF(MATCHED!AJ69=15,MATCHED!$P69,IF(MATCHED!AJ69=16,MATCHED!$Q69,IF(MATCHED!AJ69=17,MATCHED!$R69,IF(MATCHED!AJ69=18,MATCHED!$S69,IF(MATCHED!AJ69=19,MATCHED!$T69,IF(MATCHED!AJ69=20,MATCHED!$U69,IF(MATCHED!AJ69=21,MATCHED!$V69,)))))))&amp;IF(MATCHED!AJ69=22,MATCHED!$W69,IF(MATCHED!AJ69=23,MATCHED!$X69,IF(MATCHED!AJ69=24,MATCHED!$Y69,IF(MATCHED!AJ69=25,MATCHED!$Z69,IF(MATCHED!AJ69=26,MATCHED!$AA69,IF(MATCHED!AJ69=27,MATCHED!$AB69,"."))))))</f>
        <v>#N/A</v>
      </c>
      <c r="I69" s="379" t="e">
        <f>IF(MATCHED!AK69=1,MATCHED!$B69,IF(MATCHED!AK69=2,MATCHED!$C69,IF(MATCHED!AK69=3,MATCHED!$D69,IF(MATCHED!AK69=4,MATCHED!$E69,IF(MATCHED!AK69=3,MATCHED!$F69,IF(MATCHED!AK69=6,MATCHED!$G69,IF(MATCHED!AK69=7,MATCHED!$H69,"")))))))&amp;IF(MATCHED!AK69=8,MATCHED!$I69,IF(MATCHED!AK69=9,MATCHED!$J69,IF(MATCHED!AK69=10,MATCHED!$K69,IF(MATCHED!AK69=11,MATCHED!$L69,IF(MATCHED!AK69=12,MATCHED!$M69,IF(MATCHED!AK69=13,MATCHED!$N69,IF(MATCHED!AK69=14,MATCHED!$O69,"")))))))&amp;IF(MATCHED!AK69=15,MATCHED!$P69,IF(MATCHED!AK69=16,MATCHED!$Q69,IF(MATCHED!AK69=17,MATCHED!$R69,IF(MATCHED!AK69=18,MATCHED!$S69,IF(MATCHED!AK69=19,MATCHED!$T69,IF(MATCHED!AK69=20,MATCHED!$U69,IF(MATCHED!AK69=21,MATCHED!$V69,)))))))&amp;IF(MATCHED!AK69=22,MATCHED!$W69,IF(MATCHED!AK69=23,MATCHED!$X69,IF(MATCHED!AK69=24,MATCHED!$Y69,IF(MATCHED!AK69=25,MATCHED!$Z69,IF(MATCHED!AK69=26,MATCHED!$AA69,IF(MATCHED!AK69=27,MATCHED!$AB69,"."))))))</f>
        <v>#N/A</v>
      </c>
      <c r="J69" s="379" t="e">
        <f>IF(MATCHED!AL69=1,MATCHED!$B69,IF(MATCHED!AL69=2,MATCHED!$C69,IF(MATCHED!AL69=3,MATCHED!$D69,IF(MATCHED!AL69=4,MATCHED!$E69,IF(MATCHED!AL69=3,MATCHED!$F69,IF(MATCHED!AL69=6,MATCHED!$G69,IF(MATCHED!AL69=7,MATCHED!$H69,"")))))))&amp;IF(MATCHED!AL69=8,MATCHED!$I69,IF(MATCHED!AL69=9,MATCHED!$J69,IF(MATCHED!AL69=10,MATCHED!$K69,IF(MATCHED!AL69=11,MATCHED!$L69,IF(MATCHED!AL69=12,MATCHED!$M69,IF(MATCHED!AL69=13,MATCHED!$N69,IF(MATCHED!AL69=14,MATCHED!$O69,"")))))))&amp;IF(MATCHED!AL69=15,MATCHED!$P69,IF(MATCHED!AL69=16,MATCHED!$Q69,IF(MATCHED!AL69=17,MATCHED!$R69,IF(MATCHED!AL69=18,MATCHED!$S69,IF(MATCHED!AL69=19,MATCHED!$T69,IF(MATCHED!AL69=20,MATCHED!$U69,IF(MATCHED!AL69=21,MATCHED!$V69,)))))))&amp;IF(MATCHED!AL69=22,MATCHED!$W69,IF(MATCHED!AL69=23,MATCHED!$X69,IF(MATCHED!AL69=24,MATCHED!$Y69,IF(MATCHED!AL69=25,MATCHED!$Z69,IF(MATCHED!AL69=26,MATCHED!$AA69,IF(MATCHED!AL69=27,MATCHED!$AB69,"."))))))</f>
        <v>#N/A</v>
      </c>
      <c r="K69" s="379" t="e">
        <f>IF(MATCHED!AM69=1,MATCHED!$B69,IF(MATCHED!AM69=2,MATCHED!$C69,IF(MATCHED!AM69=3,MATCHED!$D69,IF(MATCHED!AM69=4,MATCHED!$E69,IF(MATCHED!AM69=3,MATCHED!$F69,IF(MATCHED!AM69=6,MATCHED!$G69,IF(MATCHED!AM69=7,MATCHED!$H69,"")))))))&amp;IF(MATCHED!AM69=8,MATCHED!$I69,IF(MATCHED!AM69=9,MATCHED!$J69,IF(MATCHED!AM69=10,MATCHED!$K69,IF(MATCHED!AM69=11,MATCHED!$L69,IF(MATCHED!AM69=12,MATCHED!$M69,IF(MATCHED!AM69=13,MATCHED!$N69,IF(MATCHED!AM69=14,MATCHED!$O69,"")))))))&amp;IF(MATCHED!AM69=15,MATCHED!$P69,IF(MATCHED!AM69=16,MATCHED!$Q69,IF(MATCHED!AM69=17,MATCHED!$R69,IF(MATCHED!AM69=18,MATCHED!$S69,IF(MATCHED!AM69=19,MATCHED!$T69,IF(MATCHED!AM69=20,MATCHED!$U69,IF(MATCHED!AM69=21,MATCHED!$V69,)))))))&amp;IF(MATCHED!AM69=22,MATCHED!$W69,IF(MATCHED!AM69=23,MATCHED!$X69,IF(MATCHED!AM69=24,MATCHED!$Y69,IF(MATCHED!AM69=25,MATCHED!$Z69,IF(MATCHED!AM69=26,MATCHED!$AA69,IF(MATCHED!AM69=27,MATCHED!$AB69,"."))))))</f>
        <v>#N/A</v>
      </c>
      <c r="L69" s="379" t="e">
        <f>IF(MATCHED!AN69=1,MATCHED!$B69,IF(MATCHED!AN69=2,MATCHED!$C69,IF(MATCHED!AN69=3,MATCHED!$D69,IF(MATCHED!AN69=4,MATCHED!$E69,IF(MATCHED!AN69=3,MATCHED!$F69,IF(MATCHED!AN69=6,MATCHED!$G69,IF(MATCHED!AN69=7,MATCHED!$H69,"")))))))&amp;IF(MATCHED!AN69=8,MATCHED!$I69,IF(MATCHED!AN69=9,MATCHED!$J69,IF(MATCHED!AN69=10,MATCHED!$K69,IF(MATCHED!AN69=11,MATCHED!$L69,IF(MATCHED!AN69=12,MATCHED!$M69,IF(MATCHED!AN69=13,MATCHED!$N69,IF(MATCHED!AN69=14,MATCHED!$O69,"")))))))&amp;IF(MATCHED!AN69=15,MATCHED!$P69,IF(MATCHED!AN69=16,MATCHED!$Q69,IF(MATCHED!AN69=17,MATCHED!$R69,IF(MATCHED!AN69=18,MATCHED!$S69,IF(MATCHED!AN69=19,MATCHED!$T69,IF(MATCHED!AN69=20,MATCHED!$U69,IF(MATCHED!AN69=21,MATCHED!$V69,)))))))&amp;IF(MATCHED!AN69=22,MATCHED!$W69,IF(MATCHED!AN69=23,MATCHED!$X69,IF(MATCHED!AN69=24,MATCHED!$Y69,IF(MATCHED!AN69=25,MATCHED!$Z69,IF(MATCHED!AN69=26,MATCHED!$AA69,IF(MATCHED!AN69=27,MATCHED!$AB69,"."))))))</f>
        <v>#N/A</v>
      </c>
      <c r="M69" s="379" t="e">
        <f>IF(MATCHED!AO69=1,MATCHED!$B69,IF(MATCHED!AO69=2,MATCHED!$C69,IF(MATCHED!AO69=3,MATCHED!$D69,IF(MATCHED!AO69=4,MATCHED!$E69,IF(MATCHED!AO69=3,MATCHED!$F69,IF(MATCHED!AO69=6,MATCHED!$G69,IF(MATCHED!AO69=7,MATCHED!$H69,"")))))))&amp;IF(MATCHED!AO69=8,MATCHED!$I69,IF(MATCHED!AO69=9,MATCHED!$J69,IF(MATCHED!AO69=10,MATCHED!$K69,IF(MATCHED!AO69=11,MATCHED!$L69,IF(MATCHED!AO69=12,MATCHED!$M69,IF(MATCHED!AO69=13,MATCHED!$N69,IF(MATCHED!AO69=14,MATCHED!$O69,"")))))))&amp;IF(MATCHED!AO69=15,MATCHED!$P69,IF(MATCHED!AO69=16,MATCHED!$Q69,IF(MATCHED!AO69=17,MATCHED!$R69,IF(MATCHED!AO69=18,MATCHED!$S69,IF(MATCHED!AO69=19,MATCHED!$T69,IF(MATCHED!AO69=20,MATCHED!$U69,IF(MATCHED!AO69=21,MATCHED!$V69,)))))))&amp;IF(MATCHED!AO69=22,MATCHED!$W69,IF(MATCHED!AO69=23,MATCHED!$X69,IF(MATCHED!AO69=24,MATCHED!$Y69,IF(MATCHED!AO69=25,MATCHED!$Z69,IF(MATCHED!AO69=26,MATCHED!$AA69,IF(MATCHED!AO69=27,MATCHED!$AB69,"."))))))</f>
        <v>#N/A</v>
      </c>
      <c r="N69" s="379" t="e">
        <f>IF(MATCHED!AP69=1,MATCHED!$B69,IF(MATCHED!AP69=2,MATCHED!$C69,IF(MATCHED!AP69=3,MATCHED!$D69,IF(MATCHED!AP69=4,MATCHED!$E69,IF(MATCHED!AP69=3,MATCHED!$F69,IF(MATCHED!AP69=6,MATCHED!$G69,IF(MATCHED!AP69=7,MATCHED!$H69,"")))))))&amp;IF(MATCHED!AP69=8,MATCHED!$I69,IF(MATCHED!AP69=9,MATCHED!$J69,IF(MATCHED!AP69=10,MATCHED!$K69,IF(MATCHED!AP69=11,MATCHED!$L69,IF(MATCHED!AP69=12,MATCHED!$M69,IF(MATCHED!AP69=13,MATCHED!$N69,IF(MATCHED!AP69=14,MATCHED!$O69,"")))))))&amp;IF(MATCHED!AP69=15,MATCHED!$P69,IF(MATCHED!AP69=16,MATCHED!$Q69,IF(MATCHED!AP69=17,MATCHED!$R69,IF(MATCHED!AP69=18,MATCHED!$S69,IF(MATCHED!AP69=19,MATCHED!$T69,IF(MATCHED!AP69=20,MATCHED!$U69,IF(MATCHED!AP69=21,MATCHED!$V69,)))))))&amp;IF(MATCHED!AP69=22,MATCHED!$W69,IF(MATCHED!AP69=23,MATCHED!$X69,IF(MATCHED!AP69=24,MATCHED!$Y69,IF(MATCHED!AP69=25,MATCHED!$Z69,IF(MATCHED!AP69=26,MATCHED!$AA69,IF(MATCHED!AP69=27,MATCHED!$AB69,"."))))))</f>
        <v>#N/A</v>
      </c>
      <c r="O69" s="379" t="e">
        <f>IF(MATCHED!AQ69=1,MATCHED!$B69,IF(MATCHED!AQ69=2,MATCHED!$C69,IF(MATCHED!AQ69=3,MATCHED!$D69,IF(MATCHED!AQ69=4,MATCHED!$E69,IF(MATCHED!AQ69=3,MATCHED!$F69,IF(MATCHED!AQ69=6,MATCHED!$G69,IF(MATCHED!AQ69=7,MATCHED!$H69,"")))))))&amp;IF(MATCHED!AQ69=8,MATCHED!$I69,IF(MATCHED!AQ69=9,MATCHED!$J69,IF(MATCHED!AQ69=10,MATCHED!$K69,IF(MATCHED!AQ69=11,MATCHED!$L69,IF(MATCHED!AQ69=12,MATCHED!$M69,IF(MATCHED!AQ69=13,MATCHED!$N69,IF(MATCHED!AQ69=14,MATCHED!$O69,"")))))))&amp;IF(MATCHED!AQ69=15,MATCHED!$P69,IF(MATCHED!AQ69=16,MATCHED!$Q69,IF(MATCHED!AQ69=17,MATCHED!$R69,IF(MATCHED!AQ69=18,MATCHED!$S69,IF(MATCHED!AQ69=19,MATCHED!$T69,IF(MATCHED!AQ69=20,MATCHED!$U69,IF(MATCHED!AQ69=21,MATCHED!$V69,)))))))&amp;IF(MATCHED!AQ69=22,MATCHED!$W69,IF(MATCHED!AQ69=23,MATCHED!$X69,IF(MATCHED!AQ69=24,MATCHED!$Y69,IF(MATCHED!AQ69=25,MATCHED!$Z69,IF(MATCHED!AQ69=26,MATCHED!$AA69,IF(MATCHED!AQ69=27,MATCHED!$AB69,"."))))))</f>
        <v>#N/A</v>
      </c>
      <c r="P69" s="379" t="e">
        <f>IF(MATCHED!AR69=1,MATCHED!$B69,IF(MATCHED!AR69=2,MATCHED!$C69,IF(MATCHED!AR69=3,MATCHED!$D69,IF(MATCHED!AR69=4,MATCHED!$E69,IF(MATCHED!AR69=3,MATCHED!$F69,IF(MATCHED!AR69=6,MATCHED!$G69,IF(MATCHED!AR69=7,MATCHED!$H69,"")))))))&amp;IF(MATCHED!AR69=8,MATCHED!$I69,IF(MATCHED!AR69=9,MATCHED!$J69,IF(MATCHED!AR69=10,MATCHED!$K69,IF(MATCHED!AR69=11,MATCHED!$L69,IF(MATCHED!AR69=12,MATCHED!$M69,IF(MATCHED!AR69=13,MATCHED!$N69,IF(MATCHED!AR69=14,MATCHED!$O69,"")))))))&amp;IF(MATCHED!AR69=15,MATCHED!$P69,IF(MATCHED!AR69=16,MATCHED!$Q69,IF(MATCHED!AR69=17,MATCHED!$R69,IF(MATCHED!AR69=18,MATCHED!$S69,IF(MATCHED!AR69=19,MATCHED!$T69,IF(MATCHED!AR69=20,MATCHED!$U69,IF(MATCHED!AR69=21,MATCHED!$V69,)))))))&amp;IF(MATCHED!AR69=22,MATCHED!$W69,IF(MATCHED!AR69=23,MATCHED!$X69,IF(MATCHED!AR69=24,MATCHED!$Y69,IF(MATCHED!AR69=25,MATCHED!$Z69,IF(MATCHED!AR69=26,MATCHED!$AA69,IF(MATCHED!AR69=27,MATCHED!$AB69,"."))))))</f>
        <v>#N/A</v>
      </c>
      <c r="Q69" s="379" t="e">
        <f>IF(MATCHED!AS69=1,MATCHED!$B69,IF(MATCHED!AS69=2,MATCHED!$C69,IF(MATCHED!AS69=3,MATCHED!$D69,IF(MATCHED!AS69=4,MATCHED!$E69,IF(MATCHED!AS69=3,MATCHED!$F69,IF(MATCHED!AS69=6,MATCHED!$G69,IF(MATCHED!AS69=7,MATCHED!$H69,"")))))))&amp;IF(MATCHED!AS69=8,MATCHED!$I69,IF(MATCHED!AS69=9,MATCHED!$J69,IF(MATCHED!AS69=10,MATCHED!$K69,IF(MATCHED!AS69=11,MATCHED!$L69,IF(MATCHED!AS69=12,MATCHED!$M69,IF(MATCHED!AS69=13,MATCHED!$N69,IF(MATCHED!AS69=14,MATCHED!$O69,"")))))))&amp;IF(MATCHED!AS69=15,MATCHED!$P69,IF(MATCHED!AS69=16,MATCHED!$Q69,IF(MATCHED!AS69=17,MATCHED!$R69,IF(MATCHED!AS69=18,MATCHED!$S69,IF(MATCHED!AS69=19,MATCHED!$T69,IF(MATCHED!AS69=20,MATCHED!$U69,IF(MATCHED!AS69=21,MATCHED!$V69,)))))))&amp;IF(MATCHED!AS69=22,MATCHED!$W69,IF(MATCHED!AS69=23,MATCHED!$X69,IF(MATCHED!AS69=24,MATCHED!$Y69,IF(MATCHED!AS69=25,MATCHED!$Z69,IF(MATCHED!AS69=26,MATCHED!$AA69,IF(MATCHED!AS69=27,MATCHED!$AB69,"."))))))</f>
        <v>#N/A</v>
      </c>
      <c r="R69" s="380" t="e">
        <f>IF(MATCHED!AT69=1,MATCHED!$B69,IF(MATCHED!AT69=2,MATCHED!$C69,IF(MATCHED!AT69=3,MATCHED!$D69,IF(MATCHED!AT69=4,MATCHED!$E69,IF(MATCHED!AT69=3,MATCHED!$F69,IF(MATCHED!AT69=6,MATCHED!$G69,IF(MATCHED!AT69=7,MATCHED!$H69,"")))))))&amp;IF(MATCHED!AT69=8,MATCHED!$I69,IF(MATCHED!AT69=9,MATCHED!$J69,IF(MATCHED!AT69=10,MATCHED!$K69,IF(MATCHED!AT69=11,MATCHED!$L69,IF(MATCHED!AT69=12,MATCHED!$M69,IF(MATCHED!AT69=13,MATCHED!$N69,IF(MATCHED!AT69=14,MATCHED!$O69,"")))))))&amp;IF(MATCHED!AT69=15,MATCHED!$P69,IF(MATCHED!AT69=16,MATCHED!$Q69,IF(MATCHED!AT69=17,MATCHED!$R69,IF(MATCHED!AT69=18,MATCHED!$S69,IF(MATCHED!AT69=19,MATCHED!$T69,IF(MATCHED!AT69=20,MATCHED!$U69,IF(MATCHED!AT69=21,MATCHED!$V69,)))))))&amp;IF(MATCHED!AT69=22,MATCHED!$W69,IF(MATCHED!AT69=23,MATCHED!$X69,IF(MATCHED!AT69=24,MATCHED!$Y69,IF(MATCHED!AT69=25,MATCHED!$Z69,IF(MATCHED!AT69=26,MATCHED!$AA69,IF(MATCHED!AT69=27,MATCHED!$AB69,"."))))))</f>
        <v>#N/A</v>
      </c>
      <c r="S69" s="379" t="e">
        <f>IF(MATCHED!AU69=1,MATCHED!$B69,IF(MATCHED!AU69=2,MATCHED!$C69,IF(MATCHED!AU69=3,MATCHED!$D69,IF(MATCHED!AU69=4,MATCHED!$E69,IF(MATCHED!AU69=3,MATCHED!$F69,IF(MATCHED!AU69=6,MATCHED!$G69,IF(MATCHED!AU69=7,MATCHED!$H69,"")))))))&amp;IF(MATCHED!AU69=8,MATCHED!$I69,IF(MATCHED!AU69=9,MATCHED!$J69,IF(MATCHED!AU69=10,MATCHED!$K69,IF(MATCHED!AU69=11,MATCHED!$L69,IF(MATCHED!AU69=12,MATCHED!$M69,IF(MATCHED!AU69=13,MATCHED!$N69,IF(MATCHED!AU69=14,MATCHED!$O69,"")))))))&amp;IF(MATCHED!AU69=15,MATCHED!$P69,IF(MATCHED!AU69=16,MATCHED!$Q69,IF(MATCHED!AU69=17,MATCHED!$R69,IF(MATCHED!AU69=18,MATCHED!$S69,IF(MATCHED!AU69=19,MATCHED!$T69,IF(MATCHED!AU69=20,MATCHED!$U69,IF(MATCHED!AU69=21,MATCHED!$V69,)))))))&amp;IF(MATCHED!AU69=22,MATCHED!$W69,IF(MATCHED!AU69=23,MATCHED!$X69,IF(MATCHED!AU69=24,MATCHED!$Y69,IF(MATCHED!AU69=25,MATCHED!$Z69,IF(MATCHED!AU69=26,MATCHED!$AA69,IF(MATCHED!AU69=27,MATCHED!$AB69,"."))))))</f>
        <v>#N/A</v>
      </c>
      <c r="T69" s="379" t="e">
        <f>IF(MATCHED!AV69=1,MATCHED!$B69,IF(MATCHED!AV69=2,MATCHED!$C69,IF(MATCHED!AV69=3,MATCHED!$D69,IF(MATCHED!AV69=4,MATCHED!$E69,IF(MATCHED!AV69=3,MATCHED!$F69,IF(MATCHED!AV69=6,MATCHED!$G69,IF(MATCHED!AV69=7,MATCHED!$H69,"")))))))&amp;IF(MATCHED!AV69=8,MATCHED!$I69,IF(MATCHED!AV69=9,MATCHED!$J69,IF(MATCHED!AV69=10,MATCHED!$K69,IF(MATCHED!AV69=11,MATCHED!$L69,IF(MATCHED!AV69=12,MATCHED!$M69,IF(MATCHED!AV69=13,MATCHED!$N69,IF(MATCHED!AV69=14,MATCHED!$O69,"")))))))&amp;IF(MATCHED!AV69=15,MATCHED!$P69,IF(MATCHED!AV69=16,MATCHED!$Q69,IF(MATCHED!AV69=17,MATCHED!$R69,IF(MATCHED!AV69=18,MATCHED!$S69,IF(MATCHED!AV69=19,MATCHED!$T69,IF(MATCHED!AV69=20,MATCHED!$U69,IF(MATCHED!AV69=21,MATCHED!$V69,)))))))&amp;IF(MATCHED!AV69=22,MATCHED!$W69,IF(MATCHED!AV69=23,MATCHED!$X69,IF(MATCHED!AV69=24,MATCHED!$Y69,IF(MATCHED!AV69=25,MATCHED!$Z69,IF(MATCHED!AV69=26,MATCHED!$AA69,IF(MATCHED!AV69=27,MATCHED!$AB69,"."))))))</f>
        <v>#N/A</v>
      </c>
      <c r="U69" s="379" t="e">
        <f>IF(MATCHED!AW69=1,MATCHED!$B69,IF(MATCHED!AW69=2,MATCHED!$C69,IF(MATCHED!AW69=3,MATCHED!$D69,IF(MATCHED!AW69=4,MATCHED!$E69,IF(MATCHED!AW69=3,MATCHED!$F69,IF(MATCHED!AW69=6,MATCHED!$G69,IF(MATCHED!AW69=7,MATCHED!$H69,"")))))))&amp;IF(MATCHED!AW69=8,MATCHED!$I69,IF(MATCHED!AW69=9,MATCHED!$J69,IF(MATCHED!AW69=10,MATCHED!$K69,IF(MATCHED!AW69=11,MATCHED!$L69,IF(MATCHED!AW69=12,MATCHED!$M69,IF(MATCHED!AW69=13,MATCHED!$N69,IF(MATCHED!AW69=14,MATCHED!$O69,"")))))))&amp;IF(MATCHED!AW69=15,MATCHED!$P69,IF(MATCHED!AW69=16,MATCHED!$Q69,IF(MATCHED!AW69=17,MATCHED!$R69,IF(MATCHED!AW69=18,MATCHED!$S69,IF(MATCHED!AW69=19,MATCHED!$T69,IF(MATCHED!AW69=20,MATCHED!$U69,IF(MATCHED!AW69=21,MATCHED!$V69,)))))))&amp;IF(MATCHED!AW69=22,MATCHED!$W69,IF(MATCHED!AW69=23,MATCHED!$X69,IF(MATCHED!AW69=24,MATCHED!$Y69,IF(MATCHED!AW69=25,MATCHED!$Z69,IF(MATCHED!AW69=26,MATCHED!$AA69,IF(MATCHED!AW69=27,MATCHED!$AB69,"."))))))</f>
        <v>#N/A</v>
      </c>
      <c r="V69" s="379" t="e">
        <f>IF(MATCHED!AX69=1,MATCHED!$B69,IF(MATCHED!AX69=2,MATCHED!$C69,IF(MATCHED!AX69=3,MATCHED!$D69,IF(MATCHED!AX69=4,MATCHED!$E69,IF(MATCHED!AX69=3,MATCHED!$F69,IF(MATCHED!AX69=6,MATCHED!$G69,IF(MATCHED!AX69=7,MATCHED!$H69,"")))))))&amp;IF(MATCHED!AX69=8,MATCHED!$I69,IF(MATCHED!AX69=9,MATCHED!$J69,IF(MATCHED!AX69=10,MATCHED!$K69,IF(MATCHED!AX69=11,MATCHED!$L69,IF(MATCHED!AX69=12,MATCHED!$M69,IF(MATCHED!AX69=13,MATCHED!$N69,IF(MATCHED!AX69=14,MATCHED!$O69,"")))))))&amp;IF(MATCHED!AX69=15,MATCHED!$P69,IF(MATCHED!AX69=16,MATCHED!$Q69,IF(MATCHED!AX69=17,MATCHED!$R69,IF(MATCHED!AX69=18,MATCHED!$S69,IF(MATCHED!AX69=19,MATCHED!$T69,IF(MATCHED!AX69=20,MATCHED!$U69,IF(MATCHED!AX69=21,MATCHED!$V69,)))))))&amp;IF(MATCHED!AX69=22,MATCHED!$W69,IF(MATCHED!AX69=23,MATCHED!$X69,IF(MATCHED!AX69=24,MATCHED!$Y69,IF(MATCHED!AX69=25,MATCHED!$Z69,IF(MATCHED!AX69=26,MATCHED!$AA69,IF(MATCHED!AX69=27,MATCHED!$AB69,"."))))))</f>
        <v>#N/A</v>
      </c>
      <c r="W69" s="379" t="e">
        <f>IF(MATCHED!AY69=1,MATCHED!$B69,IF(MATCHED!AY69=2,MATCHED!$C69,IF(MATCHED!AY69=3,MATCHED!$D69,IF(MATCHED!AY69=4,MATCHED!$E69,IF(MATCHED!AY69=3,MATCHED!$F69,IF(MATCHED!AY69=6,MATCHED!$G69,IF(MATCHED!AY69=7,MATCHED!$H69,"")))))))&amp;IF(MATCHED!AY69=8,MATCHED!$I69,IF(MATCHED!AY69=9,MATCHED!$J69,IF(MATCHED!AY69=10,MATCHED!$K69,IF(MATCHED!AY69=11,MATCHED!$L69,IF(MATCHED!AY69=12,MATCHED!$M69,IF(MATCHED!AY69=13,MATCHED!$N69,IF(MATCHED!AY69=14,MATCHED!$O69,"")))))))&amp;IF(MATCHED!AY69=15,MATCHED!$P69,IF(MATCHED!AY69=16,MATCHED!$Q69,IF(MATCHED!AY69=17,MATCHED!$R69,IF(MATCHED!AY69=18,MATCHED!$S69,IF(MATCHED!AY69=19,MATCHED!$T69,IF(MATCHED!AY69=20,MATCHED!$U69,IF(MATCHED!AY69=21,MATCHED!$V69,)))))))&amp;IF(MATCHED!AY69=22,MATCHED!$W69,IF(MATCHED!AY69=23,MATCHED!$X69,IF(MATCHED!AY69=24,MATCHED!$Y69,IF(MATCHED!AY69=25,MATCHED!$Z69,IF(MATCHED!AY69=26,MATCHED!$AA69,IF(MATCHED!AY69=27,MATCHED!$AB69,"."))))))</f>
        <v>#N/A</v>
      </c>
      <c r="X69" s="379" t="e">
        <f>IF(MATCHED!AZ69=1,MATCHED!$B69,IF(MATCHED!AZ69=2,MATCHED!$C69,IF(MATCHED!AZ69=3,MATCHED!$D69,IF(MATCHED!AZ69=4,MATCHED!$E69,IF(MATCHED!AZ69=3,MATCHED!$F69,IF(MATCHED!AZ69=6,MATCHED!$G69,IF(MATCHED!AZ69=7,MATCHED!$H69,"")))))))&amp;IF(MATCHED!AZ69=8,MATCHED!$I69,IF(MATCHED!AZ69=9,MATCHED!$J69,IF(MATCHED!AZ69=10,MATCHED!$K69,IF(MATCHED!AZ69=11,MATCHED!$L69,IF(MATCHED!AZ69=12,MATCHED!$M69,IF(MATCHED!AZ69=13,MATCHED!$N69,IF(MATCHED!AZ69=14,MATCHED!$O69,"")))))))&amp;IF(MATCHED!AZ69=15,MATCHED!$P69,IF(MATCHED!AZ69=16,MATCHED!$Q69,IF(MATCHED!AZ69=17,MATCHED!$R69,IF(MATCHED!AZ69=18,MATCHED!$S69,IF(MATCHED!AZ69=19,MATCHED!$T69,IF(MATCHED!AZ69=20,MATCHED!$U69,IF(MATCHED!AZ69=21,MATCHED!$V69,)))))))&amp;IF(MATCHED!AZ69=22,MATCHED!$W69,IF(MATCHED!AZ69=23,MATCHED!$X69,IF(MATCHED!AZ69=24,MATCHED!$Y69,IF(MATCHED!AZ69=25,MATCHED!$Z69,IF(MATCHED!AZ69=26,MATCHED!$AA69,IF(MATCHED!AZ69=27,MATCHED!$AB69,"."))))))</f>
        <v>#N/A</v>
      </c>
      <c r="Y69" s="379" t="e">
        <f>IF(MATCHED!BA69=1,MATCHED!$B69,IF(MATCHED!BA69=2,MATCHED!$C69,IF(MATCHED!BA69=3,MATCHED!$D69,IF(MATCHED!BA69=4,MATCHED!$E69,IF(MATCHED!BA69=3,MATCHED!$F69,IF(MATCHED!BA69=6,MATCHED!$G69,IF(MATCHED!BA69=7,MATCHED!$H69,"")))))))&amp;IF(MATCHED!BA69=8,MATCHED!$I69,IF(MATCHED!BA69=9,MATCHED!$J69,IF(MATCHED!BA69=10,MATCHED!$K69,IF(MATCHED!BA69=11,MATCHED!$L69,IF(MATCHED!BA69=12,MATCHED!$M69,IF(MATCHED!BA69=13,MATCHED!$N69,IF(MATCHED!BA69=14,MATCHED!$O69,"")))))))&amp;IF(MATCHED!BA69=15,MATCHED!$P69,IF(MATCHED!BA69=16,MATCHED!$Q69,IF(MATCHED!BA69=17,MATCHED!$R69,IF(MATCHED!BA69=18,MATCHED!$S69,IF(MATCHED!BA69=19,MATCHED!$T69,IF(MATCHED!BA69=20,MATCHED!$U69,IF(MATCHED!BA69=21,MATCHED!$V69,)))))))&amp;IF(MATCHED!BA69=22,MATCHED!$W69,IF(MATCHED!BA69=23,MATCHED!$X69,IF(MATCHED!BA69=24,MATCHED!$Y69,IF(MATCHED!BA69=25,MATCHED!$Z69,IF(MATCHED!BA69=26,MATCHED!$AA69,IF(MATCHED!BA69=27,MATCHED!$AB69,"."))))))</f>
        <v>#N/A</v>
      </c>
      <c r="Z69" s="379" t="e">
        <f>IF(MATCHED!BB69=1,MATCHED!$B69,IF(MATCHED!BB69=2,MATCHED!$C69,IF(MATCHED!BB69=3,MATCHED!$D69,IF(MATCHED!BB69=4,MATCHED!$E69,IF(MATCHED!BB69=3,MATCHED!$F69,IF(MATCHED!BB69=6,MATCHED!$G69,IF(MATCHED!BB69=7,MATCHED!$H69,"")))))))&amp;IF(MATCHED!BB69=8,MATCHED!$I69,IF(MATCHED!BB69=9,MATCHED!$J69,IF(MATCHED!BB69=10,MATCHED!$K69,IF(MATCHED!BB69=11,MATCHED!$L69,IF(MATCHED!BB69=12,MATCHED!$M69,IF(MATCHED!BB69=13,MATCHED!$N69,IF(MATCHED!BB69=14,MATCHED!$O69,"")))))))&amp;IF(MATCHED!BB69=15,MATCHED!$P69,IF(MATCHED!BB69=16,MATCHED!$Q69,IF(MATCHED!BB69=17,MATCHED!$R69,IF(MATCHED!BB69=18,MATCHED!$S69,IF(MATCHED!BB69=19,MATCHED!$T69,IF(MATCHED!BB69=20,MATCHED!$U69,IF(MATCHED!BB69=21,MATCHED!$V69,)))))))&amp;IF(MATCHED!BB69=22,MATCHED!$W69,IF(MATCHED!BB69=23,MATCHED!$X69,IF(MATCHED!BB69=24,MATCHED!$Y69,IF(MATCHED!BB69=25,MATCHED!$Z69,IF(MATCHED!BB69=26,MATCHED!$AA69,IF(MATCHED!BB69=27,MATCHED!$AB69,"."))))))</f>
        <v>#N/A</v>
      </c>
      <c r="AA69" s="379" t="e">
        <f>IF(MATCHED!BC69=1,MATCHED!$B69,IF(MATCHED!BC69=2,MATCHED!$C69,IF(MATCHED!BC69=3,MATCHED!$D69,IF(MATCHED!BC69=4,MATCHED!$E69,IF(MATCHED!BC69=3,MATCHED!$F69,IF(MATCHED!BC69=6,MATCHED!$G69,IF(MATCHED!BC69=7,MATCHED!$H69,"")))))))&amp;IF(MATCHED!BC69=8,MATCHED!$I69,IF(MATCHED!BC69=9,MATCHED!$J69,IF(MATCHED!BC69=10,MATCHED!$K69,IF(MATCHED!BC69=11,MATCHED!$L69,IF(MATCHED!BC69=12,MATCHED!$M69,IF(MATCHED!BC69=13,MATCHED!$N69,IF(MATCHED!BC69=14,MATCHED!$O69,"")))))))&amp;IF(MATCHED!BC69=15,MATCHED!$P69,IF(MATCHED!BC69=16,MATCHED!$Q69,IF(MATCHED!BC69=17,MATCHED!$R69,IF(MATCHED!BC69=18,MATCHED!$S69,IF(MATCHED!BC69=19,MATCHED!$T69,IF(MATCHED!BC69=20,MATCHED!$U69,IF(MATCHED!BC69=21,MATCHED!$V69,)))))))&amp;IF(MATCHED!BC69=22,MATCHED!$W69,IF(MATCHED!BC69=23,MATCHED!$X69,IF(MATCHED!BC69=24,MATCHED!$Y69,IF(MATCHED!BC69=25,MATCHED!$Z69,IF(MATCHED!BC69=26,MATCHED!$AA69,IF(MATCHED!BC69=27,MATCHED!$AB69,"."))))))</f>
        <v>#N/A</v>
      </c>
      <c r="AB69" s="379" t="e">
        <f>IF(MATCHED!BD69=1,MATCHED!$B69,IF(MATCHED!BD69=2,MATCHED!$C69,IF(MATCHED!BD69=3,MATCHED!$D69,IF(MATCHED!BD69=4,MATCHED!$E69,IF(MATCHED!BD69=3,MATCHED!$F69,IF(MATCHED!BD69=6,MATCHED!$G69,IF(MATCHED!BD69=7,MATCHED!$H69,"")))))))&amp;IF(MATCHED!BD69=8,MATCHED!$I69,IF(MATCHED!BD69=9,MATCHED!$J69,IF(MATCHED!BD69=10,MATCHED!$K69,IF(MATCHED!BD69=11,MATCHED!$L69,IF(MATCHED!BD69=12,MATCHED!$M69,IF(MATCHED!BD69=13,MATCHED!$N69,IF(MATCHED!BD69=14,MATCHED!$O69,"")))))))&amp;IF(MATCHED!BD69=15,MATCHED!$P69,IF(MATCHED!BD69=16,MATCHED!$Q69,IF(MATCHED!BD69=17,MATCHED!$R69,IF(MATCHED!BD69=18,MATCHED!$S69,IF(MATCHED!BD69=19,MATCHED!$T69,IF(MATCHED!BD69=20,MATCHED!$U69,IF(MATCHED!BD69=21,MATCHED!$V69,)))))))&amp;IF(MATCHED!BD69=22,MATCHED!$W69,IF(MATCHED!BD69=23,MATCHED!$X69,IF(MATCHED!BD69=24,MATCHED!$Y69,IF(MATCHED!BD69=25,MATCHED!$Z69,IF(MATCHED!BD69=26,MATCHED!$AA69,IF(MATCHED!BD69=27,MATCHED!$AB69,"."))))))</f>
        <v>#N/A</v>
      </c>
      <c r="AC69" s="379" t="e">
        <f>IF(MATCHED!BE69=1,MATCHED!$B69,IF(MATCHED!BE69=2,MATCHED!$C69,IF(MATCHED!BE69=3,MATCHED!$D69,IF(MATCHED!BE69=4,MATCHED!$E69,IF(MATCHED!BE69=3,MATCHED!$F69,IF(MATCHED!BE69=6,MATCHED!$G69,IF(MATCHED!BE69=7,MATCHED!$H69,"")))))))&amp;IF(MATCHED!BE69=8,MATCHED!$I69,IF(MATCHED!BE69=9,MATCHED!$J69,IF(MATCHED!BE69=10,MATCHED!$K69,IF(MATCHED!BE69=11,MATCHED!$L69,IF(MATCHED!BE69=12,MATCHED!$M69,IF(MATCHED!BE69=13,MATCHED!$N69,IF(MATCHED!BE69=14,MATCHED!$O69,"")))))))&amp;IF(MATCHED!BE69=15,MATCHED!$P69,IF(MATCHED!BE69=16,MATCHED!$Q69,IF(MATCHED!BE69=17,MATCHED!$R69,IF(MATCHED!BE69=18,MATCHED!$S69,IF(MATCHED!BE69=19,MATCHED!$T69,IF(MATCHED!BE69=20,MATCHED!$U69,IF(MATCHED!BE69=21,MATCHED!$V69,)))))))&amp;IF(MATCHED!BE69=22,MATCHED!$W69,IF(MATCHED!BE69=23,MATCHED!$X69,IF(MATCHED!BE69=24,MATCHED!$Y69,IF(MATCHED!BE69=25,MATCHED!$Z69,IF(MATCHED!BE69=26,MATCHED!$AA69,IF(MATCHED!BE69=27,MATCHED!$AB69,"."))))))</f>
        <v>#N/A</v>
      </c>
      <c r="AD69" s="379" t="e">
        <f>IF(MATCHED!BF69=1,MATCHED!$B69,IF(MATCHED!BF69=2,MATCHED!$C69,IF(MATCHED!BF69=3,MATCHED!$D69,IF(MATCHED!BF69=4,MATCHED!$E69,IF(MATCHED!BF69=3,MATCHED!$F69,IF(MATCHED!BF69=6,MATCHED!$G69,IF(MATCHED!BF69=7,MATCHED!$H69,"")))))))&amp;IF(MATCHED!BF69=8,MATCHED!$I69,IF(MATCHED!BF69=9,MATCHED!$J69,IF(MATCHED!BF69=10,MATCHED!$K69,IF(MATCHED!BF69=11,MATCHED!$L69,IF(MATCHED!BF69=12,MATCHED!$M69,IF(MATCHED!BF69=13,MATCHED!$N69,IF(MATCHED!BF69=14,MATCHED!$O69,"")))))))&amp;IF(MATCHED!BF69=15,MATCHED!$P69,IF(MATCHED!BF69=16,MATCHED!$Q69,IF(MATCHED!BF69=17,MATCHED!$R69,IF(MATCHED!BF69=18,MATCHED!$S69,IF(MATCHED!BF69=19,MATCHED!$T69,IF(MATCHED!BF69=20,MATCHED!$U69,IF(MATCHED!BF69=21,MATCHED!$V69,)))))))&amp;IF(MATCHED!BF69=22,MATCHED!$W69,IF(MATCHED!BF69=23,MATCHED!$X69,IF(MATCHED!BF69=24,MATCHED!$Y69,IF(MATCHED!BF69=25,MATCHED!$Z69,IF(MATCHED!BF69=26,MATCHED!$AA69,IF(MATCHED!BF69=27,MATCHED!$AB69,"."))))))</f>
        <v>#N/A</v>
      </c>
      <c r="AE69" s="379" t="e">
        <f>IF(MATCHED!BG69=1,MATCHED!$B69,IF(MATCHED!BG69=2,MATCHED!$C69,IF(MATCHED!BG69=3,MATCHED!$D69,IF(MATCHED!BG69=4,MATCHED!$E69,IF(MATCHED!BG69=3,MATCHED!$F69,IF(MATCHED!BG69=6,MATCHED!$G69,IF(MATCHED!BG69=7,MATCHED!$H69,"")))))))&amp;IF(MATCHED!BG69=8,MATCHED!$I69,IF(MATCHED!BG69=9,MATCHED!$J69,IF(MATCHED!BG69=10,MATCHED!$K69,IF(MATCHED!BG69=11,MATCHED!$L69,IF(MATCHED!BG69=12,MATCHED!$M69,IF(MATCHED!BG69=13,MATCHED!$N69,IF(MATCHED!BG69=14,MATCHED!$O69,"")))))))&amp;IF(MATCHED!BG69=15,MATCHED!$P69,IF(MATCHED!BG69=16,MATCHED!$Q69,IF(MATCHED!BG69=17,MATCHED!$R69,IF(MATCHED!BG69=18,MATCHED!$S69,IF(MATCHED!BG69=19,MATCHED!$T69,IF(MATCHED!BG69=20,MATCHED!$U69,IF(MATCHED!BG69=21,MATCHED!$V69,)))))))&amp;IF(MATCHED!BG69=22,MATCHED!$W69,IF(MATCHED!BG69=23,MATCHED!$X69,IF(MATCHED!BG69=24,MATCHED!$Y69,IF(MATCHED!BG69=25,MATCHED!$Z69,IF(MATCHED!BG69=26,MATCHED!$AA69,IF(MATCHED!BG69=27,MATCHED!$AB69,"."))))))</f>
        <v>#N/A</v>
      </c>
      <c r="AF69" s="379" t="e">
        <f>IF(MATCHED!BH69=1,MATCHED!$B69,IF(MATCHED!BH69=2,MATCHED!$C69,IF(MATCHED!BH69=3,MATCHED!$D69,IF(MATCHED!BH69=4,MATCHED!$E69,IF(MATCHED!BH69=3,MATCHED!$F69,IF(MATCHED!BH69=6,MATCHED!$G69,IF(MATCHED!BH69=7,MATCHED!$H69,"")))))))&amp;IF(MATCHED!BH69=8,MATCHED!$I69,IF(MATCHED!BH69=9,MATCHED!$J69,IF(MATCHED!BH69=10,MATCHED!$K69,IF(MATCHED!BH69=11,MATCHED!$L69,IF(MATCHED!BH69=12,MATCHED!$M69,IF(MATCHED!BH69=13,MATCHED!$N69,IF(MATCHED!BH69=14,MATCHED!$O69,"")))))))&amp;IF(MATCHED!BH69=15,MATCHED!$P69,IF(MATCHED!BH69=16,MATCHED!$Q69,IF(MATCHED!BH69=17,MATCHED!$R69,IF(MATCHED!BH69=18,MATCHED!$S69,IF(MATCHED!BH69=19,MATCHED!$T69,IF(MATCHED!BH69=20,MATCHED!$U69,IF(MATCHED!BH69=21,MATCHED!$V69,)))))))&amp;IF(MATCHED!BH69=22,MATCHED!$W69,IF(MATCHED!BH69=23,MATCHED!$X69,IF(MATCHED!BH69=24,MATCHED!$Y69,IF(MATCHED!BH69=25,MATCHED!$Z69,IF(MATCHED!BH69=26,MATCHED!$AA69,IF(MATCHED!BH69=27,MATCHED!$AB69,"."))))))</f>
        <v>#N/A</v>
      </c>
      <c r="AG69" s="379" t="e">
        <f>IF(MATCHED!BI69=1,MATCHED!$B69,IF(MATCHED!BI69=2,MATCHED!$C69,IF(MATCHED!BI69=3,MATCHED!$D69,IF(MATCHED!BI69=4,MATCHED!$E69,IF(MATCHED!BI69=3,MATCHED!$F69,IF(MATCHED!BI69=6,MATCHED!$G69,IF(MATCHED!BI69=7,MATCHED!$H69,"")))))))&amp;IF(MATCHED!BI69=8,MATCHED!$I69,IF(MATCHED!BI69=9,MATCHED!$J69,IF(MATCHED!BI69=10,MATCHED!$K69,IF(MATCHED!BI69=11,MATCHED!$L69,IF(MATCHED!BI69=12,MATCHED!$M69,IF(MATCHED!BI69=13,MATCHED!$N69,IF(MATCHED!BI69=14,MATCHED!$O69,"")))))))&amp;IF(MATCHED!BI69=15,MATCHED!$P69,IF(MATCHED!BI69=16,MATCHED!$Q69,IF(MATCHED!BI69=17,MATCHED!$R69,IF(MATCHED!BI69=18,MATCHED!$S69,IF(MATCHED!BI69=19,MATCHED!$T69,IF(MATCHED!BI69=20,MATCHED!$U69,IF(MATCHED!BI69=21,MATCHED!$V69,)))))))&amp;IF(MATCHED!BI69=22,MATCHED!$W69,IF(MATCHED!BI69=23,MATCHED!$X69,IF(MATCHED!BI69=24,MATCHED!$Y69,IF(MATCHED!BI69=25,MATCHED!$Z69,IF(MATCHED!BI69=26,MATCHED!$AA69,IF(MATCHED!BI69=27,MATCHED!$AB69,"."))))))</f>
        <v>#N/A</v>
      </c>
      <c r="AH69" s="379" t="e">
        <f>IF(MATCHED!BJ69=1,MATCHED!$B69,IF(MATCHED!BJ69=2,MATCHED!$C69,IF(MATCHED!BJ69=3,MATCHED!$D69,IF(MATCHED!BJ69=4,MATCHED!$E69,IF(MATCHED!BJ69=3,MATCHED!$F69,IF(MATCHED!BJ69=6,MATCHED!$G69,IF(MATCHED!BJ69=7,MATCHED!$H69,"")))))))&amp;IF(MATCHED!BJ69=8,MATCHED!$I69,IF(MATCHED!BJ69=9,MATCHED!$J69,IF(MATCHED!BJ69=10,MATCHED!$K69,IF(MATCHED!BJ69=11,MATCHED!$L69,IF(MATCHED!BJ69=12,MATCHED!$M69,IF(MATCHED!BJ69=13,MATCHED!$N69,IF(MATCHED!BJ69=14,MATCHED!$O69,"")))))))&amp;IF(MATCHED!BJ69=15,MATCHED!$P69,IF(MATCHED!BJ69=16,MATCHED!$Q69,IF(MATCHED!BJ69=17,MATCHED!$R69,IF(MATCHED!BJ69=18,MATCHED!$S69,IF(MATCHED!BJ69=19,MATCHED!$T69,IF(MATCHED!BJ69=20,MATCHED!$U69,IF(MATCHED!BJ69=21,MATCHED!$V69,)))))))&amp;IF(MATCHED!BJ69=22,MATCHED!$W69,IF(MATCHED!BJ69=23,MATCHED!$X69,IF(MATCHED!BJ69=24,MATCHED!$Y69,IF(MATCHED!BJ69=25,MATCHED!$Z69,IF(MATCHED!BJ69=26,MATCHED!$AA69,IF(MATCHED!BJ69=27,MATCHED!$AB69,"."))))))</f>
        <v>#N/A</v>
      </c>
      <c r="AI69" s="379" t="e">
        <f>IF(MATCHED!BK69=1,MATCHED!$B69,IF(MATCHED!BK69=2,MATCHED!$C69,IF(MATCHED!BK69=3,MATCHED!$D69,IF(MATCHED!BK69=4,MATCHED!$E69,IF(MATCHED!BK69=3,MATCHED!$F69,IF(MATCHED!BK69=6,MATCHED!$G69,IF(MATCHED!BK69=7,MATCHED!$H69,"")))))))&amp;IF(MATCHED!BK69=8,MATCHED!$I69,IF(MATCHED!BK69=9,MATCHED!$J69,IF(MATCHED!BK69=10,MATCHED!$K69,IF(MATCHED!BK69=11,MATCHED!$L69,IF(MATCHED!BK69=12,MATCHED!$M69,IF(MATCHED!BK69=13,MATCHED!$N69,IF(MATCHED!BK69=14,MATCHED!$O69,"")))))))&amp;IF(MATCHED!BK69=15,MATCHED!$P69,IF(MATCHED!BK69=16,MATCHED!$Q69,IF(MATCHED!BK69=17,MATCHED!$R69,IF(MATCHED!BK69=18,MATCHED!$S69,IF(MATCHED!BK69=19,MATCHED!$T69,IF(MATCHED!BK69=20,MATCHED!$U69,IF(MATCHED!BK69=21,MATCHED!$V69,)))))))&amp;IF(MATCHED!BK69=22,MATCHED!$W69,IF(MATCHED!BK69=23,MATCHED!$X69,IF(MATCHED!BK69=24,MATCHED!$Y69,IF(MATCHED!BK69=25,MATCHED!$Z69,IF(MATCHED!BK69=26,MATCHED!$AA69,IF(MATCHED!BK69=27,MATCHED!$AB69,"."))))))</f>
        <v>#N/A</v>
      </c>
      <c r="AJ69" s="535"/>
    </row>
    <row r="70" spans="1:36" s="338" customFormat="1" x14ac:dyDescent="0.25">
      <c r="A70" s="535"/>
      <c r="B70" s="378" t="e">
        <f>IF(MATCHED!AD70=1,MATCHED!$B70,IF(MATCHED!AD70=2,MATCHED!$C70,IF(MATCHED!AD70=3,MATCHED!$D70,IF(MATCHED!AD70=4,MATCHED!$E70,IF(MATCHED!AD70=3,MATCHED!$F70,IF(MATCHED!AD70=6,MATCHED!$G70,IF(MATCHED!AD70=7,MATCHED!$H70,"")))))))&amp;IF(MATCHED!AD70=8,MATCHED!$I70,IF(MATCHED!AD70=9,MATCHED!$J70,IF(MATCHED!AD70=10,MATCHED!$K70,IF(MATCHED!AD70=11,MATCHED!$L70,IF(MATCHED!AD70=12,MATCHED!$M70,IF(MATCHED!AD70=13,MATCHED!$N70,IF(MATCHED!AD70=14,MATCHED!$O70,"")))))))&amp;IF(MATCHED!AD70=15,MATCHED!$P70,IF(MATCHED!AD70=16,MATCHED!$Q70,IF(MATCHED!AD70=17,MATCHED!$R70,IF(MATCHED!AD70=18,MATCHED!$S70,IF(MATCHED!AD70=19,MATCHED!$T70,IF(MATCHED!AD70=20,MATCHED!$U70,IF(MATCHED!AD70=21,MATCHED!$V70,)))))))&amp;IF(MATCHED!AD70=22,MATCHED!$W70,IF(MATCHED!AD70=23,MATCHED!$X70,IF(MATCHED!AD70=24,MATCHED!$Y70,IF(MATCHED!AD70=25,MATCHED!$Z70,IF(MATCHED!AD70=26,MATCHED!$AA70,IF(MATCHED!AD70=27,MATCHED!$AB70,"."))))))</f>
        <v>#N/A</v>
      </c>
      <c r="C70" s="379" t="e">
        <f>IF(MATCHED!AE70=1,MATCHED!$B70,IF(MATCHED!AE70=2,MATCHED!$C70,IF(MATCHED!AE70=3,MATCHED!$D70,IF(MATCHED!AE70=4,MATCHED!$E70,IF(MATCHED!AE70=3,MATCHED!$F70,IF(MATCHED!AE70=6,MATCHED!$G70,IF(MATCHED!AE70=7,MATCHED!$H70,"")))))))&amp;IF(MATCHED!AE70=8,MATCHED!$I70,IF(MATCHED!AE70=9,MATCHED!$J70,IF(MATCHED!AE70=10,MATCHED!$K70,IF(MATCHED!AE70=11,MATCHED!$L70,IF(MATCHED!AE70=12,MATCHED!$M70,IF(MATCHED!AE70=13,MATCHED!$N70,IF(MATCHED!AE70=14,MATCHED!$O70,"")))))))&amp;IF(MATCHED!AE70=15,MATCHED!$P70,IF(MATCHED!AE70=16,MATCHED!$Q70,IF(MATCHED!AE70=17,MATCHED!$R70,IF(MATCHED!AE70=18,MATCHED!$S70,IF(MATCHED!AE70=19,MATCHED!$T70,IF(MATCHED!AE70=20,MATCHED!$U70,IF(MATCHED!AE70=21,MATCHED!$V70,)))))))&amp;IF(MATCHED!AE70=22,MATCHED!$W70,IF(MATCHED!AE70=23,MATCHED!$X70,IF(MATCHED!AE70=24,MATCHED!$Y70,IF(MATCHED!AE70=25,MATCHED!$Z70,IF(MATCHED!AE70=26,MATCHED!$AA70,IF(MATCHED!AE70=27,MATCHED!$AB70,"."))))))</f>
        <v>#N/A</v>
      </c>
      <c r="D70" s="379" t="e">
        <f>IF(MATCHED!AF70=1,MATCHED!$B70,IF(MATCHED!AF70=2,MATCHED!$C70,IF(MATCHED!AF70=3,MATCHED!$D70,IF(MATCHED!AF70=4,MATCHED!$E70,IF(MATCHED!AF70=3,MATCHED!$F70,IF(MATCHED!AF70=6,MATCHED!$G70,IF(MATCHED!AF70=7,MATCHED!$H70,"")))))))&amp;IF(MATCHED!AF70=8,MATCHED!$I70,IF(MATCHED!AF70=9,MATCHED!$J70,IF(MATCHED!AF70=10,MATCHED!$K70,IF(MATCHED!AF70=11,MATCHED!$L70,IF(MATCHED!AF70=12,MATCHED!$M70,IF(MATCHED!AF70=13,MATCHED!$N70,IF(MATCHED!AF70=14,MATCHED!$O70,"")))))))&amp;IF(MATCHED!AF70=15,MATCHED!$P70,IF(MATCHED!AF70=16,MATCHED!$Q70,IF(MATCHED!AF70=17,MATCHED!$R70,IF(MATCHED!AF70=18,MATCHED!$S70,IF(MATCHED!AF70=19,MATCHED!$T70,IF(MATCHED!AF70=20,MATCHED!$U70,IF(MATCHED!AF70=21,MATCHED!$V70,)))))))&amp;IF(MATCHED!AF70=22,MATCHED!$W70,IF(MATCHED!AF70=23,MATCHED!$X70,IF(MATCHED!AF70=24,MATCHED!$Y70,IF(MATCHED!AF70=25,MATCHED!$Z70,IF(MATCHED!AF70=26,MATCHED!$AA70,IF(MATCHED!AF70=27,MATCHED!$AB70,"."))))))</f>
        <v>#N/A</v>
      </c>
      <c r="E70" s="379" t="e">
        <f>IF(MATCHED!AG70=1,MATCHED!$B70,IF(MATCHED!AG70=2,MATCHED!$C70,IF(MATCHED!AG70=3,MATCHED!$D70,IF(MATCHED!AG70=4,MATCHED!$E70,IF(MATCHED!AG70=3,MATCHED!$F70,IF(MATCHED!AG70=6,MATCHED!$G70,IF(MATCHED!AG70=7,MATCHED!$H70,"")))))))&amp;IF(MATCHED!AG70=8,MATCHED!$I70,IF(MATCHED!AG70=9,MATCHED!$J70,IF(MATCHED!AG70=10,MATCHED!$K70,IF(MATCHED!AG70=11,MATCHED!$L70,IF(MATCHED!AG70=12,MATCHED!$M70,IF(MATCHED!AG70=13,MATCHED!$N70,IF(MATCHED!AG70=14,MATCHED!$O70,"")))))))&amp;IF(MATCHED!AG70=15,MATCHED!$P70,IF(MATCHED!AG70=16,MATCHED!$Q70,IF(MATCHED!AG70=17,MATCHED!$R70,IF(MATCHED!AG70=18,MATCHED!$S70,IF(MATCHED!AG70=19,MATCHED!$T70,IF(MATCHED!AG70=20,MATCHED!$U70,IF(MATCHED!AG70=21,MATCHED!$V70,)))))))&amp;IF(MATCHED!AG70=22,MATCHED!$W70,IF(MATCHED!AG70=23,MATCHED!$X70,IF(MATCHED!AG70=24,MATCHED!$Y70,IF(MATCHED!AG70=25,MATCHED!$Z70,IF(MATCHED!AG70=26,MATCHED!$AA70,IF(MATCHED!AG70=27,MATCHED!$AB70,"."))))))</f>
        <v>#N/A</v>
      </c>
      <c r="F70" s="379" t="e">
        <f>IF(MATCHED!AH70=1,MATCHED!$B70,IF(MATCHED!AH70=2,MATCHED!$C70,IF(MATCHED!AH70=3,MATCHED!$D70,IF(MATCHED!AH70=4,MATCHED!$E70,IF(MATCHED!AH70=3,MATCHED!$F70,IF(MATCHED!AH70=6,MATCHED!$G70,IF(MATCHED!AH70=7,MATCHED!$H70,"")))))))&amp;IF(MATCHED!AH70=8,MATCHED!$I70,IF(MATCHED!AH70=9,MATCHED!$J70,IF(MATCHED!AH70=10,MATCHED!$K70,IF(MATCHED!AH70=11,MATCHED!$L70,IF(MATCHED!AH70=12,MATCHED!$M70,IF(MATCHED!AH70=13,MATCHED!$N70,IF(MATCHED!AH70=14,MATCHED!$O70,"")))))))&amp;IF(MATCHED!AH70=15,MATCHED!$P70,IF(MATCHED!AH70=16,MATCHED!$Q70,IF(MATCHED!AH70=17,MATCHED!$R70,IF(MATCHED!AH70=18,MATCHED!$S70,IF(MATCHED!AH70=19,MATCHED!$T70,IF(MATCHED!AH70=20,MATCHED!$U70,IF(MATCHED!AH70=21,MATCHED!$V70,)))))))&amp;IF(MATCHED!AH70=22,MATCHED!$W70,IF(MATCHED!AH70=23,MATCHED!$X70,IF(MATCHED!AH70=24,MATCHED!$Y70,IF(MATCHED!AH70=25,MATCHED!$Z70,IF(MATCHED!AH70=26,MATCHED!$AA70,IF(MATCHED!AH70=27,MATCHED!$AB70,"."))))))</f>
        <v>#N/A</v>
      </c>
      <c r="G70" s="379" t="e">
        <f>IF(MATCHED!AI70=1,MATCHED!$B70,IF(MATCHED!AI70=2,MATCHED!$C70,IF(MATCHED!AI70=3,MATCHED!$D70,IF(MATCHED!AI70=4,MATCHED!$E70,IF(MATCHED!AI70=3,MATCHED!$F70,IF(MATCHED!AI70=6,MATCHED!$G70,IF(MATCHED!AI70=7,MATCHED!$H70,"")))))))&amp;IF(MATCHED!AI70=8,MATCHED!$I70,IF(MATCHED!AI70=9,MATCHED!$J70,IF(MATCHED!AI70=10,MATCHED!$K70,IF(MATCHED!AI70=11,MATCHED!$L70,IF(MATCHED!AI70=12,MATCHED!$M70,IF(MATCHED!AI70=13,MATCHED!$N70,IF(MATCHED!AI70=14,MATCHED!$O70,"")))))))&amp;IF(MATCHED!AI70=15,MATCHED!$P70,IF(MATCHED!AI70=16,MATCHED!$Q70,IF(MATCHED!AI70=17,MATCHED!$R70,IF(MATCHED!AI70=18,MATCHED!$S70,IF(MATCHED!AI70=19,MATCHED!$T70,IF(MATCHED!AI70=20,MATCHED!$U70,IF(MATCHED!AI70=21,MATCHED!$V70,)))))))&amp;IF(MATCHED!AI70=22,MATCHED!$W70,IF(MATCHED!AI70=23,MATCHED!$X70,IF(MATCHED!AI70=24,MATCHED!$Y70,IF(MATCHED!AI70=25,MATCHED!$Z70,IF(MATCHED!AI70=26,MATCHED!$AA70,IF(MATCHED!AI70=27,MATCHED!$AB70,"."))))))</f>
        <v>#N/A</v>
      </c>
      <c r="H70" s="379" t="e">
        <f>IF(MATCHED!AJ70=1,MATCHED!$B70,IF(MATCHED!AJ70=2,MATCHED!$C70,IF(MATCHED!AJ70=3,MATCHED!$D70,IF(MATCHED!AJ70=4,MATCHED!$E70,IF(MATCHED!AJ70=3,MATCHED!$F70,IF(MATCHED!AJ70=6,MATCHED!$G70,IF(MATCHED!AJ70=7,MATCHED!$H70,"")))))))&amp;IF(MATCHED!AJ70=8,MATCHED!$I70,IF(MATCHED!AJ70=9,MATCHED!$J70,IF(MATCHED!AJ70=10,MATCHED!$K70,IF(MATCHED!AJ70=11,MATCHED!$L70,IF(MATCHED!AJ70=12,MATCHED!$M70,IF(MATCHED!AJ70=13,MATCHED!$N70,IF(MATCHED!AJ70=14,MATCHED!$O70,"")))))))&amp;IF(MATCHED!AJ70=15,MATCHED!$P70,IF(MATCHED!AJ70=16,MATCHED!$Q70,IF(MATCHED!AJ70=17,MATCHED!$R70,IF(MATCHED!AJ70=18,MATCHED!$S70,IF(MATCHED!AJ70=19,MATCHED!$T70,IF(MATCHED!AJ70=20,MATCHED!$U70,IF(MATCHED!AJ70=21,MATCHED!$V70,)))))))&amp;IF(MATCHED!AJ70=22,MATCHED!$W70,IF(MATCHED!AJ70=23,MATCHED!$X70,IF(MATCHED!AJ70=24,MATCHED!$Y70,IF(MATCHED!AJ70=25,MATCHED!$Z70,IF(MATCHED!AJ70=26,MATCHED!$AA70,IF(MATCHED!AJ70=27,MATCHED!$AB70,"."))))))</f>
        <v>#N/A</v>
      </c>
      <c r="I70" s="379" t="e">
        <f>IF(MATCHED!AK70=1,MATCHED!$B70,IF(MATCHED!AK70=2,MATCHED!$C70,IF(MATCHED!AK70=3,MATCHED!$D70,IF(MATCHED!AK70=4,MATCHED!$E70,IF(MATCHED!AK70=3,MATCHED!$F70,IF(MATCHED!AK70=6,MATCHED!$G70,IF(MATCHED!AK70=7,MATCHED!$H70,"")))))))&amp;IF(MATCHED!AK70=8,MATCHED!$I70,IF(MATCHED!AK70=9,MATCHED!$J70,IF(MATCHED!AK70=10,MATCHED!$K70,IF(MATCHED!AK70=11,MATCHED!$L70,IF(MATCHED!AK70=12,MATCHED!$M70,IF(MATCHED!AK70=13,MATCHED!$N70,IF(MATCHED!AK70=14,MATCHED!$O70,"")))))))&amp;IF(MATCHED!AK70=15,MATCHED!$P70,IF(MATCHED!AK70=16,MATCHED!$Q70,IF(MATCHED!AK70=17,MATCHED!$R70,IF(MATCHED!AK70=18,MATCHED!$S70,IF(MATCHED!AK70=19,MATCHED!$T70,IF(MATCHED!AK70=20,MATCHED!$U70,IF(MATCHED!AK70=21,MATCHED!$V70,)))))))&amp;IF(MATCHED!AK70=22,MATCHED!$W70,IF(MATCHED!AK70=23,MATCHED!$X70,IF(MATCHED!AK70=24,MATCHED!$Y70,IF(MATCHED!AK70=25,MATCHED!$Z70,IF(MATCHED!AK70=26,MATCHED!$AA70,IF(MATCHED!AK70=27,MATCHED!$AB70,"."))))))</f>
        <v>#N/A</v>
      </c>
      <c r="J70" s="379" t="e">
        <f>IF(MATCHED!AL70=1,MATCHED!$B70,IF(MATCHED!AL70=2,MATCHED!$C70,IF(MATCHED!AL70=3,MATCHED!$D70,IF(MATCHED!AL70=4,MATCHED!$E70,IF(MATCHED!AL70=3,MATCHED!$F70,IF(MATCHED!AL70=6,MATCHED!$G70,IF(MATCHED!AL70=7,MATCHED!$H70,"")))))))&amp;IF(MATCHED!AL70=8,MATCHED!$I70,IF(MATCHED!AL70=9,MATCHED!$J70,IF(MATCHED!AL70=10,MATCHED!$K70,IF(MATCHED!AL70=11,MATCHED!$L70,IF(MATCHED!AL70=12,MATCHED!$M70,IF(MATCHED!AL70=13,MATCHED!$N70,IF(MATCHED!AL70=14,MATCHED!$O70,"")))))))&amp;IF(MATCHED!AL70=15,MATCHED!$P70,IF(MATCHED!AL70=16,MATCHED!$Q70,IF(MATCHED!AL70=17,MATCHED!$R70,IF(MATCHED!AL70=18,MATCHED!$S70,IF(MATCHED!AL70=19,MATCHED!$T70,IF(MATCHED!AL70=20,MATCHED!$U70,IF(MATCHED!AL70=21,MATCHED!$V70,)))))))&amp;IF(MATCHED!AL70=22,MATCHED!$W70,IF(MATCHED!AL70=23,MATCHED!$X70,IF(MATCHED!AL70=24,MATCHED!$Y70,IF(MATCHED!AL70=25,MATCHED!$Z70,IF(MATCHED!AL70=26,MATCHED!$AA70,IF(MATCHED!AL70=27,MATCHED!$AB70,"."))))))</f>
        <v>#N/A</v>
      </c>
      <c r="K70" s="379" t="e">
        <f>IF(MATCHED!AM70=1,MATCHED!$B70,IF(MATCHED!AM70=2,MATCHED!$C70,IF(MATCHED!AM70=3,MATCHED!$D70,IF(MATCHED!AM70=4,MATCHED!$E70,IF(MATCHED!AM70=3,MATCHED!$F70,IF(MATCHED!AM70=6,MATCHED!$G70,IF(MATCHED!AM70=7,MATCHED!$H70,"")))))))&amp;IF(MATCHED!AM70=8,MATCHED!$I70,IF(MATCHED!AM70=9,MATCHED!$J70,IF(MATCHED!AM70=10,MATCHED!$K70,IF(MATCHED!AM70=11,MATCHED!$L70,IF(MATCHED!AM70=12,MATCHED!$M70,IF(MATCHED!AM70=13,MATCHED!$N70,IF(MATCHED!AM70=14,MATCHED!$O70,"")))))))&amp;IF(MATCHED!AM70=15,MATCHED!$P70,IF(MATCHED!AM70=16,MATCHED!$Q70,IF(MATCHED!AM70=17,MATCHED!$R70,IF(MATCHED!AM70=18,MATCHED!$S70,IF(MATCHED!AM70=19,MATCHED!$T70,IF(MATCHED!AM70=20,MATCHED!$U70,IF(MATCHED!AM70=21,MATCHED!$V70,)))))))&amp;IF(MATCHED!AM70=22,MATCHED!$W70,IF(MATCHED!AM70=23,MATCHED!$X70,IF(MATCHED!AM70=24,MATCHED!$Y70,IF(MATCHED!AM70=25,MATCHED!$Z70,IF(MATCHED!AM70=26,MATCHED!$AA70,IF(MATCHED!AM70=27,MATCHED!$AB70,"."))))))</f>
        <v>#N/A</v>
      </c>
      <c r="L70" s="379" t="e">
        <f>IF(MATCHED!AN70=1,MATCHED!$B70,IF(MATCHED!AN70=2,MATCHED!$C70,IF(MATCHED!AN70=3,MATCHED!$D70,IF(MATCHED!AN70=4,MATCHED!$E70,IF(MATCHED!AN70=3,MATCHED!$F70,IF(MATCHED!AN70=6,MATCHED!$G70,IF(MATCHED!AN70=7,MATCHED!$H70,"")))))))&amp;IF(MATCHED!AN70=8,MATCHED!$I70,IF(MATCHED!AN70=9,MATCHED!$J70,IF(MATCHED!AN70=10,MATCHED!$K70,IF(MATCHED!AN70=11,MATCHED!$L70,IF(MATCHED!AN70=12,MATCHED!$M70,IF(MATCHED!AN70=13,MATCHED!$N70,IF(MATCHED!AN70=14,MATCHED!$O70,"")))))))&amp;IF(MATCHED!AN70=15,MATCHED!$P70,IF(MATCHED!AN70=16,MATCHED!$Q70,IF(MATCHED!AN70=17,MATCHED!$R70,IF(MATCHED!AN70=18,MATCHED!$S70,IF(MATCHED!AN70=19,MATCHED!$T70,IF(MATCHED!AN70=20,MATCHED!$U70,IF(MATCHED!AN70=21,MATCHED!$V70,)))))))&amp;IF(MATCHED!AN70=22,MATCHED!$W70,IF(MATCHED!AN70=23,MATCHED!$X70,IF(MATCHED!AN70=24,MATCHED!$Y70,IF(MATCHED!AN70=25,MATCHED!$Z70,IF(MATCHED!AN70=26,MATCHED!$AA70,IF(MATCHED!AN70=27,MATCHED!$AB70,"."))))))</f>
        <v>#N/A</v>
      </c>
      <c r="M70" s="379" t="e">
        <f>IF(MATCHED!AO70=1,MATCHED!$B70,IF(MATCHED!AO70=2,MATCHED!$C70,IF(MATCHED!AO70=3,MATCHED!$D70,IF(MATCHED!AO70=4,MATCHED!$E70,IF(MATCHED!AO70=3,MATCHED!$F70,IF(MATCHED!AO70=6,MATCHED!$G70,IF(MATCHED!AO70=7,MATCHED!$H70,"")))))))&amp;IF(MATCHED!AO70=8,MATCHED!$I70,IF(MATCHED!AO70=9,MATCHED!$J70,IF(MATCHED!AO70=10,MATCHED!$K70,IF(MATCHED!AO70=11,MATCHED!$L70,IF(MATCHED!AO70=12,MATCHED!$M70,IF(MATCHED!AO70=13,MATCHED!$N70,IF(MATCHED!AO70=14,MATCHED!$O70,"")))))))&amp;IF(MATCHED!AO70=15,MATCHED!$P70,IF(MATCHED!AO70=16,MATCHED!$Q70,IF(MATCHED!AO70=17,MATCHED!$R70,IF(MATCHED!AO70=18,MATCHED!$S70,IF(MATCHED!AO70=19,MATCHED!$T70,IF(MATCHED!AO70=20,MATCHED!$U70,IF(MATCHED!AO70=21,MATCHED!$V70,)))))))&amp;IF(MATCHED!AO70=22,MATCHED!$W70,IF(MATCHED!AO70=23,MATCHED!$X70,IF(MATCHED!AO70=24,MATCHED!$Y70,IF(MATCHED!AO70=25,MATCHED!$Z70,IF(MATCHED!AO70=26,MATCHED!$AA70,IF(MATCHED!AO70=27,MATCHED!$AB70,"."))))))</f>
        <v>#N/A</v>
      </c>
      <c r="N70" s="379" t="e">
        <f>IF(MATCHED!AP70=1,MATCHED!$B70,IF(MATCHED!AP70=2,MATCHED!$C70,IF(MATCHED!AP70=3,MATCHED!$D70,IF(MATCHED!AP70=4,MATCHED!$E70,IF(MATCHED!AP70=3,MATCHED!$F70,IF(MATCHED!AP70=6,MATCHED!$G70,IF(MATCHED!AP70=7,MATCHED!$H70,"")))))))&amp;IF(MATCHED!AP70=8,MATCHED!$I70,IF(MATCHED!AP70=9,MATCHED!$J70,IF(MATCHED!AP70=10,MATCHED!$K70,IF(MATCHED!AP70=11,MATCHED!$L70,IF(MATCHED!AP70=12,MATCHED!$M70,IF(MATCHED!AP70=13,MATCHED!$N70,IF(MATCHED!AP70=14,MATCHED!$O70,"")))))))&amp;IF(MATCHED!AP70=15,MATCHED!$P70,IF(MATCHED!AP70=16,MATCHED!$Q70,IF(MATCHED!AP70=17,MATCHED!$R70,IF(MATCHED!AP70=18,MATCHED!$S70,IF(MATCHED!AP70=19,MATCHED!$T70,IF(MATCHED!AP70=20,MATCHED!$U70,IF(MATCHED!AP70=21,MATCHED!$V70,)))))))&amp;IF(MATCHED!AP70=22,MATCHED!$W70,IF(MATCHED!AP70=23,MATCHED!$X70,IF(MATCHED!AP70=24,MATCHED!$Y70,IF(MATCHED!AP70=25,MATCHED!$Z70,IF(MATCHED!AP70=26,MATCHED!$AA70,IF(MATCHED!AP70=27,MATCHED!$AB70,"."))))))</f>
        <v>#N/A</v>
      </c>
      <c r="O70" s="379" t="e">
        <f>IF(MATCHED!AQ70=1,MATCHED!$B70,IF(MATCHED!AQ70=2,MATCHED!$C70,IF(MATCHED!AQ70=3,MATCHED!$D70,IF(MATCHED!AQ70=4,MATCHED!$E70,IF(MATCHED!AQ70=3,MATCHED!$F70,IF(MATCHED!AQ70=6,MATCHED!$G70,IF(MATCHED!AQ70=7,MATCHED!$H70,"")))))))&amp;IF(MATCHED!AQ70=8,MATCHED!$I70,IF(MATCHED!AQ70=9,MATCHED!$J70,IF(MATCHED!AQ70=10,MATCHED!$K70,IF(MATCHED!AQ70=11,MATCHED!$L70,IF(MATCHED!AQ70=12,MATCHED!$M70,IF(MATCHED!AQ70=13,MATCHED!$N70,IF(MATCHED!AQ70=14,MATCHED!$O70,"")))))))&amp;IF(MATCHED!AQ70=15,MATCHED!$P70,IF(MATCHED!AQ70=16,MATCHED!$Q70,IF(MATCHED!AQ70=17,MATCHED!$R70,IF(MATCHED!AQ70=18,MATCHED!$S70,IF(MATCHED!AQ70=19,MATCHED!$T70,IF(MATCHED!AQ70=20,MATCHED!$U70,IF(MATCHED!AQ70=21,MATCHED!$V70,)))))))&amp;IF(MATCHED!AQ70=22,MATCHED!$W70,IF(MATCHED!AQ70=23,MATCHED!$X70,IF(MATCHED!AQ70=24,MATCHED!$Y70,IF(MATCHED!AQ70=25,MATCHED!$Z70,IF(MATCHED!AQ70=26,MATCHED!$AA70,IF(MATCHED!AQ70=27,MATCHED!$AB70,"."))))))</f>
        <v>#N/A</v>
      </c>
      <c r="P70" s="379" t="e">
        <f>IF(MATCHED!AR70=1,MATCHED!$B70,IF(MATCHED!AR70=2,MATCHED!$C70,IF(MATCHED!AR70=3,MATCHED!$D70,IF(MATCHED!AR70=4,MATCHED!$E70,IF(MATCHED!AR70=3,MATCHED!$F70,IF(MATCHED!AR70=6,MATCHED!$G70,IF(MATCHED!AR70=7,MATCHED!$H70,"")))))))&amp;IF(MATCHED!AR70=8,MATCHED!$I70,IF(MATCHED!AR70=9,MATCHED!$J70,IF(MATCHED!AR70=10,MATCHED!$K70,IF(MATCHED!AR70=11,MATCHED!$L70,IF(MATCHED!AR70=12,MATCHED!$M70,IF(MATCHED!AR70=13,MATCHED!$N70,IF(MATCHED!AR70=14,MATCHED!$O70,"")))))))&amp;IF(MATCHED!AR70=15,MATCHED!$P70,IF(MATCHED!AR70=16,MATCHED!$Q70,IF(MATCHED!AR70=17,MATCHED!$R70,IF(MATCHED!AR70=18,MATCHED!$S70,IF(MATCHED!AR70=19,MATCHED!$T70,IF(MATCHED!AR70=20,MATCHED!$U70,IF(MATCHED!AR70=21,MATCHED!$V70,)))))))&amp;IF(MATCHED!AR70=22,MATCHED!$W70,IF(MATCHED!AR70=23,MATCHED!$X70,IF(MATCHED!AR70=24,MATCHED!$Y70,IF(MATCHED!AR70=25,MATCHED!$Z70,IF(MATCHED!AR70=26,MATCHED!$AA70,IF(MATCHED!AR70=27,MATCHED!$AB70,"."))))))</f>
        <v>#N/A</v>
      </c>
      <c r="Q70" s="379" t="e">
        <f>IF(MATCHED!AS70=1,MATCHED!$B70,IF(MATCHED!AS70=2,MATCHED!$C70,IF(MATCHED!AS70=3,MATCHED!$D70,IF(MATCHED!AS70=4,MATCHED!$E70,IF(MATCHED!AS70=3,MATCHED!$F70,IF(MATCHED!AS70=6,MATCHED!$G70,IF(MATCHED!AS70=7,MATCHED!$H70,"")))))))&amp;IF(MATCHED!AS70=8,MATCHED!$I70,IF(MATCHED!AS70=9,MATCHED!$J70,IF(MATCHED!AS70=10,MATCHED!$K70,IF(MATCHED!AS70=11,MATCHED!$L70,IF(MATCHED!AS70=12,MATCHED!$M70,IF(MATCHED!AS70=13,MATCHED!$N70,IF(MATCHED!AS70=14,MATCHED!$O70,"")))))))&amp;IF(MATCHED!AS70=15,MATCHED!$P70,IF(MATCHED!AS70=16,MATCHED!$Q70,IF(MATCHED!AS70=17,MATCHED!$R70,IF(MATCHED!AS70=18,MATCHED!$S70,IF(MATCHED!AS70=19,MATCHED!$T70,IF(MATCHED!AS70=20,MATCHED!$U70,IF(MATCHED!AS70=21,MATCHED!$V70,)))))))&amp;IF(MATCHED!AS70=22,MATCHED!$W70,IF(MATCHED!AS70=23,MATCHED!$X70,IF(MATCHED!AS70=24,MATCHED!$Y70,IF(MATCHED!AS70=25,MATCHED!$Z70,IF(MATCHED!AS70=26,MATCHED!$AA70,IF(MATCHED!AS70=27,MATCHED!$AB70,"."))))))</f>
        <v>#N/A</v>
      </c>
      <c r="R70" s="380" t="e">
        <f>IF(MATCHED!AT70=1,MATCHED!$B70,IF(MATCHED!AT70=2,MATCHED!$C70,IF(MATCHED!AT70=3,MATCHED!$D70,IF(MATCHED!AT70=4,MATCHED!$E70,IF(MATCHED!AT70=3,MATCHED!$F70,IF(MATCHED!AT70=6,MATCHED!$G70,IF(MATCHED!AT70=7,MATCHED!$H70,"")))))))&amp;IF(MATCHED!AT70=8,MATCHED!$I70,IF(MATCHED!AT70=9,MATCHED!$J70,IF(MATCHED!AT70=10,MATCHED!$K70,IF(MATCHED!AT70=11,MATCHED!$L70,IF(MATCHED!AT70=12,MATCHED!$M70,IF(MATCHED!AT70=13,MATCHED!$N70,IF(MATCHED!AT70=14,MATCHED!$O70,"")))))))&amp;IF(MATCHED!AT70=15,MATCHED!$P70,IF(MATCHED!AT70=16,MATCHED!$Q70,IF(MATCHED!AT70=17,MATCHED!$R70,IF(MATCHED!AT70=18,MATCHED!$S70,IF(MATCHED!AT70=19,MATCHED!$T70,IF(MATCHED!AT70=20,MATCHED!$U70,IF(MATCHED!AT70=21,MATCHED!$V70,)))))))&amp;IF(MATCHED!AT70=22,MATCHED!$W70,IF(MATCHED!AT70=23,MATCHED!$X70,IF(MATCHED!AT70=24,MATCHED!$Y70,IF(MATCHED!AT70=25,MATCHED!$Z70,IF(MATCHED!AT70=26,MATCHED!$AA70,IF(MATCHED!AT70=27,MATCHED!$AB70,"."))))))</f>
        <v>#N/A</v>
      </c>
      <c r="S70" s="379" t="e">
        <f>IF(MATCHED!AU70=1,MATCHED!$B70,IF(MATCHED!AU70=2,MATCHED!$C70,IF(MATCHED!AU70=3,MATCHED!$D70,IF(MATCHED!AU70=4,MATCHED!$E70,IF(MATCHED!AU70=3,MATCHED!$F70,IF(MATCHED!AU70=6,MATCHED!$G70,IF(MATCHED!AU70=7,MATCHED!$H70,"")))))))&amp;IF(MATCHED!AU70=8,MATCHED!$I70,IF(MATCHED!AU70=9,MATCHED!$J70,IF(MATCHED!AU70=10,MATCHED!$K70,IF(MATCHED!AU70=11,MATCHED!$L70,IF(MATCHED!AU70=12,MATCHED!$M70,IF(MATCHED!AU70=13,MATCHED!$N70,IF(MATCHED!AU70=14,MATCHED!$O70,"")))))))&amp;IF(MATCHED!AU70=15,MATCHED!$P70,IF(MATCHED!AU70=16,MATCHED!$Q70,IF(MATCHED!AU70=17,MATCHED!$R70,IF(MATCHED!AU70=18,MATCHED!$S70,IF(MATCHED!AU70=19,MATCHED!$T70,IF(MATCHED!AU70=20,MATCHED!$U70,IF(MATCHED!AU70=21,MATCHED!$V70,)))))))&amp;IF(MATCHED!AU70=22,MATCHED!$W70,IF(MATCHED!AU70=23,MATCHED!$X70,IF(MATCHED!AU70=24,MATCHED!$Y70,IF(MATCHED!AU70=25,MATCHED!$Z70,IF(MATCHED!AU70=26,MATCHED!$AA70,IF(MATCHED!AU70=27,MATCHED!$AB70,"."))))))</f>
        <v>#N/A</v>
      </c>
      <c r="T70" s="379" t="e">
        <f>IF(MATCHED!AV70=1,MATCHED!$B70,IF(MATCHED!AV70=2,MATCHED!$C70,IF(MATCHED!AV70=3,MATCHED!$D70,IF(MATCHED!AV70=4,MATCHED!$E70,IF(MATCHED!AV70=3,MATCHED!$F70,IF(MATCHED!AV70=6,MATCHED!$G70,IF(MATCHED!AV70=7,MATCHED!$H70,"")))))))&amp;IF(MATCHED!AV70=8,MATCHED!$I70,IF(MATCHED!AV70=9,MATCHED!$J70,IF(MATCHED!AV70=10,MATCHED!$K70,IF(MATCHED!AV70=11,MATCHED!$L70,IF(MATCHED!AV70=12,MATCHED!$M70,IF(MATCHED!AV70=13,MATCHED!$N70,IF(MATCHED!AV70=14,MATCHED!$O70,"")))))))&amp;IF(MATCHED!AV70=15,MATCHED!$P70,IF(MATCHED!AV70=16,MATCHED!$Q70,IF(MATCHED!AV70=17,MATCHED!$R70,IF(MATCHED!AV70=18,MATCHED!$S70,IF(MATCHED!AV70=19,MATCHED!$T70,IF(MATCHED!AV70=20,MATCHED!$U70,IF(MATCHED!AV70=21,MATCHED!$V70,)))))))&amp;IF(MATCHED!AV70=22,MATCHED!$W70,IF(MATCHED!AV70=23,MATCHED!$X70,IF(MATCHED!AV70=24,MATCHED!$Y70,IF(MATCHED!AV70=25,MATCHED!$Z70,IF(MATCHED!AV70=26,MATCHED!$AA70,IF(MATCHED!AV70=27,MATCHED!$AB70,"."))))))</f>
        <v>#N/A</v>
      </c>
      <c r="U70" s="379" t="e">
        <f>IF(MATCHED!AW70=1,MATCHED!$B70,IF(MATCHED!AW70=2,MATCHED!$C70,IF(MATCHED!AW70=3,MATCHED!$D70,IF(MATCHED!AW70=4,MATCHED!$E70,IF(MATCHED!AW70=3,MATCHED!$F70,IF(MATCHED!AW70=6,MATCHED!$G70,IF(MATCHED!AW70=7,MATCHED!$H70,"")))))))&amp;IF(MATCHED!AW70=8,MATCHED!$I70,IF(MATCHED!AW70=9,MATCHED!$J70,IF(MATCHED!AW70=10,MATCHED!$K70,IF(MATCHED!AW70=11,MATCHED!$L70,IF(MATCHED!AW70=12,MATCHED!$M70,IF(MATCHED!AW70=13,MATCHED!$N70,IF(MATCHED!AW70=14,MATCHED!$O70,"")))))))&amp;IF(MATCHED!AW70=15,MATCHED!$P70,IF(MATCHED!AW70=16,MATCHED!$Q70,IF(MATCHED!AW70=17,MATCHED!$R70,IF(MATCHED!AW70=18,MATCHED!$S70,IF(MATCHED!AW70=19,MATCHED!$T70,IF(MATCHED!AW70=20,MATCHED!$U70,IF(MATCHED!AW70=21,MATCHED!$V70,)))))))&amp;IF(MATCHED!AW70=22,MATCHED!$W70,IF(MATCHED!AW70=23,MATCHED!$X70,IF(MATCHED!AW70=24,MATCHED!$Y70,IF(MATCHED!AW70=25,MATCHED!$Z70,IF(MATCHED!AW70=26,MATCHED!$AA70,IF(MATCHED!AW70=27,MATCHED!$AB70,"."))))))</f>
        <v>#N/A</v>
      </c>
      <c r="V70" s="379" t="e">
        <f>IF(MATCHED!AX70=1,MATCHED!$B70,IF(MATCHED!AX70=2,MATCHED!$C70,IF(MATCHED!AX70=3,MATCHED!$D70,IF(MATCHED!AX70=4,MATCHED!$E70,IF(MATCHED!AX70=3,MATCHED!$F70,IF(MATCHED!AX70=6,MATCHED!$G70,IF(MATCHED!AX70=7,MATCHED!$H70,"")))))))&amp;IF(MATCHED!AX70=8,MATCHED!$I70,IF(MATCHED!AX70=9,MATCHED!$J70,IF(MATCHED!AX70=10,MATCHED!$K70,IF(MATCHED!AX70=11,MATCHED!$L70,IF(MATCHED!AX70=12,MATCHED!$M70,IF(MATCHED!AX70=13,MATCHED!$N70,IF(MATCHED!AX70=14,MATCHED!$O70,"")))))))&amp;IF(MATCHED!AX70=15,MATCHED!$P70,IF(MATCHED!AX70=16,MATCHED!$Q70,IF(MATCHED!AX70=17,MATCHED!$R70,IF(MATCHED!AX70=18,MATCHED!$S70,IF(MATCHED!AX70=19,MATCHED!$T70,IF(MATCHED!AX70=20,MATCHED!$U70,IF(MATCHED!AX70=21,MATCHED!$V70,)))))))&amp;IF(MATCHED!AX70=22,MATCHED!$W70,IF(MATCHED!AX70=23,MATCHED!$X70,IF(MATCHED!AX70=24,MATCHED!$Y70,IF(MATCHED!AX70=25,MATCHED!$Z70,IF(MATCHED!AX70=26,MATCHED!$AA70,IF(MATCHED!AX70=27,MATCHED!$AB70,"."))))))</f>
        <v>#N/A</v>
      </c>
      <c r="W70" s="379" t="e">
        <f>IF(MATCHED!AY70=1,MATCHED!$B70,IF(MATCHED!AY70=2,MATCHED!$C70,IF(MATCHED!AY70=3,MATCHED!$D70,IF(MATCHED!AY70=4,MATCHED!$E70,IF(MATCHED!AY70=3,MATCHED!$F70,IF(MATCHED!AY70=6,MATCHED!$G70,IF(MATCHED!AY70=7,MATCHED!$H70,"")))))))&amp;IF(MATCHED!AY70=8,MATCHED!$I70,IF(MATCHED!AY70=9,MATCHED!$J70,IF(MATCHED!AY70=10,MATCHED!$K70,IF(MATCHED!AY70=11,MATCHED!$L70,IF(MATCHED!AY70=12,MATCHED!$M70,IF(MATCHED!AY70=13,MATCHED!$N70,IF(MATCHED!AY70=14,MATCHED!$O70,"")))))))&amp;IF(MATCHED!AY70=15,MATCHED!$P70,IF(MATCHED!AY70=16,MATCHED!$Q70,IF(MATCHED!AY70=17,MATCHED!$R70,IF(MATCHED!AY70=18,MATCHED!$S70,IF(MATCHED!AY70=19,MATCHED!$T70,IF(MATCHED!AY70=20,MATCHED!$U70,IF(MATCHED!AY70=21,MATCHED!$V70,)))))))&amp;IF(MATCHED!AY70=22,MATCHED!$W70,IF(MATCHED!AY70=23,MATCHED!$X70,IF(MATCHED!AY70=24,MATCHED!$Y70,IF(MATCHED!AY70=25,MATCHED!$Z70,IF(MATCHED!AY70=26,MATCHED!$AA70,IF(MATCHED!AY70=27,MATCHED!$AB70,"."))))))</f>
        <v>#N/A</v>
      </c>
      <c r="X70" s="379" t="e">
        <f>IF(MATCHED!AZ70=1,MATCHED!$B70,IF(MATCHED!AZ70=2,MATCHED!$C70,IF(MATCHED!AZ70=3,MATCHED!$D70,IF(MATCHED!AZ70=4,MATCHED!$E70,IF(MATCHED!AZ70=3,MATCHED!$F70,IF(MATCHED!AZ70=6,MATCHED!$G70,IF(MATCHED!AZ70=7,MATCHED!$H70,"")))))))&amp;IF(MATCHED!AZ70=8,MATCHED!$I70,IF(MATCHED!AZ70=9,MATCHED!$J70,IF(MATCHED!AZ70=10,MATCHED!$K70,IF(MATCHED!AZ70=11,MATCHED!$L70,IF(MATCHED!AZ70=12,MATCHED!$M70,IF(MATCHED!AZ70=13,MATCHED!$N70,IF(MATCHED!AZ70=14,MATCHED!$O70,"")))))))&amp;IF(MATCHED!AZ70=15,MATCHED!$P70,IF(MATCHED!AZ70=16,MATCHED!$Q70,IF(MATCHED!AZ70=17,MATCHED!$R70,IF(MATCHED!AZ70=18,MATCHED!$S70,IF(MATCHED!AZ70=19,MATCHED!$T70,IF(MATCHED!AZ70=20,MATCHED!$U70,IF(MATCHED!AZ70=21,MATCHED!$V70,)))))))&amp;IF(MATCHED!AZ70=22,MATCHED!$W70,IF(MATCHED!AZ70=23,MATCHED!$X70,IF(MATCHED!AZ70=24,MATCHED!$Y70,IF(MATCHED!AZ70=25,MATCHED!$Z70,IF(MATCHED!AZ70=26,MATCHED!$AA70,IF(MATCHED!AZ70=27,MATCHED!$AB70,"."))))))</f>
        <v>#N/A</v>
      </c>
      <c r="Y70" s="379" t="e">
        <f>IF(MATCHED!BA70=1,MATCHED!$B70,IF(MATCHED!BA70=2,MATCHED!$C70,IF(MATCHED!BA70=3,MATCHED!$D70,IF(MATCHED!BA70=4,MATCHED!$E70,IF(MATCHED!BA70=3,MATCHED!$F70,IF(MATCHED!BA70=6,MATCHED!$G70,IF(MATCHED!BA70=7,MATCHED!$H70,"")))))))&amp;IF(MATCHED!BA70=8,MATCHED!$I70,IF(MATCHED!BA70=9,MATCHED!$J70,IF(MATCHED!BA70=10,MATCHED!$K70,IF(MATCHED!BA70=11,MATCHED!$L70,IF(MATCHED!BA70=12,MATCHED!$M70,IF(MATCHED!BA70=13,MATCHED!$N70,IF(MATCHED!BA70=14,MATCHED!$O70,"")))))))&amp;IF(MATCHED!BA70=15,MATCHED!$P70,IF(MATCHED!BA70=16,MATCHED!$Q70,IF(MATCHED!BA70=17,MATCHED!$R70,IF(MATCHED!BA70=18,MATCHED!$S70,IF(MATCHED!BA70=19,MATCHED!$T70,IF(MATCHED!BA70=20,MATCHED!$U70,IF(MATCHED!BA70=21,MATCHED!$V70,)))))))&amp;IF(MATCHED!BA70=22,MATCHED!$W70,IF(MATCHED!BA70=23,MATCHED!$X70,IF(MATCHED!BA70=24,MATCHED!$Y70,IF(MATCHED!BA70=25,MATCHED!$Z70,IF(MATCHED!BA70=26,MATCHED!$AA70,IF(MATCHED!BA70=27,MATCHED!$AB70,"."))))))</f>
        <v>#N/A</v>
      </c>
      <c r="Z70" s="379" t="e">
        <f>IF(MATCHED!BB70=1,MATCHED!$B70,IF(MATCHED!BB70=2,MATCHED!$C70,IF(MATCHED!BB70=3,MATCHED!$D70,IF(MATCHED!BB70=4,MATCHED!$E70,IF(MATCHED!BB70=3,MATCHED!$F70,IF(MATCHED!BB70=6,MATCHED!$G70,IF(MATCHED!BB70=7,MATCHED!$H70,"")))))))&amp;IF(MATCHED!BB70=8,MATCHED!$I70,IF(MATCHED!BB70=9,MATCHED!$J70,IF(MATCHED!BB70=10,MATCHED!$K70,IF(MATCHED!BB70=11,MATCHED!$L70,IF(MATCHED!BB70=12,MATCHED!$M70,IF(MATCHED!BB70=13,MATCHED!$N70,IF(MATCHED!BB70=14,MATCHED!$O70,"")))))))&amp;IF(MATCHED!BB70=15,MATCHED!$P70,IF(MATCHED!BB70=16,MATCHED!$Q70,IF(MATCHED!BB70=17,MATCHED!$R70,IF(MATCHED!BB70=18,MATCHED!$S70,IF(MATCHED!BB70=19,MATCHED!$T70,IF(MATCHED!BB70=20,MATCHED!$U70,IF(MATCHED!BB70=21,MATCHED!$V70,)))))))&amp;IF(MATCHED!BB70=22,MATCHED!$W70,IF(MATCHED!BB70=23,MATCHED!$X70,IF(MATCHED!BB70=24,MATCHED!$Y70,IF(MATCHED!BB70=25,MATCHED!$Z70,IF(MATCHED!BB70=26,MATCHED!$AA70,IF(MATCHED!BB70=27,MATCHED!$AB70,"."))))))</f>
        <v>#N/A</v>
      </c>
      <c r="AA70" s="379" t="e">
        <f>IF(MATCHED!BC70=1,MATCHED!$B70,IF(MATCHED!BC70=2,MATCHED!$C70,IF(MATCHED!BC70=3,MATCHED!$D70,IF(MATCHED!BC70=4,MATCHED!$E70,IF(MATCHED!BC70=3,MATCHED!$F70,IF(MATCHED!BC70=6,MATCHED!$G70,IF(MATCHED!BC70=7,MATCHED!$H70,"")))))))&amp;IF(MATCHED!BC70=8,MATCHED!$I70,IF(MATCHED!BC70=9,MATCHED!$J70,IF(MATCHED!BC70=10,MATCHED!$K70,IF(MATCHED!BC70=11,MATCHED!$L70,IF(MATCHED!BC70=12,MATCHED!$M70,IF(MATCHED!BC70=13,MATCHED!$N70,IF(MATCHED!BC70=14,MATCHED!$O70,"")))))))&amp;IF(MATCHED!BC70=15,MATCHED!$P70,IF(MATCHED!BC70=16,MATCHED!$Q70,IF(MATCHED!BC70=17,MATCHED!$R70,IF(MATCHED!BC70=18,MATCHED!$S70,IF(MATCHED!BC70=19,MATCHED!$T70,IF(MATCHED!BC70=20,MATCHED!$U70,IF(MATCHED!BC70=21,MATCHED!$V70,)))))))&amp;IF(MATCHED!BC70=22,MATCHED!$W70,IF(MATCHED!BC70=23,MATCHED!$X70,IF(MATCHED!BC70=24,MATCHED!$Y70,IF(MATCHED!BC70=25,MATCHED!$Z70,IF(MATCHED!BC70=26,MATCHED!$AA70,IF(MATCHED!BC70=27,MATCHED!$AB70,"."))))))</f>
        <v>#N/A</v>
      </c>
      <c r="AB70" s="379" t="e">
        <f>IF(MATCHED!BD70=1,MATCHED!$B70,IF(MATCHED!BD70=2,MATCHED!$C70,IF(MATCHED!BD70=3,MATCHED!$D70,IF(MATCHED!BD70=4,MATCHED!$E70,IF(MATCHED!BD70=3,MATCHED!$F70,IF(MATCHED!BD70=6,MATCHED!$G70,IF(MATCHED!BD70=7,MATCHED!$H70,"")))))))&amp;IF(MATCHED!BD70=8,MATCHED!$I70,IF(MATCHED!BD70=9,MATCHED!$J70,IF(MATCHED!BD70=10,MATCHED!$K70,IF(MATCHED!BD70=11,MATCHED!$L70,IF(MATCHED!BD70=12,MATCHED!$M70,IF(MATCHED!BD70=13,MATCHED!$N70,IF(MATCHED!BD70=14,MATCHED!$O70,"")))))))&amp;IF(MATCHED!BD70=15,MATCHED!$P70,IF(MATCHED!BD70=16,MATCHED!$Q70,IF(MATCHED!BD70=17,MATCHED!$R70,IF(MATCHED!BD70=18,MATCHED!$S70,IF(MATCHED!BD70=19,MATCHED!$T70,IF(MATCHED!BD70=20,MATCHED!$U70,IF(MATCHED!BD70=21,MATCHED!$V70,)))))))&amp;IF(MATCHED!BD70=22,MATCHED!$W70,IF(MATCHED!BD70=23,MATCHED!$X70,IF(MATCHED!BD70=24,MATCHED!$Y70,IF(MATCHED!BD70=25,MATCHED!$Z70,IF(MATCHED!BD70=26,MATCHED!$AA70,IF(MATCHED!BD70=27,MATCHED!$AB70,"."))))))</f>
        <v>#N/A</v>
      </c>
      <c r="AC70" s="379" t="e">
        <f>IF(MATCHED!BE70=1,MATCHED!$B70,IF(MATCHED!BE70=2,MATCHED!$C70,IF(MATCHED!BE70=3,MATCHED!$D70,IF(MATCHED!BE70=4,MATCHED!$E70,IF(MATCHED!BE70=3,MATCHED!$F70,IF(MATCHED!BE70=6,MATCHED!$G70,IF(MATCHED!BE70=7,MATCHED!$H70,"")))))))&amp;IF(MATCHED!BE70=8,MATCHED!$I70,IF(MATCHED!BE70=9,MATCHED!$J70,IF(MATCHED!BE70=10,MATCHED!$K70,IF(MATCHED!BE70=11,MATCHED!$L70,IF(MATCHED!BE70=12,MATCHED!$M70,IF(MATCHED!BE70=13,MATCHED!$N70,IF(MATCHED!BE70=14,MATCHED!$O70,"")))))))&amp;IF(MATCHED!BE70=15,MATCHED!$P70,IF(MATCHED!BE70=16,MATCHED!$Q70,IF(MATCHED!BE70=17,MATCHED!$R70,IF(MATCHED!BE70=18,MATCHED!$S70,IF(MATCHED!BE70=19,MATCHED!$T70,IF(MATCHED!BE70=20,MATCHED!$U70,IF(MATCHED!BE70=21,MATCHED!$V70,)))))))&amp;IF(MATCHED!BE70=22,MATCHED!$W70,IF(MATCHED!BE70=23,MATCHED!$X70,IF(MATCHED!BE70=24,MATCHED!$Y70,IF(MATCHED!BE70=25,MATCHED!$Z70,IF(MATCHED!BE70=26,MATCHED!$AA70,IF(MATCHED!BE70=27,MATCHED!$AB70,"."))))))</f>
        <v>#N/A</v>
      </c>
      <c r="AD70" s="379" t="e">
        <f>IF(MATCHED!BF70=1,MATCHED!$B70,IF(MATCHED!BF70=2,MATCHED!$C70,IF(MATCHED!BF70=3,MATCHED!$D70,IF(MATCHED!BF70=4,MATCHED!$E70,IF(MATCHED!BF70=3,MATCHED!$F70,IF(MATCHED!BF70=6,MATCHED!$G70,IF(MATCHED!BF70=7,MATCHED!$H70,"")))))))&amp;IF(MATCHED!BF70=8,MATCHED!$I70,IF(MATCHED!BF70=9,MATCHED!$J70,IF(MATCHED!BF70=10,MATCHED!$K70,IF(MATCHED!BF70=11,MATCHED!$L70,IF(MATCHED!BF70=12,MATCHED!$M70,IF(MATCHED!BF70=13,MATCHED!$N70,IF(MATCHED!BF70=14,MATCHED!$O70,"")))))))&amp;IF(MATCHED!BF70=15,MATCHED!$P70,IF(MATCHED!BF70=16,MATCHED!$Q70,IF(MATCHED!BF70=17,MATCHED!$R70,IF(MATCHED!BF70=18,MATCHED!$S70,IF(MATCHED!BF70=19,MATCHED!$T70,IF(MATCHED!BF70=20,MATCHED!$U70,IF(MATCHED!BF70=21,MATCHED!$V70,)))))))&amp;IF(MATCHED!BF70=22,MATCHED!$W70,IF(MATCHED!BF70=23,MATCHED!$X70,IF(MATCHED!BF70=24,MATCHED!$Y70,IF(MATCHED!BF70=25,MATCHED!$Z70,IF(MATCHED!BF70=26,MATCHED!$AA70,IF(MATCHED!BF70=27,MATCHED!$AB70,"."))))))</f>
        <v>#N/A</v>
      </c>
      <c r="AE70" s="379" t="e">
        <f>IF(MATCHED!BG70=1,MATCHED!$B70,IF(MATCHED!BG70=2,MATCHED!$C70,IF(MATCHED!BG70=3,MATCHED!$D70,IF(MATCHED!BG70=4,MATCHED!$E70,IF(MATCHED!BG70=3,MATCHED!$F70,IF(MATCHED!BG70=6,MATCHED!$G70,IF(MATCHED!BG70=7,MATCHED!$H70,"")))))))&amp;IF(MATCHED!BG70=8,MATCHED!$I70,IF(MATCHED!BG70=9,MATCHED!$J70,IF(MATCHED!BG70=10,MATCHED!$K70,IF(MATCHED!BG70=11,MATCHED!$L70,IF(MATCHED!BG70=12,MATCHED!$M70,IF(MATCHED!BG70=13,MATCHED!$N70,IF(MATCHED!BG70=14,MATCHED!$O70,"")))))))&amp;IF(MATCHED!BG70=15,MATCHED!$P70,IF(MATCHED!BG70=16,MATCHED!$Q70,IF(MATCHED!BG70=17,MATCHED!$R70,IF(MATCHED!BG70=18,MATCHED!$S70,IF(MATCHED!BG70=19,MATCHED!$T70,IF(MATCHED!BG70=20,MATCHED!$U70,IF(MATCHED!BG70=21,MATCHED!$V70,)))))))&amp;IF(MATCHED!BG70=22,MATCHED!$W70,IF(MATCHED!BG70=23,MATCHED!$X70,IF(MATCHED!BG70=24,MATCHED!$Y70,IF(MATCHED!BG70=25,MATCHED!$Z70,IF(MATCHED!BG70=26,MATCHED!$AA70,IF(MATCHED!BG70=27,MATCHED!$AB70,"."))))))</f>
        <v>#N/A</v>
      </c>
      <c r="AF70" s="379" t="e">
        <f>IF(MATCHED!BH70=1,MATCHED!$B70,IF(MATCHED!BH70=2,MATCHED!$C70,IF(MATCHED!BH70=3,MATCHED!$D70,IF(MATCHED!BH70=4,MATCHED!$E70,IF(MATCHED!BH70=3,MATCHED!$F70,IF(MATCHED!BH70=6,MATCHED!$G70,IF(MATCHED!BH70=7,MATCHED!$H70,"")))))))&amp;IF(MATCHED!BH70=8,MATCHED!$I70,IF(MATCHED!BH70=9,MATCHED!$J70,IF(MATCHED!BH70=10,MATCHED!$K70,IF(MATCHED!BH70=11,MATCHED!$L70,IF(MATCHED!BH70=12,MATCHED!$M70,IF(MATCHED!BH70=13,MATCHED!$N70,IF(MATCHED!BH70=14,MATCHED!$O70,"")))))))&amp;IF(MATCHED!BH70=15,MATCHED!$P70,IF(MATCHED!BH70=16,MATCHED!$Q70,IF(MATCHED!BH70=17,MATCHED!$R70,IF(MATCHED!BH70=18,MATCHED!$S70,IF(MATCHED!BH70=19,MATCHED!$T70,IF(MATCHED!BH70=20,MATCHED!$U70,IF(MATCHED!BH70=21,MATCHED!$V70,)))))))&amp;IF(MATCHED!BH70=22,MATCHED!$W70,IF(MATCHED!BH70=23,MATCHED!$X70,IF(MATCHED!BH70=24,MATCHED!$Y70,IF(MATCHED!BH70=25,MATCHED!$Z70,IF(MATCHED!BH70=26,MATCHED!$AA70,IF(MATCHED!BH70=27,MATCHED!$AB70,"."))))))</f>
        <v>#N/A</v>
      </c>
      <c r="AG70" s="379" t="e">
        <f>IF(MATCHED!BI70=1,MATCHED!$B70,IF(MATCHED!BI70=2,MATCHED!$C70,IF(MATCHED!BI70=3,MATCHED!$D70,IF(MATCHED!BI70=4,MATCHED!$E70,IF(MATCHED!BI70=3,MATCHED!$F70,IF(MATCHED!BI70=6,MATCHED!$G70,IF(MATCHED!BI70=7,MATCHED!$H70,"")))))))&amp;IF(MATCHED!BI70=8,MATCHED!$I70,IF(MATCHED!BI70=9,MATCHED!$J70,IF(MATCHED!BI70=10,MATCHED!$K70,IF(MATCHED!BI70=11,MATCHED!$L70,IF(MATCHED!BI70=12,MATCHED!$M70,IF(MATCHED!BI70=13,MATCHED!$N70,IF(MATCHED!BI70=14,MATCHED!$O70,"")))))))&amp;IF(MATCHED!BI70=15,MATCHED!$P70,IF(MATCHED!BI70=16,MATCHED!$Q70,IF(MATCHED!BI70=17,MATCHED!$R70,IF(MATCHED!BI70=18,MATCHED!$S70,IF(MATCHED!BI70=19,MATCHED!$T70,IF(MATCHED!BI70=20,MATCHED!$U70,IF(MATCHED!BI70=21,MATCHED!$V70,)))))))&amp;IF(MATCHED!BI70=22,MATCHED!$W70,IF(MATCHED!BI70=23,MATCHED!$X70,IF(MATCHED!BI70=24,MATCHED!$Y70,IF(MATCHED!BI70=25,MATCHED!$Z70,IF(MATCHED!BI70=26,MATCHED!$AA70,IF(MATCHED!BI70=27,MATCHED!$AB70,"."))))))</f>
        <v>#N/A</v>
      </c>
      <c r="AH70" s="379" t="e">
        <f>IF(MATCHED!BJ70=1,MATCHED!$B70,IF(MATCHED!BJ70=2,MATCHED!$C70,IF(MATCHED!BJ70=3,MATCHED!$D70,IF(MATCHED!BJ70=4,MATCHED!$E70,IF(MATCHED!BJ70=3,MATCHED!$F70,IF(MATCHED!BJ70=6,MATCHED!$G70,IF(MATCHED!BJ70=7,MATCHED!$H70,"")))))))&amp;IF(MATCHED!BJ70=8,MATCHED!$I70,IF(MATCHED!BJ70=9,MATCHED!$J70,IF(MATCHED!BJ70=10,MATCHED!$K70,IF(MATCHED!BJ70=11,MATCHED!$L70,IF(MATCHED!BJ70=12,MATCHED!$M70,IF(MATCHED!BJ70=13,MATCHED!$N70,IF(MATCHED!BJ70=14,MATCHED!$O70,"")))))))&amp;IF(MATCHED!BJ70=15,MATCHED!$P70,IF(MATCHED!BJ70=16,MATCHED!$Q70,IF(MATCHED!BJ70=17,MATCHED!$R70,IF(MATCHED!BJ70=18,MATCHED!$S70,IF(MATCHED!BJ70=19,MATCHED!$T70,IF(MATCHED!BJ70=20,MATCHED!$U70,IF(MATCHED!BJ70=21,MATCHED!$V70,)))))))&amp;IF(MATCHED!BJ70=22,MATCHED!$W70,IF(MATCHED!BJ70=23,MATCHED!$X70,IF(MATCHED!BJ70=24,MATCHED!$Y70,IF(MATCHED!BJ70=25,MATCHED!$Z70,IF(MATCHED!BJ70=26,MATCHED!$AA70,IF(MATCHED!BJ70=27,MATCHED!$AB70,"."))))))</f>
        <v>#N/A</v>
      </c>
      <c r="AI70" s="379" t="e">
        <f>IF(MATCHED!BK70=1,MATCHED!$B70,IF(MATCHED!BK70=2,MATCHED!$C70,IF(MATCHED!BK70=3,MATCHED!$D70,IF(MATCHED!BK70=4,MATCHED!$E70,IF(MATCHED!BK70=3,MATCHED!$F70,IF(MATCHED!BK70=6,MATCHED!$G70,IF(MATCHED!BK70=7,MATCHED!$H70,"")))))))&amp;IF(MATCHED!BK70=8,MATCHED!$I70,IF(MATCHED!BK70=9,MATCHED!$J70,IF(MATCHED!BK70=10,MATCHED!$K70,IF(MATCHED!BK70=11,MATCHED!$L70,IF(MATCHED!BK70=12,MATCHED!$M70,IF(MATCHED!BK70=13,MATCHED!$N70,IF(MATCHED!BK70=14,MATCHED!$O70,"")))))))&amp;IF(MATCHED!BK70=15,MATCHED!$P70,IF(MATCHED!BK70=16,MATCHED!$Q70,IF(MATCHED!BK70=17,MATCHED!$R70,IF(MATCHED!BK70=18,MATCHED!$S70,IF(MATCHED!BK70=19,MATCHED!$T70,IF(MATCHED!BK70=20,MATCHED!$U70,IF(MATCHED!BK70=21,MATCHED!$V70,)))))))&amp;IF(MATCHED!BK70=22,MATCHED!$W70,IF(MATCHED!BK70=23,MATCHED!$X70,IF(MATCHED!BK70=24,MATCHED!$Y70,IF(MATCHED!BK70=25,MATCHED!$Z70,IF(MATCHED!BK70=26,MATCHED!$AA70,IF(MATCHED!BK70=27,MATCHED!$AB70,"."))))))</f>
        <v>#N/A</v>
      </c>
      <c r="AJ70" s="535"/>
    </row>
    <row r="71" spans="1:36" s="338" customFormat="1" x14ac:dyDescent="0.25">
      <c r="A71" s="535"/>
      <c r="B71" s="378" t="e">
        <f>IF(MATCHED!AD71=1,MATCHED!$B71,IF(MATCHED!AD71=2,MATCHED!$C71,IF(MATCHED!AD71=3,MATCHED!$D71,IF(MATCHED!AD71=4,MATCHED!$E71,IF(MATCHED!AD71=3,MATCHED!$F71,IF(MATCHED!AD71=6,MATCHED!$G71,IF(MATCHED!AD71=7,MATCHED!$H71,"")))))))&amp;IF(MATCHED!AD71=8,MATCHED!$I71,IF(MATCHED!AD71=9,MATCHED!$J71,IF(MATCHED!AD71=10,MATCHED!$K71,IF(MATCHED!AD71=11,MATCHED!$L71,IF(MATCHED!AD71=12,MATCHED!$M71,IF(MATCHED!AD71=13,MATCHED!$N71,IF(MATCHED!AD71=14,MATCHED!$O71,"")))))))&amp;IF(MATCHED!AD71=15,MATCHED!$P71,IF(MATCHED!AD71=16,MATCHED!$Q71,IF(MATCHED!AD71=17,MATCHED!$R71,IF(MATCHED!AD71=18,MATCHED!$S71,IF(MATCHED!AD71=19,MATCHED!$T71,IF(MATCHED!AD71=20,MATCHED!$U71,IF(MATCHED!AD71=21,MATCHED!$V71,)))))))&amp;IF(MATCHED!AD71=22,MATCHED!$W71,IF(MATCHED!AD71=23,MATCHED!$X71,IF(MATCHED!AD71=24,MATCHED!$Y71,IF(MATCHED!AD71=25,MATCHED!$Z71,IF(MATCHED!AD71=26,MATCHED!$AA71,IF(MATCHED!AD71=27,MATCHED!$AB71,"."))))))</f>
        <v>#N/A</v>
      </c>
      <c r="C71" s="379" t="e">
        <f>IF(MATCHED!AE71=1,MATCHED!$B71,IF(MATCHED!AE71=2,MATCHED!$C71,IF(MATCHED!AE71=3,MATCHED!$D71,IF(MATCHED!AE71=4,MATCHED!$E71,IF(MATCHED!AE71=3,MATCHED!$F71,IF(MATCHED!AE71=6,MATCHED!$G71,IF(MATCHED!AE71=7,MATCHED!$H71,"")))))))&amp;IF(MATCHED!AE71=8,MATCHED!$I71,IF(MATCHED!AE71=9,MATCHED!$J71,IF(MATCHED!AE71=10,MATCHED!$K71,IF(MATCHED!AE71=11,MATCHED!$L71,IF(MATCHED!AE71=12,MATCHED!$M71,IF(MATCHED!AE71=13,MATCHED!$N71,IF(MATCHED!AE71=14,MATCHED!$O71,"")))))))&amp;IF(MATCHED!AE71=15,MATCHED!$P71,IF(MATCHED!AE71=16,MATCHED!$Q71,IF(MATCHED!AE71=17,MATCHED!$R71,IF(MATCHED!AE71=18,MATCHED!$S71,IF(MATCHED!AE71=19,MATCHED!$T71,IF(MATCHED!AE71=20,MATCHED!$U71,IF(MATCHED!AE71=21,MATCHED!$V71,)))))))&amp;IF(MATCHED!AE71=22,MATCHED!$W71,IF(MATCHED!AE71=23,MATCHED!$X71,IF(MATCHED!AE71=24,MATCHED!$Y71,IF(MATCHED!AE71=25,MATCHED!$Z71,IF(MATCHED!AE71=26,MATCHED!$AA71,IF(MATCHED!AE71=27,MATCHED!$AB71,"."))))))</f>
        <v>#N/A</v>
      </c>
      <c r="D71" s="379" t="e">
        <f>IF(MATCHED!AF71=1,MATCHED!$B71,IF(MATCHED!AF71=2,MATCHED!$C71,IF(MATCHED!AF71=3,MATCHED!$D71,IF(MATCHED!AF71=4,MATCHED!$E71,IF(MATCHED!AF71=3,MATCHED!$F71,IF(MATCHED!AF71=6,MATCHED!$G71,IF(MATCHED!AF71=7,MATCHED!$H71,"")))))))&amp;IF(MATCHED!AF71=8,MATCHED!$I71,IF(MATCHED!AF71=9,MATCHED!$J71,IF(MATCHED!AF71=10,MATCHED!$K71,IF(MATCHED!AF71=11,MATCHED!$L71,IF(MATCHED!AF71=12,MATCHED!$M71,IF(MATCHED!AF71=13,MATCHED!$N71,IF(MATCHED!AF71=14,MATCHED!$O71,"")))))))&amp;IF(MATCHED!AF71=15,MATCHED!$P71,IF(MATCHED!AF71=16,MATCHED!$Q71,IF(MATCHED!AF71=17,MATCHED!$R71,IF(MATCHED!AF71=18,MATCHED!$S71,IF(MATCHED!AF71=19,MATCHED!$T71,IF(MATCHED!AF71=20,MATCHED!$U71,IF(MATCHED!AF71=21,MATCHED!$V71,)))))))&amp;IF(MATCHED!AF71=22,MATCHED!$W71,IF(MATCHED!AF71=23,MATCHED!$X71,IF(MATCHED!AF71=24,MATCHED!$Y71,IF(MATCHED!AF71=25,MATCHED!$Z71,IF(MATCHED!AF71=26,MATCHED!$AA71,IF(MATCHED!AF71=27,MATCHED!$AB71,"."))))))</f>
        <v>#N/A</v>
      </c>
      <c r="E71" s="379" t="e">
        <f>IF(MATCHED!AG71=1,MATCHED!$B71,IF(MATCHED!AG71=2,MATCHED!$C71,IF(MATCHED!AG71=3,MATCHED!$D71,IF(MATCHED!AG71=4,MATCHED!$E71,IF(MATCHED!AG71=3,MATCHED!$F71,IF(MATCHED!AG71=6,MATCHED!$G71,IF(MATCHED!AG71=7,MATCHED!$H71,"")))))))&amp;IF(MATCHED!AG71=8,MATCHED!$I71,IF(MATCHED!AG71=9,MATCHED!$J71,IF(MATCHED!AG71=10,MATCHED!$K71,IF(MATCHED!AG71=11,MATCHED!$L71,IF(MATCHED!AG71=12,MATCHED!$M71,IF(MATCHED!AG71=13,MATCHED!$N71,IF(MATCHED!AG71=14,MATCHED!$O71,"")))))))&amp;IF(MATCHED!AG71=15,MATCHED!$P71,IF(MATCHED!AG71=16,MATCHED!$Q71,IF(MATCHED!AG71=17,MATCHED!$R71,IF(MATCHED!AG71=18,MATCHED!$S71,IF(MATCHED!AG71=19,MATCHED!$T71,IF(MATCHED!AG71=20,MATCHED!$U71,IF(MATCHED!AG71=21,MATCHED!$V71,)))))))&amp;IF(MATCHED!AG71=22,MATCHED!$W71,IF(MATCHED!AG71=23,MATCHED!$X71,IF(MATCHED!AG71=24,MATCHED!$Y71,IF(MATCHED!AG71=25,MATCHED!$Z71,IF(MATCHED!AG71=26,MATCHED!$AA71,IF(MATCHED!AG71=27,MATCHED!$AB71,"."))))))</f>
        <v>#N/A</v>
      </c>
      <c r="F71" s="379" t="e">
        <f>IF(MATCHED!AH71=1,MATCHED!$B71,IF(MATCHED!AH71=2,MATCHED!$C71,IF(MATCHED!AH71=3,MATCHED!$D71,IF(MATCHED!AH71=4,MATCHED!$E71,IF(MATCHED!AH71=3,MATCHED!$F71,IF(MATCHED!AH71=6,MATCHED!$G71,IF(MATCHED!AH71=7,MATCHED!$H71,"")))))))&amp;IF(MATCHED!AH71=8,MATCHED!$I71,IF(MATCHED!AH71=9,MATCHED!$J71,IF(MATCHED!AH71=10,MATCHED!$K71,IF(MATCHED!AH71=11,MATCHED!$L71,IF(MATCHED!AH71=12,MATCHED!$M71,IF(MATCHED!AH71=13,MATCHED!$N71,IF(MATCHED!AH71=14,MATCHED!$O71,"")))))))&amp;IF(MATCHED!AH71=15,MATCHED!$P71,IF(MATCHED!AH71=16,MATCHED!$Q71,IF(MATCHED!AH71=17,MATCHED!$R71,IF(MATCHED!AH71=18,MATCHED!$S71,IF(MATCHED!AH71=19,MATCHED!$T71,IF(MATCHED!AH71=20,MATCHED!$U71,IF(MATCHED!AH71=21,MATCHED!$V71,)))))))&amp;IF(MATCHED!AH71=22,MATCHED!$W71,IF(MATCHED!AH71=23,MATCHED!$X71,IF(MATCHED!AH71=24,MATCHED!$Y71,IF(MATCHED!AH71=25,MATCHED!$Z71,IF(MATCHED!AH71=26,MATCHED!$AA71,IF(MATCHED!AH71=27,MATCHED!$AB71,"."))))))</f>
        <v>#N/A</v>
      </c>
      <c r="G71" s="379" t="e">
        <f>IF(MATCHED!AI71=1,MATCHED!$B71,IF(MATCHED!AI71=2,MATCHED!$C71,IF(MATCHED!AI71=3,MATCHED!$D71,IF(MATCHED!AI71=4,MATCHED!$E71,IF(MATCHED!AI71=3,MATCHED!$F71,IF(MATCHED!AI71=6,MATCHED!$G71,IF(MATCHED!AI71=7,MATCHED!$H71,"")))))))&amp;IF(MATCHED!AI71=8,MATCHED!$I71,IF(MATCHED!AI71=9,MATCHED!$J71,IF(MATCHED!AI71=10,MATCHED!$K71,IF(MATCHED!AI71=11,MATCHED!$L71,IF(MATCHED!AI71=12,MATCHED!$M71,IF(MATCHED!AI71=13,MATCHED!$N71,IF(MATCHED!AI71=14,MATCHED!$O71,"")))))))&amp;IF(MATCHED!AI71=15,MATCHED!$P71,IF(MATCHED!AI71=16,MATCHED!$Q71,IF(MATCHED!AI71=17,MATCHED!$R71,IF(MATCHED!AI71=18,MATCHED!$S71,IF(MATCHED!AI71=19,MATCHED!$T71,IF(MATCHED!AI71=20,MATCHED!$U71,IF(MATCHED!AI71=21,MATCHED!$V71,)))))))&amp;IF(MATCHED!AI71=22,MATCHED!$W71,IF(MATCHED!AI71=23,MATCHED!$X71,IF(MATCHED!AI71=24,MATCHED!$Y71,IF(MATCHED!AI71=25,MATCHED!$Z71,IF(MATCHED!AI71=26,MATCHED!$AA71,IF(MATCHED!AI71=27,MATCHED!$AB71,"."))))))</f>
        <v>#N/A</v>
      </c>
      <c r="H71" s="379" t="e">
        <f>IF(MATCHED!AJ71=1,MATCHED!$B71,IF(MATCHED!AJ71=2,MATCHED!$C71,IF(MATCHED!AJ71=3,MATCHED!$D71,IF(MATCHED!AJ71=4,MATCHED!$E71,IF(MATCHED!AJ71=3,MATCHED!$F71,IF(MATCHED!AJ71=6,MATCHED!$G71,IF(MATCHED!AJ71=7,MATCHED!$H71,"")))))))&amp;IF(MATCHED!AJ71=8,MATCHED!$I71,IF(MATCHED!AJ71=9,MATCHED!$J71,IF(MATCHED!AJ71=10,MATCHED!$K71,IF(MATCHED!AJ71=11,MATCHED!$L71,IF(MATCHED!AJ71=12,MATCHED!$M71,IF(MATCHED!AJ71=13,MATCHED!$N71,IF(MATCHED!AJ71=14,MATCHED!$O71,"")))))))&amp;IF(MATCHED!AJ71=15,MATCHED!$P71,IF(MATCHED!AJ71=16,MATCHED!$Q71,IF(MATCHED!AJ71=17,MATCHED!$R71,IF(MATCHED!AJ71=18,MATCHED!$S71,IF(MATCHED!AJ71=19,MATCHED!$T71,IF(MATCHED!AJ71=20,MATCHED!$U71,IF(MATCHED!AJ71=21,MATCHED!$V71,)))))))&amp;IF(MATCHED!AJ71=22,MATCHED!$W71,IF(MATCHED!AJ71=23,MATCHED!$X71,IF(MATCHED!AJ71=24,MATCHED!$Y71,IF(MATCHED!AJ71=25,MATCHED!$Z71,IF(MATCHED!AJ71=26,MATCHED!$AA71,IF(MATCHED!AJ71=27,MATCHED!$AB71,"."))))))</f>
        <v>#N/A</v>
      </c>
      <c r="I71" s="379" t="e">
        <f>IF(MATCHED!AK71=1,MATCHED!$B71,IF(MATCHED!AK71=2,MATCHED!$C71,IF(MATCHED!AK71=3,MATCHED!$D71,IF(MATCHED!AK71=4,MATCHED!$E71,IF(MATCHED!AK71=3,MATCHED!$F71,IF(MATCHED!AK71=6,MATCHED!$G71,IF(MATCHED!AK71=7,MATCHED!$H71,"")))))))&amp;IF(MATCHED!AK71=8,MATCHED!$I71,IF(MATCHED!AK71=9,MATCHED!$J71,IF(MATCHED!AK71=10,MATCHED!$K71,IF(MATCHED!AK71=11,MATCHED!$L71,IF(MATCHED!AK71=12,MATCHED!$M71,IF(MATCHED!AK71=13,MATCHED!$N71,IF(MATCHED!AK71=14,MATCHED!$O71,"")))))))&amp;IF(MATCHED!AK71=15,MATCHED!$P71,IF(MATCHED!AK71=16,MATCHED!$Q71,IF(MATCHED!AK71=17,MATCHED!$R71,IF(MATCHED!AK71=18,MATCHED!$S71,IF(MATCHED!AK71=19,MATCHED!$T71,IF(MATCHED!AK71=20,MATCHED!$U71,IF(MATCHED!AK71=21,MATCHED!$V71,)))))))&amp;IF(MATCHED!AK71=22,MATCHED!$W71,IF(MATCHED!AK71=23,MATCHED!$X71,IF(MATCHED!AK71=24,MATCHED!$Y71,IF(MATCHED!AK71=25,MATCHED!$Z71,IF(MATCHED!AK71=26,MATCHED!$AA71,IF(MATCHED!AK71=27,MATCHED!$AB71,"."))))))</f>
        <v>#N/A</v>
      </c>
      <c r="J71" s="379" t="e">
        <f>IF(MATCHED!AL71=1,MATCHED!$B71,IF(MATCHED!AL71=2,MATCHED!$C71,IF(MATCHED!AL71=3,MATCHED!$D71,IF(MATCHED!AL71=4,MATCHED!$E71,IF(MATCHED!AL71=3,MATCHED!$F71,IF(MATCHED!AL71=6,MATCHED!$G71,IF(MATCHED!AL71=7,MATCHED!$H71,"")))))))&amp;IF(MATCHED!AL71=8,MATCHED!$I71,IF(MATCHED!AL71=9,MATCHED!$J71,IF(MATCHED!AL71=10,MATCHED!$K71,IF(MATCHED!AL71=11,MATCHED!$L71,IF(MATCHED!AL71=12,MATCHED!$M71,IF(MATCHED!AL71=13,MATCHED!$N71,IF(MATCHED!AL71=14,MATCHED!$O71,"")))))))&amp;IF(MATCHED!AL71=15,MATCHED!$P71,IF(MATCHED!AL71=16,MATCHED!$Q71,IF(MATCHED!AL71=17,MATCHED!$R71,IF(MATCHED!AL71=18,MATCHED!$S71,IF(MATCHED!AL71=19,MATCHED!$T71,IF(MATCHED!AL71=20,MATCHED!$U71,IF(MATCHED!AL71=21,MATCHED!$V71,)))))))&amp;IF(MATCHED!AL71=22,MATCHED!$W71,IF(MATCHED!AL71=23,MATCHED!$X71,IF(MATCHED!AL71=24,MATCHED!$Y71,IF(MATCHED!AL71=25,MATCHED!$Z71,IF(MATCHED!AL71=26,MATCHED!$AA71,IF(MATCHED!AL71=27,MATCHED!$AB71,"."))))))</f>
        <v>#N/A</v>
      </c>
      <c r="K71" s="379" t="e">
        <f>IF(MATCHED!AM71=1,MATCHED!$B71,IF(MATCHED!AM71=2,MATCHED!$C71,IF(MATCHED!AM71=3,MATCHED!$D71,IF(MATCHED!AM71=4,MATCHED!$E71,IF(MATCHED!AM71=3,MATCHED!$F71,IF(MATCHED!AM71=6,MATCHED!$G71,IF(MATCHED!AM71=7,MATCHED!$H71,"")))))))&amp;IF(MATCHED!AM71=8,MATCHED!$I71,IF(MATCHED!AM71=9,MATCHED!$J71,IF(MATCHED!AM71=10,MATCHED!$K71,IF(MATCHED!AM71=11,MATCHED!$L71,IF(MATCHED!AM71=12,MATCHED!$M71,IF(MATCHED!AM71=13,MATCHED!$N71,IF(MATCHED!AM71=14,MATCHED!$O71,"")))))))&amp;IF(MATCHED!AM71=15,MATCHED!$P71,IF(MATCHED!AM71=16,MATCHED!$Q71,IF(MATCHED!AM71=17,MATCHED!$R71,IF(MATCHED!AM71=18,MATCHED!$S71,IF(MATCHED!AM71=19,MATCHED!$T71,IF(MATCHED!AM71=20,MATCHED!$U71,IF(MATCHED!AM71=21,MATCHED!$V71,)))))))&amp;IF(MATCHED!AM71=22,MATCHED!$W71,IF(MATCHED!AM71=23,MATCHED!$X71,IF(MATCHED!AM71=24,MATCHED!$Y71,IF(MATCHED!AM71=25,MATCHED!$Z71,IF(MATCHED!AM71=26,MATCHED!$AA71,IF(MATCHED!AM71=27,MATCHED!$AB71,"."))))))</f>
        <v>#N/A</v>
      </c>
      <c r="L71" s="379" t="e">
        <f>IF(MATCHED!AN71=1,MATCHED!$B71,IF(MATCHED!AN71=2,MATCHED!$C71,IF(MATCHED!AN71=3,MATCHED!$D71,IF(MATCHED!AN71=4,MATCHED!$E71,IF(MATCHED!AN71=3,MATCHED!$F71,IF(MATCHED!AN71=6,MATCHED!$G71,IF(MATCHED!AN71=7,MATCHED!$H71,"")))))))&amp;IF(MATCHED!AN71=8,MATCHED!$I71,IF(MATCHED!AN71=9,MATCHED!$J71,IF(MATCHED!AN71=10,MATCHED!$K71,IF(MATCHED!AN71=11,MATCHED!$L71,IF(MATCHED!AN71=12,MATCHED!$M71,IF(MATCHED!AN71=13,MATCHED!$N71,IF(MATCHED!AN71=14,MATCHED!$O71,"")))))))&amp;IF(MATCHED!AN71=15,MATCHED!$P71,IF(MATCHED!AN71=16,MATCHED!$Q71,IF(MATCHED!AN71=17,MATCHED!$R71,IF(MATCHED!AN71=18,MATCHED!$S71,IF(MATCHED!AN71=19,MATCHED!$T71,IF(MATCHED!AN71=20,MATCHED!$U71,IF(MATCHED!AN71=21,MATCHED!$V71,)))))))&amp;IF(MATCHED!AN71=22,MATCHED!$W71,IF(MATCHED!AN71=23,MATCHED!$X71,IF(MATCHED!AN71=24,MATCHED!$Y71,IF(MATCHED!AN71=25,MATCHED!$Z71,IF(MATCHED!AN71=26,MATCHED!$AA71,IF(MATCHED!AN71=27,MATCHED!$AB71,"."))))))</f>
        <v>#N/A</v>
      </c>
      <c r="M71" s="379" t="e">
        <f>IF(MATCHED!AO71=1,MATCHED!$B71,IF(MATCHED!AO71=2,MATCHED!$C71,IF(MATCHED!AO71=3,MATCHED!$D71,IF(MATCHED!AO71=4,MATCHED!$E71,IF(MATCHED!AO71=3,MATCHED!$F71,IF(MATCHED!AO71=6,MATCHED!$G71,IF(MATCHED!AO71=7,MATCHED!$H71,"")))))))&amp;IF(MATCHED!AO71=8,MATCHED!$I71,IF(MATCHED!AO71=9,MATCHED!$J71,IF(MATCHED!AO71=10,MATCHED!$K71,IF(MATCHED!AO71=11,MATCHED!$L71,IF(MATCHED!AO71=12,MATCHED!$M71,IF(MATCHED!AO71=13,MATCHED!$N71,IF(MATCHED!AO71=14,MATCHED!$O71,"")))))))&amp;IF(MATCHED!AO71=15,MATCHED!$P71,IF(MATCHED!AO71=16,MATCHED!$Q71,IF(MATCHED!AO71=17,MATCHED!$R71,IF(MATCHED!AO71=18,MATCHED!$S71,IF(MATCHED!AO71=19,MATCHED!$T71,IF(MATCHED!AO71=20,MATCHED!$U71,IF(MATCHED!AO71=21,MATCHED!$V71,)))))))&amp;IF(MATCHED!AO71=22,MATCHED!$W71,IF(MATCHED!AO71=23,MATCHED!$X71,IF(MATCHED!AO71=24,MATCHED!$Y71,IF(MATCHED!AO71=25,MATCHED!$Z71,IF(MATCHED!AO71=26,MATCHED!$AA71,IF(MATCHED!AO71=27,MATCHED!$AB71,"."))))))</f>
        <v>#N/A</v>
      </c>
      <c r="N71" s="379" t="e">
        <f>IF(MATCHED!AP71=1,MATCHED!$B71,IF(MATCHED!AP71=2,MATCHED!$C71,IF(MATCHED!AP71=3,MATCHED!$D71,IF(MATCHED!AP71=4,MATCHED!$E71,IF(MATCHED!AP71=3,MATCHED!$F71,IF(MATCHED!AP71=6,MATCHED!$G71,IF(MATCHED!AP71=7,MATCHED!$H71,"")))))))&amp;IF(MATCHED!AP71=8,MATCHED!$I71,IF(MATCHED!AP71=9,MATCHED!$J71,IF(MATCHED!AP71=10,MATCHED!$K71,IF(MATCHED!AP71=11,MATCHED!$L71,IF(MATCHED!AP71=12,MATCHED!$M71,IF(MATCHED!AP71=13,MATCHED!$N71,IF(MATCHED!AP71=14,MATCHED!$O71,"")))))))&amp;IF(MATCHED!AP71=15,MATCHED!$P71,IF(MATCHED!AP71=16,MATCHED!$Q71,IF(MATCHED!AP71=17,MATCHED!$R71,IF(MATCHED!AP71=18,MATCHED!$S71,IF(MATCHED!AP71=19,MATCHED!$T71,IF(MATCHED!AP71=20,MATCHED!$U71,IF(MATCHED!AP71=21,MATCHED!$V71,)))))))&amp;IF(MATCHED!AP71=22,MATCHED!$W71,IF(MATCHED!AP71=23,MATCHED!$X71,IF(MATCHED!AP71=24,MATCHED!$Y71,IF(MATCHED!AP71=25,MATCHED!$Z71,IF(MATCHED!AP71=26,MATCHED!$AA71,IF(MATCHED!AP71=27,MATCHED!$AB71,"."))))))</f>
        <v>#N/A</v>
      </c>
      <c r="O71" s="379" t="e">
        <f>IF(MATCHED!AQ71=1,MATCHED!$B71,IF(MATCHED!AQ71=2,MATCHED!$C71,IF(MATCHED!AQ71=3,MATCHED!$D71,IF(MATCHED!AQ71=4,MATCHED!$E71,IF(MATCHED!AQ71=3,MATCHED!$F71,IF(MATCHED!AQ71=6,MATCHED!$G71,IF(MATCHED!AQ71=7,MATCHED!$H71,"")))))))&amp;IF(MATCHED!AQ71=8,MATCHED!$I71,IF(MATCHED!AQ71=9,MATCHED!$J71,IF(MATCHED!AQ71=10,MATCHED!$K71,IF(MATCHED!AQ71=11,MATCHED!$L71,IF(MATCHED!AQ71=12,MATCHED!$M71,IF(MATCHED!AQ71=13,MATCHED!$N71,IF(MATCHED!AQ71=14,MATCHED!$O71,"")))))))&amp;IF(MATCHED!AQ71=15,MATCHED!$P71,IF(MATCHED!AQ71=16,MATCHED!$Q71,IF(MATCHED!AQ71=17,MATCHED!$R71,IF(MATCHED!AQ71=18,MATCHED!$S71,IF(MATCHED!AQ71=19,MATCHED!$T71,IF(MATCHED!AQ71=20,MATCHED!$U71,IF(MATCHED!AQ71=21,MATCHED!$V71,)))))))&amp;IF(MATCHED!AQ71=22,MATCHED!$W71,IF(MATCHED!AQ71=23,MATCHED!$X71,IF(MATCHED!AQ71=24,MATCHED!$Y71,IF(MATCHED!AQ71=25,MATCHED!$Z71,IF(MATCHED!AQ71=26,MATCHED!$AA71,IF(MATCHED!AQ71=27,MATCHED!$AB71,"."))))))</f>
        <v>#N/A</v>
      </c>
      <c r="P71" s="379" t="e">
        <f>IF(MATCHED!AR71=1,MATCHED!$B71,IF(MATCHED!AR71=2,MATCHED!$C71,IF(MATCHED!AR71=3,MATCHED!$D71,IF(MATCHED!AR71=4,MATCHED!$E71,IF(MATCHED!AR71=3,MATCHED!$F71,IF(MATCHED!AR71=6,MATCHED!$G71,IF(MATCHED!AR71=7,MATCHED!$H71,"")))))))&amp;IF(MATCHED!AR71=8,MATCHED!$I71,IF(MATCHED!AR71=9,MATCHED!$J71,IF(MATCHED!AR71=10,MATCHED!$K71,IF(MATCHED!AR71=11,MATCHED!$L71,IF(MATCHED!AR71=12,MATCHED!$M71,IF(MATCHED!AR71=13,MATCHED!$N71,IF(MATCHED!AR71=14,MATCHED!$O71,"")))))))&amp;IF(MATCHED!AR71=15,MATCHED!$P71,IF(MATCHED!AR71=16,MATCHED!$Q71,IF(MATCHED!AR71=17,MATCHED!$R71,IF(MATCHED!AR71=18,MATCHED!$S71,IF(MATCHED!AR71=19,MATCHED!$T71,IF(MATCHED!AR71=20,MATCHED!$U71,IF(MATCHED!AR71=21,MATCHED!$V71,)))))))&amp;IF(MATCHED!AR71=22,MATCHED!$W71,IF(MATCHED!AR71=23,MATCHED!$X71,IF(MATCHED!AR71=24,MATCHED!$Y71,IF(MATCHED!AR71=25,MATCHED!$Z71,IF(MATCHED!AR71=26,MATCHED!$AA71,IF(MATCHED!AR71=27,MATCHED!$AB71,"."))))))</f>
        <v>#N/A</v>
      </c>
      <c r="Q71" s="379" t="e">
        <f>IF(MATCHED!AS71=1,MATCHED!$B71,IF(MATCHED!AS71=2,MATCHED!$C71,IF(MATCHED!AS71=3,MATCHED!$D71,IF(MATCHED!AS71=4,MATCHED!$E71,IF(MATCHED!AS71=3,MATCHED!$F71,IF(MATCHED!AS71=6,MATCHED!$G71,IF(MATCHED!AS71=7,MATCHED!$H71,"")))))))&amp;IF(MATCHED!AS71=8,MATCHED!$I71,IF(MATCHED!AS71=9,MATCHED!$J71,IF(MATCHED!AS71=10,MATCHED!$K71,IF(MATCHED!AS71=11,MATCHED!$L71,IF(MATCHED!AS71=12,MATCHED!$M71,IF(MATCHED!AS71=13,MATCHED!$N71,IF(MATCHED!AS71=14,MATCHED!$O71,"")))))))&amp;IF(MATCHED!AS71=15,MATCHED!$P71,IF(MATCHED!AS71=16,MATCHED!$Q71,IF(MATCHED!AS71=17,MATCHED!$R71,IF(MATCHED!AS71=18,MATCHED!$S71,IF(MATCHED!AS71=19,MATCHED!$T71,IF(MATCHED!AS71=20,MATCHED!$U71,IF(MATCHED!AS71=21,MATCHED!$V71,)))))))&amp;IF(MATCHED!AS71=22,MATCHED!$W71,IF(MATCHED!AS71=23,MATCHED!$X71,IF(MATCHED!AS71=24,MATCHED!$Y71,IF(MATCHED!AS71=25,MATCHED!$Z71,IF(MATCHED!AS71=26,MATCHED!$AA71,IF(MATCHED!AS71=27,MATCHED!$AB71,"."))))))</f>
        <v>#N/A</v>
      </c>
      <c r="R71" s="380" t="e">
        <f>IF(MATCHED!AT71=1,MATCHED!$B71,IF(MATCHED!AT71=2,MATCHED!$C71,IF(MATCHED!AT71=3,MATCHED!$D71,IF(MATCHED!AT71=4,MATCHED!$E71,IF(MATCHED!AT71=3,MATCHED!$F71,IF(MATCHED!AT71=6,MATCHED!$G71,IF(MATCHED!AT71=7,MATCHED!$H71,"")))))))&amp;IF(MATCHED!AT71=8,MATCHED!$I71,IF(MATCHED!AT71=9,MATCHED!$J71,IF(MATCHED!AT71=10,MATCHED!$K71,IF(MATCHED!AT71=11,MATCHED!$L71,IF(MATCHED!AT71=12,MATCHED!$M71,IF(MATCHED!AT71=13,MATCHED!$N71,IF(MATCHED!AT71=14,MATCHED!$O71,"")))))))&amp;IF(MATCHED!AT71=15,MATCHED!$P71,IF(MATCHED!AT71=16,MATCHED!$Q71,IF(MATCHED!AT71=17,MATCHED!$R71,IF(MATCHED!AT71=18,MATCHED!$S71,IF(MATCHED!AT71=19,MATCHED!$T71,IF(MATCHED!AT71=20,MATCHED!$U71,IF(MATCHED!AT71=21,MATCHED!$V71,)))))))&amp;IF(MATCHED!AT71=22,MATCHED!$W71,IF(MATCHED!AT71=23,MATCHED!$X71,IF(MATCHED!AT71=24,MATCHED!$Y71,IF(MATCHED!AT71=25,MATCHED!$Z71,IF(MATCHED!AT71=26,MATCHED!$AA71,IF(MATCHED!AT71=27,MATCHED!$AB71,"."))))))</f>
        <v>#N/A</v>
      </c>
      <c r="S71" s="379" t="e">
        <f>IF(MATCHED!AU71=1,MATCHED!$B71,IF(MATCHED!AU71=2,MATCHED!$C71,IF(MATCHED!AU71=3,MATCHED!$D71,IF(MATCHED!AU71=4,MATCHED!$E71,IF(MATCHED!AU71=3,MATCHED!$F71,IF(MATCHED!AU71=6,MATCHED!$G71,IF(MATCHED!AU71=7,MATCHED!$H71,"")))))))&amp;IF(MATCHED!AU71=8,MATCHED!$I71,IF(MATCHED!AU71=9,MATCHED!$J71,IF(MATCHED!AU71=10,MATCHED!$K71,IF(MATCHED!AU71=11,MATCHED!$L71,IF(MATCHED!AU71=12,MATCHED!$M71,IF(MATCHED!AU71=13,MATCHED!$N71,IF(MATCHED!AU71=14,MATCHED!$O71,"")))))))&amp;IF(MATCHED!AU71=15,MATCHED!$P71,IF(MATCHED!AU71=16,MATCHED!$Q71,IF(MATCHED!AU71=17,MATCHED!$R71,IF(MATCHED!AU71=18,MATCHED!$S71,IF(MATCHED!AU71=19,MATCHED!$T71,IF(MATCHED!AU71=20,MATCHED!$U71,IF(MATCHED!AU71=21,MATCHED!$V71,)))))))&amp;IF(MATCHED!AU71=22,MATCHED!$W71,IF(MATCHED!AU71=23,MATCHED!$X71,IF(MATCHED!AU71=24,MATCHED!$Y71,IF(MATCHED!AU71=25,MATCHED!$Z71,IF(MATCHED!AU71=26,MATCHED!$AA71,IF(MATCHED!AU71=27,MATCHED!$AB71,"."))))))</f>
        <v>#N/A</v>
      </c>
      <c r="T71" s="379" t="e">
        <f>IF(MATCHED!AV71=1,MATCHED!$B71,IF(MATCHED!AV71=2,MATCHED!$C71,IF(MATCHED!AV71=3,MATCHED!$D71,IF(MATCHED!AV71=4,MATCHED!$E71,IF(MATCHED!AV71=3,MATCHED!$F71,IF(MATCHED!AV71=6,MATCHED!$G71,IF(MATCHED!AV71=7,MATCHED!$H71,"")))))))&amp;IF(MATCHED!AV71=8,MATCHED!$I71,IF(MATCHED!AV71=9,MATCHED!$J71,IF(MATCHED!AV71=10,MATCHED!$K71,IF(MATCHED!AV71=11,MATCHED!$L71,IF(MATCHED!AV71=12,MATCHED!$M71,IF(MATCHED!AV71=13,MATCHED!$N71,IF(MATCHED!AV71=14,MATCHED!$O71,"")))))))&amp;IF(MATCHED!AV71=15,MATCHED!$P71,IF(MATCHED!AV71=16,MATCHED!$Q71,IF(MATCHED!AV71=17,MATCHED!$R71,IF(MATCHED!AV71=18,MATCHED!$S71,IF(MATCHED!AV71=19,MATCHED!$T71,IF(MATCHED!AV71=20,MATCHED!$U71,IF(MATCHED!AV71=21,MATCHED!$V71,)))))))&amp;IF(MATCHED!AV71=22,MATCHED!$W71,IF(MATCHED!AV71=23,MATCHED!$X71,IF(MATCHED!AV71=24,MATCHED!$Y71,IF(MATCHED!AV71=25,MATCHED!$Z71,IF(MATCHED!AV71=26,MATCHED!$AA71,IF(MATCHED!AV71=27,MATCHED!$AB71,"."))))))</f>
        <v>#N/A</v>
      </c>
      <c r="U71" s="379" t="e">
        <f>IF(MATCHED!AW71=1,MATCHED!$B71,IF(MATCHED!AW71=2,MATCHED!$C71,IF(MATCHED!AW71=3,MATCHED!$D71,IF(MATCHED!AW71=4,MATCHED!$E71,IF(MATCHED!AW71=3,MATCHED!$F71,IF(MATCHED!AW71=6,MATCHED!$G71,IF(MATCHED!AW71=7,MATCHED!$H71,"")))))))&amp;IF(MATCHED!AW71=8,MATCHED!$I71,IF(MATCHED!AW71=9,MATCHED!$J71,IF(MATCHED!AW71=10,MATCHED!$K71,IF(MATCHED!AW71=11,MATCHED!$L71,IF(MATCHED!AW71=12,MATCHED!$M71,IF(MATCHED!AW71=13,MATCHED!$N71,IF(MATCHED!AW71=14,MATCHED!$O71,"")))))))&amp;IF(MATCHED!AW71=15,MATCHED!$P71,IF(MATCHED!AW71=16,MATCHED!$Q71,IF(MATCHED!AW71=17,MATCHED!$R71,IF(MATCHED!AW71=18,MATCHED!$S71,IF(MATCHED!AW71=19,MATCHED!$T71,IF(MATCHED!AW71=20,MATCHED!$U71,IF(MATCHED!AW71=21,MATCHED!$V71,)))))))&amp;IF(MATCHED!AW71=22,MATCHED!$W71,IF(MATCHED!AW71=23,MATCHED!$X71,IF(MATCHED!AW71=24,MATCHED!$Y71,IF(MATCHED!AW71=25,MATCHED!$Z71,IF(MATCHED!AW71=26,MATCHED!$AA71,IF(MATCHED!AW71=27,MATCHED!$AB71,"."))))))</f>
        <v>#N/A</v>
      </c>
      <c r="V71" s="379" t="e">
        <f>IF(MATCHED!AX71=1,MATCHED!$B71,IF(MATCHED!AX71=2,MATCHED!$C71,IF(MATCHED!AX71=3,MATCHED!$D71,IF(MATCHED!AX71=4,MATCHED!$E71,IF(MATCHED!AX71=3,MATCHED!$F71,IF(MATCHED!AX71=6,MATCHED!$G71,IF(MATCHED!AX71=7,MATCHED!$H71,"")))))))&amp;IF(MATCHED!AX71=8,MATCHED!$I71,IF(MATCHED!AX71=9,MATCHED!$J71,IF(MATCHED!AX71=10,MATCHED!$K71,IF(MATCHED!AX71=11,MATCHED!$L71,IF(MATCHED!AX71=12,MATCHED!$M71,IF(MATCHED!AX71=13,MATCHED!$N71,IF(MATCHED!AX71=14,MATCHED!$O71,"")))))))&amp;IF(MATCHED!AX71=15,MATCHED!$P71,IF(MATCHED!AX71=16,MATCHED!$Q71,IF(MATCHED!AX71=17,MATCHED!$R71,IF(MATCHED!AX71=18,MATCHED!$S71,IF(MATCHED!AX71=19,MATCHED!$T71,IF(MATCHED!AX71=20,MATCHED!$U71,IF(MATCHED!AX71=21,MATCHED!$V71,)))))))&amp;IF(MATCHED!AX71=22,MATCHED!$W71,IF(MATCHED!AX71=23,MATCHED!$X71,IF(MATCHED!AX71=24,MATCHED!$Y71,IF(MATCHED!AX71=25,MATCHED!$Z71,IF(MATCHED!AX71=26,MATCHED!$AA71,IF(MATCHED!AX71=27,MATCHED!$AB71,"."))))))</f>
        <v>#N/A</v>
      </c>
      <c r="W71" s="379" t="e">
        <f>IF(MATCHED!AY71=1,MATCHED!$B71,IF(MATCHED!AY71=2,MATCHED!$C71,IF(MATCHED!AY71=3,MATCHED!$D71,IF(MATCHED!AY71=4,MATCHED!$E71,IF(MATCHED!AY71=3,MATCHED!$F71,IF(MATCHED!AY71=6,MATCHED!$G71,IF(MATCHED!AY71=7,MATCHED!$H71,"")))))))&amp;IF(MATCHED!AY71=8,MATCHED!$I71,IF(MATCHED!AY71=9,MATCHED!$J71,IF(MATCHED!AY71=10,MATCHED!$K71,IF(MATCHED!AY71=11,MATCHED!$L71,IF(MATCHED!AY71=12,MATCHED!$M71,IF(MATCHED!AY71=13,MATCHED!$N71,IF(MATCHED!AY71=14,MATCHED!$O71,"")))))))&amp;IF(MATCHED!AY71=15,MATCHED!$P71,IF(MATCHED!AY71=16,MATCHED!$Q71,IF(MATCHED!AY71=17,MATCHED!$R71,IF(MATCHED!AY71=18,MATCHED!$S71,IF(MATCHED!AY71=19,MATCHED!$T71,IF(MATCHED!AY71=20,MATCHED!$U71,IF(MATCHED!AY71=21,MATCHED!$V71,)))))))&amp;IF(MATCHED!AY71=22,MATCHED!$W71,IF(MATCHED!AY71=23,MATCHED!$X71,IF(MATCHED!AY71=24,MATCHED!$Y71,IF(MATCHED!AY71=25,MATCHED!$Z71,IF(MATCHED!AY71=26,MATCHED!$AA71,IF(MATCHED!AY71=27,MATCHED!$AB71,"."))))))</f>
        <v>#N/A</v>
      </c>
      <c r="X71" s="379" t="e">
        <f>IF(MATCHED!AZ71=1,MATCHED!$B71,IF(MATCHED!AZ71=2,MATCHED!$C71,IF(MATCHED!AZ71=3,MATCHED!$D71,IF(MATCHED!AZ71=4,MATCHED!$E71,IF(MATCHED!AZ71=3,MATCHED!$F71,IF(MATCHED!AZ71=6,MATCHED!$G71,IF(MATCHED!AZ71=7,MATCHED!$H71,"")))))))&amp;IF(MATCHED!AZ71=8,MATCHED!$I71,IF(MATCHED!AZ71=9,MATCHED!$J71,IF(MATCHED!AZ71=10,MATCHED!$K71,IF(MATCHED!AZ71=11,MATCHED!$L71,IF(MATCHED!AZ71=12,MATCHED!$M71,IF(MATCHED!AZ71=13,MATCHED!$N71,IF(MATCHED!AZ71=14,MATCHED!$O71,"")))))))&amp;IF(MATCHED!AZ71=15,MATCHED!$P71,IF(MATCHED!AZ71=16,MATCHED!$Q71,IF(MATCHED!AZ71=17,MATCHED!$R71,IF(MATCHED!AZ71=18,MATCHED!$S71,IF(MATCHED!AZ71=19,MATCHED!$T71,IF(MATCHED!AZ71=20,MATCHED!$U71,IF(MATCHED!AZ71=21,MATCHED!$V71,)))))))&amp;IF(MATCHED!AZ71=22,MATCHED!$W71,IF(MATCHED!AZ71=23,MATCHED!$X71,IF(MATCHED!AZ71=24,MATCHED!$Y71,IF(MATCHED!AZ71=25,MATCHED!$Z71,IF(MATCHED!AZ71=26,MATCHED!$AA71,IF(MATCHED!AZ71=27,MATCHED!$AB71,"."))))))</f>
        <v>#N/A</v>
      </c>
      <c r="Y71" s="379" t="e">
        <f>IF(MATCHED!BA71=1,MATCHED!$B71,IF(MATCHED!BA71=2,MATCHED!$C71,IF(MATCHED!BA71=3,MATCHED!$D71,IF(MATCHED!BA71=4,MATCHED!$E71,IF(MATCHED!BA71=3,MATCHED!$F71,IF(MATCHED!BA71=6,MATCHED!$G71,IF(MATCHED!BA71=7,MATCHED!$H71,"")))))))&amp;IF(MATCHED!BA71=8,MATCHED!$I71,IF(MATCHED!BA71=9,MATCHED!$J71,IF(MATCHED!BA71=10,MATCHED!$K71,IF(MATCHED!BA71=11,MATCHED!$L71,IF(MATCHED!BA71=12,MATCHED!$M71,IF(MATCHED!BA71=13,MATCHED!$N71,IF(MATCHED!BA71=14,MATCHED!$O71,"")))))))&amp;IF(MATCHED!BA71=15,MATCHED!$P71,IF(MATCHED!BA71=16,MATCHED!$Q71,IF(MATCHED!BA71=17,MATCHED!$R71,IF(MATCHED!BA71=18,MATCHED!$S71,IF(MATCHED!BA71=19,MATCHED!$T71,IF(MATCHED!BA71=20,MATCHED!$U71,IF(MATCHED!BA71=21,MATCHED!$V71,)))))))&amp;IF(MATCHED!BA71=22,MATCHED!$W71,IF(MATCHED!BA71=23,MATCHED!$X71,IF(MATCHED!BA71=24,MATCHED!$Y71,IF(MATCHED!BA71=25,MATCHED!$Z71,IF(MATCHED!BA71=26,MATCHED!$AA71,IF(MATCHED!BA71=27,MATCHED!$AB71,"."))))))</f>
        <v>#N/A</v>
      </c>
      <c r="Z71" s="379" t="e">
        <f>IF(MATCHED!BB71=1,MATCHED!$B71,IF(MATCHED!BB71=2,MATCHED!$C71,IF(MATCHED!BB71=3,MATCHED!$D71,IF(MATCHED!BB71=4,MATCHED!$E71,IF(MATCHED!BB71=3,MATCHED!$F71,IF(MATCHED!BB71=6,MATCHED!$G71,IF(MATCHED!BB71=7,MATCHED!$H71,"")))))))&amp;IF(MATCHED!BB71=8,MATCHED!$I71,IF(MATCHED!BB71=9,MATCHED!$J71,IF(MATCHED!BB71=10,MATCHED!$K71,IF(MATCHED!BB71=11,MATCHED!$L71,IF(MATCHED!BB71=12,MATCHED!$M71,IF(MATCHED!BB71=13,MATCHED!$N71,IF(MATCHED!BB71=14,MATCHED!$O71,"")))))))&amp;IF(MATCHED!BB71=15,MATCHED!$P71,IF(MATCHED!BB71=16,MATCHED!$Q71,IF(MATCHED!BB71=17,MATCHED!$R71,IF(MATCHED!BB71=18,MATCHED!$S71,IF(MATCHED!BB71=19,MATCHED!$T71,IF(MATCHED!BB71=20,MATCHED!$U71,IF(MATCHED!BB71=21,MATCHED!$V71,)))))))&amp;IF(MATCHED!BB71=22,MATCHED!$W71,IF(MATCHED!BB71=23,MATCHED!$X71,IF(MATCHED!BB71=24,MATCHED!$Y71,IF(MATCHED!BB71=25,MATCHED!$Z71,IF(MATCHED!BB71=26,MATCHED!$AA71,IF(MATCHED!BB71=27,MATCHED!$AB71,"."))))))</f>
        <v>#N/A</v>
      </c>
      <c r="AA71" s="379" t="e">
        <f>IF(MATCHED!BC71=1,MATCHED!$B71,IF(MATCHED!BC71=2,MATCHED!$C71,IF(MATCHED!BC71=3,MATCHED!$D71,IF(MATCHED!BC71=4,MATCHED!$E71,IF(MATCHED!BC71=3,MATCHED!$F71,IF(MATCHED!BC71=6,MATCHED!$G71,IF(MATCHED!BC71=7,MATCHED!$H71,"")))))))&amp;IF(MATCHED!BC71=8,MATCHED!$I71,IF(MATCHED!BC71=9,MATCHED!$J71,IF(MATCHED!BC71=10,MATCHED!$K71,IF(MATCHED!BC71=11,MATCHED!$L71,IF(MATCHED!BC71=12,MATCHED!$M71,IF(MATCHED!BC71=13,MATCHED!$N71,IF(MATCHED!BC71=14,MATCHED!$O71,"")))))))&amp;IF(MATCHED!BC71=15,MATCHED!$P71,IF(MATCHED!BC71=16,MATCHED!$Q71,IF(MATCHED!BC71=17,MATCHED!$R71,IF(MATCHED!BC71=18,MATCHED!$S71,IF(MATCHED!BC71=19,MATCHED!$T71,IF(MATCHED!BC71=20,MATCHED!$U71,IF(MATCHED!BC71=21,MATCHED!$V71,)))))))&amp;IF(MATCHED!BC71=22,MATCHED!$W71,IF(MATCHED!BC71=23,MATCHED!$X71,IF(MATCHED!BC71=24,MATCHED!$Y71,IF(MATCHED!BC71=25,MATCHED!$Z71,IF(MATCHED!BC71=26,MATCHED!$AA71,IF(MATCHED!BC71=27,MATCHED!$AB71,"."))))))</f>
        <v>#N/A</v>
      </c>
      <c r="AB71" s="379" t="e">
        <f>IF(MATCHED!BD71=1,MATCHED!$B71,IF(MATCHED!BD71=2,MATCHED!$C71,IF(MATCHED!BD71=3,MATCHED!$D71,IF(MATCHED!BD71=4,MATCHED!$E71,IF(MATCHED!BD71=3,MATCHED!$F71,IF(MATCHED!BD71=6,MATCHED!$G71,IF(MATCHED!BD71=7,MATCHED!$H71,"")))))))&amp;IF(MATCHED!BD71=8,MATCHED!$I71,IF(MATCHED!BD71=9,MATCHED!$J71,IF(MATCHED!BD71=10,MATCHED!$K71,IF(MATCHED!BD71=11,MATCHED!$L71,IF(MATCHED!BD71=12,MATCHED!$M71,IF(MATCHED!BD71=13,MATCHED!$N71,IF(MATCHED!BD71=14,MATCHED!$O71,"")))))))&amp;IF(MATCHED!BD71=15,MATCHED!$P71,IF(MATCHED!BD71=16,MATCHED!$Q71,IF(MATCHED!BD71=17,MATCHED!$R71,IF(MATCHED!BD71=18,MATCHED!$S71,IF(MATCHED!BD71=19,MATCHED!$T71,IF(MATCHED!BD71=20,MATCHED!$U71,IF(MATCHED!BD71=21,MATCHED!$V71,)))))))&amp;IF(MATCHED!BD71=22,MATCHED!$W71,IF(MATCHED!BD71=23,MATCHED!$X71,IF(MATCHED!BD71=24,MATCHED!$Y71,IF(MATCHED!BD71=25,MATCHED!$Z71,IF(MATCHED!BD71=26,MATCHED!$AA71,IF(MATCHED!BD71=27,MATCHED!$AB71,"."))))))</f>
        <v>#N/A</v>
      </c>
      <c r="AC71" s="379" t="e">
        <f>IF(MATCHED!BE71=1,MATCHED!$B71,IF(MATCHED!BE71=2,MATCHED!$C71,IF(MATCHED!BE71=3,MATCHED!$D71,IF(MATCHED!BE71=4,MATCHED!$E71,IF(MATCHED!BE71=3,MATCHED!$F71,IF(MATCHED!BE71=6,MATCHED!$G71,IF(MATCHED!BE71=7,MATCHED!$H71,"")))))))&amp;IF(MATCHED!BE71=8,MATCHED!$I71,IF(MATCHED!BE71=9,MATCHED!$J71,IF(MATCHED!BE71=10,MATCHED!$K71,IF(MATCHED!BE71=11,MATCHED!$L71,IF(MATCHED!BE71=12,MATCHED!$M71,IF(MATCHED!BE71=13,MATCHED!$N71,IF(MATCHED!BE71=14,MATCHED!$O71,"")))))))&amp;IF(MATCHED!BE71=15,MATCHED!$P71,IF(MATCHED!BE71=16,MATCHED!$Q71,IF(MATCHED!BE71=17,MATCHED!$R71,IF(MATCHED!BE71=18,MATCHED!$S71,IF(MATCHED!BE71=19,MATCHED!$T71,IF(MATCHED!BE71=20,MATCHED!$U71,IF(MATCHED!BE71=21,MATCHED!$V71,)))))))&amp;IF(MATCHED!BE71=22,MATCHED!$W71,IF(MATCHED!BE71=23,MATCHED!$X71,IF(MATCHED!BE71=24,MATCHED!$Y71,IF(MATCHED!BE71=25,MATCHED!$Z71,IF(MATCHED!BE71=26,MATCHED!$AA71,IF(MATCHED!BE71=27,MATCHED!$AB71,"."))))))</f>
        <v>#N/A</v>
      </c>
      <c r="AD71" s="379" t="e">
        <f>IF(MATCHED!BF71=1,MATCHED!$B71,IF(MATCHED!BF71=2,MATCHED!$C71,IF(MATCHED!BF71=3,MATCHED!$D71,IF(MATCHED!BF71=4,MATCHED!$E71,IF(MATCHED!BF71=3,MATCHED!$F71,IF(MATCHED!BF71=6,MATCHED!$G71,IF(MATCHED!BF71=7,MATCHED!$H71,"")))))))&amp;IF(MATCHED!BF71=8,MATCHED!$I71,IF(MATCHED!BF71=9,MATCHED!$J71,IF(MATCHED!BF71=10,MATCHED!$K71,IF(MATCHED!BF71=11,MATCHED!$L71,IF(MATCHED!BF71=12,MATCHED!$M71,IF(MATCHED!BF71=13,MATCHED!$N71,IF(MATCHED!BF71=14,MATCHED!$O71,"")))))))&amp;IF(MATCHED!BF71=15,MATCHED!$P71,IF(MATCHED!BF71=16,MATCHED!$Q71,IF(MATCHED!BF71=17,MATCHED!$R71,IF(MATCHED!BF71=18,MATCHED!$S71,IF(MATCHED!BF71=19,MATCHED!$T71,IF(MATCHED!BF71=20,MATCHED!$U71,IF(MATCHED!BF71=21,MATCHED!$V71,)))))))&amp;IF(MATCHED!BF71=22,MATCHED!$W71,IF(MATCHED!BF71=23,MATCHED!$X71,IF(MATCHED!BF71=24,MATCHED!$Y71,IF(MATCHED!BF71=25,MATCHED!$Z71,IF(MATCHED!BF71=26,MATCHED!$AA71,IF(MATCHED!BF71=27,MATCHED!$AB71,"."))))))</f>
        <v>#N/A</v>
      </c>
      <c r="AE71" s="379" t="e">
        <f>IF(MATCHED!BG71=1,MATCHED!$B71,IF(MATCHED!BG71=2,MATCHED!$C71,IF(MATCHED!BG71=3,MATCHED!$D71,IF(MATCHED!BG71=4,MATCHED!$E71,IF(MATCHED!BG71=3,MATCHED!$F71,IF(MATCHED!BG71=6,MATCHED!$G71,IF(MATCHED!BG71=7,MATCHED!$H71,"")))))))&amp;IF(MATCHED!BG71=8,MATCHED!$I71,IF(MATCHED!BG71=9,MATCHED!$J71,IF(MATCHED!BG71=10,MATCHED!$K71,IF(MATCHED!BG71=11,MATCHED!$L71,IF(MATCHED!BG71=12,MATCHED!$M71,IF(MATCHED!BG71=13,MATCHED!$N71,IF(MATCHED!BG71=14,MATCHED!$O71,"")))))))&amp;IF(MATCHED!BG71=15,MATCHED!$P71,IF(MATCHED!BG71=16,MATCHED!$Q71,IF(MATCHED!BG71=17,MATCHED!$R71,IF(MATCHED!BG71=18,MATCHED!$S71,IF(MATCHED!BG71=19,MATCHED!$T71,IF(MATCHED!BG71=20,MATCHED!$U71,IF(MATCHED!BG71=21,MATCHED!$V71,)))))))&amp;IF(MATCHED!BG71=22,MATCHED!$W71,IF(MATCHED!BG71=23,MATCHED!$X71,IF(MATCHED!BG71=24,MATCHED!$Y71,IF(MATCHED!BG71=25,MATCHED!$Z71,IF(MATCHED!BG71=26,MATCHED!$AA71,IF(MATCHED!BG71=27,MATCHED!$AB71,"."))))))</f>
        <v>#N/A</v>
      </c>
      <c r="AF71" s="379" t="e">
        <f>IF(MATCHED!BH71=1,MATCHED!$B71,IF(MATCHED!BH71=2,MATCHED!$C71,IF(MATCHED!BH71=3,MATCHED!$D71,IF(MATCHED!BH71=4,MATCHED!$E71,IF(MATCHED!BH71=3,MATCHED!$F71,IF(MATCHED!BH71=6,MATCHED!$G71,IF(MATCHED!BH71=7,MATCHED!$H71,"")))))))&amp;IF(MATCHED!BH71=8,MATCHED!$I71,IF(MATCHED!BH71=9,MATCHED!$J71,IF(MATCHED!BH71=10,MATCHED!$K71,IF(MATCHED!BH71=11,MATCHED!$L71,IF(MATCHED!BH71=12,MATCHED!$M71,IF(MATCHED!BH71=13,MATCHED!$N71,IF(MATCHED!BH71=14,MATCHED!$O71,"")))))))&amp;IF(MATCHED!BH71=15,MATCHED!$P71,IF(MATCHED!BH71=16,MATCHED!$Q71,IF(MATCHED!BH71=17,MATCHED!$R71,IF(MATCHED!BH71=18,MATCHED!$S71,IF(MATCHED!BH71=19,MATCHED!$T71,IF(MATCHED!BH71=20,MATCHED!$U71,IF(MATCHED!BH71=21,MATCHED!$V71,)))))))&amp;IF(MATCHED!BH71=22,MATCHED!$W71,IF(MATCHED!BH71=23,MATCHED!$X71,IF(MATCHED!BH71=24,MATCHED!$Y71,IF(MATCHED!BH71=25,MATCHED!$Z71,IF(MATCHED!BH71=26,MATCHED!$AA71,IF(MATCHED!BH71=27,MATCHED!$AB71,"."))))))</f>
        <v>#N/A</v>
      </c>
      <c r="AG71" s="379" t="e">
        <f>IF(MATCHED!BI71=1,MATCHED!$B71,IF(MATCHED!BI71=2,MATCHED!$C71,IF(MATCHED!BI71=3,MATCHED!$D71,IF(MATCHED!BI71=4,MATCHED!$E71,IF(MATCHED!BI71=3,MATCHED!$F71,IF(MATCHED!BI71=6,MATCHED!$G71,IF(MATCHED!BI71=7,MATCHED!$H71,"")))))))&amp;IF(MATCHED!BI71=8,MATCHED!$I71,IF(MATCHED!BI71=9,MATCHED!$J71,IF(MATCHED!BI71=10,MATCHED!$K71,IF(MATCHED!BI71=11,MATCHED!$L71,IF(MATCHED!BI71=12,MATCHED!$M71,IF(MATCHED!BI71=13,MATCHED!$N71,IF(MATCHED!BI71=14,MATCHED!$O71,"")))))))&amp;IF(MATCHED!BI71=15,MATCHED!$P71,IF(MATCHED!BI71=16,MATCHED!$Q71,IF(MATCHED!BI71=17,MATCHED!$R71,IF(MATCHED!BI71=18,MATCHED!$S71,IF(MATCHED!BI71=19,MATCHED!$T71,IF(MATCHED!BI71=20,MATCHED!$U71,IF(MATCHED!BI71=21,MATCHED!$V71,)))))))&amp;IF(MATCHED!BI71=22,MATCHED!$W71,IF(MATCHED!BI71=23,MATCHED!$X71,IF(MATCHED!BI71=24,MATCHED!$Y71,IF(MATCHED!BI71=25,MATCHED!$Z71,IF(MATCHED!BI71=26,MATCHED!$AA71,IF(MATCHED!BI71=27,MATCHED!$AB71,"."))))))</f>
        <v>#N/A</v>
      </c>
      <c r="AH71" s="379" t="e">
        <f>IF(MATCHED!BJ71=1,MATCHED!$B71,IF(MATCHED!BJ71=2,MATCHED!$C71,IF(MATCHED!BJ71=3,MATCHED!$D71,IF(MATCHED!BJ71=4,MATCHED!$E71,IF(MATCHED!BJ71=3,MATCHED!$F71,IF(MATCHED!BJ71=6,MATCHED!$G71,IF(MATCHED!BJ71=7,MATCHED!$H71,"")))))))&amp;IF(MATCHED!BJ71=8,MATCHED!$I71,IF(MATCHED!BJ71=9,MATCHED!$J71,IF(MATCHED!BJ71=10,MATCHED!$K71,IF(MATCHED!BJ71=11,MATCHED!$L71,IF(MATCHED!BJ71=12,MATCHED!$M71,IF(MATCHED!BJ71=13,MATCHED!$N71,IF(MATCHED!BJ71=14,MATCHED!$O71,"")))))))&amp;IF(MATCHED!BJ71=15,MATCHED!$P71,IF(MATCHED!BJ71=16,MATCHED!$Q71,IF(MATCHED!BJ71=17,MATCHED!$R71,IF(MATCHED!BJ71=18,MATCHED!$S71,IF(MATCHED!BJ71=19,MATCHED!$T71,IF(MATCHED!BJ71=20,MATCHED!$U71,IF(MATCHED!BJ71=21,MATCHED!$V71,)))))))&amp;IF(MATCHED!BJ71=22,MATCHED!$W71,IF(MATCHED!BJ71=23,MATCHED!$X71,IF(MATCHED!BJ71=24,MATCHED!$Y71,IF(MATCHED!BJ71=25,MATCHED!$Z71,IF(MATCHED!BJ71=26,MATCHED!$AA71,IF(MATCHED!BJ71=27,MATCHED!$AB71,"."))))))</f>
        <v>#N/A</v>
      </c>
      <c r="AI71" s="379" t="e">
        <f>IF(MATCHED!BK71=1,MATCHED!$B71,IF(MATCHED!BK71=2,MATCHED!$C71,IF(MATCHED!BK71=3,MATCHED!$D71,IF(MATCHED!BK71=4,MATCHED!$E71,IF(MATCHED!BK71=3,MATCHED!$F71,IF(MATCHED!BK71=6,MATCHED!$G71,IF(MATCHED!BK71=7,MATCHED!$H71,"")))))))&amp;IF(MATCHED!BK71=8,MATCHED!$I71,IF(MATCHED!BK71=9,MATCHED!$J71,IF(MATCHED!BK71=10,MATCHED!$K71,IF(MATCHED!BK71=11,MATCHED!$L71,IF(MATCHED!BK71=12,MATCHED!$M71,IF(MATCHED!BK71=13,MATCHED!$N71,IF(MATCHED!BK71=14,MATCHED!$O71,"")))))))&amp;IF(MATCHED!BK71=15,MATCHED!$P71,IF(MATCHED!BK71=16,MATCHED!$Q71,IF(MATCHED!BK71=17,MATCHED!$R71,IF(MATCHED!BK71=18,MATCHED!$S71,IF(MATCHED!BK71=19,MATCHED!$T71,IF(MATCHED!BK71=20,MATCHED!$U71,IF(MATCHED!BK71=21,MATCHED!$V71,)))))))&amp;IF(MATCHED!BK71=22,MATCHED!$W71,IF(MATCHED!BK71=23,MATCHED!$X71,IF(MATCHED!BK71=24,MATCHED!$Y71,IF(MATCHED!BK71=25,MATCHED!$Z71,IF(MATCHED!BK71=26,MATCHED!$AA71,IF(MATCHED!BK71=27,MATCHED!$AB71,"."))))))</f>
        <v>#N/A</v>
      </c>
      <c r="AJ71" s="535"/>
    </row>
    <row r="72" spans="1:36" s="338" customFormat="1" ht="15.6" thickBot="1" x14ac:dyDescent="0.3">
      <c r="A72" s="536"/>
      <c r="B72" s="381" t="e">
        <f>IF(MATCHED!AD72=1,MATCHED!$B72,IF(MATCHED!AD72=2,MATCHED!$C72,IF(MATCHED!AD72=3,MATCHED!$D72,IF(MATCHED!AD72=4,MATCHED!$E72,IF(MATCHED!AD72=3,MATCHED!$F72,IF(MATCHED!AD72=6,MATCHED!$G72,IF(MATCHED!AD72=7,MATCHED!$H72,"")))))))&amp;IF(MATCHED!AD72=8,MATCHED!$I72,IF(MATCHED!AD72=9,MATCHED!$J72,IF(MATCHED!AD72=10,MATCHED!$K72,IF(MATCHED!AD72=11,MATCHED!$L72,IF(MATCHED!AD72=12,MATCHED!$M72,IF(MATCHED!AD72=13,MATCHED!$N72,IF(MATCHED!AD72=14,MATCHED!$O72,"")))))))&amp;IF(MATCHED!AD72=15,MATCHED!$P72,IF(MATCHED!AD72=16,MATCHED!$Q72,IF(MATCHED!AD72=17,MATCHED!$R72,IF(MATCHED!AD72=18,MATCHED!$S72,IF(MATCHED!AD72=19,MATCHED!$T72,IF(MATCHED!AD72=20,MATCHED!$U72,IF(MATCHED!AD72=21,MATCHED!$V72,)))))))&amp;IF(MATCHED!AD72=22,MATCHED!$W72,IF(MATCHED!AD72=23,MATCHED!$X72,IF(MATCHED!AD72=24,MATCHED!$Y72,IF(MATCHED!AD72=25,MATCHED!$Z72,IF(MATCHED!AD72=26,MATCHED!$AA72,IF(MATCHED!AD72=27,MATCHED!$AB72,"."))))))</f>
        <v>#N/A</v>
      </c>
      <c r="C72" s="382" t="e">
        <f>IF(MATCHED!AE72=1,MATCHED!$B72,IF(MATCHED!AE72=2,MATCHED!$C72,IF(MATCHED!AE72=3,MATCHED!$D72,IF(MATCHED!AE72=4,MATCHED!$E72,IF(MATCHED!AE72=3,MATCHED!$F72,IF(MATCHED!AE72=6,MATCHED!$G72,IF(MATCHED!AE72=7,MATCHED!$H72,"")))))))&amp;IF(MATCHED!AE72=8,MATCHED!$I72,IF(MATCHED!AE72=9,MATCHED!$J72,IF(MATCHED!AE72=10,MATCHED!$K72,IF(MATCHED!AE72=11,MATCHED!$L72,IF(MATCHED!AE72=12,MATCHED!$M72,IF(MATCHED!AE72=13,MATCHED!$N72,IF(MATCHED!AE72=14,MATCHED!$O72,"")))))))&amp;IF(MATCHED!AE72=15,MATCHED!$P72,IF(MATCHED!AE72=16,MATCHED!$Q72,IF(MATCHED!AE72=17,MATCHED!$R72,IF(MATCHED!AE72=18,MATCHED!$S72,IF(MATCHED!AE72=19,MATCHED!$T72,IF(MATCHED!AE72=20,MATCHED!$U72,IF(MATCHED!AE72=21,MATCHED!$V72,)))))))&amp;IF(MATCHED!AE72=22,MATCHED!$W72,IF(MATCHED!AE72=23,MATCHED!$X72,IF(MATCHED!AE72=24,MATCHED!$Y72,IF(MATCHED!AE72=25,MATCHED!$Z72,IF(MATCHED!AE72=26,MATCHED!$AA72,IF(MATCHED!AE72=27,MATCHED!$AB72,"."))))))</f>
        <v>#N/A</v>
      </c>
      <c r="D72" s="382" t="e">
        <f>IF(MATCHED!AF72=1,MATCHED!$B72,IF(MATCHED!AF72=2,MATCHED!$C72,IF(MATCHED!AF72=3,MATCHED!$D72,IF(MATCHED!AF72=4,MATCHED!$E72,IF(MATCHED!AF72=3,MATCHED!$F72,IF(MATCHED!AF72=6,MATCHED!$G72,IF(MATCHED!AF72=7,MATCHED!$H72,"")))))))&amp;IF(MATCHED!AF72=8,MATCHED!$I72,IF(MATCHED!AF72=9,MATCHED!$J72,IF(MATCHED!AF72=10,MATCHED!$K72,IF(MATCHED!AF72=11,MATCHED!$L72,IF(MATCHED!AF72=12,MATCHED!$M72,IF(MATCHED!AF72=13,MATCHED!$N72,IF(MATCHED!AF72=14,MATCHED!$O72,"")))))))&amp;IF(MATCHED!AF72=15,MATCHED!$P72,IF(MATCHED!AF72=16,MATCHED!$Q72,IF(MATCHED!AF72=17,MATCHED!$R72,IF(MATCHED!AF72=18,MATCHED!$S72,IF(MATCHED!AF72=19,MATCHED!$T72,IF(MATCHED!AF72=20,MATCHED!$U72,IF(MATCHED!AF72=21,MATCHED!$V72,)))))))&amp;IF(MATCHED!AF72=22,MATCHED!$W72,IF(MATCHED!AF72=23,MATCHED!$X72,IF(MATCHED!AF72=24,MATCHED!$Y72,IF(MATCHED!AF72=25,MATCHED!$Z72,IF(MATCHED!AF72=26,MATCHED!$AA72,IF(MATCHED!AF72=27,MATCHED!$AB72,"."))))))</f>
        <v>#N/A</v>
      </c>
      <c r="E72" s="382" t="e">
        <f>IF(MATCHED!AG72=1,MATCHED!$B72,IF(MATCHED!AG72=2,MATCHED!$C72,IF(MATCHED!AG72=3,MATCHED!$D72,IF(MATCHED!AG72=4,MATCHED!$E72,IF(MATCHED!AG72=3,MATCHED!$F72,IF(MATCHED!AG72=6,MATCHED!$G72,IF(MATCHED!AG72=7,MATCHED!$H72,"")))))))&amp;IF(MATCHED!AG72=8,MATCHED!$I72,IF(MATCHED!AG72=9,MATCHED!$J72,IF(MATCHED!AG72=10,MATCHED!$K72,IF(MATCHED!AG72=11,MATCHED!$L72,IF(MATCHED!AG72=12,MATCHED!$M72,IF(MATCHED!AG72=13,MATCHED!$N72,IF(MATCHED!AG72=14,MATCHED!$O72,"")))))))&amp;IF(MATCHED!AG72=15,MATCHED!$P72,IF(MATCHED!AG72=16,MATCHED!$Q72,IF(MATCHED!AG72=17,MATCHED!$R72,IF(MATCHED!AG72=18,MATCHED!$S72,IF(MATCHED!AG72=19,MATCHED!$T72,IF(MATCHED!AG72=20,MATCHED!$U72,IF(MATCHED!AG72=21,MATCHED!$V72,)))))))&amp;IF(MATCHED!AG72=22,MATCHED!$W72,IF(MATCHED!AG72=23,MATCHED!$X72,IF(MATCHED!AG72=24,MATCHED!$Y72,IF(MATCHED!AG72=25,MATCHED!$Z72,IF(MATCHED!AG72=26,MATCHED!$AA72,IF(MATCHED!AG72=27,MATCHED!$AB72,"."))))))</f>
        <v>#N/A</v>
      </c>
      <c r="F72" s="382" t="e">
        <f>IF(MATCHED!AH72=1,MATCHED!$B72,IF(MATCHED!AH72=2,MATCHED!$C72,IF(MATCHED!AH72=3,MATCHED!$D72,IF(MATCHED!AH72=4,MATCHED!$E72,IF(MATCHED!AH72=3,MATCHED!$F72,IF(MATCHED!AH72=6,MATCHED!$G72,IF(MATCHED!AH72=7,MATCHED!$H72,"")))))))&amp;IF(MATCHED!AH72=8,MATCHED!$I72,IF(MATCHED!AH72=9,MATCHED!$J72,IF(MATCHED!AH72=10,MATCHED!$K72,IF(MATCHED!AH72=11,MATCHED!$L72,IF(MATCHED!AH72=12,MATCHED!$M72,IF(MATCHED!AH72=13,MATCHED!$N72,IF(MATCHED!AH72=14,MATCHED!$O72,"")))))))&amp;IF(MATCHED!AH72=15,MATCHED!$P72,IF(MATCHED!AH72=16,MATCHED!$Q72,IF(MATCHED!AH72=17,MATCHED!$R72,IF(MATCHED!AH72=18,MATCHED!$S72,IF(MATCHED!AH72=19,MATCHED!$T72,IF(MATCHED!AH72=20,MATCHED!$U72,IF(MATCHED!AH72=21,MATCHED!$V72,)))))))&amp;IF(MATCHED!AH72=22,MATCHED!$W72,IF(MATCHED!AH72=23,MATCHED!$X72,IF(MATCHED!AH72=24,MATCHED!$Y72,IF(MATCHED!AH72=25,MATCHED!$Z72,IF(MATCHED!AH72=26,MATCHED!$AA72,IF(MATCHED!AH72=27,MATCHED!$AB72,"."))))))</f>
        <v>#N/A</v>
      </c>
      <c r="G72" s="382" t="e">
        <f>IF(MATCHED!AI72=1,MATCHED!$B72,IF(MATCHED!AI72=2,MATCHED!$C72,IF(MATCHED!AI72=3,MATCHED!$D72,IF(MATCHED!AI72=4,MATCHED!$E72,IF(MATCHED!AI72=3,MATCHED!$F72,IF(MATCHED!AI72=6,MATCHED!$G72,IF(MATCHED!AI72=7,MATCHED!$H72,"")))))))&amp;IF(MATCHED!AI72=8,MATCHED!$I72,IF(MATCHED!AI72=9,MATCHED!$J72,IF(MATCHED!AI72=10,MATCHED!$K72,IF(MATCHED!AI72=11,MATCHED!$L72,IF(MATCHED!AI72=12,MATCHED!$M72,IF(MATCHED!AI72=13,MATCHED!$N72,IF(MATCHED!AI72=14,MATCHED!$O72,"")))))))&amp;IF(MATCHED!AI72=15,MATCHED!$P72,IF(MATCHED!AI72=16,MATCHED!$Q72,IF(MATCHED!AI72=17,MATCHED!$R72,IF(MATCHED!AI72=18,MATCHED!$S72,IF(MATCHED!AI72=19,MATCHED!$T72,IF(MATCHED!AI72=20,MATCHED!$U72,IF(MATCHED!AI72=21,MATCHED!$V72,)))))))&amp;IF(MATCHED!AI72=22,MATCHED!$W72,IF(MATCHED!AI72=23,MATCHED!$X72,IF(MATCHED!AI72=24,MATCHED!$Y72,IF(MATCHED!AI72=25,MATCHED!$Z72,IF(MATCHED!AI72=26,MATCHED!$AA72,IF(MATCHED!AI72=27,MATCHED!$AB72,"."))))))</f>
        <v>#N/A</v>
      </c>
      <c r="H72" s="382" t="e">
        <f>IF(MATCHED!AJ72=1,MATCHED!$B72,IF(MATCHED!AJ72=2,MATCHED!$C72,IF(MATCHED!AJ72=3,MATCHED!$D72,IF(MATCHED!AJ72=4,MATCHED!$E72,IF(MATCHED!AJ72=3,MATCHED!$F72,IF(MATCHED!AJ72=6,MATCHED!$G72,IF(MATCHED!AJ72=7,MATCHED!$H72,"")))))))&amp;IF(MATCHED!AJ72=8,MATCHED!$I72,IF(MATCHED!AJ72=9,MATCHED!$J72,IF(MATCHED!AJ72=10,MATCHED!$K72,IF(MATCHED!AJ72=11,MATCHED!$L72,IF(MATCHED!AJ72=12,MATCHED!$M72,IF(MATCHED!AJ72=13,MATCHED!$N72,IF(MATCHED!AJ72=14,MATCHED!$O72,"")))))))&amp;IF(MATCHED!AJ72=15,MATCHED!$P72,IF(MATCHED!AJ72=16,MATCHED!$Q72,IF(MATCHED!AJ72=17,MATCHED!$R72,IF(MATCHED!AJ72=18,MATCHED!$S72,IF(MATCHED!AJ72=19,MATCHED!$T72,IF(MATCHED!AJ72=20,MATCHED!$U72,IF(MATCHED!AJ72=21,MATCHED!$V72,)))))))&amp;IF(MATCHED!AJ72=22,MATCHED!$W72,IF(MATCHED!AJ72=23,MATCHED!$X72,IF(MATCHED!AJ72=24,MATCHED!$Y72,IF(MATCHED!AJ72=25,MATCHED!$Z72,IF(MATCHED!AJ72=26,MATCHED!$AA72,IF(MATCHED!AJ72=27,MATCHED!$AB72,"."))))))</f>
        <v>#N/A</v>
      </c>
      <c r="I72" s="382" t="e">
        <f>IF(MATCHED!AK72=1,MATCHED!$B72,IF(MATCHED!AK72=2,MATCHED!$C72,IF(MATCHED!AK72=3,MATCHED!$D72,IF(MATCHED!AK72=4,MATCHED!$E72,IF(MATCHED!AK72=3,MATCHED!$F72,IF(MATCHED!AK72=6,MATCHED!$G72,IF(MATCHED!AK72=7,MATCHED!$H72,"")))))))&amp;IF(MATCHED!AK72=8,MATCHED!$I72,IF(MATCHED!AK72=9,MATCHED!$J72,IF(MATCHED!AK72=10,MATCHED!$K72,IF(MATCHED!AK72=11,MATCHED!$L72,IF(MATCHED!AK72=12,MATCHED!$M72,IF(MATCHED!AK72=13,MATCHED!$N72,IF(MATCHED!AK72=14,MATCHED!$O72,"")))))))&amp;IF(MATCHED!AK72=15,MATCHED!$P72,IF(MATCHED!AK72=16,MATCHED!$Q72,IF(MATCHED!AK72=17,MATCHED!$R72,IF(MATCHED!AK72=18,MATCHED!$S72,IF(MATCHED!AK72=19,MATCHED!$T72,IF(MATCHED!AK72=20,MATCHED!$U72,IF(MATCHED!AK72=21,MATCHED!$V72,)))))))&amp;IF(MATCHED!AK72=22,MATCHED!$W72,IF(MATCHED!AK72=23,MATCHED!$X72,IF(MATCHED!AK72=24,MATCHED!$Y72,IF(MATCHED!AK72=25,MATCHED!$Z72,IF(MATCHED!AK72=26,MATCHED!$AA72,IF(MATCHED!AK72=27,MATCHED!$AB72,"."))))))</f>
        <v>#N/A</v>
      </c>
      <c r="J72" s="382" t="e">
        <f>IF(MATCHED!AL72=1,MATCHED!$B72,IF(MATCHED!AL72=2,MATCHED!$C72,IF(MATCHED!AL72=3,MATCHED!$D72,IF(MATCHED!AL72=4,MATCHED!$E72,IF(MATCHED!AL72=3,MATCHED!$F72,IF(MATCHED!AL72=6,MATCHED!$G72,IF(MATCHED!AL72=7,MATCHED!$H72,"")))))))&amp;IF(MATCHED!AL72=8,MATCHED!$I72,IF(MATCHED!AL72=9,MATCHED!$J72,IF(MATCHED!AL72=10,MATCHED!$K72,IF(MATCHED!AL72=11,MATCHED!$L72,IF(MATCHED!AL72=12,MATCHED!$M72,IF(MATCHED!AL72=13,MATCHED!$N72,IF(MATCHED!AL72=14,MATCHED!$O72,"")))))))&amp;IF(MATCHED!AL72=15,MATCHED!$P72,IF(MATCHED!AL72=16,MATCHED!$Q72,IF(MATCHED!AL72=17,MATCHED!$R72,IF(MATCHED!AL72=18,MATCHED!$S72,IF(MATCHED!AL72=19,MATCHED!$T72,IF(MATCHED!AL72=20,MATCHED!$U72,IF(MATCHED!AL72=21,MATCHED!$V72,)))))))&amp;IF(MATCHED!AL72=22,MATCHED!$W72,IF(MATCHED!AL72=23,MATCHED!$X72,IF(MATCHED!AL72=24,MATCHED!$Y72,IF(MATCHED!AL72=25,MATCHED!$Z72,IF(MATCHED!AL72=26,MATCHED!$AA72,IF(MATCHED!AL72=27,MATCHED!$AB72,"."))))))</f>
        <v>#N/A</v>
      </c>
      <c r="K72" s="382" t="e">
        <f>IF(MATCHED!AM72=1,MATCHED!$B72,IF(MATCHED!AM72=2,MATCHED!$C72,IF(MATCHED!AM72=3,MATCHED!$D72,IF(MATCHED!AM72=4,MATCHED!$E72,IF(MATCHED!AM72=3,MATCHED!$F72,IF(MATCHED!AM72=6,MATCHED!$G72,IF(MATCHED!AM72=7,MATCHED!$H72,"")))))))&amp;IF(MATCHED!AM72=8,MATCHED!$I72,IF(MATCHED!AM72=9,MATCHED!$J72,IF(MATCHED!AM72=10,MATCHED!$K72,IF(MATCHED!AM72=11,MATCHED!$L72,IF(MATCHED!AM72=12,MATCHED!$M72,IF(MATCHED!AM72=13,MATCHED!$N72,IF(MATCHED!AM72=14,MATCHED!$O72,"")))))))&amp;IF(MATCHED!AM72=15,MATCHED!$P72,IF(MATCHED!AM72=16,MATCHED!$Q72,IF(MATCHED!AM72=17,MATCHED!$R72,IF(MATCHED!AM72=18,MATCHED!$S72,IF(MATCHED!AM72=19,MATCHED!$T72,IF(MATCHED!AM72=20,MATCHED!$U72,IF(MATCHED!AM72=21,MATCHED!$V72,)))))))&amp;IF(MATCHED!AM72=22,MATCHED!$W72,IF(MATCHED!AM72=23,MATCHED!$X72,IF(MATCHED!AM72=24,MATCHED!$Y72,IF(MATCHED!AM72=25,MATCHED!$Z72,IF(MATCHED!AM72=26,MATCHED!$AA72,IF(MATCHED!AM72=27,MATCHED!$AB72,"."))))))</f>
        <v>#N/A</v>
      </c>
      <c r="L72" s="382" t="e">
        <f>IF(MATCHED!AN72=1,MATCHED!$B72,IF(MATCHED!AN72=2,MATCHED!$C72,IF(MATCHED!AN72=3,MATCHED!$D72,IF(MATCHED!AN72=4,MATCHED!$E72,IF(MATCHED!AN72=3,MATCHED!$F72,IF(MATCHED!AN72=6,MATCHED!$G72,IF(MATCHED!AN72=7,MATCHED!$H72,"")))))))&amp;IF(MATCHED!AN72=8,MATCHED!$I72,IF(MATCHED!AN72=9,MATCHED!$J72,IF(MATCHED!AN72=10,MATCHED!$K72,IF(MATCHED!AN72=11,MATCHED!$L72,IF(MATCHED!AN72=12,MATCHED!$M72,IF(MATCHED!AN72=13,MATCHED!$N72,IF(MATCHED!AN72=14,MATCHED!$O72,"")))))))&amp;IF(MATCHED!AN72=15,MATCHED!$P72,IF(MATCHED!AN72=16,MATCHED!$Q72,IF(MATCHED!AN72=17,MATCHED!$R72,IF(MATCHED!AN72=18,MATCHED!$S72,IF(MATCHED!AN72=19,MATCHED!$T72,IF(MATCHED!AN72=20,MATCHED!$U72,IF(MATCHED!AN72=21,MATCHED!$V72,)))))))&amp;IF(MATCHED!AN72=22,MATCHED!$W72,IF(MATCHED!AN72=23,MATCHED!$X72,IF(MATCHED!AN72=24,MATCHED!$Y72,IF(MATCHED!AN72=25,MATCHED!$Z72,IF(MATCHED!AN72=26,MATCHED!$AA72,IF(MATCHED!AN72=27,MATCHED!$AB72,"."))))))</f>
        <v>#N/A</v>
      </c>
      <c r="M72" s="382" t="e">
        <f>IF(MATCHED!AO72=1,MATCHED!$B72,IF(MATCHED!AO72=2,MATCHED!$C72,IF(MATCHED!AO72=3,MATCHED!$D72,IF(MATCHED!AO72=4,MATCHED!$E72,IF(MATCHED!AO72=3,MATCHED!$F72,IF(MATCHED!AO72=6,MATCHED!$G72,IF(MATCHED!AO72=7,MATCHED!$H72,"")))))))&amp;IF(MATCHED!AO72=8,MATCHED!$I72,IF(MATCHED!AO72=9,MATCHED!$J72,IF(MATCHED!AO72=10,MATCHED!$K72,IF(MATCHED!AO72=11,MATCHED!$L72,IF(MATCHED!AO72=12,MATCHED!$M72,IF(MATCHED!AO72=13,MATCHED!$N72,IF(MATCHED!AO72=14,MATCHED!$O72,"")))))))&amp;IF(MATCHED!AO72=15,MATCHED!$P72,IF(MATCHED!AO72=16,MATCHED!$Q72,IF(MATCHED!AO72=17,MATCHED!$R72,IF(MATCHED!AO72=18,MATCHED!$S72,IF(MATCHED!AO72=19,MATCHED!$T72,IF(MATCHED!AO72=20,MATCHED!$U72,IF(MATCHED!AO72=21,MATCHED!$V72,)))))))&amp;IF(MATCHED!AO72=22,MATCHED!$W72,IF(MATCHED!AO72=23,MATCHED!$X72,IF(MATCHED!AO72=24,MATCHED!$Y72,IF(MATCHED!AO72=25,MATCHED!$Z72,IF(MATCHED!AO72=26,MATCHED!$AA72,IF(MATCHED!AO72=27,MATCHED!$AB72,"."))))))</f>
        <v>#N/A</v>
      </c>
      <c r="N72" s="382" t="e">
        <f>IF(MATCHED!AP72=1,MATCHED!$B72,IF(MATCHED!AP72=2,MATCHED!$C72,IF(MATCHED!AP72=3,MATCHED!$D72,IF(MATCHED!AP72=4,MATCHED!$E72,IF(MATCHED!AP72=3,MATCHED!$F72,IF(MATCHED!AP72=6,MATCHED!$G72,IF(MATCHED!AP72=7,MATCHED!$H72,"")))))))&amp;IF(MATCHED!AP72=8,MATCHED!$I72,IF(MATCHED!AP72=9,MATCHED!$J72,IF(MATCHED!AP72=10,MATCHED!$K72,IF(MATCHED!AP72=11,MATCHED!$L72,IF(MATCHED!AP72=12,MATCHED!$M72,IF(MATCHED!AP72=13,MATCHED!$N72,IF(MATCHED!AP72=14,MATCHED!$O72,"")))))))&amp;IF(MATCHED!AP72=15,MATCHED!$P72,IF(MATCHED!AP72=16,MATCHED!$Q72,IF(MATCHED!AP72=17,MATCHED!$R72,IF(MATCHED!AP72=18,MATCHED!$S72,IF(MATCHED!AP72=19,MATCHED!$T72,IF(MATCHED!AP72=20,MATCHED!$U72,IF(MATCHED!AP72=21,MATCHED!$V72,)))))))&amp;IF(MATCHED!AP72=22,MATCHED!$W72,IF(MATCHED!AP72=23,MATCHED!$X72,IF(MATCHED!AP72=24,MATCHED!$Y72,IF(MATCHED!AP72=25,MATCHED!$Z72,IF(MATCHED!AP72=26,MATCHED!$AA72,IF(MATCHED!AP72=27,MATCHED!$AB72,"."))))))</f>
        <v>#N/A</v>
      </c>
      <c r="O72" s="382" t="e">
        <f>IF(MATCHED!AQ72=1,MATCHED!$B72,IF(MATCHED!AQ72=2,MATCHED!$C72,IF(MATCHED!AQ72=3,MATCHED!$D72,IF(MATCHED!AQ72=4,MATCHED!$E72,IF(MATCHED!AQ72=3,MATCHED!$F72,IF(MATCHED!AQ72=6,MATCHED!$G72,IF(MATCHED!AQ72=7,MATCHED!$H72,"")))))))&amp;IF(MATCHED!AQ72=8,MATCHED!$I72,IF(MATCHED!AQ72=9,MATCHED!$J72,IF(MATCHED!AQ72=10,MATCHED!$K72,IF(MATCHED!AQ72=11,MATCHED!$L72,IF(MATCHED!AQ72=12,MATCHED!$M72,IF(MATCHED!AQ72=13,MATCHED!$N72,IF(MATCHED!AQ72=14,MATCHED!$O72,"")))))))&amp;IF(MATCHED!AQ72=15,MATCHED!$P72,IF(MATCHED!AQ72=16,MATCHED!$Q72,IF(MATCHED!AQ72=17,MATCHED!$R72,IF(MATCHED!AQ72=18,MATCHED!$S72,IF(MATCHED!AQ72=19,MATCHED!$T72,IF(MATCHED!AQ72=20,MATCHED!$U72,IF(MATCHED!AQ72=21,MATCHED!$V72,)))))))&amp;IF(MATCHED!AQ72=22,MATCHED!$W72,IF(MATCHED!AQ72=23,MATCHED!$X72,IF(MATCHED!AQ72=24,MATCHED!$Y72,IF(MATCHED!AQ72=25,MATCHED!$Z72,IF(MATCHED!AQ72=26,MATCHED!$AA72,IF(MATCHED!AQ72=27,MATCHED!$AB72,"."))))))</f>
        <v>#N/A</v>
      </c>
      <c r="P72" s="382" t="e">
        <f>IF(MATCHED!AR72=1,MATCHED!$B72,IF(MATCHED!AR72=2,MATCHED!$C72,IF(MATCHED!AR72=3,MATCHED!$D72,IF(MATCHED!AR72=4,MATCHED!$E72,IF(MATCHED!AR72=3,MATCHED!$F72,IF(MATCHED!AR72=6,MATCHED!$G72,IF(MATCHED!AR72=7,MATCHED!$H72,"")))))))&amp;IF(MATCHED!AR72=8,MATCHED!$I72,IF(MATCHED!AR72=9,MATCHED!$J72,IF(MATCHED!AR72=10,MATCHED!$K72,IF(MATCHED!AR72=11,MATCHED!$L72,IF(MATCHED!AR72=12,MATCHED!$M72,IF(MATCHED!AR72=13,MATCHED!$N72,IF(MATCHED!AR72=14,MATCHED!$O72,"")))))))&amp;IF(MATCHED!AR72=15,MATCHED!$P72,IF(MATCHED!AR72=16,MATCHED!$Q72,IF(MATCHED!AR72=17,MATCHED!$R72,IF(MATCHED!AR72=18,MATCHED!$S72,IF(MATCHED!AR72=19,MATCHED!$T72,IF(MATCHED!AR72=20,MATCHED!$U72,IF(MATCHED!AR72=21,MATCHED!$V72,)))))))&amp;IF(MATCHED!AR72=22,MATCHED!$W72,IF(MATCHED!AR72=23,MATCHED!$X72,IF(MATCHED!AR72=24,MATCHED!$Y72,IF(MATCHED!AR72=25,MATCHED!$Z72,IF(MATCHED!AR72=26,MATCHED!$AA72,IF(MATCHED!AR72=27,MATCHED!$AB72,"."))))))</f>
        <v>#N/A</v>
      </c>
      <c r="Q72" s="382" t="e">
        <f>IF(MATCHED!AS72=1,MATCHED!$B72,IF(MATCHED!AS72=2,MATCHED!$C72,IF(MATCHED!AS72=3,MATCHED!$D72,IF(MATCHED!AS72=4,MATCHED!$E72,IF(MATCHED!AS72=3,MATCHED!$F72,IF(MATCHED!AS72=6,MATCHED!$G72,IF(MATCHED!AS72=7,MATCHED!$H72,"")))))))&amp;IF(MATCHED!AS72=8,MATCHED!$I72,IF(MATCHED!AS72=9,MATCHED!$J72,IF(MATCHED!AS72=10,MATCHED!$K72,IF(MATCHED!AS72=11,MATCHED!$L72,IF(MATCHED!AS72=12,MATCHED!$M72,IF(MATCHED!AS72=13,MATCHED!$N72,IF(MATCHED!AS72=14,MATCHED!$O72,"")))))))&amp;IF(MATCHED!AS72=15,MATCHED!$P72,IF(MATCHED!AS72=16,MATCHED!$Q72,IF(MATCHED!AS72=17,MATCHED!$R72,IF(MATCHED!AS72=18,MATCHED!$S72,IF(MATCHED!AS72=19,MATCHED!$T72,IF(MATCHED!AS72=20,MATCHED!$U72,IF(MATCHED!AS72=21,MATCHED!$V72,)))))))&amp;IF(MATCHED!AS72=22,MATCHED!$W72,IF(MATCHED!AS72=23,MATCHED!$X72,IF(MATCHED!AS72=24,MATCHED!$Y72,IF(MATCHED!AS72=25,MATCHED!$Z72,IF(MATCHED!AS72=26,MATCHED!$AA72,IF(MATCHED!AS72=27,MATCHED!$AB72,"."))))))</f>
        <v>#N/A</v>
      </c>
      <c r="R72" s="383" t="e">
        <f>IF(MATCHED!AT72=1,MATCHED!$B72,IF(MATCHED!AT72=2,MATCHED!$C72,IF(MATCHED!AT72=3,MATCHED!$D72,IF(MATCHED!AT72=4,MATCHED!$E72,IF(MATCHED!AT72=3,MATCHED!$F72,IF(MATCHED!AT72=6,MATCHED!$G72,IF(MATCHED!AT72=7,MATCHED!$H72,"")))))))&amp;IF(MATCHED!AT72=8,MATCHED!$I72,IF(MATCHED!AT72=9,MATCHED!$J72,IF(MATCHED!AT72=10,MATCHED!$K72,IF(MATCHED!AT72=11,MATCHED!$L72,IF(MATCHED!AT72=12,MATCHED!$M72,IF(MATCHED!AT72=13,MATCHED!$N72,IF(MATCHED!AT72=14,MATCHED!$O72,"")))))))&amp;IF(MATCHED!AT72=15,MATCHED!$P72,IF(MATCHED!AT72=16,MATCHED!$Q72,IF(MATCHED!AT72=17,MATCHED!$R72,IF(MATCHED!AT72=18,MATCHED!$S72,IF(MATCHED!AT72=19,MATCHED!$T72,IF(MATCHED!AT72=20,MATCHED!$U72,IF(MATCHED!AT72=21,MATCHED!$V72,)))))))&amp;IF(MATCHED!AT72=22,MATCHED!$W72,IF(MATCHED!AT72=23,MATCHED!$X72,IF(MATCHED!AT72=24,MATCHED!$Y72,IF(MATCHED!AT72=25,MATCHED!$Z72,IF(MATCHED!AT72=26,MATCHED!$AA72,IF(MATCHED!AT72=27,MATCHED!$AB72,"."))))))</f>
        <v>#N/A</v>
      </c>
      <c r="S72" s="382" t="e">
        <f>IF(MATCHED!AU72=1,MATCHED!$B72,IF(MATCHED!AU72=2,MATCHED!$C72,IF(MATCHED!AU72=3,MATCHED!$D72,IF(MATCHED!AU72=4,MATCHED!$E72,IF(MATCHED!AU72=3,MATCHED!$F72,IF(MATCHED!AU72=6,MATCHED!$G72,IF(MATCHED!AU72=7,MATCHED!$H72,"")))))))&amp;IF(MATCHED!AU72=8,MATCHED!$I72,IF(MATCHED!AU72=9,MATCHED!$J72,IF(MATCHED!AU72=10,MATCHED!$K72,IF(MATCHED!AU72=11,MATCHED!$L72,IF(MATCHED!AU72=12,MATCHED!$M72,IF(MATCHED!AU72=13,MATCHED!$N72,IF(MATCHED!AU72=14,MATCHED!$O72,"")))))))&amp;IF(MATCHED!AU72=15,MATCHED!$P72,IF(MATCHED!AU72=16,MATCHED!$Q72,IF(MATCHED!AU72=17,MATCHED!$R72,IF(MATCHED!AU72=18,MATCHED!$S72,IF(MATCHED!AU72=19,MATCHED!$T72,IF(MATCHED!AU72=20,MATCHED!$U72,IF(MATCHED!AU72=21,MATCHED!$V72,)))))))&amp;IF(MATCHED!AU72=22,MATCHED!$W72,IF(MATCHED!AU72=23,MATCHED!$X72,IF(MATCHED!AU72=24,MATCHED!$Y72,IF(MATCHED!AU72=25,MATCHED!$Z72,IF(MATCHED!AU72=26,MATCHED!$AA72,IF(MATCHED!AU72=27,MATCHED!$AB72,"."))))))</f>
        <v>#N/A</v>
      </c>
      <c r="T72" s="382" t="e">
        <f>IF(MATCHED!AV72=1,MATCHED!$B72,IF(MATCHED!AV72=2,MATCHED!$C72,IF(MATCHED!AV72=3,MATCHED!$D72,IF(MATCHED!AV72=4,MATCHED!$E72,IF(MATCHED!AV72=3,MATCHED!$F72,IF(MATCHED!AV72=6,MATCHED!$G72,IF(MATCHED!AV72=7,MATCHED!$H72,"")))))))&amp;IF(MATCHED!AV72=8,MATCHED!$I72,IF(MATCHED!AV72=9,MATCHED!$J72,IF(MATCHED!AV72=10,MATCHED!$K72,IF(MATCHED!AV72=11,MATCHED!$L72,IF(MATCHED!AV72=12,MATCHED!$M72,IF(MATCHED!AV72=13,MATCHED!$N72,IF(MATCHED!AV72=14,MATCHED!$O72,"")))))))&amp;IF(MATCHED!AV72=15,MATCHED!$P72,IF(MATCHED!AV72=16,MATCHED!$Q72,IF(MATCHED!AV72=17,MATCHED!$R72,IF(MATCHED!AV72=18,MATCHED!$S72,IF(MATCHED!AV72=19,MATCHED!$T72,IF(MATCHED!AV72=20,MATCHED!$U72,IF(MATCHED!AV72=21,MATCHED!$V72,)))))))&amp;IF(MATCHED!AV72=22,MATCHED!$W72,IF(MATCHED!AV72=23,MATCHED!$X72,IF(MATCHED!AV72=24,MATCHED!$Y72,IF(MATCHED!AV72=25,MATCHED!$Z72,IF(MATCHED!AV72=26,MATCHED!$AA72,IF(MATCHED!AV72=27,MATCHED!$AB72,"."))))))</f>
        <v>#N/A</v>
      </c>
      <c r="U72" s="382" t="e">
        <f>IF(MATCHED!AW72=1,MATCHED!$B72,IF(MATCHED!AW72=2,MATCHED!$C72,IF(MATCHED!AW72=3,MATCHED!$D72,IF(MATCHED!AW72=4,MATCHED!$E72,IF(MATCHED!AW72=3,MATCHED!$F72,IF(MATCHED!AW72=6,MATCHED!$G72,IF(MATCHED!AW72=7,MATCHED!$H72,"")))))))&amp;IF(MATCHED!AW72=8,MATCHED!$I72,IF(MATCHED!AW72=9,MATCHED!$J72,IF(MATCHED!AW72=10,MATCHED!$K72,IF(MATCHED!AW72=11,MATCHED!$L72,IF(MATCHED!AW72=12,MATCHED!$M72,IF(MATCHED!AW72=13,MATCHED!$N72,IF(MATCHED!AW72=14,MATCHED!$O72,"")))))))&amp;IF(MATCHED!AW72=15,MATCHED!$P72,IF(MATCHED!AW72=16,MATCHED!$Q72,IF(MATCHED!AW72=17,MATCHED!$R72,IF(MATCHED!AW72=18,MATCHED!$S72,IF(MATCHED!AW72=19,MATCHED!$T72,IF(MATCHED!AW72=20,MATCHED!$U72,IF(MATCHED!AW72=21,MATCHED!$V72,)))))))&amp;IF(MATCHED!AW72=22,MATCHED!$W72,IF(MATCHED!AW72=23,MATCHED!$X72,IF(MATCHED!AW72=24,MATCHED!$Y72,IF(MATCHED!AW72=25,MATCHED!$Z72,IF(MATCHED!AW72=26,MATCHED!$AA72,IF(MATCHED!AW72=27,MATCHED!$AB72,"."))))))</f>
        <v>#N/A</v>
      </c>
      <c r="V72" s="382" t="e">
        <f>IF(MATCHED!AX72=1,MATCHED!$B72,IF(MATCHED!AX72=2,MATCHED!$C72,IF(MATCHED!AX72=3,MATCHED!$D72,IF(MATCHED!AX72=4,MATCHED!$E72,IF(MATCHED!AX72=3,MATCHED!$F72,IF(MATCHED!AX72=6,MATCHED!$G72,IF(MATCHED!AX72=7,MATCHED!$H72,"")))))))&amp;IF(MATCHED!AX72=8,MATCHED!$I72,IF(MATCHED!AX72=9,MATCHED!$J72,IF(MATCHED!AX72=10,MATCHED!$K72,IF(MATCHED!AX72=11,MATCHED!$L72,IF(MATCHED!AX72=12,MATCHED!$M72,IF(MATCHED!AX72=13,MATCHED!$N72,IF(MATCHED!AX72=14,MATCHED!$O72,"")))))))&amp;IF(MATCHED!AX72=15,MATCHED!$P72,IF(MATCHED!AX72=16,MATCHED!$Q72,IF(MATCHED!AX72=17,MATCHED!$R72,IF(MATCHED!AX72=18,MATCHED!$S72,IF(MATCHED!AX72=19,MATCHED!$T72,IF(MATCHED!AX72=20,MATCHED!$U72,IF(MATCHED!AX72=21,MATCHED!$V72,)))))))&amp;IF(MATCHED!AX72=22,MATCHED!$W72,IF(MATCHED!AX72=23,MATCHED!$X72,IF(MATCHED!AX72=24,MATCHED!$Y72,IF(MATCHED!AX72=25,MATCHED!$Z72,IF(MATCHED!AX72=26,MATCHED!$AA72,IF(MATCHED!AX72=27,MATCHED!$AB72,"."))))))</f>
        <v>#N/A</v>
      </c>
      <c r="W72" s="382" t="e">
        <f>IF(MATCHED!AY72=1,MATCHED!$B72,IF(MATCHED!AY72=2,MATCHED!$C72,IF(MATCHED!AY72=3,MATCHED!$D72,IF(MATCHED!AY72=4,MATCHED!$E72,IF(MATCHED!AY72=3,MATCHED!$F72,IF(MATCHED!AY72=6,MATCHED!$G72,IF(MATCHED!AY72=7,MATCHED!$H72,"")))))))&amp;IF(MATCHED!AY72=8,MATCHED!$I72,IF(MATCHED!AY72=9,MATCHED!$J72,IF(MATCHED!AY72=10,MATCHED!$K72,IF(MATCHED!AY72=11,MATCHED!$L72,IF(MATCHED!AY72=12,MATCHED!$M72,IF(MATCHED!AY72=13,MATCHED!$N72,IF(MATCHED!AY72=14,MATCHED!$O72,"")))))))&amp;IF(MATCHED!AY72=15,MATCHED!$P72,IF(MATCHED!AY72=16,MATCHED!$Q72,IF(MATCHED!AY72=17,MATCHED!$R72,IF(MATCHED!AY72=18,MATCHED!$S72,IF(MATCHED!AY72=19,MATCHED!$T72,IF(MATCHED!AY72=20,MATCHED!$U72,IF(MATCHED!AY72=21,MATCHED!$V72,)))))))&amp;IF(MATCHED!AY72=22,MATCHED!$W72,IF(MATCHED!AY72=23,MATCHED!$X72,IF(MATCHED!AY72=24,MATCHED!$Y72,IF(MATCHED!AY72=25,MATCHED!$Z72,IF(MATCHED!AY72=26,MATCHED!$AA72,IF(MATCHED!AY72=27,MATCHED!$AB72,"."))))))</f>
        <v>#N/A</v>
      </c>
      <c r="X72" s="382" t="e">
        <f>IF(MATCHED!AZ72=1,MATCHED!$B72,IF(MATCHED!AZ72=2,MATCHED!$C72,IF(MATCHED!AZ72=3,MATCHED!$D72,IF(MATCHED!AZ72=4,MATCHED!$E72,IF(MATCHED!AZ72=3,MATCHED!$F72,IF(MATCHED!AZ72=6,MATCHED!$G72,IF(MATCHED!AZ72=7,MATCHED!$H72,"")))))))&amp;IF(MATCHED!AZ72=8,MATCHED!$I72,IF(MATCHED!AZ72=9,MATCHED!$J72,IF(MATCHED!AZ72=10,MATCHED!$K72,IF(MATCHED!AZ72=11,MATCHED!$L72,IF(MATCHED!AZ72=12,MATCHED!$M72,IF(MATCHED!AZ72=13,MATCHED!$N72,IF(MATCHED!AZ72=14,MATCHED!$O72,"")))))))&amp;IF(MATCHED!AZ72=15,MATCHED!$P72,IF(MATCHED!AZ72=16,MATCHED!$Q72,IF(MATCHED!AZ72=17,MATCHED!$R72,IF(MATCHED!AZ72=18,MATCHED!$S72,IF(MATCHED!AZ72=19,MATCHED!$T72,IF(MATCHED!AZ72=20,MATCHED!$U72,IF(MATCHED!AZ72=21,MATCHED!$V72,)))))))&amp;IF(MATCHED!AZ72=22,MATCHED!$W72,IF(MATCHED!AZ72=23,MATCHED!$X72,IF(MATCHED!AZ72=24,MATCHED!$Y72,IF(MATCHED!AZ72=25,MATCHED!$Z72,IF(MATCHED!AZ72=26,MATCHED!$AA72,IF(MATCHED!AZ72=27,MATCHED!$AB72,"."))))))</f>
        <v>#N/A</v>
      </c>
      <c r="Y72" s="382" t="e">
        <f>IF(MATCHED!BA72=1,MATCHED!$B72,IF(MATCHED!BA72=2,MATCHED!$C72,IF(MATCHED!BA72=3,MATCHED!$D72,IF(MATCHED!BA72=4,MATCHED!$E72,IF(MATCHED!BA72=3,MATCHED!$F72,IF(MATCHED!BA72=6,MATCHED!$G72,IF(MATCHED!BA72=7,MATCHED!$H72,"")))))))&amp;IF(MATCHED!BA72=8,MATCHED!$I72,IF(MATCHED!BA72=9,MATCHED!$J72,IF(MATCHED!BA72=10,MATCHED!$K72,IF(MATCHED!BA72=11,MATCHED!$L72,IF(MATCHED!BA72=12,MATCHED!$M72,IF(MATCHED!BA72=13,MATCHED!$N72,IF(MATCHED!BA72=14,MATCHED!$O72,"")))))))&amp;IF(MATCHED!BA72=15,MATCHED!$P72,IF(MATCHED!BA72=16,MATCHED!$Q72,IF(MATCHED!BA72=17,MATCHED!$R72,IF(MATCHED!BA72=18,MATCHED!$S72,IF(MATCHED!BA72=19,MATCHED!$T72,IF(MATCHED!BA72=20,MATCHED!$U72,IF(MATCHED!BA72=21,MATCHED!$V72,)))))))&amp;IF(MATCHED!BA72=22,MATCHED!$W72,IF(MATCHED!BA72=23,MATCHED!$X72,IF(MATCHED!BA72=24,MATCHED!$Y72,IF(MATCHED!BA72=25,MATCHED!$Z72,IF(MATCHED!BA72=26,MATCHED!$AA72,IF(MATCHED!BA72=27,MATCHED!$AB72,"."))))))</f>
        <v>#N/A</v>
      </c>
      <c r="Z72" s="382" t="e">
        <f>IF(MATCHED!BB72=1,MATCHED!$B72,IF(MATCHED!BB72=2,MATCHED!$C72,IF(MATCHED!BB72=3,MATCHED!$D72,IF(MATCHED!BB72=4,MATCHED!$E72,IF(MATCHED!BB72=3,MATCHED!$F72,IF(MATCHED!BB72=6,MATCHED!$G72,IF(MATCHED!BB72=7,MATCHED!$H72,"")))))))&amp;IF(MATCHED!BB72=8,MATCHED!$I72,IF(MATCHED!BB72=9,MATCHED!$J72,IF(MATCHED!BB72=10,MATCHED!$K72,IF(MATCHED!BB72=11,MATCHED!$L72,IF(MATCHED!BB72=12,MATCHED!$M72,IF(MATCHED!BB72=13,MATCHED!$N72,IF(MATCHED!BB72=14,MATCHED!$O72,"")))))))&amp;IF(MATCHED!BB72=15,MATCHED!$P72,IF(MATCHED!BB72=16,MATCHED!$Q72,IF(MATCHED!BB72=17,MATCHED!$R72,IF(MATCHED!BB72=18,MATCHED!$S72,IF(MATCHED!BB72=19,MATCHED!$T72,IF(MATCHED!BB72=20,MATCHED!$U72,IF(MATCHED!BB72=21,MATCHED!$V72,)))))))&amp;IF(MATCHED!BB72=22,MATCHED!$W72,IF(MATCHED!BB72=23,MATCHED!$X72,IF(MATCHED!BB72=24,MATCHED!$Y72,IF(MATCHED!BB72=25,MATCHED!$Z72,IF(MATCHED!BB72=26,MATCHED!$AA72,IF(MATCHED!BB72=27,MATCHED!$AB72,"."))))))</f>
        <v>#N/A</v>
      </c>
      <c r="AA72" s="382" t="e">
        <f>IF(MATCHED!BC72=1,MATCHED!$B72,IF(MATCHED!BC72=2,MATCHED!$C72,IF(MATCHED!BC72=3,MATCHED!$D72,IF(MATCHED!BC72=4,MATCHED!$E72,IF(MATCHED!BC72=3,MATCHED!$F72,IF(MATCHED!BC72=6,MATCHED!$G72,IF(MATCHED!BC72=7,MATCHED!$H72,"")))))))&amp;IF(MATCHED!BC72=8,MATCHED!$I72,IF(MATCHED!BC72=9,MATCHED!$J72,IF(MATCHED!BC72=10,MATCHED!$K72,IF(MATCHED!BC72=11,MATCHED!$L72,IF(MATCHED!BC72=12,MATCHED!$M72,IF(MATCHED!BC72=13,MATCHED!$N72,IF(MATCHED!BC72=14,MATCHED!$O72,"")))))))&amp;IF(MATCHED!BC72=15,MATCHED!$P72,IF(MATCHED!BC72=16,MATCHED!$Q72,IF(MATCHED!BC72=17,MATCHED!$R72,IF(MATCHED!BC72=18,MATCHED!$S72,IF(MATCHED!BC72=19,MATCHED!$T72,IF(MATCHED!BC72=20,MATCHED!$U72,IF(MATCHED!BC72=21,MATCHED!$V72,)))))))&amp;IF(MATCHED!BC72=22,MATCHED!$W72,IF(MATCHED!BC72=23,MATCHED!$X72,IF(MATCHED!BC72=24,MATCHED!$Y72,IF(MATCHED!BC72=25,MATCHED!$Z72,IF(MATCHED!BC72=26,MATCHED!$AA72,IF(MATCHED!BC72=27,MATCHED!$AB72,"."))))))</f>
        <v>#N/A</v>
      </c>
      <c r="AB72" s="382" t="e">
        <f>IF(MATCHED!BD72=1,MATCHED!$B72,IF(MATCHED!BD72=2,MATCHED!$C72,IF(MATCHED!BD72=3,MATCHED!$D72,IF(MATCHED!BD72=4,MATCHED!$E72,IF(MATCHED!BD72=3,MATCHED!$F72,IF(MATCHED!BD72=6,MATCHED!$G72,IF(MATCHED!BD72=7,MATCHED!$H72,"")))))))&amp;IF(MATCHED!BD72=8,MATCHED!$I72,IF(MATCHED!BD72=9,MATCHED!$J72,IF(MATCHED!BD72=10,MATCHED!$K72,IF(MATCHED!BD72=11,MATCHED!$L72,IF(MATCHED!BD72=12,MATCHED!$M72,IF(MATCHED!BD72=13,MATCHED!$N72,IF(MATCHED!BD72=14,MATCHED!$O72,"")))))))&amp;IF(MATCHED!BD72=15,MATCHED!$P72,IF(MATCHED!BD72=16,MATCHED!$Q72,IF(MATCHED!BD72=17,MATCHED!$R72,IF(MATCHED!BD72=18,MATCHED!$S72,IF(MATCHED!BD72=19,MATCHED!$T72,IF(MATCHED!BD72=20,MATCHED!$U72,IF(MATCHED!BD72=21,MATCHED!$V72,)))))))&amp;IF(MATCHED!BD72=22,MATCHED!$W72,IF(MATCHED!BD72=23,MATCHED!$X72,IF(MATCHED!BD72=24,MATCHED!$Y72,IF(MATCHED!BD72=25,MATCHED!$Z72,IF(MATCHED!BD72=26,MATCHED!$AA72,IF(MATCHED!BD72=27,MATCHED!$AB72,"."))))))</f>
        <v>#N/A</v>
      </c>
      <c r="AC72" s="382" t="e">
        <f>IF(MATCHED!BE72=1,MATCHED!$B72,IF(MATCHED!BE72=2,MATCHED!$C72,IF(MATCHED!BE72=3,MATCHED!$D72,IF(MATCHED!BE72=4,MATCHED!$E72,IF(MATCHED!BE72=3,MATCHED!$F72,IF(MATCHED!BE72=6,MATCHED!$G72,IF(MATCHED!BE72=7,MATCHED!$H72,"")))))))&amp;IF(MATCHED!BE72=8,MATCHED!$I72,IF(MATCHED!BE72=9,MATCHED!$J72,IF(MATCHED!BE72=10,MATCHED!$K72,IF(MATCHED!BE72=11,MATCHED!$L72,IF(MATCHED!BE72=12,MATCHED!$M72,IF(MATCHED!BE72=13,MATCHED!$N72,IF(MATCHED!BE72=14,MATCHED!$O72,"")))))))&amp;IF(MATCHED!BE72=15,MATCHED!$P72,IF(MATCHED!BE72=16,MATCHED!$Q72,IF(MATCHED!BE72=17,MATCHED!$R72,IF(MATCHED!BE72=18,MATCHED!$S72,IF(MATCHED!BE72=19,MATCHED!$T72,IF(MATCHED!BE72=20,MATCHED!$U72,IF(MATCHED!BE72=21,MATCHED!$V72,)))))))&amp;IF(MATCHED!BE72=22,MATCHED!$W72,IF(MATCHED!BE72=23,MATCHED!$X72,IF(MATCHED!BE72=24,MATCHED!$Y72,IF(MATCHED!BE72=25,MATCHED!$Z72,IF(MATCHED!BE72=26,MATCHED!$AA72,IF(MATCHED!BE72=27,MATCHED!$AB72,"."))))))</f>
        <v>#N/A</v>
      </c>
      <c r="AD72" s="382" t="e">
        <f>IF(MATCHED!BF72=1,MATCHED!$B72,IF(MATCHED!BF72=2,MATCHED!$C72,IF(MATCHED!BF72=3,MATCHED!$D72,IF(MATCHED!BF72=4,MATCHED!$E72,IF(MATCHED!BF72=3,MATCHED!$F72,IF(MATCHED!BF72=6,MATCHED!$G72,IF(MATCHED!BF72=7,MATCHED!$H72,"")))))))&amp;IF(MATCHED!BF72=8,MATCHED!$I72,IF(MATCHED!BF72=9,MATCHED!$J72,IF(MATCHED!BF72=10,MATCHED!$K72,IF(MATCHED!BF72=11,MATCHED!$L72,IF(MATCHED!BF72=12,MATCHED!$M72,IF(MATCHED!BF72=13,MATCHED!$N72,IF(MATCHED!BF72=14,MATCHED!$O72,"")))))))&amp;IF(MATCHED!BF72=15,MATCHED!$P72,IF(MATCHED!BF72=16,MATCHED!$Q72,IF(MATCHED!BF72=17,MATCHED!$R72,IF(MATCHED!BF72=18,MATCHED!$S72,IF(MATCHED!BF72=19,MATCHED!$T72,IF(MATCHED!BF72=20,MATCHED!$U72,IF(MATCHED!BF72=21,MATCHED!$V72,)))))))&amp;IF(MATCHED!BF72=22,MATCHED!$W72,IF(MATCHED!BF72=23,MATCHED!$X72,IF(MATCHED!BF72=24,MATCHED!$Y72,IF(MATCHED!BF72=25,MATCHED!$Z72,IF(MATCHED!BF72=26,MATCHED!$AA72,IF(MATCHED!BF72=27,MATCHED!$AB72,"."))))))</f>
        <v>#N/A</v>
      </c>
      <c r="AE72" s="382" t="e">
        <f>IF(MATCHED!BG72=1,MATCHED!$B72,IF(MATCHED!BG72=2,MATCHED!$C72,IF(MATCHED!BG72=3,MATCHED!$D72,IF(MATCHED!BG72=4,MATCHED!$E72,IF(MATCHED!BG72=3,MATCHED!$F72,IF(MATCHED!BG72=6,MATCHED!$G72,IF(MATCHED!BG72=7,MATCHED!$H72,"")))))))&amp;IF(MATCHED!BG72=8,MATCHED!$I72,IF(MATCHED!BG72=9,MATCHED!$J72,IF(MATCHED!BG72=10,MATCHED!$K72,IF(MATCHED!BG72=11,MATCHED!$L72,IF(MATCHED!BG72=12,MATCHED!$M72,IF(MATCHED!BG72=13,MATCHED!$N72,IF(MATCHED!BG72=14,MATCHED!$O72,"")))))))&amp;IF(MATCHED!BG72=15,MATCHED!$P72,IF(MATCHED!BG72=16,MATCHED!$Q72,IF(MATCHED!BG72=17,MATCHED!$R72,IF(MATCHED!BG72=18,MATCHED!$S72,IF(MATCHED!BG72=19,MATCHED!$T72,IF(MATCHED!BG72=20,MATCHED!$U72,IF(MATCHED!BG72=21,MATCHED!$V72,)))))))&amp;IF(MATCHED!BG72=22,MATCHED!$W72,IF(MATCHED!BG72=23,MATCHED!$X72,IF(MATCHED!BG72=24,MATCHED!$Y72,IF(MATCHED!BG72=25,MATCHED!$Z72,IF(MATCHED!BG72=26,MATCHED!$AA72,IF(MATCHED!BG72=27,MATCHED!$AB72,"."))))))</f>
        <v>#N/A</v>
      </c>
      <c r="AF72" s="382" t="e">
        <f>IF(MATCHED!BH72=1,MATCHED!$B72,IF(MATCHED!BH72=2,MATCHED!$C72,IF(MATCHED!BH72=3,MATCHED!$D72,IF(MATCHED!BH72=4,MATCHED!$E72,IF(MATCHED!BH72=3,MATCHED!$F72,IF(MATCHED!BH72=6,MATCHED!$G72,IF(MATCHED!BH72=7,MATCHED!$H72,"")))))))&amp;IF(MATCHED!BH72=8,MATCHED!$I72,IF(MATCHED!BH72=9,MATCHED!$J72,IF(MATCHED!BH72=10,MATCHED!$K72,IF(MATCHED!BH72=11,MATCHED!$L72,IF(MATCHED!BH72=12,MATCHED!$M72,IF(MATCHED!BH72=13,MATCHED!$N72,IF(MATCHED!BH72=14,MATCHED!$O72,"")))))))&amp;IF(MATCHED!BH72=15,MATCHED!$P72,IF(MATCHED!BH72=16,MATCHED!$Q72,IF(MATCHED!BH72=17,MATCHED!$R72,IF(MATCHED!BH72=18,MATCHED!$S72,IF(MATCHED!BH72=19,MATCHED!$T72,IF(MATCHED!BH72=20,MATCHED!$U72,IF(MATCHED!BH72=21,MATCHED!$V72,)))))))&amp;IF(MATCHED!BH72=22,MATCHED!$W72,IF(MATCHED!BH72=23,MATCHED!$X72,IF(MATCHED!BH72=24,MATCHED!$Y72,IF(MATCHED!BH72=25,MATCHED!$Z72,IF(MATCHED!BH72=26,MATCHED!$AA72,IF(MATCHED!BH72=27,MATCHED!$AB72,"."))))))</f>
        <v>#N/A</v>
      </c>
      <c r="AG72" s="382" t="e">
        <f>IF(MATCHED!BI72=1,MATCHED!$B72,IF(MATCHED!BI72=2,MATCHED!$C72,IF(MATCHED!BI72=3,MATCHED!$D72,IF(MATCHED!BI72=4,MATCHED!$E72,IF(MATCHED!BI72=3,MATCHED!$F72,IF(MATCHED!BI72=6,MATCHED!$G72,IF(MATCHED!BI72=7,MATCHED!$H72,"")))))))&amp;IF(MATCHED!BI72=8,MATCHED!$I72,IF(MATCHED!BI72=9,MATCHED!$J72,IF(MATCHED!BI72=10,MATCHED!$K72,IF(MATCHED!BI72=11,MATCHED!$L72,IF(MATCHED!BI72=12,MATCHED!$M72,IF(MATCHED!BI72=13,MATCHED!$N72,IF(MATCHED!BI72=14,MATCHED!$O72,"")))))))&amp;IF(MATCHED!BI72=15,MATCHED!$P72,IF(MATCHED!BI72=16,MATCHED!$Q72,IF(MATCHED!BI72=17,MATCHED!$R72,IF(MATCHED!BI72=18,MATCHED!$S72,IF(MATCHED!BI72=19,MATCHED!$T72,IF(MATCHED!BI72=20,MATCHED!$U72,IF(MATCHED!BI72=21,MATCHED!$V72,)))))))&amp;IF(MATCHED!BI72=22,MATCHED!$W72,IF(MATCHED!BI72=23,MATCHED!$X72,IF(MATCHED!BI72=24,MATCHED!$Y72,IF(MATCHED!BI72=25,MATCHED!$Z72,IF(MATCHED!BI72=26,MATCHED!$AA72,IF(MATCHED!BI72=27,MATCHED!$AB72,"."))))))</f>
        <v>#N/A</v>
      </c>
      <c r="AH72" s="382" t="e">
        <f>IF(MATCHED!BJ72=1,MATCHED!$B72,IF(MATCHED!BJ72=2,MATCHED!$C72,IF(MATCHED!BJ72=3,MATCHED!$D72,IF(MATCHED!BJ72=4,MATCHED!$E72,IF(MATCHED!BJ72=3,MATCHED!$F72,IF(MATCHED!BJ72=6,MATCHED!$G72,IF(MATCHED!BJ72=7,MATCHED!$H72,"")))))))&amp;IF(MATCHED!BJ72=8,MATCHED!$I72,IF(MATCHED!BJ72=9,MATCHED!$J72,IF(MATCHED!BJ72=10,MATCHED!$K72,IF(MATCHED!BJ72=11,MATCHED!$L72,IF(MATCHED!BJ72=12,MATCHED!$M72,IF(MATCHED!BJ72=13,MATCHED!$N72,IF(MATCHED!BJ72=14,MATCHED!$O72,"")))))))&amp;IF(MATCHED!BJ72=15,MATCHED!$P72,IF(MATCHED!BJ72=16,MATCHED!$Q72,IF(MATCHED!BJ72=17,MATCHED!$R72,IF(MATCHED!BJ72=18,MATCHED!$S72,IF(MATCHED!BJ72=19,MATCHED!$T72,IF(MATCHED!BJ72=20,MATCHED!$U72,IF(MATCHED!BJ72=21,MATCHED!$V72,)))))))&amp;IF(MATCHED!BJ72=22,MATCHED!$W72,IF(MATCHED!BJ72=23,MATCHED!$X72,IF(MATCHED!BJ72=24,MATCHED!$Y72,IF(MATCHED!BJ72=25,MATCHED!$Z72,IF(MATCHED!BJ72=26,MATCHED!$AA72,IF(MATCHED!BJ72=27,MATCHED!$AB72,"."))))))</f>
        <v>#N/A</v>
      </c>
      <c r="AI72" s="382" t="e">
        <f>IF(MATCHED!BK72=1,MATCHED!$B72,IF(MATCHED!BK72=2,MATCHED!$C72,IF(MATCHED!BK72=3,MATCHED!$D72,IF(MATCHED!BK72=4,MATCHED!$E72,IF(MATCHED!BK72=3,MATCHED!$F72,IF(MATCHED!BK72=6,MATCHED!$G72,IF(MATCHED!BK72=7,MATCHED!$H72,"")))))))&amp;IF(MATCHED!BK72=8,MATCHED!$I72,IF(MATCHED!BK72=9,MATCHED!$J72,IF(MATCHED!BK72=10,MATCHED!$K72,IF(MATCHED!BK72=11,MATCHED!$L72,IF(MATCHED!BK72=12,MATCHED!$M72,IF(MATCHED!BK72=13,MATCHED!$N72,IF(MATCHED!BK72=14,MATCHED!$O72,"")))))))&amp;IF(MATCHED!BK72=15,MATCHED!$P72,IF(MATCHED!BK72=16,MATCHED!$Q72,IF(MATCHED!BK72=17,MATCHED!$R72,IF(MATCHED!BK72=18,MATCHED!$S72,IF(MATCHED!BK72=19,MATCHED!$T72,IF(MATCHED!BK72=20,MATCHED!$U72,IF(MATCHED!BK72=21,MATCHED!$V72,)))))))&amp;IF(MATCHED!BK72=22,MATCHED!$W72,IF(MATCHED!BK72=23,MATCHED!$X72,IF(MATCHED!BK72=24,MATCHED!$Y72,IF(MATCHED!BK72=25,MATCHED!$Z72,IF(MATCHED!BK72=26,MATCHED!$AA72,IF(MATCHED!BK72=27,MATCHED!$AB72,"."))))))</f>
        <v>#N/A</v>
      </c>
      <c r="AJ72" s="536"/>
    </row>
    <row r="73" spans="1:36" s="325" customFormat="1" x14ac:dyDescent="0.25">
      <c r="A73" s="319"/>
      <c r="B73" s="321" t="e">
        <f>IF(MATCHED!AD73=1,MATCHED!$B73,IF(MATCHED!AD73=2,MATCHED!$C73,IF(MATCHED!AD73=3,MATCHED!$D73,IF(MATCHED!AD73=4,MATCHED!$E73,IF(MATCHED!AD73=3,MATCHED!$F73,IF(MATCHED!AD73=6,MATCHED!$G73,IF(MATCHED!AD73=7,MATCHED!$H73,"")))))))&amp;IF(MATCHED!AD73=8,MATCHED!$I73,IF(MATCHED!AD73=9,MATCHED!$J73,IF(MATCHED!AD73=10,MATCHED!$K73,IF(MATCHED!AD73=11,MATCHED!$L73,IF(MATCHED!AD73=12,MATCHED!$M73,IF(MATCHED!AD73=13,MATCHED!$N73,IF(MATCHED!AD73=14,MATCHED!$O73,"")))))))&amp;IF(MATCHED!AD73=15,MATCHED!$P73,IF(MATCHED!AD73=16,MATCHED!$Q73,IF(MATCHED!AD73=17,MATCHED!$R73,IF(MATCHED!AD73=18,MATCHED!$S73,IF(MATCHED!AD73=19,MATCHED!$T73,IF(MATCHED!AD73=20,MATCHED!$U73,IF(MATCHED!AD73=21,MATCHED!$V73,)))))))&amp;IF(MATCHED!AD73=22,MATCHED!$W73,IF(MATCHED!AD73=23,MATCHED!$X73,IF(MATCHED!AD73=24,MATCHED!$Y73,IF(MATCHED!AD73=25,MATCHED!$Z73,IF(MATCHED!AD73=26,MATCHED!$AA73,IF(MATCHED!AD73=27,MATCHED!$AB73,"."))))))</f>
        <v>#N/A</v>
      </c>
      <c r="C73" s="321" t="e">
        <f>IF(MATCHED!AE73=1,MATCHED!$B73,IF(MATCHED!AE73=2,MATCHED!$C73,IF(MATCHED!AE73=3,MATCHED!$D73,IF(MATCHED!AE73=4,MATCHED!$E73,IF(MATCHED!AE73=3,MATCHED!$F73,IF(MATCHED!AE73=6,MATCHED!$G73,IF(MATCHED!AE73=7,MATCHED!$H73,"")))))))&amp;IF(MATCHED!AE73=8,MATCHED!$I73,IF(MATCHED!AE73=9,MATCHED!$J73,IF(MATCHED!AE73=10,MATCHED!$K73,IF(MATCHED!AE73=11,MATCHED!$L73,IF(MATCHED!AE73=12,MATCHED!$M73,IF(MATCHED!AE73=13,MATCHED!$N73,IF(MATCHED!AE73=14,MATCHED!$O73,"")))))))&amp;IF(MATCHED!AE73=15,MATCHED!$P73,IF(MATCHED!AE73=16,MATCHED!$Q73,IF(MATCHED!AE73=17,MATCHED!$R73,IF(MATCHED!AE73=18,MATCHED!$S73,IF(MATCHED!AE73=19,MATCHED!$T73,IF(MATCHED!AE73=20,MATCHED!$U73,IF(MATCHED!AE73=21,MATCHED!$V73,)))))))&amp;IF(MATCHED!AE73=22,MATCHED!$W73,IF(MATCHED!AE73=23,MATCHED!$X73,IF(MATCHED!AE73=24,MATCHED!$Y73,IF(MATCHED!AE73=25,MATCHED!$Z73,IF(MATCHED!AE73=26,MATCHED!$AA73,IF(MATCHED!AE73=27,MATCHED!$AB73,"."))))))</f>
        <v>#N/A</v>
      </c>
      <c r="D73" s="321" t="e">
        <f>IF(MATCHED!AF73=1,MATCHED!$B73,IF(MATCHED!AF73=2,MATCHED!$C73,IF(MATCHED!AF73=3,MATCHED!$D73,IF(MATCHED!AF73=4,MATCHED!$E73,IF(MATCHED!AF73=3,MATCHED!$F73,IF(MATCHED!AF73=6,MATCHED!$G73,IF(MATCHED!AF73=7,MATCHED!$H73,"")))))))&amp;IF(MATCHED!AF73=8,MATCHED!$I73,IF(MATCHED!AF73=9,MATCHED!$J73,IF(MATCHED!AF73=10,MATCHED!$K73,IF(MATCHED!AF73=11,MATCHED!$L73,IF(MATCHED!AF73=12,MATCHED!$M73,IF(MATCHED!AF73=13,MATCHED!$N73,IF(MATCHED!AF73=14,MATCHED!$O73,"")))))))&amp;IF(MATCHED!AF73=15,MATCHED!$P73,IF(MATCHED!AF73=16,MATCHED!$Q73,IF(MATCHED!AF73=17,MATCHED!$R73,IF(MATCHED!AF73=18,MATCHED!$S73,IF(MATCHED!AF73=19,MATCHED!$T73,IF(MATCHED!AF73=20,MATCHED!$U73,IF(MATCHED!AF73=21,MATCHED!$V73,)))))))&amp;IF(MATCHED!AF73=22,MATCHED!$W73,IF(MATCHED!AF73=23,MATCHED!$X73,IF(MATCHED!AF73=24,MATCHED!$Y73,IF(MATCHED!AF73=25,MATCHED!$Z73,IF(MATCHED!AF73=26,MATCHED!$AA73,IF(MATCHED!AF73=27,MATCHED!$AB73,"."))))))</f>
        <v>#N/A</v>
      </c>
      <c r="E73" s="322" t="e">
        <f>IF(MATCHED!AG73=1,MATCHED!$B73,IF(MATCHED!AG73=2,MATCHED!$C73,IF(MATCHED!AG73=3,MATCHED!$D73,IF(MATCHED!AG73=4,MATCHED!$E73,IF(MATCHED!AG73=3,MATCHED!$F73,IF(MATCHED!AG73=6,MATCHED!$G73,IF(MATCHED!AG73=7,MATCHED!$H73,"")))))))&amp;IF(MATCHED!AG73=8,MATCHED!$I73,IF(MATCHED!AG73=9,MATCHED!$J73,IF(MATCHED!AG73=10,MATCHED!$K73,IF(MATCHED!AG73=11,MATCHED!$L73,IF(MATCHED!AG73=12,MATCHED!$M73,IF(MATCHED!AG73=13,MATCHED!$N73,IF(MATCHED!AG73=14,MATCHED!$O73,"")))))))&amp;IF(MATCHED!AG73=15,MATCHED!$P73,IF(MATCHED!AG73=16,MATCHED!$Q73,IF(MATCHED!AG73=17,MATCHED!$R73,IF(MATCHED!AG73=18,MATCHED!$S73,IF(MATCHED!AG73=19,MATCHED!$T73,IF(MATCHED!AG73=20,MATCHED!$U73,IF(MATCHED!AG73=21,MATCHED!$V73,)))))))&amp;IF(MATCHED!AG73=22,MATCHED!$W73,IF(MATCHED!AG73=23,MATCHED!$X73,IF(MATCHED!AG73=24,MATCHED!$Y73,IF(MATCHED!AG73=25,MATCHED!$Z73,IF(MATCHED!AG73=26,MATCHED!$AA73,IF(MATCHED!AG73=27,MATCHED!$AB73,"."))))))</f>
        <v>#N/A</v>
      </c>
      <c r="F73" s="321" t="e">
        <f>IF(MATCHED!AH73=1,MATCHED!$B73,IF(MATCHED!AH73=2,MATCHED!$C73,IF(MATCHED!AH73=3,MATCHED!$D73,IF(MATCHED!AH73=4,MATCHED!$E73,IF(MATCHED!AH73=3,MATCHED!$F73,IF(MATCHED!AH73=6,MATCHED!$G73,IF(MATCHED!AH73=7,MATCHED!$H73,"")))))))&amp;IF(MATCHED!AH73=8,MATCHED!$I73,IF(MATCHED!AH73=9,MATCHED!$J73,IF(MATCHED!AH73=10,MATCHED!$K73,IF(MATCHED!AH73=11,MATCHED!$L73,IF(MATCHED!AH73=12,MATCHED!$M73,IF(MATCHED!AH73=13,MATCHED!$N73,IF(MATCHED!AH73=14,MATCHED!$O73,"")))))))&amp;IF(MATCHED!AH73=15,MATCHED!$P73,IF(MATCHED!AH73=16,MATCHED!$Q73,IF(MATCHED!AH73=17,MATCHED!$R73,IF(MATCHED!AH73=18,MATCHED!$S73,IF(MATCHED!AH73=19,MATCHED!$T73,IF(MATCHED!AH73=20,MATCHED!$U73,IF(MATCHED!AH73=21,MATCHED!$V73,)))))))&amp;IF(MATCHED!AH73=22,MATCHED!$W73,IF(MATCHED!AH73=23,MATCHED!$X73,IF(MATCHED!AH73=24,MATCHED!$Y73,IF(MATCHED!AH73=25,MATCHED!$Z73,IF(MATCHED!AH73=26,MATCHED!$AA73,IF(MATCHED!AH73=27,MATCHED!$AB73,"."))))))</f>
        <v>#N/A</v>
      </c>
      <c r="G73" s="321" t="e">
        <f>IF(MATCHED!AI73=1,MATCHED!$B73,IF(MATCHED!AI73=2,MATCHED!$C73,IF(MATCHED!AI73=3,MATCHED!$D73,IF(MATCHED!AI73=4,MATCHED!$E73,IF(MATCHED!AI73=3,MATCHED!$F73,IF(MATCHED!AI73=6,MATCHED!$G73,IF(MATCHED!AI73=7,MATCHED!$H73,"")))))))&amp;IF(MATCHED!AI73=8,MATCHED!$I73,IF(MATCHED!AI73=9,MATCHED!$J73,IF(MATCHED!AI73=10,MATCHED!$K73,IF(MATCHED!AI73=11,MATCHED!$L73,IF(MATCHED!AI73=12,MATCHED!$M73,IF(MATCHED!AI73=13,MATCHED!$N73,IF(MATCHED!AI73=14,MATCHED!$O73,"")))))))&amp;IF(MATCHED!AI73=15,MATCHED!$P73,IF(MATCHED!AI73=16,MATCHED!$Q73,IF(MATCHED!AI73=17,MATCHED!$R73,IF(MATCHED!AI73=18,MATCHED!$S73,IF(MATCHED!AI73=19,MATCHED!$T73,IF(MATCHED!AI73=20,MATCHED!$U73,IF(MATCHED!AI73=21,MATCHED!$V73,)))))))&amp;IF(MATCHED!AI73=22,MATCHED!$W73,IF(MATCHED!AI73=23,MATCHED!$X73,IF(MATCHED!AI73=24,MATCHED!$Y73,IF(MATCHED!AI73=25,MATCHED!$Z73,IF(MATCHED!AI73=26,MATCHED!$AA73,IF(MATCHED!AI73=27,MATCHED!$AB73,"."))))))</f>
        <v>#N/A</v>
      </c>
      <c r="H73" s="321" t="e">
        <f>IF(MATCHED!AJ73=1,MATCHED!$B73,IF(MATCHED!AJ73=2,MATCHED!$C73,IF(MATCHED!AJ73=3,MATCHED!$D73,IF(MATCHED!AJ73=4,MATCHED!$E73,IF(MATCHED!AJ73=3,MATCHED!$F73,IF(MATCHED!AJ73=6,MATCHED!$G73,IF(MATCHED!AJ73=7,MATCHED!$H73,"")))))))&amp;IF(MATCHED!AJ73=8,MATCHED!$I73,IF(MATCHED!AJ73=9,MATCHED!$J73,IF(MATCHED!AJ73=10,MATCHED!$K73,IF(MATCHED!AJ73=11,MATCHED!$L73,IF(MATCHED!AJ73=12,MATCHED!$M73,IF(MATCHED!AJ73=13,MATCHED!$N73,IF(MATCHED!AJ73=14,MATCHED!$O73,"")))))))&amp;IF(MATCHED!AJ73=15,MATCHED!$P73,IF(MATCHED!AJ73=16,MATCHED!$Q73,IF(MATCHED!AJ73=17,MATCHED!$R73,IF(MATCHED!AJ73=18,MATCHED!$S73,IF(MATCHED!AJ73=19,MATCHED!$T73,IF(MATCHED!AJ73=20,MATCHED!$U73,IF(MATCHED!AJ73=21,MATCHED!$V73,)))))))&amp;IF(MATCHED!AJ73=22,MATCHED!$W73,IF(MATCHED!AJ73=23,MATCHED!$X73,IF(MATCHED!AJ73=24,MATCHED!$Y73,IF(MATCHED!AJ73=25,MATCHED!$Z73,IF(MATCHED!AJ73=26,MATCHED!$AA73,IF(MATCHED!AJ73=27,MATCHED!$AB73,"."))))))</f>
        <v>#N/A</v>
      </c>
      <c r="I73" s="323" t="e">
        <f>IF(MATCHED!AK73=1,MATCHED!$B73,IF(MATCHED!AK73=2,MATCHED!$C73,IF(MATCHED!AK73=3,MATCHED!$D73,IF(MATCHED!AK73=4,MATCHED!$E73,IF(MATCHED!AK73=3,MATCHED!$F73,IF(MATCHED!AK73=6,MATCHED!$G73,IF(MATCHED!AK73=7,MATCHED!$H73,"")))))))&amp;IF(MATCHED!AK73=8,MATCHED!$I73,IF(MATCHED!AK73=9,MATCHED!$J73,IF(MATCHED!AK73=10,MATCHED!$K73,IF(MATCHED!AK73=11,MATCHED!$L73,IF(MATCHED!AK73=12,MATCHED!$M73,IF(MATCHED!AK73=13,MATCHED!$N73,IF(MATCHED!AK73=14,MATCHED!$O73,"")))))))&amp;IF(MATCHED!AK73=15,MATCHED!$P73,IF(MATCHED!AK73=16,MATCHED!$Q73,IF(MATCHED!AK73=17,MATCHED!$R73,IF(MATCHED!AK73=18,MATCHED!$S73,IF(MATCHED!AK73=19,MATCHED!$T73,IF(MATCHED!AK73=20,MATCHED!$U73,IF(MATCHED!AK73=21,MATCHED!$V73,)))))))&amp;IF(MATCHED!AK73=22,MATCHED!$W73,IF(MATCHED!AK73=23,MATCHED!$X73,IF(MATCHED!AK73=24,MATCHED!$Y73,IF(MATCHED!AK73=25,MATCHED!$Z73,IF(MATCHED!AK73=26,MATCHED!$AA73,IF(MATCHED!AK73=27,MATCHED!$AB73,"."))))))</f>
        <v>#N/A</v>
      </c>
      <c r="J73" s="321" t="e">
        <f>IF(MATCHED!AL73=1,MATCHED!$B73,IF(MATCHED!AL73=2,MATCHED!$C73,IF(MATCHED!AL73=3,MATCHED!$D73,IF(MATCHED!AL73=4,MATCHED!$E73,IF(MATCHED!AL73=3,MATCHED!$F73,IF(MATCHED!AL73=6,MATCHED!$G73,IF(MATCHED!AL73=7,MATCHED!$H73,"")))))))&amp;IF(MATCHED!AL73=8,MATCHED!$I73,IF(MATCHED!AL73=9,MATCHED!$J73,IF(MATCHED!AL73=10,MATCHED!$K73,IF(MATCHED!AL73=11,MATCHED!$L73,IF(MATCHED!AL73=12,MATCHED!$M73,IF(MATCHED!AL73=13,MATCHED!$N73,IF(MATCHED!AL73=14,MATCHED!$O73,"")))))))&amp;IF(MATCHED!AL73=15,MATCHED!$P73,IF(MATCHED!AL73=16,MATCHED!$Q73,IF(MATCHED!AL73=17,MATCHED!$R73,IF(MATCHED!AL73=18,MATCHED!$S73,IF(MATCHED!AL73=19,MATCHED!$T73,IF(MATCHED!AL73=20,MATCHED!$U73,IF(MATCHED!AL73=21,MATCHED!$V73,)))))))&amp;IF(MATCHED!AL73=22,MATCHED!$W73,IF(MATCHED!AL73=23,MATCHED!$X73,IF(MATCHED!AL73=24,MATCHED!$Y73,IF(MATCHED!AL73=25,MATCHED!$Z73,IF(MATCHED!AL73=26,MATCHED!$AA73,IF(MATCHED!AL73=27,MATCHED!$AB73,"."))))))</f>
        <v>#N/A</v>
      </c>
      <c r="K73" s="321" t="e">
        <f>IF(MATCHED!AM73=1,MATCHED!$B73,IF(MATCHED!AM73=2,MATCHED!$C73,IF(MATCHED!AM73=3,MATCHED!$D73,IF(MATCHED!AM73=4,MATCHED!$E73,IF(MATCHED!AM73=3,MATCHED!$F73,IF(MATCHED!AM73=6,MATCHED!$G73,IF(MATCHED!AM73=7,MATCHED!$H73,"")))))))&amp;IF(MATCHED!AM73=8,MATCHED!$I73,IF(MATCHED!AM73=9,MATCHED!$J73,IF(MATCHED!AM73=10,MATCHED!$K73,IF(MATCHED!AM73=11,MATCHED!$L73,IF(MATCHED!AM73=12,MATCHED!$M73,IF(MATCHED!AM73=13,MATCHED!$N73,IF(MATCHED!AM73=14,MATCHED!$O73,"")))))))&amp;IF(MATCHED!AM73=15,MATCHED!$P73,IF(MATCHED!AM73=16,MATCHED!$Q73,IF(MATCHED!AM73=17,MATCHED!$R73,IF(MATCHED!AM73=18,MATCHED!$S73,IF(MATCHED!AM73=19,MATCHED!$T73,IF(MATCHED!AM73=20,MATCHED!$U73,IF(MATCHED!AM73=21,MATCHED!$V73,)))))))&amp;IF(MATCHED!AM73=22,MATCHED!$W73,IF(MATCHED!AM73=23,MATCHED!$X73,IF(MATCHED!AM73=24,MATCHED!$Y73,IF(MATCHED!AM73=25,MATCHED!$Z73,IF(MATCHED!AM73=26,MATCHED!$AA73,IF(MATCHED!AM73=27,MATCHED!$AB73,"."))))))</f>
        <v>#N/A</v>
      </c>
      <c r="L73" s="321" t="e">
        <f>IF(MATCHED!AN73=1,MATCHED!$B73,IF(MATCHED!AN73=2,MATCHED!$C73,IF(MATCHED!AN73=3,MATCHED!$D73,IF(MATCHED!AN73=4,MATCHED!$E73,IF(MATCHED!AN73=3,MATCHED!$F73,IF(MATCHED!AN73=6,MATCHED!$G73,IF(MATCHED!AN73=7,MATCHED!$H73,"")))))))&amp;IF(MATCHED!AN73=8,MATCHED!$I73,IF(MATCHED!AN73=9,MATCHED!$J73,IF(MATCHED!AN73=10,MATCHED!$K73,IF(MATCHED!AN73=11,MATCHED!$L73,IF(MATCHED!AN73=12,MATCHED!$M73,IF(MATCHED!AN73=13,MATCHED!$N73,IF(MATCHED!AN73=14,MATCHED!$O73,"")))))))&amp;IF(MATCHED!AN73=15,MATCHED!$P73,IF(MATCHED!AN73=16,MATCHED!$Q73,IF(MATCHED!AN73=17,MATCHED!$R73,IF(MATCHED!AN73=18,MATCHED!$S73,IF(MATCHED!AN73=19,MATCHED!$T73,IF(MATCHED!AN73=20,MATCHED!$U73,IF(MATCHED!AN73=21,MATCHED!$V73,)))))))&amp;IF(MATCHED!AN73=22,MATCHED!$W73,IF(MATCHED!AN73=23,MATCHED!$X73,IF(MATCHED!AN73=24,MATCHED!$Y73,IF(MATCHED!AN73=25,MATCHED!$Z73,IF(MATCHED!AN73=26,MATCHED!$AA73,IF(MATCHED!AN73=27,MATCHED!$AB73,"."))))))</f>
        <v>#N/A</v>
      </c>
      <c r="M73" s="324" t="e">
        <f>IF(MATCHED!AO73=1,MATCHED!$B73,IF(MATCHED!AO73=2,MATCHED!$C73,IF(MATCHED!AO73=3,MATCHED!$D73,IF(MATCHED!AO73=4,MATCHED!$E73,IF(MATCHED!AO73=3,MATCHED!$F73,IF(MATCHED!AO73=6,MATCHED!$G73,IF(MATCHED!AO73=7,MATCHED!$H73,"")))))))&amp;IF(MATCHED!AO73=8,MATCHED!$I73,IF(MATCHED!AO73=9,MATCHED!$J73,IF(MATCHED!AO73=10,MATCHED!$K73,IF(MATCHED!AO73=11,MATCHED!$L73,IF(MATCHED!AO73=12,MATCHED!$M73,IF(MATCHED!AO73=13,MATCHED!$N73,IF(MATCHED!AO73=14,MATCHED!$O73,"")))))))&amp;IF(MATCHED!AO73=15,MATCHED!$P73,IF(MATCHED!AO73=16,MATCHED!$Q73,IF(MATCHED!AO73=17,MATCHED!$R73,IF(MATCHED!AO73=18,MATCHED!$S73,IF(MATCHED!AO73=19,MATCHED!$T73,IF(MATCHED!AO73=20,MATCHED!$U73,IF(MATCHED!AO73=21,MATCHED!$V73,)))))))&amp;IF(MATCHED!AO73=22,MATCHED!$W73,IF(MATCHED!AO73=23,MATCHED!$X73,IF(MATCHED!AO73=24,MATCHED!$Y73,IF(MATCHED!AO73=25,MATCHED!$Z73,IF(MATCHED!AO73=26,MATCHED!$AA73,IF(MATCHED!AO73=27,MATCHED!$AB73,"."))))))</f>
        <v>#N/A</v>
      </c>
      <c r="N73" s="321" t="e">
        <f>IF(MATCHED!AP73=1,MATCHED!$B73,IF(MATCHED!AP73=2,MATCHED!$C73,IF(MATCHED!AP73=3,MATCHED!$D73,IF(MATCHED!AP73=4,MATCHED!$E73,IF(MATCHED!AP73=3,MATCHED!$F73,IF(MATCHED!AP73=6,MATCHED!$G73,IF(MATCHED!AP73=7,MATCHED!$H73,"")))))))&amp;IF(MATCHED!AP73=8,MATCHED!$I73,IF(MATCHED!AP73=9,MATCHED!$J73,IF(MATCHED!AP73=10,MATCHED!$K73,IF(MATCHED!AP73=11,MATCHED!$L73,IF(MATCHED!AP73=12,MATCHED!$M73,IF(MATCHED!AP73=13,MATCHED!$N73,IF(MATCHED!AP73=14,MATCHED!$O73,"")))))))&amp;IF(MATCHED!AP73=15,MATCHED!$P73,IF(MATCHED!AP73=16,MATCHED!$Q73,IF(MATCHED!AP73=17,MATCHED!$R73,IF(MATCHED!AP73=18,MATCHED!$S73,IF(MATCHED!AP73=19,MATCHED!$T73,IF(MATCHED!AP73=20,MATCHED!$U73,IF(MATCHED!AP73=21,MATCHED!$V73,)))))))&amp;IF(MATCHED!AP73=22,MATCHED!$W73,IF(MATCHED!AP73=23,MATCHED!$X73,IF(MATCHED!AP73=24,MATCHED!$Y73,IF(MATCHED!AP73=25,MATCHED!$Z73,IF(MATCHED!AP73=26,MATCHED!$AA73,IF(MATCHED!AP73=27,MATCHED!$AB73,"."))))))</f>
        <v>#N/A</v>
      </c>
      <c r="O73" s="321" t="e">
        <f>IF(MATCHED!AQ73=1,MATCHED!$B73,IF(MATCHED!AQ73=2,MATCHED!$C73,IF(MATCHED!AQ73=3,MATCHED!$D73,IF(MATCHED!AQ73=4,MATCHED!$E73,IF(MATCHED!AQ73=3,MATCHED!$F73,IF(MATCHED!AQ73=6,MATCHED!$G73,IF(MATCHED!AQ73=7,MATCHED!$H73,"")))))))&amp;IF(MATCHED!AQ73=8,MATCHED!$I73,IF(MATCHED!AQ73=9,MATCHED!$J73,IF(MATCHED!AQ73=10,MATCHED!$K73,IF(MATCHED!AQ73=11,MATCHED!$L73,IF(MATCHED!AQ73=12,MATCHED!$M73,IF(MATCHED!AQ73=13,MATCHED!$N73,IF(MATCHED!AQ73=14,MATCHED!$O73,"")))))))&amp;IF(MATCHED!AQ73=15,MATCHED!$P73,IF(MATCHED!AQ73=16,MATCHED!$Q73,IF(MATCHED!AQ73=17,MATCHED!$R73,IF(MATCHED!AQ73=18,MATCHED!$S73,IF(MATCHED!AQ73=19,MATCHED!$T73,IF(MATCHED!AQ73=20,MATCHED!$U73,IF(MATCHED!AQ73=21,MATCHED!$V73,)))))))&amp;IF(MATCHED!AQ73=22,MATCHED!$W73,IF(MATCHED!AQ73=23,MATCHED!$X73,IF(MATCHED!AQ73=24,MATCHED!$Y73,IF(MATCHED!AQ73=25,MATCHED!$Z73,IF(MATCHED!AQ73=26,MATCHED!$AA73,IF(MATCHED!AQ73=27,MATCHED!$AB73,"."))))))</f>
        <v>#N/A</v>
      </c>
      <c r="P73" s="321" t="e">
        <f>IF(MATCHED!AR73=1,MATCHED!$B73,IF(MATCHED!AR73=2,MATCHED!$C73,IF(MATCHED!AR73=3,MATCHED!$D73,IF(MATCHED!AR73=4,MATCHED!$E73,IF(MATCHED!AR73=3,MATCHED!$F73,IF(MATCHED!AR73=6,MATCHED!$G73,IF(MATCHED!AR73=7,MATCHED!$H73,"")))))))&amp;IF(MATCHED!AR73=8,MATCHED!$I73,IF(MATCHED!AR73=9,MATCHED!$J73,IF(MATCHED!AR73=10,MATCHED!$K73,IF(MATCHED!AR73=11,MATCHED!$L73,IF(MATCHED!AR73=12,MATCHED!$M73,IF(MATCHED!AR73=13,MATCHED!$N73,IF(MATCHED!AR73=14,MATCHED!$O73,"")))))))&amp;IF(MATCHED!AR73=15,MATCHED!$P73,IF(MATCHED!AR73=16,MATCHED!$Q73,IF(MATCHED!AR73=17,MATCHED!$R73,IF(MATCHED!AR73=18,MATCHED!$S73,IF(MATCHED!AR73=19,MATCHED!$T73,IF(MATCHED!AR73=20,MATCHED!$U73,IF(MATCHED!AR73=21,MATCHED!$V73,)))))))&amp;IF(MATCHED!AR73=22,MATCHED!$W73,IF(MATCHED!AR73=23,MATCHED!$X73,IF(MATCHED!AR73=24,MATCHED!$Y73,IF(MATCHED!AR73=25,MATCHED!$Z73,IF(MATCHED!AR73=26,MATCHED!$AA73,IF(MATCHED!AR73=27,MATCHED!$AB73,"."))))))</f>
        <v>#N/A</v>
      </c>
      <c r="Q73" s="322" t="e">
        <f>IF(MATCHED!AS73=1,MATCHED!$B73,IF(MATCHED!AS73=2,MATCHED!$C73,IF(MATCHED!AS73=3,MATCHED!$D73,IF(MATCHED!AS73=4,MATCHED!$E73,IF(MATCHED!AS73=3,MATCHED!$F73,IF(MATCHED!AS73=6,MATCHED!$G73,IF(MATCHED!AS73=7,MATCHED!$H73,"")))))))&amp;IF(MATCHED!AS73=8,MATCHED!$I73,IF(MATCHED!AS73=9,MATCHED!$J73,IF(MATCHED!AS73=10,MATCHED!$K73,IF(MATCHED!AS73=11,MATCHED!$L73,IF(MATCHED!AS73=12,MATCHED!$M73,IF(MATCHED!AS73=13,MATCHED!$N73,IF(MATCHED!AS73=14,MATCHED!$O73,"")))))))&amp;IF(MATCHED!AS73=15,MATCHED!$P73,IF(MATCHED!AS73=16,MATCHED!$Q73,IF(MATCHED!AS73=17,MATCHED!$R73,IF(MATCHED!AS73=18,MATCHED!$S73,IF(MATCHED!AS73=19,MATCHED!$T73,IF(MATCHED!AS73=20,MATCHED!$U73,IF(MATCHED!AS73=21,MATCHED!$V73,)))))))&amp;IF(MATCHED!AS73=22,MATCHED!$W73,IF(MATCHED!AS73=23,MATCHED!$X73,IF(MATCHED!AS73=24,MATCHED!$Y73,IF(MATCHED!AS73=25,MATCHED!$Z73,IF(MATCHED!AS73=26,MATCHED!$AA73,IF(MATCHED!AS73=27,MATCHED!$AB73,"."))))))</f>
        <v>#N/A</v>
      </c>
      <c r="R73" s="321" t="e">
        <f>IF(MATCHED!AT73=1,MATCHED!$B73,IF(MATCHED!AT73=2,MATCHED!$C73,IF(MATCHED!AT73=3,MATCHED!$D73,IF(MATCHED!AT73=4,MATCHED!$E73,IF(MATCHED!AT73=3,MATCHED!$F73,IF(MATCHED!AT73=6,MATCHED!$G73,IF(MATCHED!AT73=7,MATCHED!$H73,"")))))))&amp;IF(MATCHED!AT73=8,MATCHED!$I73,IF(MATCHED!AT73=9,MATCHED!$J73,IF(MATCHED!AT73=10,MATCHED!$K73,IF(MATCHED!AT73=11,MATCHED!$L73,IF(MATCHED!AT73=12,MATCHED!$M73,IF(MATCHED!AT73=13,MATCHED!$N73,IF(MATCHED!AT73=14,MATCHED!$O73,"")))))))&amp;IF(MATCHED!AT73=15,MATCHED!$P73,IF(MATCHED!AT73=16,MATCHED!$Q73,IF(MATCHED!AT73=17,MATCHED!$R73,IF(MATCHED!AT73=18,MATCHED!$S73,IF(MATCHED!AT73=19,MATCHED!$T73,IF(MATCHED!AT73=20,MATCHED!$U73,IF(MATCHED!AT73=21,MATCHED!$V73,)))))))&amp;IF(MATCHED!AT73=22,MATCHED!$W73,IF(MATCHED!AT73=23,MATCHED!$X73,IF(MATCHED!AT73=24,MATCHED!$Y73,IF(MATCHED!AT73=25,MATCHED!$Z73,IF(MATCHED!AT73=26,MATCHED!$AA73,IF(MATCHED!AT73=27,MATCHED!$AB73,"."))))))</f>
        <v>#N/A</v>
      </c>
      <c r="S73" s="321" t="e">
        <f>IF(MATCHED!AU73=1,MATCHED!$B73,IF(MATCHED!AU73=2,MATCHED!$C73,IF(MATCHED!AU73=3,MATCHED!$D73,IF(MATCHED!AU73=4,MATCHED!$E73,IF(MATCHED!AU73=3,MATCHED!$F73,IF(MATCHED!AU73=6,MATCHED!$G73,IF(MATCHED!AU73=7,MATCHED!$H73,"")))))))&amp;IF(MATCHED!AU73=8,MATCHED!$I73,IF(MATCHED!AU73=9,MATCHED!$J73,IF(MATCHED!AU73=10,MATCHED!$K73,IF(MATCHED!AU73=11,MATCHED!$L73,IF(MATCHED!AU73=12,MATCHED!$M73,IF(MATCHED!AU73=13,MATCHED!$N73,IF(MATCHED!AU73=14,MATCHED!$O73,"")))))))&amp;IF(MATCHED!AU73=15,MATCHED!$P73,IF(MATCHED!AU73=16,MATCHED!$Q73,IF(MATCHED!AU73=17,MATCHED!$R73,IF(MATCHED!AU73=18,MATCHED!$S73,IF(MATCHED!AU73=19,MATCHED!$T73,IF(MATCHED!AU73=20,MATCHED!$U73,IF(MATCHED!AU73=21,MATCHED!$V73,)))))))&amp;IF(MATCHED!AU73=22,MATCHED!$W73,IF(MATCHED!AU73=23,MATCHED!$X73,IF(MATCHED!AU73=24,MATCHED!$Y73,IF(MATCHED!AU73=25,MATCHED!$Z73,IF(MATCHED!AU73=26,MATCHED!$AA73,IF(MATCHED!AU73=27,MATCHED!$AB73,"."))))))</f>
        <v>#N/A</v>
      </c>
      <c r="T73" s="321" t="e">
        <f>IF(MATCHED!AV73=1,MATCHED!$B73,IF(MATCHED!AV73=2,MATCHED!$C73,IF(MATCHED!AV73=3,MATCHED!$D73,IF(MATCHED!AV73=4,MATCHED!$E73,IF(MATCHED!AV73=3,MATCHED!$F73,IF(MATCHED!AV73=6,MATCHED!$G73,IF(MATCHED!AV73=7,MATCHED!$H73,"")))))))&amp;IF(MATCHED!AV73=8,MATCHED!$I73,IF(MATCHED!AV73=9,MATCHED!$J73,IF(MATCHED!AV73=10,MATCHED!$K73,IF(MATCHED!AV73=11,MATCHED!$L73,IF(MATCHED!AV73=12,MATCHED!$M73,IF(MATCHED!AV73=13,MATCHED!$N73,IF(MATCHED!AV73=14,MATCHED!$O73,"")))))))&amp;IF(MATCHED!AV73=15,MATCHED!$P73,IF(MATCHED!AV73=16,MATCHED!$Q73,IF(MATCHED!AV73=17,MATCHED!$R73,IF(MATCHED!AV73=18,MATCHED!$S73,IF(MATCHED!AV73=19,MATCHED!$T73,IF(MATCHED!AV73=20,MATCHED!$U73,IF(MATCHED!AV73=21,MATCHED!$V73,)))))))&amp;IF(MATCHED!AV73=22,MATCHED!$W73,IF(MATCHED!AV73=23,MATCHED!$X73,IF(MATCHED!AV73=24,MATCHED!$Y73,IF(MATCHED!AV73=25,MATCHED!$Z73,IF(MATCHED!AV73=26,MATCHED!$AA73,IF(MATCHED!AV73=27,MATCHED!$AB73,"."))))))</f>
        <v>#N/A</v>
      </c>
      <c r="U73" s="321" t="e">
        <f>IF(MATCHED!AW73=1,MATCHED!$B73,IF(MATCHED!AW73=2,MATCHED!$C73,IF(MATCHED!AW73=3,MATCHED!$D73,IF(MATCHED!AW73=4,MATCHED!$E73,IF(MATCHED!AW73=3,MATCHED!$F73,IF(MATCHED!AW73=6,MATCHED!$G73,IF(MATCHED!AW73=7,MATCHED!$H73,"")))))))&amp;IF(MATCHED!AW73=8,MATCHED!$I73,IF(MATCHED!AW73=9,MATCHED!$J73,IF(MATCHED!AW73=10,MATCHED!$K73,IF(MATCHED!AW73=11,MATCHED!$L73,IF(MATCHED!AW73=12,MATCHED!$M73,IF(MATCHED!AW73=13,MATCHED!$N73,IF(MATCHED!AW73=14,MATCHED!$O73,"")))))))&amp;IF(MATCHED!AW73=15,MATCHED!$P73,IF(MATCHED!AW73=16,MATCHED!$Q73,IF(MATCHED!AW73=17,MATCHED!$R73,IF(MATCHED!AW73=18,MATCHED!$S73,IF(MATCHED!AW73=19,MATCHED!$T73,IF(MATCHED!AW73=20,MATCHED!$U73,IF(MATCHED!AW73=21,MATCHED!$V73,)))))))&amp;IF(MATCHED!AW73=22,MATCHED!$W73,IF(MATCHED!AW73=23,MATCHED!$X73,IF(MATCHED!AW73=24,MATCHED!$Y73,IF(MATCHED!AW73=25,MATCHED!$Z73,IF(MATCHED!AW73=26,MATCHED!$AA73,IF(MATCHED!AW73=27,MATCHED!$AB73,"."))))))</f>
        <v>#N/A</v>
      </c>
      <c r="V73" s="321" t="e">
        <f>IF(MATCHED!AX73=1,MATCHED!$B73,IF(MATCHED!AX73=2,MATCHED!$C73,IF(MATCHED!AX73=3,MATCHED!$D73,IF(MATCHED!AX73=4,MATCHED!$E73,IF(MATCHED!AX73=3,MATCHED!$F73,IF(MATCHED!AX73=6,MATCHED!$G73,IF(MATCHED!AX73=7,MATCHED!$H73,"")))))))&amp;IF(MATCHED!AX73=8,MATCHED!$I73,IF(MATCHED!AX73=9,MATCHED!$J73,IF(MATCHED!AX73=10,MATCHED!$K73,IF(MATCHED!AX73=11,MATCHED!$L73,IF(MATCHED!AX73=12,MATCHED!$M73,IF(MATCHED!AX73=13,MATCHED!$N73,IF(MATCHED!AX73=14,MATCHED!$O73,"")))))))&amp;IF(MATCHED!AX73=15,MATCHED!$P73,IF(MATCHED!AX73=16,MATCHED!$Q73,IF(MATCHED!AX73=17,MATCHED!$R73,IF(MATCHED!AX73=18,MATCHED!$S73,IF(MATCHED!AX73=19,MATCHED!$T73,IF(MATCHED!AX73=20,MATCHED!$U73,IF(MATCHED!AX73=21,MATCHED!$V73,)))))))&amp;IF(MATCHED!AX73=22,MATCHED!$W73,IF(MATCHED!AX73=23,MATCHED!$X73,IF(MATCHED!AX73=24,MATCHED!$Y73,IF(MATCHED!AX73=25,MATCHED!$Z73,IF(MATCHED!AX73=26,MATCHED!$AA73,IF(MATCHED!AX73=27,MATCHED!$AB73,"."))))))</f>
        <v>#N/A</v>
      </c>
      <c r="W73" s="321" t="e">
        <f>IF(MATCHED!AY73=1,MATCHED!$B73,IF(MATCHED!AY73=2,MATCHED!$C73,IF(MATCHED!AY73=3,MATCHED!$D73,IF(MATCHED!AY73=4,MATCHED!$E73,IF(MATCHED!AY73=3,MATCHED!$F73,IF(MATCHED!AY73=6,MATCHED!$G73,IF(MATCHED!AY73=7,MATCHED!$H73,"")))))))&amp;IF(MATCHED!AY73=8,MATCHED!$I73,IF(MATCHED!AY73=9,MATCHED!$J73,IF(MATCHED!AY73=10,MATCHED!$K73,IF(MATCHED!AY73=11,MATCHED!$L73,IF(MATCHED!AY73=12,MATCHED!$M73,IF(MATCHED!AY73=13,MATCHED!$N73,IF(MATCHED!AY73=14,MATCHED!$O73,"")))))))&amp;IF(MATCHED!AY73=15,MATCHED!$P73,IF(MATCHED!AY73=16,MATCHED!$Q73,IF(MATCHED!AY73=17,MATCHED!$R73,IF(MATCHED!AY73=18,MATCHED!$S73,IF(MATCHED!AY73=19,MATCHED!$T73,IF(MATCHED!AY73=20,MATCHED!$U73,IF(MATCHED!AY73=21,MATCHED!$V73,)))))))&amp;IF(MATCHED!AY73=22,MATCHED!$W73,IF(MATCHED!AY73=23,MATCHED!$X73,IF(MATCHED!AY73=24,MATCHED!$Y73,IF(MATCHED!AY73=25,MATCHED!$Z73,IF(MATCHED!AY73=26,MATCHED!$AA73,IF(MATCHED!AY73=27,MATCHED!$AB73,"."))))))</f>
        <v>#N/A</v>
      </c>
      <c r="X73" s="321" t="e">
        <f>IF(MATCHED!AZ73=1,MATCHED!$B73,IF(MATCHED!AZ73=2,MATCHED!$C73,IF(MATCHED!AZ73=3,MATCHED!$D73,IF(MATCHED!AZ73=4,MATCHED!$E73,IF(MATCHED!AZ73=3,MATCHED!$F73,IF(MATCHED!AZ73=6,MATCHED!$G73,IF(MATCHED!AZ73=7,MATCHED!$H73,"")))))))&amp;IF(MATCHED!AZ73=8,MATCHED!$I73,IF(MATCHED!AZ73=9,MATCHED!$J73,IF(MATCHED!AZ73=10,MATCHED!$K73,IF(MATCHED!AZ73=11,MATCHED!$L73,IF(MATCHED!AZ73=12,MATCHED!$M73,IF(MATCHED!AZ73=13,MATCHED!$N73,IF(MATCHED!AZ73=14,MATCHED!$O73,"")))))))&amp;IF(MATCHED!AZ73=15,MATCHED!$P73,IF(MATCHED!AZ73=16,MATCHED!$Q73,IF(MATCHED!AZ73=17,MATCHED!$R73,IF(MATCHED!AZ73=18,MATCHED!$S73,IF(MATCHED!AZ73=19,MATCHED!$T73,IF(MATCHED!AZ73=20,MATCHED!$U73,IF(MATCHED!AZ73=21,MATCHED!$V73,)))))))&amp;IF(MATCHED!AZ73=22,MATCHED!$W73,IF(MATCHED!AZ73=23,MATCHED!$X73,IF(MATCHED!AZ73=24,MATCHED!$Y73,IF(MATCHED!AZ73=25,MATCHED!$Z73,IF(MATCHED!AZ73=26,MATCHED!$AA73,IF(MATCHED!AZ73=27,MATCHED!$AB73,"."))))))</f>
        <v>#N/A</v>
      </c>
      <c r="Y73" s="321" t="e">
        <f>IF(MATCHED!BA73=1,MATCHED!$B73,IF(MATCHED!BA73=2,MATCHED!$C73,IF(MATCHED!BA73=3,MATCHED!$D73,IF(MATCHED!BA73=4,MATCHED!$E73,IF(MATCHED!BA73=3,MATCHED!$F73,IF(MATCHED!BA73=6,MATCHED!$G73,IF(MATCHED!BA73=7,MATCHED!$H73,"")))))))&amp;IF(MATCHED!BA73=8,MATCHED!$I73,IF(MATCHED!BA73=9,MATCHED!$J73,IF(MATCHED!BA73=10,MATCHED!$K73,IF(MATCHED!BA73=11,MATCHED!$L73,IF(MATCHED!BA73=12,MATCHED!$M73,IF(MATCHED!BA73=13,MATCHED!$N73,IF(MATCHED!BA73=14,MATCHED!$O73,"")))))))&amp;IF(MATCHED!BA73=15,MATCHED!$P73,IF(MATCHED!BA73=16,MATCHED!$Q73,IF(MATCHED!BA73=17,MATCHED!$R73,IF(MATCHED!BA73=18,MATCHED!$S73,IF(MATCHED!BA73=19,MATCHED!$T73,IF(MATCHED!BA73=20,MATCHED!$U73,IF(MATCHED!BA73=21,MATCHED!$V73,)))))))&amp;IF(MATCHED!BA73=22,MATCHED!$W73,IF(MATCHED!BA73=23,MATCHED!$X73,IF(MATCHED!BA73=24,MATCHED!$Y73,IF(MATCHED!BA73=25,MATCHED!$Z73,IF(MATCHED!BA73=26,MATCHED!$AA73,IF(MATCHED!BA73=27,MATCHED!$AB73,"."))))))</f>
        <v>#N/A</v>
      </c>
      <c r="Z73" s="321" t="e">
        <f>IF(MATCHED!BB73=1,MATCHED!$B73,IF(MATCHED!BB73=2,MATCHED!$C73,IF(MATCHED!BB73=3,MATCHED!$D73,IF(MATCHED!BB73=4,MATCHED!$E73,IF(MATCHED!BB73=3,MATCHED!$F73,IF(MATCHED!BB73=6,MATCHED!$G73,IF(MATCHED!BB73=7,MATCHED!$H73,"")))))))&amp;IF(MATCHED!BB73=8,MATCHED!$I73,IF(MATCHED!BB73=9,MATCHED!$J73,IF(MATCHED!BB73=10,MATCHED!$K73,IF(MATCHED!BB73=11,MATCHED!$L73,IF(MATCHED!BB73=12,MATCHED!$M73,IF(MATCHED!BB73=13,MATCHED!$N73,IF(MATCHED!BB73=14,MATCHED!$O73,"")))))))&amp;IF(MATCHED!BB73=15,MATCHED!$P73,IF(MATCHED!BB73=16,MATCHED!$Q73,IF(MATCHED!BB73=17,MATCHED!$R73,IF(MATCHED!BB73=18,MATCHED!$S73,IF(MATCHED!BB73=19,MATCHED!$T73,IF(MATCHED!BB73=20,MATCHED!$U73,IF(MATCHED!BB73=21,MATCHED!$V73,)))))))&amp;IF(MATCHED!BB73=22,MATCHED!$W73,IF(MATCHED!BB73=23,MATCHED!$X73,IF(MATCHED!BB73=24,MATCHED!$Y73,IF(MATCHED!BB73=25,MATCHED!$Z73,IF(MATCHED!BB73=26,MATCHED!$AA73,IF(MATCHED!BB73=27,MATCHED!$AB73,"."))))))</f>
        <v>#N/A</v>
      </c>
      <c r="AA73" s="321" t="e">
        <f>IF(MATCHED!BC73=1,MATCHED!$B73,IF(MATCHED!BC73=2,MATCHED!$C73,IF(MATCHED!BC73=3,MATCHED!$D73,IF(MATCHED!BC73=4,MATCHED!$E73,IF(MATCHED!BC73=3,MATCHED!$F73,IF(MATCHED!BC73=6,MATCHED!$G73,IF(MATCHED!BC73=7,MATCHED!$H73,"")))))))&amp;IF(MATCHED!BC73=8,MATCHED!$I73,IF(MATCHED!BC73=9,MATCHED!$J73,IF(MATCHED!BC73=10,MATCHED!$K73,IF(MATCHED!BC73=11,MATCHED!$L73,IF(MATCHED!BC73=12,MATCHED!$M73,IF(MATCHED!BC73=13,MATCHED!$N73,IF(MATCHED!BC73=14,MATCHED!$O73,"")))))))&amp;IF(MATCHED!BC73=15,MATCHED!$P73,IF(MATCHED!BC73=16,MATCHED!$Q73,IF(MATCHED!BC73=17,MATCHED!$R73,IF(MATCHED!BC73=18,MATCHED!$S73,IF(MATCHED!BC73=19,MATCHED!$T73,IF(MATCHED!BC73=20,MATCHED!$U73,IF(MATCHED!BC73=21,MATCHED!$V73,)))))))&amp;IF(MATCHED!BC73=22,MATCHED!$W73,IF(MATCHED!BC73=23,MATCHED!$X73,IF(MATCHED!BC73=24,MATCHED!$Y73,IF(MATCHED!BC73=25,MATCHED!$Z73,IF(MATCHED!BC73=26,MATCHED!$AA73,IF(MATCHED!BC73=27,MATCHED!$AB73,"."))))))</f>
        <v>#N/A</v>
      </c>
      <c r="AB73" s="321" t="e">
        <f>IF(MATCHED!BD73=1,MATCHED!$B73,IF(MATCHED!BD73=2,MATCHED!$C73,IF(MATCHED!BD73=3,MATCHED!$D73,IF(MATCHED!BD73=4,MATCHED!$E73,IF(MATCHED!BD73=3,MATCHED!$F73,IF(MATCHED!BD73=6,MATCHED!$G73,IF(MATCHED!BD73=7,MATCHED!$H73,"")))))))&amp;IF(MATCHED!BD73=8,MATCHED!$I73,IF(MATCHED!BD73=9,MATCHED!$J73,IF(MATCHED!BD73=10,MATCHED!$K73,IF(MATCHED!BD73=11,MATCHED!$L73,IF(MATCHED!BD73=12,MATCHED!$M73,IF(MATCHED!BD73=13,MATCHED!$N73,IF(MATCHED!BD73=14,MATCHED!$O73,"")))))))&amp;IF(MATCHED!BD73=15,MATCHED!$P73,IF(MATCHED!BD73=16,MATCHED!$Q73,IF(MATCHED!BD73=17,MATCHED!$R73,IF(MATCHED!BD73=18,MATCHED!$S73,IF(MATCHED!BD73=19,MATCHED!$T73,IF(MATCHED!BD73=20,MATCHED!$U73,IF(MATCHED!BD73=21,MATCHED!$V73,)))))))&amp;IF(MATCHED!BD73=22,MATCHED!$W73,IF(MATCHED!BD73=23,MATCHED!$X73,IF(MATCHED!BD73=24,MATCHED!$Y73,IF(MATCHED!BD73=25,MATCHED!$Z73,IF(MATCHED!BD73=26,MATCHED!$AA73,IF(MATCHED!BD73=27,MATCHED!$AB73,"."))))))</f>
        <v>#N/A</v>
      </c>
      <c r="AC73" s="321" t="e">
        <f>IF(MATCHED!BE73=1,MATCHED!$B73,IF(MATCHED!BE73=2,MATCHED!$C73,IF(MATCHED!BE73=3,MATCHED!$D73,IF(MATCHED!BE73=4,MATCHED!$E73,IF(MATCHED!BE73=3,MATCHED!$F73,IF(MATCHED!BE73=6,MATCHED!$G73,IF(MATCHED!BE73=7,MATCHED!$H73,"")))))))&amp;IF(MATCHED!BE73=8,MATCHED!$I73,IF(MATCHED!BE73=9,MATCHED!$J73,IF(MATCHED!BE73=10,MATCHED!$K73,IF(MATCHED!BE73=11,MATCHED!$L73,IF(MATCHED!BE73=12,MATCHED!$M73,IF(MATCHED!BE73=13,MATCHED!$N73,IF(MATCHED!BE73=14,MATCHED!$O73,"")))))))&amp;IF(MATCHED!BE73=15,MATCHED!$P73,IF(MATCHED!BE73=16,MATCHED!$Q73,IF(MATCHED!BE73=17,MATCHED!$R73,IF(MATCHED!BE73=18,MATCHED!$S73,IF(MATCHED!BE73=19,MATCHED!$T73,IF(MATCHED!BE73=20,MATCHED!$U73,IF(MATCHED!BE73=21,MATCHED!$V73,)))))))&amp;IF(MATCHED!BE73=22,MATCHED!$W73,IF(MATCHED!BE73=23,MATCHED!$X73,IF(MATCHED!BE73=24,MATCHED!$Y73,IF(MATCHED!BE73=25,MATCHED!$Z73,IF(MATCHED!BE73=26,MATCHED!$AA73,IF(MATCHED!BE73=27,MATCHED!$AB73,"."))))))</f>
        <v>#N/A</v>
      </c>
      <c r="AD73" s="321" t="e">
        <f>IF(MATCHED!BF73=1,MATCHED!$B73,IF(MATCHED!BF73=2,MATCHED!$C73,IF(MATCHED!BF73=3,MATCHED!$D73,IF(MATCHED!BF73=4,MATCHED!$E73,IF(MATCHED!BF73=3,MATCHED!$F73,IF(MATCHED!BF73=6,MATCHED!$G73,IF(MATCHED!BF73=7,MATCHED!$H73,"")))))))&amp;IF(MATCHED!BF73=8,MATCHED!$I73,IF(MATCHED!BF73=9,MATCHED!$J73,IF(MATCHED!BF73=10,MATCHED!$K73,IF(MATCHED!BF73=11,MATCHED!$L73,IF(MATCHED!BF73=12,MATCHED!$M73,IF(MATCHED!BF73=13,MATCHED!$N73,IF(MATCHED!BF73=14,MATCHED!$O73,"")))))))&amp;IF(MATCHED!BF73=15,MATCHED!$P73,IF(MATCHED!BF73=16,MATCHED!$Q73,IF(MATCHED!BF73=17,MATCHED!$R73,IF(MATCHED!BF73=18,MATCHED!$S73,IF(MATCHED!BF73=19,MATCHED!$T73,IF(MATCHED!BF73=20,MATCHED!$U73,IF(MATCHED!BF73=21,MATCHED!$V73,)))))))&amp;IF(MATCHED!BF73=22,MATCHED!$W73,IF(MATCHED!BF73=23,MATCHED!$X73,IF(MATCHED!BF73=24,MATCHED!$Y73,IF(MATCHED!BF73=25,MATCHED!$Z73,IF(MATCHED!BF73=26,MATCHED!$AA73,IF(MATCHED!BF73=27,MATCHED!$AB73,"."))))))</f>
        <v>#N/A</v>
      </c>
      <c r="AE73" s="321" t="e">
        <f>IF(MATCHED!BG73=1,MATCHED!$B73,IF(MATCHED!BG73=2,MATCHED!$C73,IF(MATCHED!BG73=3,MATCHED!$D73,IF(MATCHED!BG73=4,MATCHED!$E73,IF(MATCHED!BG73=3,MATCHED!$F73,IF(MATCHED!BG73=6,MATCHED!$G73,IF(MATCHED!BG73=7,MATCHED!$H73,"")))))))&amp;IF(MATCHED!BG73=8,MATCHED!$I73,IF(MATCHED!BG73=9,MATCHED!$J73,IF(MATCHED!BG73=10,MATCHED!$K73,IF(MATCHED!BG73=11,MATCHED!$L73,IF(MATCHED!BG73=12,MATCHED!$M73,IF(MATCHED!BG73=13,MATCHED!$N73,IF(MATCHED!BG73=14,MATCHED!$O73,"")))))))&amp;IF(MATCHED!BG73=15,MATCHED!$P73,IF(MATCHED!BG73=16,MATCHED!$Q73,IF(MATCHED!BG73=17,MATCHED!$R73,IF(MATCHED!BG73=18,MATCHED!$S73,IF(MATCHED!BG73=19,MATCHED!$T73,IF(MATCHED!BG73=20,MATCHED!$U73,IF(MATCHED!BG73=21,MATCHED!$V73,)))))))&amp;IF(MATCHED!BG73=22,MATCHED!$W73,IF(MATCHED!BG73=23,MATCHED!$X73,IF(MATCHED!BG73=24,MATCHED!$Y73,IF(MATCHED!BG73=25,MATCHED!$Z73,IF(MATCHED!BG73=26,MATCHED!$AA73,IF(MATCHED!BG73=27,MATCHED!$AB73,"."))))))</f>
        <v>#N/A</v>
      </c>
      <c r="AF73" s="321" t="e">
        <f>IF(MATCHED!BH73=1,MATCHED!$B73,IF(MATCHED!BH73=2,MATCHED!$C73,IF(MATCHED!BH73=3,MATCHED!$D73,IF(MATCHED!BH73=4,MATCHED!$E73,IF(MATCHED!BH73=3,MATCHED!$F73,IF(MATCHED!BH73=6,MATCHED!$G73,IF(MATCHED!BH73=7,MATCHED!$H73,"")))))))&amp;IF(MATCHED!BH73=8,MATCHED!$I73,IF(MATCHED!BH73=9,MATCHED!$J73,IF(MATCHED!BH73=10,MATCHED!$K73,IF(MATCHED!BH73=11,MATCHED!$L73,IF(MATCHED!BH73=12,MATCHED!$M73,IF(MATCHED!BH73=13,MATCHED!$N73,IF(MATCHED!BH73=14,MATCHED!$O73,"")))))))&amp;IF(MATCHED!BH73=15,MATCHED!$P73,IF(MATCHED!BH73=16,MATCHED!$Q73,IF(MATCHED!BH73=17,MATCHED!$R73,IF(MATCHED!BH73=18,MATCHED!$S73,IF(MATCHED!BH73=19,MATCHED!$T73,IF(MATCHED!BH73=20,MATCHED!$U73,IF(MATCHED!BH73=21,MATCHED!$V73,)))))))&amp;IF(MATCHED!BH73=22,MATCHED!$W73,IF(MATCHED!BH73=23,MATCHED!$X73,IF(MATCHED!BH73=24,MATCHED!$Y73,IF(MATCHED!BH73=25,MATCHED!$Z73,IF(MATCHED!BH73=26,MATCHED!$AA73,IF(MATCHED!BH73=27,MATCHED!$AB73,"."))))))</f>
        <v>#N/A</v>
      </c>
      <c r="AG73" s="321" t="e">
        <f>IF(MATCHED!BI73=1,MATCHED!$B73,IF(MATCHED!BI73=2,MATCHED!$C73,IF(MATCHED!BI73=3,MATCHED!$D73,IF(MATCHED!BI73=4,MATCHED!$E73,IF(MATCHED!BI73=3,MATCHED!$F73,IF(MATCHED!BI73=6,MATCHED!$G73,IF(MATCHED!BI73=7,MATCHED!$H73,"")))))))&amp;IF(MATCHED!BI73=8,MATCHED!$I73,IF(MATCHED!BI73=9,MATCHED!$J73,IF(MATCHED!BI73=10,MATCHED!$K73,IF(MATCHED!BI73=11,MATCHED!$L73,IF(MATCHED!BI73=12,MATCHED!$M73,IF(MATCHED!BI73=13,MATCHED!$N73,IF(MATCHED!BI73=14,MATCHED!$O73,"")))))))&amp;IF(MATCHED!BI73=15,MATCHED!$P73,IF(MATCHED!BI73=16,MATCHED!$Q73,IF(MATCHED!BI73=17,MATCHED!$R73,IF(MATCHED!BI73=18,MATCHED!$S73,IF(MATCHED!BI73=19,MATCHED!$T73,IF(MATCHED!BI73=20,MATCHED!$U73,IF(MATCHED!BI73=21,MATCHED!$V73,)))))))&amp;IF(MATCHED!BI73=22,MATCHED!$W73,IF(MATCHED!BI73=23,MATCHED!$X73,IF(MATCHED!BI73=24,MATCHED!$Y73,IF(MATCHED!BI73=25,MATCHED!$Z73,IF(MATCHED!BI73=26,MATCHED!$AA73,IF(MATCHED!BI73=27,MATCHED!$AB73,"."))))))</f>
        <v>#N/A</v>
      </c>
      <c r="AH73" s="322" t="e">
        <f>IF(MATCHED!BJ73=1,MATCHED!$B73,IF(MATCHED!BJ73=2,MATCHED!$C73,IF(MATCHED!BJ73=3,MATCHED!$D73,IF(MATCHED!BJ73=4,MATCHED!$E73,IF(MATCHED!BJ73=3,MATCHED!$F73,IF(MATCHED!BJ73=6,MATCHED!$G73,IF(MATCHED!BJ73=7,MATCHED!$H73,"")))))))&amp;IF(MATCHED!BJ73=8,MATCHED!$I73,IF(MATCHED!BJ73=9,MATCHED!$J73,IF(MATCHED!BJ73=10,MATCHED!$K73,IF(MATCHED!BJ73=11,MATCHED!$L73,IF(MATCHED!BJ73=12,MATCHED!$M73,IF(MATCHED!BJ73=13,MATCHED!$N73,IF(MATCHED!BJ73=14,MATCHED!$O73,"")))))))&amp;IF(MATCHED!BJ73=15,MATCHED!$P73,IF(MATCHED!BJ73=16,MATCHED!$Q73,IF(MATCHED!BJ73=17,MATCHED!$R73,IF(MATCHED!BJ73=18,MATCHED!$S73,IF(MATCHED!BJ73=19,MATCHED!$T73,IF(MATCHED!BJ73=20,MATCHED!$U73,IF(MATCHED!BJ73=21,MATCHED!$V73,)))))))&amp;IF(MATCHED!BJ73=22,MATCHED!$W73,IF(MATCHED!BJ73=23,MATCHED!$X73,IF(MATCHED!BJ73=24,MATCHED!$Y73,IF(MATCHED!BJ73=25,MATCHED!$Z73,IF(MATCHED!BJ73=26,MATCHED!$AA73,IF(MATCHED!BJ73=27,MATCHED!$AB73,"."))))))</f>
        <v>#N/A</v>
      </c>
      <c r="AI73" s="321" t="e">
        <f>IF(MATCHED!BK73=1,MATCHED!$B73,IF(MATCHED!BK73=2,MATCHED!$C73,IF(MATCHED!BK73=3,MATCHED!$D73,IF(MATCHED!BK73=4,MATCHED!$E73,IF(MATCHED!BK73=3,MATCHED!$F73,IF(MATCHED!BK73=6,MATCHED!$G73,IF(MATCHED!BK73=7,MATCHED!$H73,"")))))))&amp;IF(MATCHED!BK73=8,MATCHED!$I73,IF(MATCHED!BK73=9,MATCHED!$J73,IF(MATCHED!BK73=10,MATCHED!$K73,IF(MATCHED!BK73=11,MATCHED!$L73,IF(MATCHED!BK73=12,MATCHED!$M73,IF(MATCHED!BK73=13,MATCHED!$N73,IF(MATCHED!BK73=14,MATCHED!$O73,"")))))))&amp;IF(MATCHED!BK73=15,MATCHED!$P73,IF(MATCHED!BK73=16,MATCHED!$Q73,IF(MATCHED!BK73=17,MATCHED!$R73,IF(MATCHED!BK73=18,MATCHED!$S73,IF(MATCHED!BK73=19,MATCHED!$T73,IF(MATCHED!BK73=20,MATCHED!$U73,IF(MATCHED!BK73=21,MATCHED!$V73,)))))))&amp;IF(MATCHED!BK73=22,MATCHED!$W73,IF(MATCHED!BK73=23,MATCHED!$X73,IF(MATCHED!BK73=24,MATCHED!$Y73,IF(MATCHED!BK73=25,MATCHED!$Z73,IF(MATCHED!BK73=26,MATCHED!$AA73,IF(MATCHED!BK73=27,MATCHED!$AB73,"."))))))</f>
        <v>#N/A</v>
      </c>
      <c r="AJ73" s="319"/>
    </row>
    <row r="74" spans="1:36" s="338" customFormat="1" x14ac:dyDescent="0.25">
      <c r="A74" s="540" t="s">
        <v>185</v>
      </c>
      <c r="B74" s="385" t="e">
        <f>IF(MATCHED!AD74=1,MATCHED!$B74,IF(MATCHED!AD74=2,MATCHED!$C74,IF(MATCHED!AD74=3,MATCHED!$D74,IF(MATCHED!AD74=4,MATCHED!$E74,IF(MATCHED!AD74=3,MATCHED!$F74,IF(MATCHED!AD74=6,MATCHED!$G74,IF(MATCHED!AD74=7,MATCHED!$H74,"")))))))&amp;IF(MATCHED!AD74=8,MATCHED!$I74,IF(MATCHED!AD74=9,MATCHED!$J74,IF(MATCHED!AD74=10,MATCHED!$K74,IF(MATCHED!AD74=11,MATCHED!$L74,IF(MATCHED!AD74=12,MATCHED!$M74,IF(MATCHED!AD74=13,MATCHED!$N74,IF(MATCHED!AD74=14,MATCHED!$O74,"")))))))&amp;IF(MATCHED!AD74=15,MATCHED!$P74,IF(MATCHED!AD74=16,MATCHED!$Q74,IF(MATCHED!AD74=17,MATCHED!$R74,IF(MATCHED!AD74=18,MATCHED!$S74,IF(MATCHED!AD74=19,MATCHED!$T74,IF(MATCHED!AD74=20,MATCHED!$U74,IF(MATCHED!AD74=21,MATCHED!$V74,)))))))&amp;IF(MATCHED!AD74=22,MATCHED!$W74,IF(MATCHED!AD74=23,MATCHED!$X74,IF(MATCHED!AD74=24,MATCHED!$Y74,IF(MATCHED!AD74=25,MATCHED!$Z74,IF(MATCHED!AD74=26,MATCHED!$AA74,IF(MATCHED!AD74=27,MATCHED!$AB74,"."))))))</f>
        <v>#N/A</v>
      </c>
      <c r="C74" s="385" t="e">
        <f>IF(MATCHED!AE74=1,MATCHED!$B74,IF(MATCHED!AE74=2,MATCHED!$C74,IF(MATCHED!AE74=3,MATCHED!$D74,IF(MATCHED!AE74=4,MATCHED!$E74,IF(MATCHED!AE74=3,MATCHED!$F74,IF(MATCHED!AE74=6,MATCHED!$G74,IF(MATCHED!AE74=7,MATCHED!$H74,"")))))))&amp;IF(MATCHED!AE74=8,MATCHED!$I74,IF(MATCHED!AE74=9,MATCHED!$J74,IF(MATCHED!AE74=10,MATCHED!$K74,IF(MATCHED!AE74=11,MATCHED!$L74,IF(MATCHED!AE74=12,MATCHED!$M74,IF(MATCHED!AE74=13,MATCHED!$N74,IF(MATCHED!AE74=14,MATCHED!$O74,"")))))))&amp;IF(MATCHED!AE74=15,MATCHED!$P74,IF(MATCHED!AE74=16,MATCHED!$Q74,IF(MATCHED!AE74=17,MATCHED!$R74,IF(MATCHED!AE74=18,MATCHED!$S74,IF(MATCHED!AE74=19,MATCHED!$T74,IF(MATCHED!AE74=20,MATCHED!$U74,IF(MATCHED!AE74=21,MATCHED!$V74,)))))))&amp;IF(MATCHED!AE74=22,MATCHED!$W74,IF(MATCHED!AE74=23,MATCHED!$X74,IF(MATCHED!AE74=24,MATCHED!$Y74,IF(MATCHED!AE74=25,MATCHED!$Z74,IF(MATCHED!AE74=26,MATCHED!$AA74,IF(MATCHED!AE74=27,MATCHED!$AB74,"."))))))</f>
        <v>#N/A</v>
      </c>
      <c r="D74" s="385" t="e">
        <f>IF(MATCHED!AF74=1,MATCHED!$B74,IF(MATCHED!AF74=2,MATCHED!$C74,IF(MATCHED!AF74=3,MATCHED!$D74,IF(MATCHED!AF74=4,MATCHED!$E74,IF(MATCHED!AF74=3,MATCHED!$F74,IF(MATCHED!AF74=6,MATCHED!$G74,IF(MATCHED!AF74=7,MATCHED!$H74,"")))))))&amp;IF(MATCHED!AF74=8,MATCHED!$I74,IF(MATCHED!AF74=9,MATCHED!$J74,IF(MATCHED!AF74=10,MATCHED!$K74,IF(MATCHED!AF74=11,MATCHED!$L74,IF(MATCHED!AF74=12,MATCHED!$M74,IF(MATCHED!AF74=13,MATCHED!$N74,IF(MATCHED!AF74=14,MATCHED!$O74,"")))))))&amp;IF(MATCHED!AF74=15,MATCHED!$P74,IF(MATCHED!AF74=16,MATCHED!$Q74,IF(MATCHED!AF74=17,MATCHED!$R74,IF(MATCHED!AF74=18,MATCHED!$S74,IF(MATCHED!AF74=19,MATCHED!$T74,IF(MATCHED!AF74=20,MATCHED!$U74,IF(MATCHED!AF74=21,MATCHED!$V74,)))))))&amp;IF(MATCHED!AF74=22,MATCHED!$W74,IF(MATCHED!AF74=23,MATCHED!$X74,IF(MATCHED!AF74=24,MATCHED!$Y74,IF(MATCHED!AF74=25,MATCHED!$Z74,IF(MATCHED!AF74=26,MATCHED!$AA74,IF(MATCHED!AF74=27,MATCHED!$AB74,"."))))))</f>
        <v>#N/A</v>
      </c>
      <c r="E74" s="385" t="e">
        <f>IF(MATCHED!AG74=1,MATCHED!$B74,IF(MATCHED!AG74=2,MATCHED!$C74,IF(MATCHED!AG74=3,MATCHED!$D74,IF(MATCHED!AG74=4,MATCHED!$E74,IF(MATCHED!AG74=3,MATCHED!$F74,IF(MATCHED!AG74=6,MATCHED!$G74,IF(MATCHED!AG74=7,MATCHED!$H74,"")))))))&amp;IF(MATCHED!AG74=8,MATCHED!$I74,IF(MATCHED!AG74=9,MATCHED!$J74,IF(MATCHED!AG74=10,MATCHED!$K74,IF(MATCHED!AG74=11,MATCHED!$L74,IF(MATCHED!AG74=12,MATCHED!$M74,IF(MATCHED!AG74=13,MATCHED!$N74,IF(MATCHED!AG74=14,MATCHED!$O74,"")))))))&amp;IF(MATCHED!AG74=15,MATCHED!$P74,IF(MATCHED!AG74=16,MATCHED!$Q74,IF(MATCHED!AG74=17,MATCHED!$R74,IF(MATCHED!AG74=18,MATCHED!$S74,IF(MATCHED!AG74=19,MATCHED!$T74,IF(MATCHED!AG74=20,MATCHED!$U74,IF(MATCHED!AG74=21,MATCHED!$V74,)))))))&amp;IF(MATCHED!AG74=22,MATCHED!$W74,IF(MATCHED!AG74=23,MATCHED!$X74,IF(MATCHED!AG74=24,MATCHED!$Y74,IF(MATCHED!AG74=25,MATCHED!$Z74,IF(MATCHED!AG74=26,MATCHED!$AA74,IF(MATCHED!AG74=27,MATCHED!$AB74,"."))))))</f>
        <v>#N/A</v>
      </c>
      <c r="F74" s="385" t="e">
        <f>IF(MATCHED!AH74=1,MATCHED!$B74,IF(MATCHED!AH74=2,MATCHED!$C74,IF(MATCHED!AH74=3,MATCHED!$D74,IF(MATCHED!AH74=4,MATCHED!$E74,IF(MATCHED!AH74=3,MATCHED!$F74,IF(MATCHED!AH74=6,MATCHED!$G74,IF(MATCHED!AH74=7,MATCHED!$H74,"")))))))&amp;IF(MATCHED!AH74=8,MATCHED!$I74,IF(MATCHED!AH74=9,MATCHED!$J74,IF(MATCHED!AH74=10,MATCHED!$K74,IF(MATCHED!AH74=11,MATCHED!$L74,IF(MATCHED!AH74=12,MATCHED!$M74,IF(MATCHED!AH74=13,MATCHED!$N74,IF(MATCHED!AH74=14,MATCHED!$O74,"")))))))&amp;IF(MATCHED!AH74=15,MATCHED!$P74,IF(MATCHED!AH74=16,MATCHED!$Q74,IF(MATCHED!AH74=17,MATCHED!$R74,IF(MATCHED!AH74=18,MATCHED!$S74,IF(MATCHED!AH74=19,MATCHED!$T74,IF(MATCHED!AH74=20,MATCHED!$U74,IF(MATCHED!AH74=21,MATCHED!$V74,)))))))&amp;IF(MATCHED!AH74=22,MATCHED!$W74,IF(MATCHED!AH74=23,MATCHED!$X74,IF(MATCHED!AH74=24,MATCHED!$Y74,IF(MATCHED!AH74=25,MATCHED!$Z74,IF(MATCHED!AH74=26,MATCHED!$AA74,IF(MATCHED!AH74=27,MATCHED!$AB74,"."))))))</f>
        <v>#N/A</v>
      </c>
      <c r="G74" s="385" t="e">
        <f>IF(MATCHED!AI74=1,MATCHED!$B74,IF(MATCHED!AI74=2,MATCHED!$C74,IF(MATCHED!AI74=3,MATCHED!$D74,IF(MATCHED!AI74=4,MATCHED!$E74,IF(MATCHED!AI74=3,MATCHED!$F74,IF(MATCHED!AI74=6,MATCHED!$G74,IF(MATCHED!AI74=7,MATCHED!$H74,"")))))))&amp;IF(MATCHED!AI74=8,MATCHED!$I74,IF(MATCHED!AI74=9,MATCHED!$J74,IF(MATCHED!AI74=10,MATCHED!$K74,IF(MATCHED!AI74=11,MATCHED!$L74,IF(MATCHED!AI74=12,MATCHED!$M74,IF(MATCHED!AI74=13,MATCHED!$N74,IF(MATCHED!AI74=14,MATCHED!$O74,"")))))))&amp;IF(MATCHED!AI74=15,MATCHED!$P74,IF(MATCHED!AI74=16,MATCHED!$Q74,IF(MATCHED!AI74=17,MATCHED!$R74,IF(MATCHED!AI74=18,MATCHED!$S74,IF(MATCHED!AI74=19,MATCHED!$T74,IF(MATCHED!AI74=20,MATCHED!$U74,IF(MATCHED!AI74=21,MATCHED!$V74,)))))))&amp;IF(MATCHED!AI74=22,MATCHED!$W74,IF(MATCHED!AI74=23,MATCHED!$X74,IF(MATCHED!AI74=24,MATCHED!$Y74,IF(MATCHED!AI74=25,MATCHED!$Z74,IF(MATCHED!AI74=26,MATCHED!$AA74,IF(MATCHED!AI74=27,MATCHED!$AB74,"."))))))</f>
        <v>#N/A</v>
      </c>
      <c r="H74" s="385" t="e">
        <f>IF(MATCHED!AJ74=1,MATCHED!$B74,IF(MATCHED!AJ74=2,MATCHED!$C74,IF(MATCHED!AJ74=3,MATCHED!$D74,IF(MATCHED!AJ74=4,MATCHED!$E74,IF(MATCHED!AJ74=3,MATCHED!$F74,IF(MATCHED!AJ74=6,MATCHED!$G74,IF(MATCHED!AJ74=7,MATCHED!$H74,"")))))))&amp;IF(MATCHED!AJ74=8,MATCHED!$I74,IF(MATCHED!AJ74=9,MATCHED!$J74,IF(MATCHED!AJ74=10,MATCHED!$K74,IF(MATCHED!AJ74=11,MATCHED!$L74,IF(MATCHED!AJ74=12,MATCHED!$M74,IF(MATCHED!AJ74=13,MATCHED!$N74,IF(MATCHED!AJ74=14,MATCHED!$O74,"")))))))&amp;IF(MATCHED!AJ74=15,MATCHED!$P74,IF(MATCHED!AJ74=16,MATCHED!$Q74,IF(MATCHED!AJ74=17,MATCHED!$R74,IF(MATCHED!AJ74=18,MATCHED!$S74,IF(MATCHED!AJ74=19,MATCHED!$T74,IF(MATCHED!AJ74=20,MATCHED!$U74,IF(MATCHED!AJ74=21,MATCHED!$V74,)))))))&amp;IF(MATCHED!AJ74=22,MATCHED!$W74,IF(MATCHED!AJ74=23,MATCHED!$X74,IF(MATCHED!AJ74=24,MATCHED!$Y74,IF(MATCHED!AJ74=25,MATCHED!$Z74,IF(MATCHED!AJ74=26,MATCHED!$AA74,IF(MATCHED!AJ74=27,MATCHED!$AB74,"."))))))</f>
        <v>#N/A</v>
      </c>
      <c r="I74" s="385" t="e">
        <f>IF(MATCHED!AK74=1,MATCHED!$B74,IF(MATCHED!AK74=2,MATCHED!$C74,IF(MATCHED!AK74=3,MATCHED!$D74,IF(MATCHED!AK74=4,MATCHED!$E74,IF(MATCHED!AK74=3,MATCHED!$F74,IF(MATCHED!AK74=6,MATCHED!$G74,IF(MATCHED!AK74=7,MATCHED!$H74,"")))))))&amp;IF(MATCHED!AK74=8,MATCHED!$I74,IF(MATCHED!AK74=9,MATCHED!$J74,IF(MATCHED!AK74=10,MATCHED!$K74,IF(MATCHED!AK74=11,MATCHED!$L74,IF(MATCHED!AK74=12,MATCHED!$M74,IF(MATCHED!AK74=13,MATCHED!$N74,IF(MATCHED!AK74=14,MATCHED!$O74,"")))))))&amp;IF(MATCHED!AK74=15,MATCHED!$P74,IF(MATCHED!AK74=16,MATCHED!$Q74,IF(MATCHED!AK74=17,MATCHED!$R74,IF(MATCHED!AK74=18,MATCHED!$S74,IF(MATCHED!AK74=19,MATCHED!$T74,IF(MATCHED!AK74=20,MATCHED!$U74,IF(MATCHED!AK74=21,MATCHED!$V74,)))))))&amp;IF(MATCHED!AK74=22,MATCHED!$W74,IF(MATCHED!AK74=23,MATCHED!$X74,IF(MATCHED!AK74=24,MATCHED!$Y74,IF(MATCHED!AK74=25,MATCHED!$Z74,IF(MATCHED!AK74=26,MATCHED!$AA74,IF(MATCHED!AK74=27,MATCHED!$AB74,"."))))))</f>
        <v>#N/A</v>
      </c>
      <c r="J74" s="385" t="e">
        <f>IF(MATCHED!AL74=1,MATCHED!$B74,IF(MATCHED!AL74=2,MATCHED!$C74,IF(MATCHED!AL74=3,MATCHED!$D74,IF(MATCHED!AL74=4,MATCHED!$E74,IF(MATCHED!AL74=3,MATCHED!$F74,IF(MATCHED!AL74=6,MATCHED!$G74,IF(MATCHED!AL74=7,MATCHED!$H74,"")))))))&amp;IF(MATCHED!AL74=8,MATCHED!$I74,IF(MATCHED!AL74=9,MATCHED!$J74,IF(MATCHED!AL74=10,MATCHED!$K74,IF(MATCHED!AL74=11,MATCHED!$L74,IF(MATCHED!AL74=12,MATCHED!$M74,IF(MATCHED!AL74=13,MATCHED!$N74,IF(MATCHED!AL74=14,MATCHED!$O74,"")))))))&amp;IF(MATCHED!AL74=15,MATCHED!$P74,IF(MATCHED!AL74=16,MATCHED!$Q74,IF(MATCHED!AL74=17,MATCHED!$R74,IF(MATCHED!AL74=18,MATCHED!$S74,IF(MATCHED!AL74=19,MATCHED!$T74,IF(MATCHED!AL74=20,MATCHED!$U74,IF(MATCHED!AL74=21,MATCHED!$V74,)))))))&amp;IF(MATCHED!AL74=22,MATCHED!$W74,IF(MATCHED!AL74=23,MATCHED!$X74,IF(MATCHED!AL74=24,MATCHED!$Y74,IF(MATCHED!AL74=25,MATCHED!$Z74,IF(MATCHED!AL74=26,MATCHED!$AA74,IF(MATCHED!AL74=27,MATCHED!$AB74,"."))))))</f>
        <v>#N/A</v>
      </c>
      <c r="K74" s="385" t="e">
        <f>IF(MATCHED!AM74=1,MATCHED!$B74,IF(MATCHED!AM74=2,MATCHED!$C74,IF(MATCHED!AM74=3,MATCHED!$D74,IF(MATCHED!AM74=4,MATCHED!$E74,IF(MATCHED!AM74=3,MATCHED!$F74,IF(MATCHED!AM74=6,MATCHED!$G74,IF(MATCHED!AM74=7,MATCHED!$H74,"")))))))&amp;IF(MATCHED!AM74=8,MATCHED!$I74,IF(MATCHED!AM74=9,MATCHED!$J74,IF(MATCHED!AM74=10,MATCHED!$K74,IF(MATCHED!AM74=11,MATCHED!$L74,IF(MATCHED!AM74=12,MATCHED!$M74,IF(MATCHED!AM74=13,MATCHED!$N74,IF(MATCHED!AM74=14,MATCHED!$O74,"")))))))&amp;IF(MATCHED!AM74=15,MATCHED!$P74,IF(MATCHED!AM74=16,MATCHED!$Q74,IF(MATCHED!AM74=17,MATCHED!$R74,IF(MATCHED!AM74=18,MATCHED!$S74,IF(MATCHED!AM74=19,MATCHED!$T74,IF(MATCHED!AM74=20,MATCHED!$U74,IF(MATCHED!AM74=21,MATCHED!$V74,)))))))&amp;IF(MATCHED!AM74=22,MATCHED!$W74,IF(MATCHED!AM74=23,MATCHED!$X74,IF(MATCHED!AM74=24,MATCHED!$Y74,IF(MATCHED!AM74=25,MATCHED!$Z74,IF(MATCHED!AM74=26,MATCHED!$AA74,IF(MATCHED!AM74=27,MATCHED!$AB74,"."))))))</f>
        <v>#N/A</v>
      </c>
      <c r="L74" s="385" t="e">
        <f>IF(MATCHED!AN74=1,MATCHED!$B74,IF(MATCHED!AN74=2,MATCHED!$C74,IF(MATCHED!AN74=3,MATCHED!$D74,IF(MATCHED!AN74=4,MATCHED!$E74,IF(MATCHED!AN74=3,MATCHED!$F74,IF(MATCHED!AN74=6,MATCHED!$G74,IF(MATCHED!AN74=7,MATCHED!$H74,"")))))))&amp;IF(MATCHED!AN74=8,MATCHED!$I74,IF(MATCHED!AN74=9,MATCHED!$J74,IF(MATCHED!AN74=10,MATCHED!$K74,IF(MATCHED!AN74=11,MATCHED!$L74,IF(MATCHED!AN74=12,MATCHED!$M74,IF(MATCHED!AN74=13,MATCHED!$N74,IF(MATCHED!AN74=14,MATCHED!$O74,"")))))))&amp;IF(MATCHED!AN74=15,MATCHED!$P74,IF(MATCHED!AN74=16,MATCHED!$Q74,IF(MATCHED!AN74=17,MATCHED!$R74,IF(MATCHED!AN74=18,MATCHED!$S74,IF(MATCHED!AN74=19,MATCHED!$T74,IF(MATCHED!AN74=20,MATCHED!$U74,IF(MATCHED!AN74=21,MATCHED!$V74,)))))))&amp;IF(MATCHED!AN74=22,MATCHED!$W74,IF(MATCHED!AN74=23,MATCHED!$X74,IF(MATCHED!AN74=24,MATCHED!$Y74,IF(MATCHED!AN74=25,MATCHED!$Z74,IF(MATCHED!AN74=26,MATCHED!$AA74,IF(MATCHED!AN74=27,MATCHED!$AB74,"."))))))</f>
        <v>#N/A</v>
      </c>
      <c r="M74" s="385" t="e">
        <f>IF(MATCHED!AO74=1,MATCHED!$B74,IF(MATCHED!AO74=2,MATCHED!$C74,IF(MATCHED!AO74=3,MATCHED!$D74,IF(MATCHED!AO74=4,MATCHED!$E74,IF(MATCHED!AO74=3,MATCHED!$F74,IF(MATCHED!AO74=6,MATCHED!$G74,IF(MATCHED!AO74=7,MATCHED!$H74,"")))))))&amp;IF(MATCHED!AO74=8,MATCHED!$I74,IF(MATCHED!AO74=9,MATCHED!$J74,IF(MATCHED!AO74=10,MATCHED!$K74,IF(MATCHED!AO74=11,MATCHED!$L74,IF(MATCHED!AO74=12,MATCHED!$M74,IF(MATCHED!AO74=13,MATCHED!$N74,IF(MATCHED!AO74=14,MATCHED!$O74,"")))))))&amp;IF(MATCHED!AO74=15,MATCHED!$P74,IF(MATCHED!AO74=16,MATCHED!$Q74,IF(MATCHED!AO74=17,MATCHED!$R74,IF(MATCHED!AO74=18,MATCHED!$S74,IF(MATCHED!AO74=19,MATCHED!$T74,IF(MATCHED!AO74=20,MATCHED!$U74,IF(MATCHED!AO74=21,MATCHED!$V74,)))))))&amp;IF(MATCHED!AO74=22,MATCHED!$W74,IF(MATCHED!AO74=23,MATCHED!$X74,IF(MATCHED!AO74=24,MATCHED!$Y74,IF(MATCHED!AO74=25,MATCHED!$Z74,IF(MATCHED!AO74=26,MATCHED!$AA74,IF(MATCHED!AO74=27,MATCHED!$AB74,"."))))))</f>
        <v>#N/A</v>
      </c>
      <c r="N74" s="385" t="e">
        <f>IF(MATCHED!AP74=1,MATCHED!$B74,IF(MATCHED!AP74=2,MATCHED!$C74,IF(MATCHED!AP74=3,MATCHED!$D74,IF(MATCHED!AP74=4,MATCHED!$E74,IF(MATCHED!AP74=3,MATCHED!$F74,IF(MATCHED!AP74=6,MATCHED!$G74,IF(MATCHED!AP74=7,MATCHED!$H74,"")))))))&amp;IF(MATCHED!AP74=8,MATCHED!$I74,IF(MATCHED!AP74=9,MATCHED!$J74,IF(MATCHED!AP74=10,MATCHED!$K74,IF(MATCHED!AP74=11,MATCHED!$L74,IF(MATCHED!AP74=12,MATCHED!$M74,IF(MATCHED!AP74=13,MATCHED!$N74,IF(MATCHED!AP74=14,MATCHED!$O74,"")))))))&amp;IF(MATCHED!AP74=15,MATCHED!$P74,IF(MATCHED!AP74=16,MATCHED!$Q74,IF(MATCHED!AP74=17,MATCHED!$R74,IF(MATCHED!AP74=18,MATCHED!$S74,IF(MATCHED!AP74=19,MATCHED!$T74,IF(MATCHED!AP74=20,MATCHED!$U74,IF(MATCHED!AP74=21,MATCHED!$V74,)))))))&amp;IF(MATCHED!AP74=22,MATCHED!$W74,IF(MATCHED!AP74=23,MATCHED!$X74,IF(MATCHED!AP74=24,MATCHED!$Y74,IF(MATCHED!AP74=25,MATCHED!$Z74,IF(MATCHED!AP74=26,MATCHED!$AA74,IF(MATCHED!AP74=27,MATCHED!$AB74,"."))))))</f>
        <v>#N/A</v>
      </c>
      <c r="O74" s="385" t="e">
        <f>IF(MATCHED!AQ74=1,MATCHED!$B74,IF(MATCHED!AQ74=2,MATCHED!$C74,IF(MATCHED!AQ74=3,MATCHED!$D74,IF(MATCHED!AQ74=4,MATCHED!$E74,IF(MATCHED!AQ74=3,MATCHED!$F74,IF(MATCHED!AQ74=6,MATCHED!$G74,IF(MATCHED!AQ74=7,MATCHED!$H74,"")))))))&amp;IF(MATCHED!AQ74=8,MATCHED!$I74,IF(MATCHED!AQ74=9,MATCHED!$J74,IF(MATCHED!AQ74=10,MATCHED!$K74,IF(MATCHED!AQ74=11,MATCHED!$L74,IF(MATCHED!AQ74=12,MATCHED!$M74,IF(MATCHED!AQ74=13,MATCHED!$N74,IF(MATCHED!AQ74=14,MATCHED!$O74,"")))))))&amp;IF(MATCHED!AQ74=15,MATCHED!$P74,IF(MATCHED!AQ74=16,MATCHED!$Q74,IF(MATCHED!AQ74=17,MATCHED!$R74,IF(MATCHED!AQ74=18,MATCHED!$S74,IF(MATCHED!AQ74=19,MATCHED!$T74,IF(MATCHED!AQ74=20,MATCHED!$U74,IF(MATCHED!AQ74=21,MATCHED!$V74,)))))))&amp;IF(MATCHED!AQ74=22,MATCHED!$W74,IF(MATCHED!AQ74=23,MATCHED!$X74,IF(MATCHED!AQ74=24,MATCHED!$Y74,IF(MATCHED!AQ74=25,MATCHED!$Z74,IF(MATCHED!AQ74=26,MATCHED!$AA74,IF(MATCHED!AQ74=27,MATCHED!$AB74,"."))))))</f>
        <v>#N/A</v>
      </c>
      <c r="P74" s="385" t="e">
        <f>IF(MATCHED!AR74=1,MATCHED!$B74,IF(MATCHED!AR74=2,MATCHED!$C74,IF(MATCHED!AR74=3,MATCHED!$D74,IF(MATCHED!AR74=4,MATCHED!$E74,IF(MATCHED!AR74=3,MATCHED!$F74,IF(MATCHED!AR74=6,MATCHED!$G74,IF(MATCHED!AR74=7,MATCHED!$H74,"")))))))&amp;IF(MATCHED!AR74=8,MATCHED!$I74,IF(MATCHED!AR74=9,MATCHED!$J74,IF(MATCHED!AR74=10,MATCHED!$K74,IF(MATCHED!AR74=11,MATCHED!$L74,IF(MATCHED!AR74=12,MATCHED!$M74,IF(MATCHED!AR74=13,MATCHED!$N74,IF(MATCHED!AR74=14,MATCHED!$O74,"")))))))&amp;IF(MATCHED!AR74=15,MATCHED!$P74,IF(MATCHED!AR74=16,MATCHED!$Q74,IF(MATCHED!AR74=17,MATCHED!$R74,IF(MATCHED!AR74=18,MATCHED!$S74,IF(MATCHED!AR74=19,MATCHED!$T74,IF(MATCHED!AR74=20,MATCHED!$U74,IF(MATCHED!AR74=21,MATCHED!$V74,)))))))&amp;IF(MATCHED!AR74=22,MATCHED!$W74,IF(MATCHED!AR74=23,MATCHED!$X74,IF(MATCHED!AR74=24,MATCHED!$Y74,IF(MATCHED!AR74=25,MATCHED!$Z74,IF(MATCHED!AR74=26,MATCHED!$AA74,IF(MATCHED!AR74=27,MATCHED!$AB74,"."))))))</f>
        <v>#N/A</v>
      </c>
      <c r="Q74" s="385" t="e">
        <f>IF(MATCHED!AS74=1,MATCHED!$B74,IF(MATCHED!AS74=2,MATCHED!$C74,IF(MATCHED!AS74=3,MATCHED!$D74,IF(MATCHED!AS74=4,MATCHED!$E74,IF(MATCHED!AS74=3,MATCHED!$F74,IF(MATCHED!AS74=6,MATCHED!$G74,IF(MATCHED!AS74=7,MATCHED!$H74,"")))))))&amp;IF(MATCHED!AS74=8,MATCHED!$I74,IF(MATCHED!AS74=9,MATCHED!$J74,IF(MATCHED!AS74=10,MATCHED!$K74,IF(MATCHED!AS74=11,MATCHED!$L74,IF(MATCHED!AS74=12,MATCHED!$M74,IF(MATCHED!AS74=13,MATCHED!$N74,IF(MATCHED!AS74=14,MATCHED!$O74,"")))))))&amp;IF(MATCHED!AS74=15,MATCHED!$P74,IF(MATCHED!AS74=16,MATCHED!$Q74,IF(MATCHED!AS74=17,MATCHED!$R74,IF(MATCHED!AS74=18,MATCHED!$S74,IF(MATCHED!AS74=19,MATCHED!$T74,IF(MATCHED!AS74=20,MATCHED!$U74,IF(MATCHED!AS74=21,MATCHED!$V74,)))))))&amp;IF(MATCHED!AS74=22,MATCHED!$W74,IF(MATCHED!AS74=23,MATCHED!$X74,IF(MATCHED!AS74=24,MATCHED!$Y74,IF(MATCHED!AS74=25,MATCHED!$Z74,IF(MATCHED!AS74=26,MATCHED!$AA74,IF(MATCHED!AS74=27,MATCHED!$AB74,"."))))))</f>
        <v>#N/A</v>
      </c>
      <c r="R74" s="385" t="e">
        <f>IF(MATCHED!AT74=1,MATCHED!$B74,IF(MATCHED!AT74=2,MATCHED!$C74,IF(MATCHED!AT74=3,MATCHED!$D74,IF(MATCHED!AT74=4,MATCHED!$E74,IF(MATCHED!AT74=3,MATCHED!$F74,IF(MATCHED!AT74=6,MATCHED!$G74,IF(MATCHED!AT74=7,MATCHED!$H74,"")))))))&amp;IF(MATCHED!AT74=8,MATCHED!$I74,IF(MATCHED!AT74=9,MATCHED!$J74,IF(MATCHED!AT74=10,MATCHED!$K74,IF(MATCHED!AT74=11,MATCHED!$L74,IF(MATCHED!AT74=12,MATCHED!$M74,IF(MATCHED!AT74=13,MATCHED!$N74,IF(MATCHED!AT74=14,MATCHED!$O74,"")))))))&amp;IF(MATCHED!AT74=15,MATCHED!$P74,IF(MATCHED!AT74=16,MATCHED!$Q74,IF(MATCHED!AT74=17,MATCHED!$R74,IF(MATCHED!AT74=18,MATCHED!$S74,IF(MATCHED!AT74=19,MATCHED!$T74,IF(MATCHED!AT74=20,MATCHED!$U74,IF(MATCHED!AT74=21,MATCHED!$V74,)))))))&amp;IF(MATCHED!AT74=22,MATCHED!$W74,IF(MATCHED!AT74=23,MATCHED!$X74,IF(MATCHED!AT74=24,MATCHED!$Y74,IF(MATCHED!AT74=25,MATCHED!$Z74,IF(MATCHED!AT74=26,MATCHED!$AA74,IF(MATCHED!AT74=27,MATCHED!$AB74,"."))))))</f>
        <v>#N/A</v>
      </c>
      <c r="S74" s="385" t="e">
        <f>IF(MATCHED!AU74=1,MATCHED!$B74,IF(MATCHED!AU74=2,MATCHED!$C74,IF(MATCHED!AU74=3,MATCHED!$D74,IF(MATCHED!AU74=4,MATCHED!$E74,IF(MATCHED!AU74=3,MATCHED!$F74,IF(MATCHED!AU74=6,MATCHED!$G74,IF(MATCHED!AU74=7,MATCHED!$H74,"")))))))&amp;IF(MATCHED!AU74=8,MATCHED!$I74,IF(MATCHED!AU74=9,MATCHED!$J74,IF(MATCHED!AU74=10,MATCHED!$K74,IF(MATCHED!AU74=11,MATCHED!$L74,IF(MATCHED!AU74=12,MATCHED!$M74,IF(MATCHED!AU74=13,MATCHED!$N74,IF(MATCHED!AU74=14,MATCHED!$O74,"")))))))&amp;IF(MATCHED!AU74=15,MATCHED!$P74,IF(MATCHED!AU74=16,MATCHED!$Q74,IF(MATCHED!AU74=17,MATCHED!$R74,IF(MATCHED!AU74=18,MATCHED!$S74,IF(MATCHED!AU74=19,MATCHED!$T74,IF(MATCHED!AU74=20,MATCHED!$U74,IF(MATCHED!AU74=21,MATCHED!$V74,)))))))&amp;IF(MATCHED!AU74=22,MATCHED!$W74,IF(MATCHED!AU74=23,MATCHED!$X74,IF(MATCHED!AU74=24,MATCHED!$Y74,IF(MATCHED!AU74=25,MATCHED!$Z74,IF(MATCHED!AU74=26,MATCHED!$AA74,IF(MATCHED!AU74=27,MATCHED!$AB74,"."))))))</f>
        <v>#N/A</v>
      </c>
      <c r="T74" s="385" t="e">
        <f>IF(MATCHED!AV74=1,MATCHED!$B74,IF(MATCHED!AV74=2,MATCHED!$C74,IF(MATCHED!AV74=3,MATCHED!$D74,IF(MATCHED!AV74=4,MATCHED!$E74,IF(MATCHED!AV74=3,MATCHED!$F74,IF(MATCHED!AV74=6,MATCHED!$G74,IF(MATCHED!AV74=7,MATCHED!$H74,"")))))))&amp;IF(MATCHED!AV74=8,MATCHED!$I74,IF(MATCHED!AV74=9,MATCHED!$J74,IF(MATCHED!AV74=10,MATCHED!$K74,IF(MATCHED!AV74=11,MATCHED!$L74,IF(MATCHED!AV74=12,MATCHED!$M74,IF(MATCHED!AV74=13,MATCHED!$N74,IF(MATCHED!AV74=14,MATCHED!$O74,"")))))))&amp;IF(MATCHED!AV74=15,MATCHED!$P74,IF(MATCHED!AV74=16,MATCHED!$Q74,IF(MATCHED!AV74=17,MATCHED!$R74,IF(MATCHED!AV74=18,MATCHED!$S74,IF(MATCHED!AV74=19,MATCHED!$T74,IF(MATCHED!AV74=20,MATCHED!$U74,IF(MATCHED!AV74=21,MATCHED!$V74,)))))))&amp;IF(MATCHED!AV74=22,MATCHED!$W74,IF(MATCHED!AV74=23,MATCHED!$X74,IF(MATCHED!AV74=24,MATCHED!$Y74,IF(MATCHED!AV74=25,MATCHED!$Z74,IF(MATCHED!AV74=26,MATCHED!$AA74,IF(MATCHED!AV74=27,MATCHED!$AB74,"."))))))</f>
        <v>#N/A</v>
      </c>
      <c r="U74" s="385" t="e">
        <f>IF(MATCHED!AW74=1,MATCHED!$B74,IF(MATCHED!AW74=2,MATCHED!$C74,IF(MATCHED!AW74=3,MATCHED!$D74,IF(MATCHED!AW74=4,MATCHED!$E74,IF(MATCHED!AW74=3,MATCHED!$F74,IF(MATCHED!AW74=6,MATCHED!$G74,IF(MATCHED!AW74=7,MATCHED!$H74,"")))))))&amp;IF(MATCHED!AW74=8,MATCHED!$I74,IF(MATCHED!AW74=9,MATCHED!$J74,IF(MATCHED!AW74=10,MATCHED!$K74,IF(MATCHED!AW74=11,MATCHED!$L74,IF(MATCHED!AW74=12,MATCHED!$M74,IF(MATCHED!AW74=13,MATCHED!$N74,IF(MATCHED!AW74=14,MATCHED!$O74,"")))))))&amp;IF(MATCHED!AW74=15,MATCHED!$P74,IF(MATCHED!AW74=16,MATCHED!$Q74,IF(MATCHED!AW74=17,MATCHED!$R74,IF(MATCHED!AW74=18,MATCHED!$S74,IF(MATCHED!AW74=19,MATCHED!$T74,IF(MATCHED!AW74=20,MATCHED!$U74,IF(MATCHED!AW74=21,MATCHED!$V74,)))))))&amp;IF(MATCHED!AW74=22,MATCHED!$W74,IF(MATCHED!AW74=23,MATCHED!$X74,IF(MATCHED!AW74=24,MATCHED!$Y74,IF(MATCHED!AW74=25,MATCHED!$Z74,IF(MATCHED!AW74=26,MATCHED!$AA74,IF(MATCHED!AW74=27,MATCHED!$AB74,"."))))))</f>
        <v>#N/A</v>
      </c>
      <c r="V74" s="385" t="e">
        <f>IF(MATCHED!AX74=1,MATCHED!$B74,IF(MATCHED!AX74=2,MATCHED!$C74,IF(MATCHED!AX74=3,MATCHED!$D74,IF(MATCHED!AX74=4,MATCHED!$E74,IF(MATCHED!AX74=3,MATCHED!$F74,IF(MATCHED!AX74=6,MATCHED!$G74,IF(MATCHED!AX74=7,MATCHED!$H74,"")))))))&amp;IF(MATCHED!AX74=8,MATCHED!$I74,IF(MATCHED!AX74=9,MATCHED!$J74,IF(MATCHED!AX74=10,MATCHED!$K74,IF(MATCHED!AX74=11,MATCHED!$L74,IF(MATCHED!AX74=12,MATCHED!$M74,IF(MATCHED!AX74=13,MATCHED!$N74,IF(MATCHED!AX74=14,MATCHED!$O74,"")))))))&amp;IF(MATCHED!AX74=15,MATCHED!$P74,IF(MATCHED!AX74=16,MATCHED!$Q74,IF(MATCHED!AX74=17,MATCHED!$R74,IF(MATCHED!AX74=18,MATCHED!$S74,IF(MATCHED!AX74=19,MATCHED!$T74,IF(MATCHED!AX74=20,MATCHED!$U74,IF(MATCHED!AX74=21,MATCHED!$V74,)))))))&amp;IF(MATCHED!AX74=22,MATCHED!$W74,IF(MATCHED!AX74=23,MATCHED!$X74,IF(MATCHED!AX74=24,MATCHED!$Y74,IF(MATCHED!AX74=25,MATCHED!$Z74,IF(MATCHED!AX74=26,MATCHED!$AA74,IF(MATCHED!AX74=27,MATCHED!$AB74,"."))))))</f>
        <v>#N/A</v>
      </c>
      <c r="W74" s="385" t="e">
        <f>IF(MATCHED!AY74=1,MATCHED!$B74,IF(MATCHED!AY74=2,MATCHED!$C74,IF(MATCHED!AY74=3,MATCHED!$D74,IF(MATCHED!AY74=4,MATCHED!$E74,IF(MATCHED!AY74=3,MATCHED!$F74,IF(MATCHED!AY74=6,MATCHED!$G74,IF(MATCHED!AY74=7,MATCHED!$H74,"")))))))&amp;IF(MATCHED!AY74=8,MATCHED!$I74,IF(MATCHED!AY74=9,MATCHED!$J74,IF(MATCHED!AY74=10,MATCHED!$K74,IF(MATCHED!AY74=11,MATCHED!$L74,IF(MATCHED!AY74=12,MATCHED!$M74,IF(MATCHED!AY74=13,MATCHED!$N74,IF(MATCHED!AY74=14,MATCHED!$O74,"")))))))&amp;IF(MATCHED!AY74=15,MATCHED!$P74,IF(MATCHED!AY74=16,MATCHED!$Q74,IF(MATCHED!AY74=17,MATCHED!$R74,IF(MATCHED!AY74=18,MATCHED!$S74,IF(MATCHED!AY74=19,MATCHED!$T74,IF(MATCHED!AY74=20,MATCHED!$U74,IF(MATCHED!AY74=21,MATCHED!$V74,)))))))&amp;IF(MATCHED!AY74=22,MATCHED!$W74,IF(MATCHED!AY74=23,MATCHED!$X74,IF(MATCHED!AY74=24,MATCHED!$Y74,IF(MATCHED!AY74=25,MATCHED!$Z74,IF(MATCHED!AY74=26,MATCHED!$AA74,IF(MATCHED!AY74=27,MATCHED!$AB74,"."))))))</f>
        <v>#N/A</v>
      </c>
      <c r="X74" s="385" t="e">
        <f>IF(MATCHED!AZ74=1,MATCHED!$B74,IF(MATCHED!AZ74=2,MATCHED!$C74,IF(MATCHED!AZ74=3,MATCHED!$D74,IF(MATCHED!AZ74=4,MATCHED!$E74,IF(MATCHED!AZ74=3,MATCHED!$F74,IF(MATCHED!AZ74=6,MATCHED!$G74,IF(MATCHED!AZ74=7,MATCHED!$H74,"")))))))&amp;IF(MATCHED!AZ74=8,MATCHED!$I74,IF(MATCHED!AZ74=9,MATCHED!$J74,IF(MATCHED!AZ74=10,MATCHED!$K74,IF(MATCHED!AZ74=11,MATCHED!$L74,IF(MATCHED!AZ74=12,MATCHED!$M74,IF(MATCHED!AZ74=13,MATCHED!$N74,IF(MATCHED!AZ74=14,MATCHED!$O74,"")))))))&amp;IF(MATCHED!AZ74=15,MATCHED!$P74,IF(MATCHED!AZ74=16,MATCHED!$Q74,IF(MATCHED!AZ74=17,MATCHED!$R74,IF(MATCHED!AZ74=18,MATCHED!$S74,IF(MATCHED!AZ74=19,MATCHED!$T74,IF(MATCHED!AZ74=20,MATCHED!$U74,IF(MATCHED!AZ74=21,MATCHED!$V74,)))))))&amp;IF(MATCHED!AZ74=22,MATCHED!$W74,IF(MATCHED!AZ74=23,MATCHED!$X74,IF(MATCHED!AZ74=24,MATCHED!$Y74,IF(MATCHED!AZ74=25,MATCHED!$Z74,IF(MATCHED!AZ74=26,MATCHED!$AA74,IF(MATCHED!AZ74=27,MATCHED!$AB74,"."))))))</f>
        <v>#N/A</v>
      </c>
      <c r="Y74" s="385" t="e">
        <f>IF(MATCHED!BA74=1,MATCHED!$B74,IF(MATCHED!BA74=2,MATCHED!$C74,IF(MATCHED!BA74=3,MATCHED!$D74,IF(MATCHED!BA74=4,MATCHED!$E74,IF(MATCHED!BA74=3,MATCHED!$F74,IF(MATCHED!BA74=6,MATCHED!$G74,IF(MATCHED!BA74=7,MATCHED!$H74,"")))))))&amp;IF(MATCHED!BA74=8,MATCHED!$I74,IF(MATCHED!BA74=9,MATCHED!$J74,IF(MATCHED!BA74=10,MATCHED!$K74,IF(MATCHED!BA74=11,MATCHED!$L74,IF(MATCHED!BA74=12,MATCHED!$M74,IF(MATCHED!BA74=13,MATCHED!$N74,IF(MATCHED!BA74=14,MATCHED!$O74,"")))))))&amp;IF(MATCHED!BA74=15,MATCHED!$P74,IF(MATCHED!BA74=16,MATCHED!$Q74,IF(MATCHED!BA74=17,MATCHED!$R74,IF(MATCHED!BA74=18,MATCHED!$S74,IF(MATCHED!BA74=19,MATCHED!$T74,IF(MATCHED!BA74=20,MATCHED!$U74,IF(MATCHED!BA74=21,MATCHED!$V74,)))))))&amp;IF(MATCHED!BA74=22,MATCHED!$W74,IF(MATCHED!BA74=23,MATCHED!$X74,IF(MATCHED!BA74=24,MATCHED!$Y74,IF(MATCHED!BA74=25,MATCHED!$Z74,IF(MATCHED!BA74=26,MATCHED!$AA74,IF(MATCHED!BA74=27,MATCHED!$AB74,"."))))))</f>
        <v>#N/A</v>
      </c>
      <c r="Z74" s="385" t="e">
        <f>IF(MATCHED!BB74=1,MATCHED!$B74,IF(MATCHED!BB74=2,MATCHED!$C74,IF(MATCHED!BB74=3,MATCHED!$D74,IF(MATCHED!BB74=4,MATCHED!$E74,IF(MATCHED!BB74=3,MATCHED!$F74,IF(MATCHED!BB74=6,MATCHED!$G74,IF(MATCHED!BB74=7,MATCHED!$H74,"")))))))&amp;IF(MATCHED!BB74=8,MATCHED!$I74,IF(MATCHED!BB74=9,MATCHED!$J74,IF(MATCHED!BB74=10,MATCHED!$K74,IF(MATCHED!BB74=11,MATCHED!$L74,IF(MATCHED!BB74=12,MATCHED!$M74,IF(MATCHED!BB74=13,MATCHED!$N74,IF(MATCHED!BB74=14,MATCHED!$O74,"")))))))&amp;IF(MATCHED!BB74=15,MATCHED!$P74,IF(MATCHED!BB74=16,MATCHED!$Q74,IF(MATCHED!BB74=17,MATCHED!$R74,IF(MATCHED!BB74=18,MATCHED!$S74,IF(MATCHED!BB74=19,MATCHED!$T74,IF(MATCHED!BB74=20,MATCHED!$U74,IF(MATCHED!BB74=21,MATCHED!$V74,)))))))&amp;IF(MATCHED!BB74=22,MATCHED!$W74,IF(MATCHED!BB74=23,MATCHED!$X74,IF(MATCHED!BB74=24,MATCHED!$Y74,IF(MATCHED!BB74=25,MATCHED!$Z74,IF(MATCHED!BB74=26,MATCHED!$AA74,IF(MATCHED!BB74=27,MATCHED!$AB74,"."))))))</f>
        <v>#N/A</v>
      </c>
      <c r="AA74" s="385" t="e">
        <f>IF(MATCHED!BC74=1,MATCHED!$B74,IF(MATCHED!BC74=2,MATCHED!$C74,IF(MATCHED!BC74=3,MATCHED!$D74,IF(MATCHED!BC74=4,MATCHED!$E74,IF(MATCHED!BC74=3,MATCHED!$F74,IF(MATCHED!BC74=6,MATCHED!$G74,IF(MATCHED!BC74=7,MATCHED!$H74,"")))))))&amp;IF(MATCHED!BC74=8,MATCHED!$I74,IF(MATCHED!BC74=9,MATCHED!$J74,IF(MATCHED!BC74=10,MATCHED!$K74,IF(MATCHED!BC74=11,MATCHED!$L74,IF(MATCHED!BC74=12,MATCHED!$M74,IF(MATCHED!BC74=13,MATCHED!$N74,IF(MATCHED!BC74=14,MATCHED!$O74,"")))))))&amp;IF(MATCHED!BC74=15,MATCHED!$P74,IF(MATCHED!BC74=16,MATCHED!$Q74,IF(MATCHED!BC74=17,MATCHED!$R74,IF(MATCHED!BC74=18,MATCHED!$S74,IF(MATCHED!BC74=19,MATCHED!$T74,IF(MATCHED!BC74=20,MATCHED!$U74,IF(MATCHED!BC74=21,MATCHED!$V74,)))))))&amp;IF(MATCHED!BC74=22,MATCHED!$W74,IF(MATCHED!BC74=23,MATCHED!$X74,IF(MATCHED!BC74=24,MATCHED!$Y74,IF(MATCHED!BC74=25,MATCHED!$Z74,IF(MATCHED!BC74=26,MATCHED!$AA74,IF(MATCHED!BC74=27,MATCHED!$AB74,"."))))))</f>
        <v>#N/A</v>
      </c>
      <c r="AB74" s="385" t="e">
        <f>IF(MATCHED!BD74=1,MATCHED!$B74,IF(MATCHED!BD74=2,MATCHED!$C74,IF(MATCHED!BD74=3,MATCHED!$D74,IF(MATCHED!BD74=4,MATCHED!$E74,IF(MATCHED!BD74=3,MATCHED!$F74,IF(MATCHED!BD74=6,MATCHED!$G74,IF(MATCHED!BD74=7,MATCHED!$H74,"")))))))&amp;IF(MATCHED!BD74=8,MATCHED!$I74,IF(MATCHED!BD74=9,MATCHED!$J74,IF(MATCHED!BD74=10,MATCHED!$K74,IF(MATCHED!BD74=11,MATCHED!$L74,IF(MATCHED!BD74=12,MATCHED!$M74,IF(MATCHED!BD74=13,MATCHED!$N74,IF(MATCHED!BD74=14,MATCHED!$O74,"")))))))&amp;IF(MATCHED!BD74=15,MATCHED!$P74,IF(MATCHED!BD74=16,MATCHED!$Q74,IF(MATCHED!BD74=17,MATCHED!$R74,IF(MATCHED!BD74=18,MATCHED!$S74,IF(MATCHED!BD74=19,MATCHED!$T74,IF(MATCHED!BD74=20,MATCHED!$U74,IF(MATCHED!BD74=21,MATCHED!$V74,)))))))&amp;IF(MATCHED!BD74=22,MATCHED!$W74,IF(MATCHED!BD74=23,MATCHED!$X74,IF(MATCHED!BD74=24,MATCHED!$Y74,IF(MATCHED!BD74=25,MATCHED!$Z74,IF(MATCHED!BD74=26,MATCHED!$AA74,IF(MATCHED!BD74=27,MATCHED!$AB74,"."))))))</f>
        <v>#N/A</v>
      </c>
      <c r="AC74" s="385" t="e">
        <f>IF(MATCHED!BE74=1,MATCHED!$B74,IF(MATCHED!BE74=2,MATCHED!$C74,IF(MATCHED!BE74=3,MATCHED!$D74,IF(MATCHED!BE74=4,MATCHED!$E74,IF(MATCHED!BE74=3,MATCHED!$F74,IF(MATCHED!BE74=6,MATCHED!$G74,IF(MATCHED!BE74=7,MATCHED!$H74,"")))))))&amp;IF(MATCHED!BE74=8,MATCHED!$I74,IF(MATCHED!BE74=9,MATCHED!$J74,IF(MATCHED!BE74=10,MATCHED!$K74,IF(MATCHED!BE74=11,MATCHED!$L74,IF(MATCHED!BE74=12,MATCHED!$M74,IF(MATCHED!BE74=13,MATCHED!$N74,IF(MATCHED!BE74=14,MATCHED!$O74,"")))))))&amp;IF(MATCHED!BE74=15,MATCHED!$P74,IF(MATCHED!BE74=16,MATCHED!$Q74,IF(MATCHED!BE74=17,MATCHED!$R74,IF(MATCHED!BE74=18,MATCHED!$S74,IF(MATCHED!BE74=19,MATCHED!$T74,IF(MATCHED!BE74=20,MATCHED!$U74,IF(MATCHED!BE74=21,MATCHED!$V74,)))))))&amp;IF(MATCHED!BE74=22,MATCHED!$W74,IF(MATCHED!BE74=23,MATCHED!$X74,IF(MATCHED!BE74=24,MATCHED!$Y74,IF(MATCHED!BE74=25,MATCHED!$Z74,IF(MATCHED!BE74=26,MATCHED!$AA74,IF(MATCHED!BE74=27,MATCHED!$AB74,"."))))))</f>
        <v>#N/A</v>
      </c>
      <c r="AD74" s="385" t="e">
        <f>IF(MATCHED!BF74=1,MATCHED!$B74,IF(MATCHED!BF74=2,MATCHED!$C74,IF(MATCHED!BF74=3,MATCHED!$D74,IF(MATCHED!BF74=4,MATCHED!$E74,IF(MATCHED!BF74=3,MATCHED!$F74,IF(MATCHED!BF74=6,MATCHED!$G74,IF(MATCHED!BF74=7,MATCHED!$H74,"")))))))&amp;IF(MATCHED!BF74=8,MATCHED!$I74,IF(MATCHED!BF74=9,MATCHED!$J74,IF(MATCHED!BF74=10,MATCHED!$K74,IF(MATCHED!BF74=11,MATCHED!$L74,IF(MATCHED!BF74=12,MATCHED!$M74,IF(MATCHED!BF74=13,MATCHED!$N74,IF(MATCHED!BF74=14,MATCHED!$O74,"")))))))&amp;IF(MATCHED!BF74=15,MATCHED!$P74,IF(MATCHED!BF74=16,MATCHED!$Q74,IF(MATCHED!BF74=17,MATCHED!$R74,IF(MATCHED!BF74=18,MATCHED!$S74,IF(MATCHED!BF74=19,MATCHED!$T74,IF(MATCHED!BF74=20,MATCHED!$U74,IF(MATCHED!BF74=21,MATCHED!$V74,)))))))&amp;IF(MATCHED!BF74=22,MATCHED!$W74,IF(MATCHED!BF74=23,MATCHED!$X74,IF(MATCHED!BF74=24,MATCHED!$Y74,IF(MATCHED!BF74=25,MATCHED!$Z74,IF(MATCHED!BF74=26,MATCHED!$AA74,IF(MATCHED!BF74=27,MATCHED!$AB74,"."))))))</f>
        <v>#N/A</v>
      </c>
      <c r="AE74" s="385" t="e">
        <f>IF(MATCHED!BG74=1,MATCHED!$B74,IF(MATCHED!BG74=2,MATCHED!$C74,IF(MATCHED!BG74=3,MATCHED!$D74,IF(MATCHED!BG74=4,MATCHED!$E74,IF(MATCHED!BG74=3,MATCHED!$F74,IF(MATCHED!BG74=6,MATCHED!$G74,IF(MATCHED!BG74=7,MATCHED!$H74,"")))))))&amp;IF(MATCHED!BG74=8,MATCHED!$I74,IF(MATCHED!BG74=9,MATCHED!$J74,IF(MATCHED!BG74=10,MATCHED!$K74,IF(MATCHED!BG74=11,MATCHED!$L74,IF(MATCHED!BG74=12,MATCHED!$M74,IF(MATCHED!BG74=13,MATCHED!$N74,IF(MATCHED!BG74=14,MATCHED!$O74,"")))))))&amp;IF(MATCHED!BG74=15,MATCHED!$P74,IF(MATCHED!BG74=16,MATCHED!$Q74,IF(MATCHED!BG74=17,MATCHED!$R74,IF(MATCHED!BG74=18,MATCHED!$S74,IF(MATCHED!BG74=19,MATCHED!$T74,IF(MATCHED!BG74=20,MATCHED!$U74,IF(MATCHED!BG74=21,MATCHED!$V74,)))))))&amp;IF(MATCHED!BG74=22,MATCHED!$W74,IF(MATCHED!BG74=23,MATCHED!$X74,IF(MATCHED!BG74=24,MATCHED!$Y74,IF(MATCHED!BG74=25,MATCHED!$Z74,IF(MATCHED!BG74=26,MATCHED!$AA74,IF(MATCHED!BG74=27,MATCHED!$AB74,"."))))))</f>
        <v>#N/A</v>
      </c>
      <c r="AF74" s="385" t="e">
        <f>IF(MATCHED!BH74=1,MATCHED!$B74,IF(MATCHED!BH74=2,MATCHED!$C74,IF(MATCHED!BH74=3,MATCHED!$D74,IF(MATCHED!BH74=4,MATCHED!$E74,IF(MATCHED!BH74=3,MATCHED!$F74,IF(MATCHED!BH74=6,MATCHED!$G74,IF(MATCHED!BH74=7,MATCHED!$H74,"")))))))&amp;IF(MATCHED!BH74=8,MATCHED!$I74,IF(MATCHED!BH74=9,MATCHED!$J74,IF(MATCHED!BH74=10,MATCHED!$K74,IF(MATCHED!BH74=11,MATCHED!$L74,IF(MATCHED!BH74=12,MATCHED!$M74,IF(MATCHED!BH74=13,MATCHED!$N74,IF(MATCHED!BH74=14,MATCHED!$O74,"")))))))&amp;IF(MATCHED!BH74=15,MATCHED!$P74,IF(MATCHED!BH74=16,MATCHED!$Q74,IF(MATCHED!BH74=17,MATCHED!$R74,IF(MATCHED!BH74=18,MATCHED!$S74,IF(MATCHED!BH74=19,MATCHED!$T74,IF(MATCHED!BH74=20,MATCHED!$U74,IF(MATCHED!BH74=21,MATCHED!$V74,)))))))&amp;IF(MATCHED!BH74=22,MATCHED!$W74,IF(MATCHED!BH74=23,MATCHED!$X74,IF(MATCHED!BH74=24,MATCHED!$Y74,IF(MATCHED!BH74=25,MATCHED!$Z74,IF(MATCHED!BH74=26,MATCHED!$AA74,IF(MATCHED!BH74=27,MATCHED!$AB74,"."))))))</f>
        <v>#N/A</v>
      </c>
      <c r="AG74" s="385" t="e">
        <f>IF(MATCHED!BI74=1,MATCHED!$B74,IF(MATCHED!BI74=2,MATCHED!$C74,IF(MATCHED!BI74=3,MATCHED!$D74,IF(MATCHED!BI74=4,MATCHED!$E74,IF(MATCHED!BI74=3,MATCHED!$F74,IF(MATCHED!BI74=6,MATCHED!$G74,IF(MATCHED!BI74=7,MATCHED!$H74,"")))))))&amp;IF(MATCHED!BI74=8,MATCHED!$I74,IF(MATCHED!BI74=9,MATCHED!$J74,IF(MATCHED!BI74=10,MATCHED!$K74,IF(MATCHED!BI74=11,MATCHED!$L74,IF(MATCHED!BI74=12,MATCHED!$M74,IF(MATCHED!BI74=13,MATCHED!$N74,IF(MATCHED!BI74=14,MATCHED!$O74,"")))))))&amp;IF(MATCHED!BI74=15,MATCHED!$P74,IF(MATCHED!BI74=16,MATCHED!$Q74,IF(MATCHED!BI74=17,MATCHED!$R74,IF(MATCHED!BI74=18,MATCHED!$S74,IF(MATCHED!BI74=19,MATCHED!$T74,IF(MATCHED!BI74=20,MATCHED!$U74,IF(MATCHED!BI74=21,MATCHED!$V74,)))))))&amp;IF(MATCHED!BI74=22,MATCHED!$W74,IF(MATCHED!BI74=23,MATCHED!$X74,IF(MATCHED!BI74=24,MATCHED!$Y74,IF(MATCHED!BI74=25,MATCHED!$Z74,IF(MATCHED!BI74=26,MATCHED!$AA74,IF(MATCHED!BI74=27,MATCHED!$AB74,"."))))))</f>
        <v>#N/A</v>
      </c>
      <c r="AH74" s="385" t="e">
        <f>IF(MATCHED!BJ74=1,MATCHED!$B74,IF(MATCHED!BJ74=2,MATCHED!$C74,IF(MATCHED!BJ74=3,MATCHED!$D74,IF(MATCHED!BJ74=4,MATCHED!$E74,IF(MATCHED!BJ74=3,MATCHED!$F74,IF(MATCHED!BJ74=6,MATCHED!$G74,IF(MATCHED!BJ74=7,MATCHED!$H74,"")))))))&amp;IF(MATCHED!BJ74=8,MATCHED!$I74,IF(MATCHED!BJ74=9,MATCHED!$J74,IF(MATCHED!BJ74=10,MATCHED!$K74,IF(MATCHED!BJ74=11,MATCHED!$L74,IF(MATCHED!BJ74=12,MATCHED!$M74,IF(MATCHED!BJ74=13,MATCHED!$N74,IF(MATCHED!BJ74=14,MATCHED!$O74,"")))))))&amp;IF(MATCHED!BJ74=15,MATCHED!$P74,IF(MATCHED!BJ74=16,MATCHED!$Q74,IF(MATCHED!BJ74=17,MATCHED!$R74,IF(MATCHED!BJ74=18,MATCHED!$S74,IF(MATCHED!BJ74=19,MATCHED!$T74,IF(MATCHED!BJ74=20,MATCHED!$U74,IF(MATCHED!BJ74=21,MATCHED!$V74,)))))))&amp;IF(MATCHED!BJ74=22,MATCHED!$W74,IF(MATCHED!BJ74=23,MATCHED!$X74,IF(MATCHED!BJ74=24,MATCHED!$Y74,IF(MATCHED!BJ74=25,MATCHED!$Z74,IF(MATCHED!BJ74=26,MATCHED!$AA74,IF(MATCHED!BJ74=27,MATCHED!$AB74,"."))))))</f>
        <v>#N/A</v>
      </c>
      <c r="AI74" s="385" t="e">
        <f>IF(MATCHED!BK74=1,MATCHED!$B74,IF(MATCHED!BK74=2,MATCHED!$C74,IF(MATCHED!BK74=3,MATCHED!$D74,IF(MATCHED!BK74=4,MATCHED!$E74,IF(MATCHED!BK74=3,MATCHED!$F74,IF(MATCHED!BK74=6,MATCHED!$G74,IF(MATCHED!BK74=7,MATCHED!$H74,"")))))))&amp;IF(MATCHED!BK74=8,MATCHED!$I74,IF(MATCHED!BK74=9,MATCHED!$J74,IF(MATCHED!BK74=10,MATCHED!$K74,IF(MATCHED!BK74=11,MATCHED!$L74,IF(MATCHED!BK74=12,MATCHED!$M74,IF(MATCHED!BK74=13,MATCHED!$N74,IF(MATCHED!BK74=14,MATCHED!$O74,"")))))))&amp;IF(MATCHED!BK74=15,MATCHED!$P74,IF(MATCHED!BK74=16,MATCHED!$Q74,IF(MATCHED!BK74=17,MATCHED!$R74,IF(MATCHED!BK74=18,MATCHED!$S74,IF(MATCHED!BK74=19,MATCHED!$T74,IF(MATCHED!BK74=20,MATCHED!$U74,IF(MATCHED!BK74=21,MATCHED!$V74,)))))))&amp;IF(MATCHED!BK74=22,MATCHED!$W74,IF(MATCHED!BK74=23,MATCHED!$X74,IF(MATCHED!BK74=24,MATCHED!$Y74,IF(MATCHED!BK74=25,MATCHED!$Z74,IF(MATCHED!BK74=26,MATCHED!$AA74,IF(MATCHED!BK74=27,MATCHED!$AB74,"."))))))</f>
        <v>#N/A</v>
      </c>
      <c r="AJ74" s="540" t="s">
        <v>185</v>
      </c>
    </row>
    <row r="75" spans="1:36" s="338" customFormat="1" x14ac:dyDescent="0.25">
      <c r="A75" s="542"/>
      <c r="B75" s="386" t="e">
        <f>IF(MATCHED!AD75=1,MATCHED!$B75,IF(MATCHED!AD75=2,MATCHED!$C75,IF(MATCHED!AD75=3,MATCHED!$D75,IF(MATCHED!AD75=4,MATCHED!$E75,IF(MATCHED!AD75=3,MATCHED!$F75,IF(MATCHED!AD75=6,MATCHED!$G75,IF(MATCHED!AD75=7,MATCHED!$H75,"")))))))&amp;IF(MATCHED!AD75=8,MATCHED!$I75,IF(MATCHED!AD75=9,MATCHED!$J75,IF(MATCHED!AD75=10,MATCHED!$K75,IF(MATCHED!AD75=11,MATCHED!$L75,IF(MATCHED!AD75=12,MATCHED!$M75,IF(MATCHED!AD75=13,MATCHED!$N75,IF(MATCHED!AD75=14,MATCHED!$O75,"")))))))&amp;IF(MATCHED!AD75=15,MATCHED!$P75,IF(MATCHED!AD75=16,MATCHED!$Q75,IF(MATCHED!AD75=17,MATCHED!$R75,IF(MATCHED!AD75=18,MATCHED!$S75,IF(MATCHED!AD75=19,MATCHED!$T75,IF(MATCHED!AD75=20,MATCHED!$U75,IF(MATCHED!AD75=21,MATCHED!$V75,)))))))&amp;IF(MATCHED!AD75=22,MATCHED!$W75,IF(MATCHED!AD75=23,MATCHED!$X75,IF(MATCHED!AD75=24,MATCHED!$Y75,IF(MATCHED!AD75=25,MATCHED!$Z75,IF(MATCHED!AD75=26,MATCHED!$AA75,IF(MATCHED!AD75=27,MATCHED!$AB75,"."))))))</f>
        <v>#N/A</v>
      </c>
      <c r="C75" s="386" t="e">
        <f>IF(MATCHED!AE75=1,MATCHED!$B75,IF(MATCHED!AE75=2,MATCHED!$C75,IF(MATCHED!AE75=3,MATCHED!$D75,IF(MATCHED!AE75=4,MATCHED!$E75,IF(MATCHED!AE75=3,MATCHED!$F75,IF(MATCHED!AE75=6,MATCHED!$G75,IF(MATCHED!AE75=7,MATCHED!$H75,"")))))))&amp;IF(MATCHED!AE75=8,MATCHED!$I75,IF(MATCHED!AE75=9,MATCHED!$J75,IF(MATCHED!AE75=10,MATCHED!$K75,IF(MATCHED!AE75=11,MATCHED!$L75,IF(MATCHED!AE75=12,MATCHED!$M75,IF(MATCHED!AE75=13,MATCHED!$N75,IF(MATCHED!AE75=14,MATCHED!$O75,"")))))))&amp;IF(MATCHED!AE75=15,MATCHED!$P75,IF(MATCHED!AE75=16,MATCHED!$Q75,IF(MATCHED!AE75=17,MATCHED!$R75,IF(MATCHED!AE75=18,MATCHED!$S75,IF(MATCHED!AE75=19,MATCHED!$T75,IF(MATCHED!AE75=20,MATCHED!$U75,IF(MATCHED!AE75=21,MATCHED!$V75,)))))))&amp;IF(MATCHED!AE75=22,MATCHED!$W75,IF(MATCHED!AE75=23,MATCHED!$X75,IF(MATCHED!AE75=24,MATCHED!$Y75,IF(MATCHED!AE75=25,MATCHED!$Z75,IF(MATCHED!AE75=26,MATCHED!$AA75,IF(MATCHED!AE75=27,MATCHED!$AB75,"."))))))</f>
        <v>#N/A</v>
      </c>
      <c r="D75" s="386" t="e">
        <f>IF(MATCHED!AF75=1,MATCHED!$B75,IF(MATCHED!AF75=2,MATCHED!$C75,IF(MATCHED!AF75=3,MATCHED!$D75,IF(MATCHED!AF75=4,MATCHED!$E75,IF(MATCHED!AF75=3,MATCHED!$F75,IF(MATCHED!AF75=6,MATCHED!$G75,IF(MATCHED!AF75=7,MATCHED!$H75,"")))))))&amp;IF(MATCHED!AF75=8,MATCHED!$I75,IF(MATCHED!AF75=9,MATCHED!$J75,IF(MATCHED!AF75=10,MATCHED!$K75,IF(MATCHED!AF75=11,MATCHED!$L75,IF(MATCHED!AF75=12,MATCHED!$M75,IF(MATCHED!AF75=13,MATCHED!$N75,IF(MATCHED!AF75=14,MATCHED!$O75,"")))))))&amp;IF(MATCHED!AF75=15,MATCHED!$P75,IF(MATCHED!AF75=16,MATCHED!$Q75,IF(MATCHED!AF75=17,MATCHED!$R75,IF(MATCHED!AF75=18,MATCHED!$S75,IF(MATCHED!AF75=19,MATCHED!$T75,IF(MATCHED!AF75=20,MATCHED!$U75,IF(MATCHED!AF75=21,MATCHED!$V75,)))))))&amp;IF(MATCHED!AF75=22,MATCHED!$W75,IF(MATCHED!AF75=23,MATCHED!$X75,IF(MATCHED!AF75=24,MATCHED!$Y75,IF(MATCHED!AF75=25,MATCHED!$Z75,IF(MATCHED!AF75=26,MATCHED!$AA75,IF(MATCHED!AF75=27,MATCHED!$AB75,"."))))))</f>
        <v>#N/A</v>
      </c>
      <c r="E75" s="386" t="e">
        <f>IF(MATCHED!AG75=1,MATCHED!$B75,IF(MATCHED!AG75=2,MATCHED!$C75,IF(MATCHED!AG75=3,MATCHED!$D75,IF(MATCHED!AG75=4,MATCHED!$E75,IF(MATCHED!AG75=3,MATCHED!$F75,IF(MATCHED!AG75=6,MATCHED!$G75,IF(MATCHED!AG75=7,MATCHED!$H75,"")))))))&amp;IF(MATCHED!AG75=8,MATCHED!$I75,IF(MATCHED!AG75=9,MATCHED!$J75,IF(MATCHED!AG75=10,MATCHED!$K75,IF(MATCHED!AG75=11,MATCHED!$L75,IF(MATCHED!AG75=12,MATCHED!$M75,IF(MATCHED!AG75=13,MATCHED!$N75,IF(MATCHED!AG75=14,MATCHED!$O75,"")))))))&amp;IF(MATCHED!AG75=15,MATCHED!$P75,IF(MATCHED!AG75=16,MATCHED!$Q75,IF(MATCHED!AG75=17,MATCHED!$R75,IF(MATCHED!AG75=18,MATCHED!$S75,IF(MATCHED!AG75=19,MATCHED!$T75,IF(MATCHED!AG75=20,MATCHED!$U75,IF(MATCHED!AG75=21,MATCHED!$V75,)))))))&amp;IF(MATCHED!AG75=22,MATCHED!$W75,IF(MATCHED!AG75=23,MATCHED!$X75,IF(MATCHED!AG75=24,MATCHED!$Y75,IF(MATCHED!AG75=25,MATCHED!$Z75,IF(MATCHED!AG75=26,MATCHED!$AA75,IF(MATCHED!AG75=27,MATCHED!$AB75,"."))))))</f>
        <v>#N/A</v>
      </c>
      <c r="F75" s="386" t="e">
        <f>IF(MATCHED!AH75=1,MATCHED!$B75,IF(MATCHED!AH75=2,MATCHED!$C75,IF(MATCHED!AH75=3,MATCHED!$D75,IF(MATCHED!AH75=4,MATCHED!$E75,IF(MATCHED!AH75=3,MATCHED!$F75,IF(MATCHED!AH75=6,MATCHED!$G75,IF(MATCHED!AH75=7,MATCHED!$H75,"")))))))&amp;IF(MATCHED!AH75=8,MATCHED!$I75,IF(MATCHED!AH75=9,MATCHED!$J75,IF(MATCHED!AH75=10,MATCHED!$K75,IF(MATCHED!AH75=11,MATCHED!$L75,IF(MATCHED!AH75=12,MATCHED!$M75,IF(MATCHED!AH75=13,MATCHED!$N75,IF(MATCHED!AH75=14,MATCHED!$O75,"")))))))&amp;IF(MATCHED!AH75=15,MATCHED!$P75,IF(MATCHED!AH75=16,MATCHED!$Q75,IF(MATCHED!AH75=17,MATCHED!$R75,IF(MATCHED!AH75=18,MATCHED!$S75,IF(MATCHED!AH75=19,MATCHED!$T75,IF(MATCHED!AH75=20,MATCHED!$U75,IF(MATCHED!AH75=21,MATCHED!$V75,)))))))&amp;IF(MATCHED!AH75=22,MATCHED!$W75,IF(MATCHED!AH75=23,MATCHED!$X75,IF(MATCHED!AH75=24,MATCHED!$Y75,IF(MATCHED!AH75=25,MATCHED!$Z75,IF(MATCHED!AH75=26,MATCHED!$AA75,IF(MATCHED!AH75=27,MATCHED!$AB75,"."))))))</f>
        <v>#N/A</v>
      </c>
      <c r="G75" s="386" t="e">
        <f>IF(MATCHED!AI75=1,MATCHED!$B75,IF(MATCHED!AI75=2,MATCHED!$C75,IF(MATCHED!AI75=3,MATCHED!$D75,IF(MATCHED!AI75=4,MATCHED!$E75,IF(MATCHED!AI75=3,MATCHED!$F75,IF(MATCHED!AI75=6,MATCHED!$G75,IF(MATCHED!AI75=7,MATCHED!$H75,"")))))))&amp;IF(MATCHED!AI75=8,MATCHED!$I75,IF(MATCHED!AI75=9,MATCHED!$J75,IF(MATCHED!AI75=10,MATCHED!$K75,IF(MATCHED!AI75=11,MATCHED!$L75,IF(MATCHED!AI75=12,MATCHED!$M75,IF(MATCHED!AI75=13,MATCHED!$N75,IF(MATCHED!AI75=14,MATCHED!$O75,"")))))))&amp;IF(MATCHED!AI75=15,MATCHED!$P75,IF(MATCHED!AI75=16,MATCHED!$Q75,IF(MATCHED!AI75=17,MATCHED!$R75,IF(MATCHED!AI75=18,MATCHED!$S75,IF(MATCHED!AI75=19,MATCHED!$T75,IF(MATCHED!AI75=20,MATCHED!$U75,IF(MATCHED!AI75=21,MATCHED!$V75,)))))))&amp;IF(MATCHED!AI75=22,MATCHED!$W75,IF(MATCHED!AI75=23,MATCHED!$X75,IF(MATCHED!AI75=24,MATCHED!$Y75,IF(MATCHED!AI75=25,MATCHED!$Z75,IF(MATCHED!AI75=26,MATCHED!$AA75,IF(MATCHED!AI75=27,MATCHED!$AB75,"."))))))</f>
        <v>#N/A</v>
      </c>
      <c r="H75" s="386" t="e">
        <f>IF(MATCHED!AJ75=1,MATCHED!$B75,IF(MATCHED!AJ75=2,MATCHED!$C75,IF(MATCHED!AJ75=3,MATCHED!$D75,IF(MATCHED!AJ75=4,MATCHED!$E75,IF(MATCHED!AJ75=3,MATCHED!$F75,IF(MATCHED!AJ75=6,MATCHED!$G75,IF(MATCHED!AJ75=7,MATCHED!$H75,"")))))))&amp;IF(MATCHED!AJ75=8,MATCHED!$I75,IF(MATCHED!AJ75=9,MATCHED!$J75,IF(MATCHED!AJ75=10,MATCHED!$K75,IF(MATCHED!AJ75=11,MATCHED!$L75,IF(MATCHED!AJ75=12,MATCHED!$M75,IF(MATCHED!AJ75=13,MATCHED!$N75,IF(MATCHED!AJ75=14,MATCHED!$O75,"")))))))&amp;IF(MATCHED!AJ75=15,MATCHED!$P75,IF(MATCHED!AJ75=16,MATCHED!$Q75,IF(MATCHED!AJ75=17,MATCHED!$R75,IF(MATCHED!AJ75=18,MATCHED!$S75,IF(MATCHED!AJ75=19,MATCHED!$T75,IF(MATCHED!AJ75=20,MATCHED!$U75,IF(MATCHED!AJ75=21,MATCHED!$V75,)))))))&amp;IF(MATCHED!AJ75=22,MATCHED!$W75,IF(MATCHED!AJ75=23,MATCHED!$X75,IF(MATCHED!AJ75=24,MATCHED!$Y75,IF(MATCHED!AJ75=25,MATCHED!$Z75,IF(MATCHED!AJ75=26,MATCHED!$AA75,IF(MATCHED!AJ75=27,MATCHED!$AB75,"."))))))</f>
        <v>#N/A</v>
      </c>
      <c r="I75" s="386" t="e">
        <f>IF(MATCHED!AK75=1,MATCHED!$B75,IF(MATCHED!AK75=2,MATCHED!$C75,IF(MATCHED!AK75=3,MATCHED!$D75,IF(MATCHED!AK75=4,MATCHED!$E75,IF(MATCHED!AK75=3,MATCHED!$F75,IF(MATCHED!AK75=6,MATCHED!$G75,IF(MATCHED!AK75=7,MATCHED!$H75,"")))))))&amp;IF(MATCHED!AK75=8,MATCHED!$I75,IF(MATCHED!AK75=9,MATCHED!$J75,IF(MATCHED!AK75=10,MATCHED!$K75,IF(MATCHED!AK75=11,MATCHED!$L75,IF(MATCHED!AK75=12,MATCHED!$M75,IF(MATCHED!AK75=13,MATCHED!$N75,IF(MATCHED!AK75=14,MATCHED!$O75,"")))))))&amp;IF(MATCHED!AK75=15,MATCHED!$P75,IF(MATCHED!AK75=16,MATCHED!$Q75,IF(MATCHED!AK75=17,MATCHED!$R75,IF(MATCHED!AK75=18,MATCHED!$S75,IF(MATCHED!AK75=19,MATCHED!$T75,IF(MATCHED!AK75=20,MATCHED!$U75,IF(MATCHED!AK75=21,MATCHED!$V75,)))))))&amp;IF(MATCHED!AK75=22,MATCHED!$W75,IF(MATCHED!AK75=23,MATCHED!$X75,IF(MATCHED!AK75=24,MATCHED!$Y75,IF(MATCHED!AK75=25,MATCHED!$Z75,IF(MATCHED!AK75=26,MATCHED!$AA75,IF(MATCHED!AK75=27,MATCHED!$AB75,"."))))))</f>
        <v>#N/A</v>
      </c>
      <c r="J75" s="386" t="e">
        <f>IF(MATCHED!AL75=1,MATCHED!$B75,IF(MATCHED!AL75=2,MATCHED!$C75,IF(MATCHED!AL75=3,MATCHED!$D75,IF(MATCHED!AL75=4,MATCHED!$E75,IF(MATCHED!AL75=3,MATCHED!$F75,IF(MATCHED!AL75=6,MATCHED!$G75,IF(MATCHED!AL75=7,MATCHED!$H75,"")))))))&amp;IF(MATCHED!AL75=8,MATCHED!$I75,IF(MATCHED!AL75=9,MATCHED!$J75,IF(MATCHED!AL75=10,MATCHED!$K75,IF(MATCHED!AL75=11,MATCHED!$L75,IF(MATCHED!AL75=12,MATCHED!$M75,IF(MATCHED!AL75=13,MATCHED!$N75,IF(MATCHED!AL75=14,MATCHED!$O75,"")))))))&amp;IF(MATCHED!AL75=15,MATCHED!$P75,IF(MATCHED!AL75=16,MATCHED!$Q75,IF(MATCHED!AL75=17,MATCHED!$R75,IF(MATCHED!AL75=18,MATCHED!$S75,IF(MATCHED!AL75=19,MATCHED!$T75,IF(MATCHED!AL75=20,MATCHED!$U75,IF(MATCHED!AL75=21,MATCHED!$V75,)))))))&amp;IF(MATCHED!AL75=22,MATCHED!$W75,IF(MATCHED!AL75=23,MATCHED!$X75,IF(MATCHED!AL75=24,MATCHED!$Y75,IF(MATCHED!AL75=25,MATCHED!$Z75,IF(MATCHED!AL75=26,MATCHED!$AA75,IF(MATCHED!AL75=27,MATCHED!$AB75,"."))))))</f>
        <v>#N/A</v>
      </c>
      <c r="K75" s="386" t="e">
        <f>IF(MATCHED!AM75=1,MATCHED!$B75,IF(MATCHED!AM75=2,MATCHED!$C75,IF(MATCHED!AM75=3,MATCHED!$D75,IF(MATCHED!AM75=4,MATCHED!$E75,IF(MATCHED!AM75=3,MATCHED!$F75,IF(MATCHED!AM75=6,MATCHED!$G75,IF(MATCHED!AM75=7,MATCHED!$H75,"")))))))&amp;IF(MATCHED!AM75=8,MATCHED!$I75,IF(MATCHED!AM75=9,MATCHED!$J75,IF(MATCHED!AM75=10,MATCHED!$K75,IF(MATCHED!AM75=11,MATCHED!$L75,IF(MATCHED!AM75=12,MATCHED!$M75,IF(MATCHED!AM75=13,MATCHED!$N75,IF(MATCHED!AM75=14,MATCHED!$O75,"")))))))&amp;IF(MATCHED!AM75=15,MATCHED!$P75,IF(MATCHED!AM75=16,MATCHED!$Q75,IF(MATCHED!AM75=17,MATCHED!$R75,IF(MATCHED!AM75=18,MATCHED!$S75,IF(MATCHED!AM75=19,MATCHED!$T75,IF(MATCHED!AM75=20,MATCHED!$U75,IF(MATCHED!AM75=21,MATCHED!$V75,)))))))&amp;IF(MATCHED!AM75=22,MATCHED!$W75,IF(MATCHED!AM75=23,MATCHED!$X75,IF(MATCHED!AM75=24,MATCHED!$Y75,IF(MATCHED!AM75=25,MATCHED!$Z75,IF(MATCHED!AM75=26,MATCHED!$AA75,IF(MATCHED!AM75=27,MATCHED!$AB75,"."))))))</f>
        <v>#N/A</v>
      </c>
      <c r="L75" s="386" t="e">
        <f>IF(MATCHED!AN75=1,MATCHED!$B75,IF(MATCHED!AN75=2,MATCHED!$C75,IF(MATCHED!AN75=3,MATCHED!$D75,IF(MATCHED!AN75=4,MATCHED!$E75,IF(MATCHED!AN75=3,MATCHED!$F75,IF(MATCHED!AN75=6,MATCHED!$G75,IF(MATCHED!AN75=7,MATCHED!$H75,"")))))))&amp;IF(MATCHED!AN75=8,MATCHED!$I75,IF(MATCHED!AN75=9,MATCHED!$J75,IF(MATCHED!AN75=10,MATCHED!$K75,IF(MATCHED!AN75=11,MATCHED!$L75,IF(MATCHED!AN75=12,MATCHED!$M75,IF(MATCHED!AN75=13,MATCHED!$N75,IF(MATCHED!AN75=14,MATCHED!$O75,"")))))))&amp;IF(MATCHED!AN75=15,MATCHED!$P75,IF(MATCHED!AN75=16,MATCHED!$Q75,IF(MATCHED!AN75=17,MATCHED!$R75,IF(MATCHED!AN75=18,MATCHED!$S75,IF(MATCHED!AN75=19,MATCHED!$T75,IF(MATCHED!AN75=20,MATCHED!$U75,IF(MATCHED!AN75=21,MATCHED!$V75,)))))))&amp;IF(MATCHED!AN75=22,MATCHED!$W75,IF(MATCHED!AN75=23,MATCHED!$X75,IF(MATCHED!AN75=24,MATCHED!$Y75,IF(MATCHED!AN75=25,MATCHED!$Z75,IF(MATCHED!AN75=26,MATCHED!$AA75,IF(MATCHED!AN75=27,MATCHED!$AB75,"."))))))</f>
        <v>#N/A</v>
      </c>
      <c r="M75" s="386" t="e">
        <f>IF(MATCHED!AO75=1,MATCHED!$B75,IF(MATCHED!AO75=2,MATCHED!$C75,IF(MATCHED!AO75=3,MATCHED!$D75,IF(MATCHED!AO75=4,MATCHED!$E75,IF(MATCHED!AO75=3,MATCHED!$F75,IF(MATCHED!AO75=6,MATCHED!$G75,IF(MATCHED!AO75=7,MATCHED!$H75,"")))))))&amp;IF(MATCHED!AO75=8,MATCHED!$I75,IF(MATCHED!AO75=9,MATCHED!$J75,IF(MATCHED!AO75=10,MATCHED!$K75,IF(MATCHED!AO75=11,MATCHED!$L75,IF(MATCHED!AO75=12,MATCHED!$M75,IF(MATCHED!AO75=13,MATCHED!$N75,IF(MATCHED!AO75=14,MATCHED!$O75,"")))))))&amp;IF(MATCHED!AO75=15,MATCHED!$P75,IF(MATCHED!AO75=16,MATCHED!$Q75,IF(MATCHED!AO75=17,MATCHED!$R75,IF(MATCHED!AO75=18,MATCHED!$S75,IF(MATCHED!AO75=19,MATCHED!$T75,IF(MATCHED!AO75=20,MATCHED!$U75,IF(MATCHED!AO75=21,MATCHED!$V75,)))))))&amp;IF(MATCHED!AO75=22,MATCHED!$W75,IF(MATCHED!AO75=23,MATCHED!$X75,IF(MATCHED!AO75=24,MATCHED!$Y75,IF(MATCHED!AO75=25,MATCHED!$Z75,IF(MATCHED!AO75=26,MATCHED!$AA75,IF(MATCHED!AO75=27,MATCHED!$AB75,"."))))))</f>
        <v>#N/A</v>
      </c>
      <c r="N75" s="386" t="e">
        <f>IF(MATCHED!AP75=1,MATCHED!$B75,IF(MATCHED!AP75=2,MATCHED!$C75,IF(MATCHED!AP75=3,MATCHED!$D75,IF(MATCHED!AP75=4,MATCHED!$E75,IF(MATCHED!AP75=3,MATCHED!$F75,IF(MATCHED!AP75=6,MATCHED!$G75,IF(MATCHED!AP75=7,MATCHED!$H75,"")))))))&amp;IF(MATCHED!AP75=8,MATCHED!$I75,IF(MATCHED!AP75=9,MATCHED!$J75,IF(MATCHED!AP75=10,MATCHED!$K75,IF(MATCHED!AP75=11,MATCHED!$L75,IF(MATCHED!AP75=12,MATCHED!$M75,IF(MATCHED!AP75=13,MATCHED!$N75,IF(MATCHED!AP75=14,MATCHED!$O75,"")))))))&amp;IF(MATCHED!AP75=15,MATCHED!$P75,IF(MATCHED!AP75=16,MATCHED!$Q75,IF(MATCHED!AP75=17,MATCHED!$R75,IF(MATCHED!AP75=18,MATCHED!$S75,IF(MATCHED!AP75=19,MATCHED!$T75,IF(MATCHED!AP75=20,MATCHED!$U75,IF(MATCHED!AP75=21,MATCHED!$V75,)))))))&amp;IF(MATCHED!AP75=22,MATCHED!$W75,IF(MATCHED!AP75=23,MATCHED!$X75,IF(MATCHED!AP75=24,MATCHED!$Y75,IF(MATCHED!AP75=25,MATCHED!$Z75,IF(MATCHED!AP75=26,MATCHED!$AA75,IF(MATCHED!AP75=27,MATCHED!$AB75,"."))))))</f>
        <v>#N/A</v>
      </c>
      <c r="O75" s="386" t="e">
        <f>IF(MATCHED!AQ75=1,MATCHED!$B75,IF(MATCHED!AQ75=2,MATCHED!$C75,IF(MATCHED!AQ75=3,MATCHED!$D75,IF(MATCHED!AQ75=4,MATCHED!$E75,IF(MATCHED!AQ75=3,MATCHED!$F75,IF(MATCHED!AQ75=6,MATCHED!$G75,IF(MATCHED!AQ75=7,MATCHED!$H75,"")))))))&amp;IF(MATCHED!AQ75=8,MATCHED!$I75,IF(MATCHED!AQ75=9,MATCHED!$J75,IF(MATCHED!AQ75=10,MATCHED!$K75,IF(MATCHED!AQ75=11,MATCHED!$L75,IF(MATCHED!AQ75=12,MATCHED!$M75,IF(MATCHED!AQ75=13,MATCHED!$N75,IF(MATCHED!AQ75=14,MATCHED!$O75,"")))))))&amp;IF(MATCHED!AQ75=15,MATCHED!$P75,IF(MATCHED!AQ75=16,MATCHED!$Q75,IF(MATCHED!AQ75=17,MATCHED!$R75,IF(MATCHED!AQ75=18,MATCHED!$S75,IF(MATCHED!AQ75=19,MATCHED!$T75,IF(MATCHED!AQ75=20,MATCHED!$U75,IF(MATCHED!AQ75=21,MATCHED!$V75,)))))))&amp;IF(MATCHED!AQ75=22,MATCHED!$W75,IF(MATCHED!AQ75=23,MATCHED!$X75,IF(MATCHED!AQ75=24,MATCHED!$Y75,IF(MATCHED!AQ75=25,MATCHED!$Z75,IF(MATCHED!AQ75=26,MATCHED!$AA75,IF(MATCHED!AQ75=27,MATCHED!$AB75,"."))))))</f>
        <v>#N/A</v>
      </c>
      <c r="P75" s="386" t="e">
        <f>IF(MATCHED!AR75=1,MATCHED!$B75,IF(MATCHED!AR75=2,MATCHED!$C75,IF(MATCHED!AR75=3,MATCHED!$D75,IF(MATCHED!AR75=4,MATCHED!$E75,IF(MATCHED!AR75=3,MATCHED!$F75,IF(MATCHED!AR75=6,MATCHED!$G75,IF(MATCHED!AR75=7,MATCHED!$H75,"")))))))&amp;IF(MATCHED!AR75=8,MATCHED!$I75,IF(MATCHED!AR75=9,MATCHED!$J75,IF(MATCHED!AR75=10,MATCHED!$K75,IF(MATCHED!AR75=11,MATCHED!$L75,IF(MATCHED!AR75=12,MATCHED!$M75,IF(MATCHED!AR75=13,MATCHED!$N75,IF(MATCHED!AR75=14,MATCHED!$O75,"")))))))&amp;IF(MATCHED!AR75=15,MATCHED!$P75,IF(MATCHED!AR75=16,MATCHED!$Q75,IF(MATCHED!AR75=17,MATCHED!$R75,IF(MATCHED!AR75=18,MATCHED!$S75,IF(MATCHED!AR75=19,MATCHED!$T75,IF(MATCHED!AR75=20,MATCHED!$U75,IF(MATCHED!AR75=21,MATCHED!$V75,)))))))&amp;IF(MATCHED!AR75=22,MATCHED!$W75,IF(MATCHED!AR75=23,MATCHED!$X75,IF(MATCHED!AR75=24,MATCHED!$Y75,IF(MATCHED!AR75=25,MATCHED!$Z75,IF(MATCHED!AR75=26,MATCHED!$AA75,IF(MATCHED!AR75=27,MATCHED!$AB75,"."))))))</f>
        <v>#N/A</v>
      </c>
      <c r="Q75" s="386" t="e">
        <f>IF(MATCHED!AS75=1,MATCHED!$B75,IF(MATCHED!AS75=2,MATCHED!$C75,IF(MATCHED!AS75=3,MATCHED!$D75,IF(MATCHED!AS75=4,MATCHED!$E75,IF(MATCHED!AS75=3,MATCHED!$F75,IF(MATCHED!AS75=6,MATCHED!$G75,IF(MATCHED!AS75=7,MATCHED!$H75,"")))))))&amp;IF(MATCHED!AS75=8,MATCHED!$I75,IF(MATCHED!AS75=9,MATCHED!$J75,IF(MATCHED!AS75=10,MATCHED!$K75,IF(MATCHED!AS75=11,MATCHED!$L75,IF(MATCHED!AS75=12,MATCHED!$M75,IF(MATCHED!AS75=13,MATCHED!$N75,IF(MATCHED!AS75=14,MATCHED!$O75,"")))))))&amp;IF(MATCHED!AS75=15,MATCHED!$P75,IF(MATCHED!AS75=16,MATCHED!$Q75,IF(MATCHED!AS75=17,MATCHED!$R75,IF(MATCHED!AS75=18,MATCHED!$S75,IF(MATCHED!AS75=19,MATCHED!$T75,IF(MATCHED!AS75=20,MATCHED!$U75,IF(MATCHED!AS75=21,MATCHED!$V75,)))))))&amp;IF(MATCHED!AS75=22,MATCHED!$W75,IF(MATCHED!AS75=23,MATCHED!$X75,IF(MATCHED!AS75=24,MATCHED!$Y75,IF(MATCHED!AS75=25,MATCHED!$Z75,IF(MATCHED!AS75=26,MATCHED!$AA75,IF(MATCHED!AS75=27,MATCHED!$AB75,"."))))))</f>
        <v>#N/A</v>
      </c>
      <c r="R75" s="386" t="e">
        <f>IF(MATCHED!AT75=1,MATCHED!$B75,IF(MATCHED!AT75=2,MATCHED!$C75,IF(MATCHED!AT75=3,MATCHED!$D75,IF(MATCHED!AT75=4,MATCHED!$E75,IF(MATCHED!AT75=3,MATCHED!$F75,IF(MATCHED!AT75=6,MATCHED!$G75,IF(MATCHED!AT75=7,MATCHED!$H75,"")))))))&amp;IF(MATCHED!AT75=8,MATCHED!$I75,IF(MATCHED!AT75=9,MATCHED!$J75,IF(MATCHED!AT75=10,MATCHED!$K75,IF(MATCHED!AT75=11,MATCHED!$L75,IF(MATCHED!AT75=12,MATCHED!$M75,IF(MATCHED!AT75=13,MATCHED!$N75,IF(MATCHED!AT75=14,MATCHED!$O75,"")))))))&amp;IF(MATCHED!AT75=15,MATCHED!$P75,IF(MATCHED!AT75=16,MATCHED!$Q75,IF(MATCHED!AT75=17,MATCHED!$R75,IF(MATCHED!AT75=18,MATCHED!$S75,IF(MATCHED!AT75=19,MATCHED!$T75,IF(MATCHED!AT75=20,MATCHED!$U75,IF(MATCHED!AT75=21,MATCHED!$V75,)))))))&amp;IF(MATCHED!AT75=22,MATCHED!$W75,IF(MATCHED!AT75=23,MATCHED!$X75,IF(MATCHED!AT75=24,MATCHED!$Y75,IF(MATCHED!AT75=25,MATCHED!$Z75,IF(MATCHED!AT75=26,MATCHED!$AA75,IF(MATCHED!AT75=27,MATCHED!$AB75,"."))))))</f>
        <v>#N/A</v>
      </c>
      <c r="S75" s="386" t="e">
        <f>IF(MATCHED!AU75=1,MATCHED!$B75,IF(MATCHED!AU75=2,MATCHED!$C75,IF(MATCHED!AU75=3,MATCHED!$D75,IF(MATCHED!AU75=4,MATCHED!$E75,IF(MATCHED!AU75=3,MATCHED!$F75,IF(MATCHED!AU75=6,MATCHED!$G75,IF(MATCHED!AU75=7,MATCHED!$H75,"")))))))&amp;IF(MATCHED!AU75=8,MATCHED!$I75,IF(MATCHED!AU75=9,MATCHED!$J75,IF(MATCHED!AU75=10,MATCHED!$K75,IF(MATCHED!AU75=11,MATCHED!$L75,IF(MATCHED!AU75=12,MATCHED!$M75,IF(MATCHED!AU75=13,MATCHED!$N75,IF(MATCHED!AU75=14,MATCHED!$O75,"")))))))&amp;IF(MATCHED!AU75=15,MATCHED!$P75,IF(MATCHED!AU75=16,MATCHED!$Q75,IF(MATCHED!AU75=17,MATCHED!$R75,IF(MATCHED!AU75=18,MATCHED!$S75,IF(MATCHED!AU75=19,MATCHED!$T75,IF(MATCHED!AU75=20,MATCHED!$U75,IF(MATCHED!AU75=21,MATCHED!$V75,)))))))&amp;IF(MATCHED!AU75=22,MATCHED!$W75,IF(MATCHED!AU75=23,MATCHED!$X75,IF(MATCHED!AU75=24,MATCHED!$Y75,IF(MATCHED!AU75=25,MATCHED!$Z75,IF(MATCHED!AU75=26,MATCHED!$AA75,IF(MATCHED!AU75=27,MATCHED!$AB75,"."))))))</f>
        <v>#N/A</v>
      </c>
      <c r="T75" s="386" t="e">
        <f>IF(MATCHED!AV75=1,MATCHED!$B75,IF(MATCHED!AV75=2,MATCHED!$C75,IF(MATCHED!AV75=3,MATCHED!$D75,IF(MATCHED!AV75=4,MATCHED!$E75,IF(MATCHED!AV75=3,MATCHED!$F75,IF(MATCHED!AV75=6,MATCHED!$G75,IF(MATCHED!AV75=7,MATCHED!$H75,"")))))))&amp;IF(MATCHED!AV75=8,MATCHED!$I75,IF(MATCHED!AV75=9,MATCHED!$J75,IF(MATCHED!AV75=10,MATCHED!$K75,IF(MATCHED!AV75=11,MATCHED!$L75,IF(MATCHED!AV75=12,MATCHED!$M75,IF(MATCHED!AV75=13,MATCHED!$N75,IF(MATCHED!AV75=14,MATCHED!$O75,"")))))))&amp;IF(MATCHED!AV75=15,MATCHED!$P75,IF(MATCHED!AV75=16,MATCHED!$Q75,IF(MATCHED!AV75=17,MATCHED!$R75,IF(MATCHED!AV75=18,MATCHED!$S75,IF(MATCHED!AV75=19,MATCHED!$T75,IF(MATCHED!AV75=20,MATCHED!$U75,IF(MATCHED!AV75=21,MATCHED!$V75,)))))))&amp;IF(MATCHED!AV75=22,MATCHED!$W75,IF(MATCHED!AV75=23,MATCHED!$X75,IF(MATCHED!AV75=24,MATCHED!$Y75,IF(MATCHED!AV75=25,MATCHED!$Z75,IF(MATCHED!AV75=26,MATCHED!$AA75,IF(MATCHED!AV75=27,MATCHED!$AB75,"."))))))</f>
        <v>#N/A</v>
      </c>
      <c r="U75" s="386" t="e">
        <f>IF(MATCHED!AW75=1,MATCHED!$B75,IF(MATCHED!AW75=2,MATCHED!$C75,IF(MATCHED!AW75=3,MATCHED!$D75,IF(MATCHED!AW75=4,MATCHED!$E75,IF(MATCHED!AW75=3,MATCHED!$F75,IF(MATCHED!AW75=6,MATCHED!$G75,IF(MATCHED!AW75=7,MATCHED!$H75,"")))))))&amp;IF(MATCHED!AW75=8,MATCHED!$I75,IF(MATCHED!AW75=9,MATCHED!$J75,IF(MATCHED!AW75=10,MATCHED!$K75,IF(MATCHED!AW75=11,MATCHED!$L75,IF(MATCHED!AW75=12,MATCHED!$M75,IF(MATCHED!AW75=13,MATCHED!$N75,IF(MATCHED!AW75=14,MATCHED!$O75,"")))))))&amp;IF(MATCHED!AW75=15,MATCHED!$P75,IF(MATCHED!AW75=16,MATCHED!$Q75,IF(MATCHED!AW75=17,MATCHED!$R75,IF(MATCHED!AW75=18,MATCHED!$S75,IF(MATCHED!AW75=19,MATCHED!$T75,IF(MATCHED!AW75=20,MATCHED!$U75,IF(MATCHED!AW75=21,MATCHED!$V75,)))))))&amp;IF(MATCHED!AW75=22,MATCHED!$W75,IF(MATCHED!AW75=23,MATCHED!$X75,IF(MATCHED!AW75=24,MATCHED!$Y75,IF(MATCHED!AW75=25,MATCHED!$Z75,IF(MATCHED!AW75=26,MATCHED!$AA75,IF(MATCHED!AW75=27,MATCHED!$AB75,"."))))))</f>
        <v>#N/A</v>
      </c>
      <c r="V75" s="386" t="e">
        <f>IF(MATCHED!AX75=1,MATCHED!$B75,IF(MATCHED!AX75=2,MATCHED!$C75,IF(MATCHED!AX75=3,MATCHED!$D75,IF(MATCHED!AX75=4,MATCHED!$E75,IF(MATCHED!AX75=3,MATCHED!$F75,IF(MATCHED!AX75=6,MATCHED!$G75,IF(MATCHED!AX75=7,MATCHED!$H75,"")))))))&amp;IF(MATCHED!AX75=8,MATCHED!$I75,IF(MATCHED!AX75=9,MATCHED!$J75,IF(MATCHED!AX75=10,MATCHED!$K75,IF(MATCHED!AX75=11,MATCHED!$L75,IF(MATCHED!AX75=12,MATCHED!$M75,IF(MATCHED!AX75=13,MATCHED!$N75,IF(MATCHED!AX75=14,MATCHED!$O75,"")))))))&amp;IF(MATCHED!AX75=15,MATCHED!$P75,IF(MATCHED!AX75=16,MATCHED!$Q75,IF(MATCHED!AX75=17,MATCHED!$R75,IF(MATCHED!AX75=18,MATCHED!$S75,IF(MATCHED!AX75=19,MATCHED!$T75,IF(MATCHED!AX75=20,MATCHED!$U75,IF(MATCHED!AX75=21,MATCHED!$V75,)))))))&amp;IF(MATCHED!AX75=22,MATCHED!$W75,IF(MATCHED!AX75=23,MATCHED!$X75,IF(MATCHED!AX75=24,MATCHED!$Y75,IF(MATCHED!AX75=25,MATCHED!$Z75,IF(MATCHED!AX75=26,MATCHED!$AA75,IF(MATCHED!AX75=27,MATCHED!$AB75,"."))))))</f>
        <v>#N/A</v>
      </c>
      <c r="W75" s="386" t="e">
        <f>IF(MATCHED!AY75=1,MATCHED!$B75,IF(MATCHED!AY75=2,MATCHED!$C75,IF(MATCHED!AY75=3,MATCHED!$D75,IF(MATCHED!AY75=4,MATCHED!$E75,IF(MATCHED!AY75=3,MATCHED!$F75,IF(MATCHED!AY75=6,MATCHED!$G75,IF(MATCHED!AY75=7,MATCHED!$H75,"")))))))&amp;IF(MATCHED!AY75=8,MATCHED!$I75,IF(MATCHED!AY75=9,MATCHED!$J75,IF(MATCHED!AY75=10,MATCHED!$K75,IF(MATCHED!AY75=11,MATCHED!$L75,IF(MATCHED!AY75=12,MATCHED!$M75,IF(MATCHED!AY75=13,MATCHED!$N75,IF(MATCHED!AY75=14,MATCHED!$O75,"")))))))&amp;IF(MATCHED!AY75=15,MATCHED!$P75,IF(MATCHED!AY75=16,MATCHED!$Q75,IF(MATCHED!AY75=17,MATCHED!$R75,IF(MATCHED!AY75=18,MATCHED!$S75,IF(MATCHED!AY75=19,MATCHED!$T75,IF(MATCHED!AY75=20,MATCHED!$U75,IF(MATCHED!AY75=21,MATCHED!$V75,)))))))&amp;IF(MATCHED!AY75=22,MATCHED!$W75,IF(MATCHED!AY75=23,MATCHED!$X75,IF(MATCHED!AY75=24,MATCHED!$Y75,IF(MATCHED!AY75=25,MATCHED!$Z75,IF(MATCHED!AY75=26,MATCHED!$AA75,IF(MATCHED!AY75=27,MATCHED!$AB75,"."))))))</f>
        <v>#N/A</v>
      </c>
      <c r="X75" s="386" t="e">
        <f>IF(MATCHED!AZ75=1,MATCHED!$B75,IF(MATCHED!AZ75=2,MATCHED!$C75,IF(MATCHED!AZ75=3,MATCHED!$D75,IF(MATCHED!AZ75=4,MATCHED!$E75,IF(MATCHED!AZ75=3,MATCHED!$F75,IF(MATCHED!AZ75=6,MATCHED!$G75,IF(MATCHED!AZ75=7,MATCHED!$H75,"")))))))&amp;IF(MATCHED!AZ75=8,MATCHED!$I75,IF(MATCHED!AZ75=9,MATCHED!$J75,IF(MATCHED!AZ75=10,MATCHED!$K75,IF(MATCHED!AZ75=11,MATCHED!$L75,IF(MATCHED!AZ75=12,MATCHED!$M75,IF(MATCHED!AZ75=13,MATCHED!$N75,IF(MATCHED!AZ75=14,MATCHED!$O75,"")))))))&amp;IF(MATCHED!AZ75=15,MATCHED!$P75,IF(MATCHED!AZ75=16,MATCHED!$Q75,IF(MATCHED!AZ75=17,MATCHED!$R75,IF(MATCHED!AZ75=18,MATCHED!$S75,IF(MATCHED!AZ75=19,MATCHED!$T75,IF(MATCHED!AZ75=20,MATCHED!$U75,IF(MATCHED!AZ75=21,MATCHED!$V75,)))))))&amp;IF(MATCHED!AZ75=22,MATCHED!$W75,IF(MATCHED!AZ75=23,MATCHED!$X75,IF(MATCHED!AZ75=24,MATCHED!$Y75,IF(MATCHED!AZ75=25,MATCHED!$Z75,IF(MATCHED!AZ75=26,MATCHED!$AA75,IF(MATCHED!AZ75=27,MATCHED!$AB75,"."))))))</f>
        <v>#N/A</v>
      </c>
      <c r="Y75" s="386" t="e">
        <f>IF(MATCHED!BA75=1,MATCHED!$B75,IF(MATCHED!BA75=2,MATCHED!$C75,IF(MATCHED!BA75=3,MATCHED!$D75,IF(MATCHED!BA75=4,MATCHED!$E75,IF(MATCHED!BA75=3,MATCHED!$F75,IF(MATCHED!BA75=6,MATCHED!$G75,IF(MATCHED!BA75=7,MATCHED!$H75,"")))))))&amp;IF(MATCHED!BA75=8,MATCHED!$I75,IF(MATCHED!BA75=9,MATCHED!$J75,IF(MATCHED!BA75=10,MATCHED!$K75,IF(MATCHED!BA75=11,MATCHED!$L75,IF(MATCHED!BA75=12,MATCHED!$M75,IF(MATCHED!BA75=13,MATCHED!$N75,IF(MATCHED!BA75=14,MATCHED!$O75,"")))))))&amp;IF(MATCHED!BA75=15,MATCHED!$P75,IF(MATCHED!BA75=16,MATCHED!$Q75,IF(MATCHED!BA75=17,MATCHED!$R75,IF(MATCHED!BA75=18,MATCHED!$S75,IF(MATCHED!BA75=19,MATCHED!$T75,IF(MATCHED!BA75=20,MATCHED!$U75,IF(MATCHED!BA75=21,MATCHED!$V75,)))))))&amp;IF(MATCHED!BA75=22,MATCHED!$W75,IF(MATCHED!BA75=23,MATCHED!$X75,IF(MATCHED!BA75=24,MATCHED!$Y75,IF(MATCHED!BA75=25,MATCHED!$Z75,IF(MATCHED!BA75=26,MATCHED!$AA75,IF(MATCHED!BA75=27,MATCHED!$AB75,"."))))))</f>
        <v>#N/A</v>
      </c>
      <c r="Z75" s="386" t="e">
        <f>IF(MATCHED!BB75=1,MATCHED!$B75,IF(MATCHED!BB75=2,MATCHED!$C75,IF(MATCHED!BB75=3,MATCHED!$D75,IF(MATCHED!BB75=4,MATCHED!$E75,IF(MATCHED!BB75=3,MATCHED!$F75,IF(MATCHED!BB75=6,MATCHED!$G75,IF(MATCHED!BB75=7,MATCHED!$H75,"")))))))&amp;IF(MATCHED!BB75=8,MATCHED!$I75,IF(MATCHED!BB75=9,MATCHED!$J75,IF(MATCHED!BB75=10,MATCHED!$K75,IF(MATCHED!BB75=11,MATCHED!$L75,IF(MATCHED!BB75=12,MATCHED!$M75,IF(MATCHED!BB75=13,MATCHED!$N75,IF(MATCHED!BB75=14,MATCHED!$O75,"")))))))&amp;IF(MATCHED!BB75=15,MATCHED!$P75,IF(MATCHED!BB75=16,MATCHED!$Q75,IF(MATCHED!BB75=17,MATCHED!$R75,IF(MATCHED!BB75=18,MATCHED!$S75,IF(MATCHED!BB75=19,MATCHED!$T75,IF(MATCHED!BB75=20,MATCHED!$U75,IF(MATCHED!BB75=21,MATCHED!$V75,)))))))&amp;IF(MATCHED!BB75=22,MATCHED!$W75,IF(MATCHED!BB75=23,MATCHED!$X75,IF(MATCHED!BB75=24,MATCHED!$Y75,IF(MATCHED!BB75=25,MATCHED!$Z75,IF(MATCHED!BB75=26,MATCHED!$AA75,IF(MATCHED!BB75=27,MATCHED!$AB75,"."))))))</f>
        <v>#N/A</v>
      </c>
      <c r="AA75" s="386" t="e">
        <f>IF(MATCHED!BC75=1,MATCHED!$B75,IF(MATCHED!BC75=2,MATCHED!$C75,IF(MATCHED!BC75=3,MATCHED!$D75,IF(MATCHED!BC75=4,MATCHED!$E75,IF(MATCHED!BC75=3,MATCHED!$F75,IF(MATCHED!BC75=6,MATCHED!$G75,IF(MATCHED!BC75=7,MATCHED!$H75,"")))))))&amp;IF(MATCHED!BC75=8,MATCHED!$I75,IF(MATCHED!BC75=9,MATCHED!$J75,IF(MATCHED!BC75=10,MATCHED!$K75,IF(MATCHED!BC75=11,MATCHED!$L75,IF(MATCHED!BC75=12,MATCHED!$M75,IF(MATCHED!BC75=13,MATCHED!$N75,IF(MATCHED!BC75=14,MATCHED!$O75,"")))))))&amp;IF(MATCHED!BC75=15,MATCHED!$P75,IF(MATCHED!BC75=16,MATCHED!$Q75,IF(MATCHED!BC75=17,MATCHED!$R75,IF(MATCHED!BC75=18,MATCHED!$S75,IF(MATCHED!BC75=19,MATCHED!$T75,IF(MATCHED!BC75=20,MATCHED!$U75,IF(MATCHED!BC75=21,MATCHED!$V75,)))))))&amp;IF(MATCHED!BC75=22,MATCHED!$W75,IF(MATCHED!BC75=23,MATCHED!$X75,IF(MATCHED!BC75=24,MATCHED!$Y75,IF(MATCHED!BC75=25,MATCHED!$Z75,IF(MATCHED!BC75=26,MATCHED!$AA75,IF(MATCHED!BC75=27,MATCHED!$AB75,"."))))))</f>
        <v>#N/A</v>
      </c>
      <c r="AB75" s="386" t="e">
        <f>IF(MATCHED!BD75=1,MATCHED!$B75,IF(MATCHED!BD75=2,MATCHED!$C75,IF(MATCHED!BD75=3,MATCHED!$D75,IF(MATCHED!BD75=4,MATCHED!$E75,IF(MATCHED!BD75=3,MATCHED!$F75,IF(MATCHED!BD75=6,MATCHED!$G75,IF(MATCHED!BD75=7,MATCHED!$H75,"")))))))&amp;IF(MATCHED!BD75=8,MATCHED!$I75,IF(MATCHED!BD75=9,MATCHED!$J75,IF(MATCHED!BD75=10,MATCHED!$K75,IF(MATCHED!BD75=11,MATCHED!$L75,IF(MATCHED!BD75=12,MATCHED!$M75,IF(MATCHED!BD75=13,MATCHED!$N75,IF(MATCHED!BD75=14,MATCHED!$O75,"")))))))&amp;IF(MATCHED!BD75=15,MATCHED!$P75,IF(MATCHED!BD75=16,MATCHED!$Q75,IF(MATCHED!BD75=17,MATCHED!$R75,IF(MATCHED!BD75=18,MATCHED!$S75,IF(MATCHED!BD75=19,MATCHED!$T75,IF(MATCHED!BD75=20,MATCHED!$U75,IF(MATCHED!BD75=21,MATCHED!$V75,)))))))&amp;IF(MATCHED!BD75=22,MATCHED!$W75,IF(MATCHED!BD75=23,MATCHED!$X75,IF(MATCHED!BD75=24,MATCHED!$Y75,IF(MATCHED!BD75=25,MATCHED!$Z75,IF(MATCHED!BD75=26,MATCHED!$AA75,IF(MATCHED!BD75=27,MATCHED!$AB75,"."))))))</f>
        <v>#N/A</v>
      </c>
      <c r="AC75" s="386" t="e">
        <f>IF(MATCHED!BE75=1,MATCHED!$B75,IF(MATCHED!BE75=2,MATCHED!$C75,IF(MATCHED!BE75=3,MATCHED!$D75,IF(MATCHED!BE75=4,MATCHED!$E75,IF(MATCHED!BE75=3,MATCHED!$F75,IF(MATCHED!BE75=6,MATCHED!$G75,IF(MATCHED!BE75=7,MATCHED!$H75,"")))))))&amp;IF(MATCHED!BE75=8,MATCHED!$I75,IF(MATCHED!BE75=9,MATCHED!$J75,IF(MATCHED!BE75=10,MATCHED!$K75,IF(MATCHED!BE75=11,MATCHED!$L75,IF(MATCHED!BE75=12,MATCHED!$M75,IF(MATCHED!BE75=13,MATCHED!$N75,IF(MATCHED!BE75=14,MATCHED!$O75,"")))))))&amp;IF(MATCHED!BE75=15,MATCHED!$P75,IF(MATCHED!BE75=16,MATCHED!$Q75,IF(MATCHED!BE75=17,MATCHED!$R75,IF(MATCHED!BE75=18,MATCHED!$S75,IF(MATCHED!BE75=19,MATCHED!$T75,IF(MATCHED!BE75=20,MATCHED!$U75,IF(MATCHED!BE75=21,MATCHED!$V75,)))))))&amp;IF(MATCHED!BE75=22,MATCHED!$W75,IF(MATCHED!BE75=23,MATCHED!$X75,IF(MATCHED!BE75=24,MATCHED!$Y75,IF(MATCHED!BE75=25,MATCHED!$Z75,IF(MATCHED!BE75=26,MATCHED!$AA75,IF(MATCHED!BE75=27,MATCHED!$AB75,"."))))))</f>
        <v>#N/A</v>
      </c>
      <c r="AD75" s="386" t="e">
        <f>IF(MATCHED!BF75=1,MATCHED!$B75,IF(MATCHED!BF75=2,MATCHED!$C75,IF(MATCHED!BF75=3,MATCHED!$D75,IF(MATCHED!BF75=4,MATCHED!$E75,IF(MATCHED!BF75=3,MATCHED!$F75,IF(MATCHED!BF75=6,MATCHED!$G75,IF(MATCHED!BF75=7,MATCHED!$H75,"")))))))&amp;IF(MATCHED!BF75=8,MATCHED!$I75,IF(MATCHED!BF75=9,MATCHED!$J75,IF(MATCHED!BF75=10,MATCHED!$K75,IF(MATCHED!BF75=11,MATCHED!$L75,IF(MATCHED!BF75=12,MATCHED!$M75,IF(MATCHED!BF75=13,MATCHED!$N75,IF(MATCHED!BF75=14,MATCHED!$O75,"")))))))&amp;IF(MATCHED!BF75=15,MATCHED!$P75,IF(MATCHED!BF75=16,MATCHED!$Q75,IF(MATCHED!BF75=17,MATCHED!$R75,IF(MATCHED!BF75=18,MATCHED!$S75,IF(MATCHED!BF75=19,MATCHED!$T75,IF(MATCHED!BF75=20,MATCHED!$U75,IF(MATCHED!BF75=21,MATCHED!$V75,)))))))&amp;IF(MATCHED!BF75=22,MATCHED!$W75,IF(MATCHED!BF75=23,MATCHED!$X75,IF(MATCHED!BF75=24,MATCHED!$Y75,IF(MATCHED!BF75=25,MATCHED!$Z75,IF(MATCHED!BF75=26,MATCHED!$AA75,IF(MATCHED!BF75=27,MATCHED!$AB75,"."))))))</f>
        <v>#N/A</v>
      </c>
      <c r="AE75" s="386" t="e">
        <f>IF(MATCHED!BG75=1,MATCHED!$B75,IF(MATCHED!BG75=2,MATCHED!$C75,IF(MATCHED!BG75=3,MATCHED!$D75,IF(MATCHED!BG75=4,MATCHED!$E75,IF(MATCHED!BG75=3,MATCHED!$F75,IF(MATCHED!BG75=6,MATCHED!$G75,IF(MATCHED!BG75=7,MATCHED!$H75,"")))))))&amp;IF(MATCHED!BG75=8,MATCHED!$I75,IF(MATCHED!BG75=9,MATCHED!$J75,IF(MATCHED!BG75=10,MATCHED!$K75,IF(MATCHED!BG75=11,MATCHED!$L75,IF(MATCHED!BG75=12,MATCHED!$M75,IF(MATCHED!BG75=13,MATCHED!$N75,IF(MATCHED!BG75=14,MATCHED!$O75,"")))))))&amp;IF(MATCHED!BG75=15,MATCHED!$P75,IF(MATCHED!BG75=16,MATCHED!$Q75,IF(MATCHED!BG75=17,MATCHED!$R75,IF(MATCHED!BG75=18,MATCHED!$S75,IF(MATCHED!BG75=19,MATCHED!$T75,IF(MATCHED!BG75=20,MATCHED!$U75,IF(MATCHED!BG75=21,MATCHED!$V75,)))))))&amp;IF(MATCHED!BG75=22,MATCHED!$W75,IF(MATCHED!BG75=23,MATCHED!$X75,IF(MATCHED!BG75=24,MATCHED!$Y75,IF(MATCHED!BG75=25,MATCHED!$Z75,IF(MATCHED!BG75=26,MATCHED!$AA75,IF(MATCHED!BG75=27,MATCHED!$AB75,"."))))))</f>
        <v>#N/A</v>
      </c>
      <c r="AF75" s="386" t="e">
        <f>IF(MATCHED!BH75=1,MATCHED!$B75,IF(MATCHED!BH75=2,MATCHED!$C75,IF(MATCHED!BH75=3,MATCHED!$D75,IF(MATCHED!BH75=4,MATCHED!$E75,IF(MATCHED!BH75=3,MATCHED!$F75,IF(MATCHED!BH75=6,MATCHED!$G75,IF(MATCHED!BH75=7,MATCHED!$H75,"")))))))&amp;IF(MATCHED!BH75=8,MATCHED!$I75,IF(MATCHED!BH75=9,MATCHED!$J75,IF(MATCHED!BH75=10,MATCHED!$K75,IF(MATCHED!BH75=11,MATCHED!$L75,IF(MATCHED!BH75=12,MATCHED!$M75,IF(MATCHED!BH75=13,MATCHED!$N75,IF(MATCHED!BH75=14,MATCHED!$O75,"")))))))&amp;IF(MATCHED!BH75=15,MATCHED!$P75,IF(MATCHED!BH75=16,MATCHED!$Q75,IF(MATCHED!BH75=17,MATCHED!$R75,IF(MATCHED!BH75=18,MATCHED!$S75,IF(MATCHED!BH75=19,MATCHED!$T75,IF(MATCHED!BH75=20,MATCHED!$U75,IF(MATCHED!BH75=21,MATCHED!$V75,)))))))&amp;IF(MATCHED!BH75=22,MATCHED!$W75,IF(MATCHED!BH75=23,MATCHED!$X75,IF(MATCHED!BH75=24,MATCHED!$Y75,IF(MATCHED!BH75=25,MATCHED!$Z75,IF(MATCHED!BH75=26,MATCHED!$AA75,IF(MATCHED!BH75=27,MATCHED!$AB75,"."))))))</f>
        <v>#N/A</v>
      </c>
      <c r="AG75" s="386" t="e">
        <f>IF(MATCHED!BI75=1,MATCHED!$B75,IF(MATCHED!BI75=2,MATCHED!$C75,IF(MATCHED!BI75=3,MATCHED!$D75,IF(MATCHED!BI75=4,MATCHED!$E75,IF(MATCHED!BI75=3,MATCHED!$F75,IF(MATCHED!BI75=6,MATCHED!$G75,IF(MATCHED!BI75=7,MATCHED!$H75,"")))))))&amp;IF(MATCHED!BI75=8,MATCHED!$I75,IF(MATCHED!BI75=9,MATCHED!$J75,IF(MATCHED!BI75=10,MATCHED!$K75,IF(MATCHED!BI75=11,MATCHED!$L75,IF(MATCHED!BI75=12,MATCHED!$M75,IF(MATCHED!BI75=13,MATCHED!$N75,IF(MATCHED!BI75=14,MATCHED!$O75,"")))))))&amp;IF(MATCHED!BI75=15,MATCHED!$P75,IF(MATCHED!BI75=16,MATCHED!$Q75,IF(MATCHED!BI75=17,MATCHED!$R75,IF(MATCHED!BI75=18,MATCHED!$S75,IF(MATCHED!BI75=19,MATCHED!$T75,IF(MATCHED!BI75=20,MATCHED!$U75,IF(MATCHED!BI75=21,MATCHED!$V75,)))))))&amp;IF(MATCHED!BI75=22,MATCHED!$W75,IF(MATCHED!BI75=23,MATCHED!$X75,IF(MATCHED!BI75=24,MATCHED!$Y75,IF(MATCHED!BI75=25,MATCHED!$Z75,IF(MATCHED!BI75=26,MATCHED!$AA75,IF(MATCHED!BI75=27,MATCHED!$AB75,"."))))))</f>
        <v>#N/A</v>
      </c>
      <c r="AH75" s="386" t="e">
        <f>IF(MATCHED!BJ75=1,MATCHED!$B75,IF(MATCHED!BJ75=2,MATCHED!$C75,IF(MATCHED!BJ75=3,MATCHED!$D75,IF(MATCHED!BJ75=4,MATCHED!$E75,IF(MATCHED!BJ75=3,MATCHED!$F75,IF(MATCHED!BJ75=6,MATCHED!$G75,IF(MATCHED!BJ75=7,MATCHED!$H75,"")))))))&amp;IF(MATCHED!BJ75=8,MATCHED!$I75,IF(MATCHED!BJ75=9,MATCHED!$J75,IF(MATCHED!BJ75=10,MATCHED!$K75,IF(MATCHED!BJ75=11,MATCHED!$L75,IF(MATCHED!BJ75=12,MATCHED!$M75,IF(MATCHED!BJ75=13,MATCHED!$N75,IF(MATCHED!BJ75=14,MATCHED!$O75,"")))))))&amp;IF(MATCHED!BJ75=15,MATCHED!$P75,IF(MATCHED!BJ75=16,MATCHED!$Q75,IF(MATCHED!BJ75=17,MATCHED!$R75,IF(MATCHED!BJ75=18,MATCHED!$S75,IF(MATCHED!BJ75=19,MATCHED!$T75,IF(MATCHED!BJ75=20,MATCHED!$U75,IF(MATCHED!BJ75=21,MATCHED!$V75,)))))))&amp;IF(MATCHED!BJ75=22,MATCHED!$W75,IF(MATCHED!BJ75=23,MATCHED!$X75,IF(MATCHED!BJ75=24,MATCHED!$Y75,IF(MATCHED!BJ75=25,MATCHED!$Z75,IF(MATCHED!BJ75=26,MATCHED!$AA75,IF(MATCHED!BJ75=27,MATCHED!$AB75,"."))))))</f>
        <v>#N/A</v>
      </c>
      <c r="AI75" s="386" t="e">
        <f>IF(MATCHED!BK75=1,MATCHED!$B75,IF(MATCHED!BK75=2,MATCHED!$C75,IF(MATCHED!BK75=3,MATCHED!$D75,IF(MATCHED!BK75=4,MATCHED!$E75,IF(MATCHED!BK75=3,MATCHED!$F75,IF(MATCHED!BK75=6,MATCHED!$G75,IF(MATCHED!BK75=7,MATCHED!$H75,"")))))))&amp;IF(MATCHED!BK75=8,MATCHED!$I75,IF(MATCHED!BK75=9,MATCHED!$J75,IF(MATCHED!BK75=10,MATCHED!$K75,IF(MATCHED!BK75=11,MATCHED!$L75,IF(MATCHED!BK75=12,MATCHED!$M75,IF(MATCHED!BK75=13,MATCHED!$N75,IF(MATCHED!BK75=14,MATCHED!$O75,"")))))))&amp;IF(MATCHED!BK75=15,MATCHED!$P75,IF(MATCHED!BK75=16,MATCHED!$Q75,IF(MATCHED!BK75=17,MATCHED!$R75,IF(MATCHED!BK75=18,MATCHED!$S75,IF(MATCHED!BK75=19,MATCHED!$T75,IF(MATCHED!BK75=20,MATCHED!$U75,IF(MATCHED!BK75=21,MATCHED!$V75,)))))))&amp;IF(MATCHED!BK75=22,MATCHED!$W75,IF(MATCHED!BK75=23,MATCHED!$X75,IF(MATCHED!BK75=24,MATCHED!$Y75,IF(MATCHED!BK75=25,MATCHED!$Z75,IF(MATCHED!BK75=26,MATCHED!$AA75,IF(MATCHED!BK75=27,MATCHED!$AB75,"."))))))</f>
        <v>#N/A</v>
      </c>
      <c r="AJ75" s="542"/>
    </row>
    <row r="76" spans="1:36" s="338" customFormat="1" x14ac:dyDescent="0.25">
      <c r="A76" s="542"/>
      <c r="B76" s="423" t="e">
        <f>IF(MATCHED!AD76=1,MATCHED!$B76,IF(MATCHED!AD76=2,MATCHED!$C76,IF(MATCHED!AD76=3,MATCHED!$D76,IF(MATCHED!AD76=4,MATCHED!$E76,IF(MATCHED!AD76=3,MATCHED!$F76,IF(MATCHED!AD76=6,MATCHED!$G76,IF(MATCHED!AD76=7,MATCHED!$H76,"")))))))&amp;IF(MATCHED!AD76=8,MATCHED!$I76,IF(MATCHED!AD76=9,MATCHED!$J76,IF(MATCHED!AD76=10,MATCHED!$K76,IF(MATCHED!AD76=11,MATCHED!$L76,IF(MATCHED!AD76=12,MATCHED!$M76,IF(MATCHED!AD76=13,MATCHED!$N76,IF(MATCHED!AD76=14,MATCHED!$O76,"")))))))&amp;IF(MATCHED!AD76=15,MATCHED!$P76,IF(MATCHED!AD76=16,MATCHED!$Q76,IF(MATCHED!AD76=17,MATCHED!$R76,IF(MATCHED!AD76=18,MATCHED!$S76,IF(MATCHED!AD76=19,MATCHED!$T76,IF(MATCHED!AD76=20,MATCHED!$U76,IF(MATCHED!AD76=21,MATCHED!$V76,)))))))&amp;IF(MATCHED!AD76=22,MATCHED!$W76,IF(MATCHED!AD76=23,MATCHED!$X76,IF(MATCHED!AD76=24,MATCHED!$Y76,IF(MATCHED!AD76=25,MATCHED!$Z76,IF(MATCHED!AD76=26,MATCHED!$AA76,IF(MATCHED!AD76=27,MATCHED!$AB76,"."))))))</f>
        <v>#N/A</v>
      </c>
      <c r="C76" s="423" t="e">
        <f>IF(MATCHED!AE76=1,MATCHED!$B76,IF(MATCHED!AE76=2,MATCHED!$C76,IF(MATCHED!AE76=3,MATCHED!$D76,IF(MATCHED!AE76=4,MATCHED!$E76,IF(MATCHED!AE76=3,MATCHED!$F76,IF(MATCHED!AE76=6,MATCHED!$G76,IF(MATCHED!AE76=7,MATCHED!$H76,"")))))))&amp;IF(MATCHED!AE76=8,MATCHED!$I76,IF(MATCHED!AE76=9,MATCHED!$J76,IF(MATCHED!AE76=10,MATCHED!$K76,IF(MATCHED!AE76=11,MATCHED!$L76,IF(MATCHED!AE76=12,MATCHED!$M76,IF(MATCHED!AE76=13,MATCHED!$N76,IF(MATCHED!AE76=14,MATCHED!$O76,"")))))))&amp;IF(MATCHED!AE76=15,MATCHED!$P76,IF(MATCHED!AE76=16,MATCHED!$Q76,IF(MATCHED!AE76=17,MATCHED!$R76,IF(MATCHED!AE76=18,MATCHED!$S76,IF(MATCHED!AE76=19,MATCHED!$T76,IF(MATCHED!AE76=20,MATCHED!$U76,IF(MATCHED!AE76=21,MATCHED!$V76,)))))))&amp;IF(MATCHED!AE76=22,MATCHED!$W76,IF(MATCHED!AE76=23,MATCHED!$X76,IF(MATCHED!AE76=24,MATCHED!$Y76,IF(MATCHED!AE76=25,MATCHED!$Z76,IF(MATCHED!AE76=26,MATCHED!$AA76,IF(MATCHED!AE76=27,MATCHED!$AB76,"."))))))</f>
        <v>#N/A</v>
      </c>
      <c r="D76" s="423" t="e">
        <f>IF(MATCHED!AF76=1,MATCHED!$B76,IF(MATCHED!AF76=2,MATCHED!$C76,IF(MATCHED!AF76=3,MATCHED!$D76,IF(MATCHED!AF76=4,MATCHED!$E76,IF(MATCHED!AF76=3,MATCHED!$F76,IF(MATCHED!AF76=6,MATCHED!$G76,IF(MATCHED!AF76=7,MATCHED!$H76,"")))))))&amp;IF(MATCHED!AF76=8,MATCHED!$I76,IF(MATCHED!AF76=9,MATCHED!$J76,IF(MATCHED!AF76=10,MATCHED!$K76,IF(MATCHED!AF76=11,MATCHED!$L76,IF(MATCHED!AF76=12,MATCHED!$M76,IF(MATCHED!AF76=13,MATCHED!$N76,IF(MATCHED!AF76=14,MATCHED!$O76,"")))))))&amp;IF(MATCHED!AF76=15,MATCHED!$P76,IF(MATCHED!AF76=16,MATCHED!$Q76,IF(MATCHED!AF76=17,MATCHED!$R76,IF(MATCHED!AF76=18,MATCHED!$S76,IF(MATCHED!AF76=19,MATCHED!$T76,IF(MATCHED!AF76=20,MATCHED!$U76,IF(MATCHED!AF76=21,MATCHED!$V76,)))))))&amp;IF(MATCHED!AF76=22,MATCHED!$W76,IF(MATCHED!AF76=23,MATCHED!$X76,IF(MATCHED!AF76=24,MATCHED!$Y76,IF(MATCHED!AF76=25,MATCHED!$Z76,IF(MATCHED!AF76=26,MATCHED!$AA76,IF(MATCHED!AF76=27,MATCHED!$AB76,"."))))))</f>
        <v>#N/A</v>
      </c>
      <c r="E76" s="423" t="e">
        <f>IF(MATCHED!AG76=1,MATCHED!$B76,IF(MATCHED!AG76=2,MATCHED!$C76,IF(MATCHED!AG76=3,MATCHED!$D76,IF(MATCHED!AG76=4,MATCHED!$E76,IF(MATCHED!AG76=3,MATCHED!$F76,IF(MATCHED!AG76=6,MATCHED!$G76,IF(MATCHED!AG76=7,MATCHED!$H76,"")))))))&amp;IF(MATCHED!AG76=8,MATCHED!$I76,IF(MATCHED!AG76=9,MATCHED!$J76,IF(MATCHED!AG76=10,MATCHED!$K76,IF(MATCHED!AG76=11,MATCHED!$L76,IF(MATCHED!AG76=12,MATCHED!$M76,IF(MATCHED!AG76=13,MATCHED!$N76,IF(MATCHED!AG76=14,MATCHED!$O76,"")))))))&amp;IF(MATCHED!AG76=15,MATCHED!$P76,IF(MATCHED!AG76=16,MATCHED!$Q76,IF(MATCHED!AG76=17,MATCHED!$R76,IF(MATCHED!AG76=18,MATCHED!$S76,IF(MATCHED!AG76=19,MATCHED!$T76,IF(MATCHED!AG76=20,MATCHED!$U76,IF(MATCHED!AG76=21,MATCHED!$V76,)))))))&amp;IF(MATCHED!AG76=22,MATCHED!$W76,IF(MATCHED!AG76=23,MATCHED!$X76,IF(MATCHED!AG76=24,MATCHED!$Y76,IF(MATCHED!AG76=25,MATCHED!$Z76,IF(MATCHED!AG76=26,MATCHED!$AA76,IF(MATCHED!AG76=27,MATCHED!$AB76,"."))))))</f>
        <v>#N/A</v>
      </c>
      <c r="F76" s="423" t="e">
        <f>IF(MATCHED!AH76=1,MATCHED!$B76,IF(MATCHED!AH76=2,MATCHED!$C76,IF(MATCHED!AH76=3,MATCHED!$D76,IF(MATCHED!AH76=4,MATCHED!$E76,IF(MATCHED!AH76=3,MATCHED!$F76,IF(MATCHED!AH76=6,MATCHED!$G76,IF(MATCHED!AH76=7,MATCHED!$H76,"")))))))&amp;IF(MATCHED!AH76=8,MATCHED!$I76,IF(MATCHED!AH76=9,MATCHED!$J76,IF(MATCHED!AH76=10,MATCHED!$K76,IF(MATCHED!AH76=11,MATCHED!$L76,IF(MATCHED!AH76=12,MATCHED!$M76,IF(MATCHED!AH76=13,MATCHED!$N76,IF(MATCHED!AH76=14,MATCHED!$O76,"")))))))&amp;IF(MATCHED!AH76=15,MATCHED!$P76,IF(MATCHED!AH76=16,MATCHED!$Q76,IF(MATCHED!AH76=17,MATCHED!$R76,IF(MATCHED!AH76=18,MATCHED!$S76,IF(MATCHED!AH76=19,MATCHED!$T76,IF(MATCHED!AH76=20,MATCHED!$U76,IF(MATCHED!AH76=21,MATCHED!$V76,)))))))&amp;IF(MATCHED!AH76=22,MATCHED!$W76,IF(MATCHED!AH76=23,MATCHED!$X76,IF(MATCHED!AH76=24,MATCHED!$Y76,IF(MATCHED!AH76=25,MATCHED!$Z76,IF(MATCHED!AH76=26,MATCHED!$AA76,IF(MATCHED!AH76=27,MATCHED!$AB76,"."))))))</f>
        <v>#N/A</v>
      </c>
      <c r="G76" s="423" t="e">
        <f>IF(MATCHED!AI76=1,MATCHED!$B76,IF(MATCHED!AI76=2,MATCHED!$C76,IF(MATCHED!AI76=3,MATCHED!$D76,IF(MATCHED!AI76=4,MATCHED!$E76,IF(MATCHED!AI76=3,MATCHED!$F76,IF(MATCHED!AI76=6,MATCHED!$G76,IF(MATCHED!AI76=7,MATCHED!$H76,"")))))))&amp;IF(MATCHED!AI76=8,MATCHED!$I76,IF(MATCHED!AI76=9,MATCHED!$J76,IF(MATCHED!AI76=10,MATCHED!$K76,IF(MATCHED!AI76=11,MATCHED!$L76,IF(MATCHED!AI76=12,MATCHED!$M76,IF(MATCHED!AI76=13,MATCHED!$N76,IF(MATCHED!AI76=14,MATCHED!$O76,"")))))))&amp;IF(MATCHED!AI76=15,MATCHED!$P76,IF(MATCHED!AI76=16,MATCHED!$Q76,IF(MATCHED!AI76=17,MATCHED!$R76,IF(MATCHED!AI76=18,MATCHED!$S76,IF(MATCHED!AI76=19,MATCHED!$T76,IF(MATCHED!AI76=20,MATCHED!$U76,IF(MATCHED!AI76=21,MATCHED!$V76,)))))))&amp;IF(MATCHED!AI76=22,MATCHED!$W76,IF(MATCHED!AI76=23,MATCHED!$X76,IF(MATCHED!AI76=24,MATCHED!$Y76,IF(MATCHED!AI76=25,MATCHED!$Z76,IF(MATCHED!AI76=26,MATCHED!$AA76,IF(MATCHED!AI76=27,MATCHED!$AB76,"."))))))</f>
        <v>#N/A</v>
      </c>
      <c r="H76" s="423" t="e">
        <f>IF(MATCHED!AJ76=1,MATCHED!$B76,IF(MATCHED!AJ76=2,MATCHED!$C76,IF(MATCHED!AJ76=3,MATCHED!$D76,IF(MATCHED!AJ76=4,MATCHED!$E76,IF(MATCHED!AJ76=3,MATCHED!$F76,IF(MATCHED!AJ76=6,MATCHED!$G76,IF(MATCHED!AJ76=7,MATCHED!$H76,"")))))))&amp;IF(MATCHED!AJ76=8,MATCHED!$I76,IF(MATCHED!AJ76=9,MATCHED!$J76,IF(MATCHED!AJ76=10,MATCHED!$K76,IF(MATCHED!AJ76=11,MATCHED!$L76,IF(MATCHED!AJ76=12,MATCHED!$M76,IF(MATCHED!AJ76=13,MATCHED!$N76,IF(MATCHED!AJ76=14,MATCHED!$O76,"")))))))&amp;IF(MATCHED!AJ76=15,MATCHED!$P76,IF(MATCHED!AJ76=16,MATCHED!$Q76,IF(MATCHED!AJ76=17,MATCHED!$R76,IF(MATCHED!AJ76=18,MATCHED!$S76,IF(MATCHED!AJ76=19,MATCHED!$T76,IF(MATCHED!AJ76=20,MATCHED!$U76,IF(MATCHED!AJ76=21,MATCHED!$V76,)))))))&amp;IF(MATCHED!AJ76=22,MATCHED!$W76,IF(MATCHED!AJ76=23,MATCHED!$X76,IF(MATCHED!AJ76=24,MATCHED!$Y76,IF(MATCHED!AJ76=25,MATCHED!$Z76,IF(MATCHED!AJ76=26,MATCHED!$AA76,IF(MATCHED!AJ76=27,MATCHED!$AB76,"."))))))</f>
        <v>#N/A</v>
      </c>
      <c r="I76" s="423" t="e">
        <f>IF(MATCHED!AK76=1,MATCHED!$B76,IF(MATCHED!AK76=2,MATCHED!$C76,IF(MATCHED!AK76=3,MATCHED!$D76,IF(MATCHED!AK76=4,MATCHED!$E76,IF(MATCHED!AK76=3,MATCHED!$F76,IF(MATCHED!AK76=6,MATCHED!$G76,IF(MATCHED!AK76=7,MATCHED!$H76,"")))))))&amp;IF(MATCHED!AK76=8,MATCHED!$I76,IF(MATCHED!AK76=9,MATCHED!$J76,IF(MATCHED!AK76=10,MATCHED!$K76,IF(MATCHED!AK76=11,MATCHED!$L76,IF(MATCHED!AK76=12,MATCHED!$M76,IF(MATCHED!AK76=13,MATCHED!$N76,IF(MATCHED!AK76=14,MATCHED!$O76,"")))))))&amp;IF(MATCHED!AK76=15,MATCHED!$P76,IF(MATCHED!AK76=16,MATCHED!$Q76,IF(MATCHED!AK76=17,MATCHED!$R76,IF(MATCHED!AK76=18,MATCHED!$S76,IF(MATCHED!AK76=19,MATCHED!$T76,IF(MATCHED!AK76=20,MATCHED!$U76,IF(MATCHED!AK76=21,MATCHED!$V76,)))))))&amp;IF(MATCHED!AK76=22,MATCHED!$W76,IF(MATCHED!AK76=23,MATCHED!$X76,IF(MATCHED!AK76=24,MATCHED!$Y76,IF(MATCHED!AK76=25,MATCHED!$Z76,IF(MATCHED!AK76=26,MATCHED!$AA76,IF(MATCHED!AK76=27,MATCHED!$AB76,"."))))))</f>
        <v>#N/A</v>
      </c>
      <c r="J76" s="423" t="e">
        <f>IF(MATCHED!AL76=1,MATCHED!$B76,IF(MATCHED!AL76=2,MATCHED!$C76,IF(MATCHED!AL76=3,MATCHED!$D76,IF(MATCHED!AL76=4,MATCHED!$E76,IF(MATCHED!AL76=3,MATCHED!$F76,IF(MATCHED!AL76=6,MATCHED!$G76,IF(MATCHED!AL76=7,MATCHED!$H76,"")))))))&amp;IF(MATCHED!AL76=8,MATCHED!$I76,IF(MATCHED!AL76=9,MATCHED!$J76,IF(MATCHED!AL76=10,MATCHED!$K76,IF(MATCHED!AL76=11,MATCHED!$L76,IF(MATCHED!AL76=12,MATCHED!$M76,IF(MATCHED!AL76=13,MATCHED!$N76,IF(MATCHED!AL76=14,MATCHED!$O76,"")))))))&amp;IF(MATCHED!AL76=15,MATCHED!$P76,IF(MATCHED!AL76=16,MATCHED!$Q76,IF(MATCHED!AL76=17,MATCHED!$R76,IF(MATCHED!AL76=18,MATCHED!$S76,IF(MATCHED!AL76=19,MATCHED!$T76,IF(MATCHED!AL76=20,MATCHED!$U76,IF(MATCHED!AL76=21,MATCHED!$V76,)))))))&amp;IF(MATCHED!AL76=22,MATCHED!$W76,IF(MATCHED!AL76=23,MATCHED!$X76,IF(MATCHED!AL76=24,MATCHED!$Y76,IF(MATCHED!AL76=25,MATCHED!$Z76,IF(MATCHED!AL76=26,MATCHED!$AA76,IF(MATCHED!AL76=27,MATCHED!$AB76,"."))))))</f>
        <v>#N/A</v>
      </c>
      <c r="K76" s="423" t="e">
        <f>IF(MATCHED!AM76=1,MATCHED!$B76,IF(MATCHED!AM76=2,MATCHED!$C76,IF(MATCHED!AM76=3,MATCHED!$D76,IF(MATCHED!AM76=4,MATCHED!$E76,IF(MATCHED!AM76=3,MATCHED!$F76,IF(MATCHED!AM76=6,MATCHED!$G76,IF(MATCHED!AM76=7,MATCHED!$H76,"")))))))&amp;IF(MATCHED!AM76=8,MATCHED!$I76,IF(MATCHED!AM76=9,MATCHED!$J76,IF(MATCHED!AM76=10,MATCHED!$K76,IF(MATCHED!AM76=11,MATCHED!$L76,IF(MATCHED!AM76=12,MATCHED!$M76,IF(MATCHED!AM76=13,MATCHED!$N76,IF(MATCHED!AM76=14,MATCHED!$O76,"")))))))&amp;IF(MATCHED!AM76=15,MATCHED!$P76,IF(MATCHED!AM76=16,MATCHED!$Q76,IF(MATCHED!AM76=17,MATCHED!$R76,IF(MATCHED!AM76=18,MATCHED!$S76,IF(MATCHED!AM76=19,MATCHED!$T76,IF(MATCHED!AM76=20,MATCHED!$U76,IF(MATCHED!AM76=21,MATCHED!$V76,)))))))&amp;IF(MATCHED!AM76=22,MATCHED!$W76,IF(MATCHED!AM76=23,MATCHED!$X76,IF(MATCHED!AM76=24,MATCHED!$Y76,IF(MATCHED!AM76=25,MATCHED!$Z76,IF(MATCHED!AM76=26,MATCHED!$AA76,IF(MATCHED!AM76=27,MATCHED!$AB76,"."))))))</f>
        <v>#N/A</v>
      </c>
      <c r="L76" s="423" t="e">
        <f>IF(MATCHED!AN76=1,MATCHED!$B76,IF(MATCHED!AN76=2,MATCHED!$C76,IF(MATCHED!AN76=3,MATCHED!$D76,IF(MATCHED!AN76=4,MATCHED!$E76,IF(MATCHED!AN76=3,MATCHED!$F76,IF(MATCHED!AN76=6,MATCHED!$G76,IF(MATCHED!AN76=7,MATCHED!$H76,"")))))))&amp;IF(MATCHED!AN76=8,MATCHED!$I76,IF(MATCHED!AN76=9,MATCHED!$J76,IF(MATCHED!AN76=10,MATCHED!$K76,IF(MATCHED!AN76=11,MATCHED!$L76,IF(MATCHED!AN76=12,MATCHED!$M76,IF(MATCHED!AN76=13,MATCHED!$N76,IF(MATCHED!AN76=14,MATCHED!$O76,"")))))))&amp;IF(MATCHED!AN76=15,MATCHED!$P76,IF(MATCHED!AN76=16,MATCHED!$Q76,IF(MATCHED!AN76=17,MATCHED!$R76,IF(MATCHED!AN76=18,MATCHED!$S76,IF(MATCHED!AN76=19,MATCHED!$T76,IF(MATCHED!AN76=20,MATCHED!$U76,IF(MATCHED!AN76=21,MATCHED!$V76,)))))))&amp;IF(MATCHED!AN76=22,MATCHED!$W76,IF(MATCHED!AN76=23,MATCHED!$X76,IF(MATCHED!AN76=24,MATCHED!$Y76,IF(MATCHED!AN76=25,MATCHED!$Z76,IF(MATCHED!AN76=26,MATCHED!$AA76,IF(MATCHED!AN76=27,MATCHED!$AB76,"."))))))</f>
        <v>#N/A</v>
      </c>
      <c r="M76" s="423" t="e">
        <f>IF(MATCHED!AO76=1,MATCHED!$B76,IF(MATCHED!AO76=2,MATCHED!$C76,IF(MATCHED!AO76=3,MATCHED!$D76,IF(MATCHED!AO76=4,MATCHED!$E76,IF(MATCHED!AO76=3,MATCHED!$F76,IF(MATCHED!AO76=6,MATCHED!$G76,IF(MATCHED!AO76=7,MATCHED!$H76,"")))))))&amp;IF(MATCHED!AO76=8,MATCHED!$I76,IF(MATCHED!AO76=9,MATCHED!$J76,IF(MATCHED!AO76=10,MATCHED!$K76,IF(MATCHED!AO76=11,MATCHED!$L76,IF(MATCHED!AO76=12,MATCHED!$M76,IF(MATCHED!AO76=13,MATCHED!$N76,IF(MATCHED!AO76=14,MATCHED!$O76,"")))))))&amp;IF(MATCHED!AO76=15,MATCHED!$P76,IF(MATCHED!AO76=16,MATCHED!$Q76,IF(MATCHED!AO76=17,MATCHED!$R76,IF(MATCHED!AO76=18,MATCHED!$S76,IF(MATCHED!AO76=19,MATCHED!$T76,IF(MATCHED!AO76=20,MATCHED!$U76,IF(MATCHED!AO76=21,MATCHED!$V76,)))))))&amp;IF(MATCHED!AO76=22,MATCHED!$W76,IF(MATCHED!AO76=23,MATCHED!$X76,IF(MATCHED!AO76=24,MATCHED!$Y76,IF(MATCHED!AO76=25,MATCHED!$Z76,IF(MATCHED!AO76=26,MATCHED!$AA76,IF(MATCHED!AO76=27,MATCHED!$AB76,"."))))))</f>
        <v>#N/A</v>
      </c>
      <c r="N76" s="423" t="e">
        <f>IF(MATCHED!AP76=1,MATCHED!$B76,IF(MATCHED!AP76=2,MATCHED!$C76,IF(MATCHED!AP76=3,MATCHED!$D76,IF(MATCHED!AP76=4,MATCHED!$E76,IF(MATCHED!AP76=3,MATCHED!$F76,IF(MATCHED!AP76=6,MATCHED!$G76,IF(MATCHED!AP76=7,MATCHED!$H76,"")))))))&amp;IF(MATCHED!AP76=8,MATCHED!$I76,IF(MATCHED!AP76=9,MATCHED!$J76,IF(MATCHED!AP76=10,MATCHED!$K76,IF(MATCHED!AP76=11,MATCHED!$L76,IF(MATCHED!AP76=12,MATCHED!$M76,IF(MATCHED!AP76=13,MATCHED!$N76,IF(MATCHED!AP76=14,MATCHED!$O76,"")))))))&amp;IF(MATCHED!AP76=15,MATCHED!$P76,IF(MATCHED!AP76=16,MATCHED!$Q76,IF(MATCHED!AP76=17,MATCHED!$R76,IF(MATCHED!AP76=18,MATCHED!$S76,IF(MATCHED!AP76=19,MATCHED!$T76,IF(MATCHED!AP76=20,MATCHED!$U76,IF(MATCHED!AP76=21,MATCHED!$V76,)))))))&amp;IF(MATCHED!AP76=22,MATCHED!$W76,IF(MATCHED!AP76=23,MATCHED!$X76,IF(MATCHED!AP76=24,MATCHED!$Y76,IF(MATCHED!AP76=25,MATCHED!$Z76,IF(MATCHED!AP76=26,MATCHED!$AA76,IF(MATCHED!AP76=27,MATCHED!$AB76,"."))))))</f>
        <v>#N/A</v>
      </c>
      <c r="O76" s="423" t="e">
        <f>IF(MATCHED!AQ76=1,MATCHED!$B76,IF(MATCHED!AQ76=2,MATCHED!$C76,IF(MATCHED!AQ76=3,MATCHED!$D76,IF(MATCHED!AQ76=4,MATCHED!$E76,IF(MATCHED!AQ76=3,MATCHED!$F76,IF(MATCHED!AQ76=6,MATCHED!$G76,IF(MATCHED!AQ76=7,MATCHED!$H76,"")))))))&amp;IF(MATCHED!AQ76=8,MATCHED!$I76,IF(MATCHED!AQ76=9,MATCHED!$J76,IF(MATCHED!AQ76=10,MATCHED!$K76,IF(MATCHED!AQ76=11,MATCHED!$L76,IF(MATCHED!AQ76=12,MATCHED!$M76,IF(MATCHED!AQ76=13,MATCHED!$N76,IF(MATCHED!AQ76=14,MATCHED!$O76,"")))))))&amp;IF(MATCHED!AQ76=15,MATCHED!$P76,IF(MATCHED!AQ76=16,MATCHED!$Q76,IF(MATCHED!AQ76=17,MATCHED!$R76,IF(MATCHED!AQ76=18,MATCHED!$S76,IF(MATCHED!AQ76=19,MATCHED!$T76,IF(MATCHED!AQ76=20,MATCHED!$U76,IF(MATCHED!AQ76=21,MATCHED!$V76,)))))))&amp;IF(MATCHED!AQ76=22,MATCHED!$W76,IF(MATCHED!AQ76=23,MATCHED!$X76,IF(MATCHED!AQ76=24,MATCHED!$Y76,IF(MATCHED!AQ76=25,MATCHED!$Z76,IF(MATCHED!AQ76=26,MATCHED!$AA76,IF(MATCHED!AQ76=27,MATCHED!$AB76,"."))))))</f>
        <v>#N/A</v>
      </c>
      <c r="P76" s="423" t="e">
        <f>IF(MATCHED!AR76=1,MATCHED!$B76,IF(MATCHED!AR76=2,MATCHED!$C76,IF(MATCHED!AR76=3,MATCHED!$D76,IF(MATCHED!AR76=4,MATCHED!$E76,IF(MATCHED!AR76=3,MATCHED!$F76,IF(MATCHED!AR76=6,MATCHED!$G76,IF(MATCHED!AR76=7,MATCHED!$H76,"")))))))&amp;IF(MATCHED!AR76=8,MATCHED!$I76,IF(MATCHED!AR76=9,MATCHED!$J76,IF(MATCHED!AR76=10,MATCHED!$K76,IF(MATCHED!AR76=11,MATCHED!$L76,IF(MATCHED!AR76=12,MATCHED!$M76,IF(MATCHED!AR76=13,MATCHED!$N76,IF(MATCHED!AR76=14,MATCHED!$O76,"")))))))&amp;IF(MATCHED!AR76=15,MATCHED!$P76,IF(MATCHED!AR76=16,MATCHED!$Q76,IF(MATCHED!AR76=17,MATCHED!$R76,IF(MATCHED!AR76=18,MATCHED!$S76,IF(MATCHED!AR76=19,MATCHED!$T76,IF(MATCHED!AR76=20,MATCHED!$U76,IF(MATCHED!AR76=21,MATCHED!$V76,)))))))&amp;IF(MATCHED!AR76=22,MATCHED!$W76,IF(MATCHED!AR76=23,MATCHED!$X76,IF(MATCHED!AR76=24,MATCHED!$Y76,IF(MATCHED!AR76=25,MATCHED!$Z76,IF(MATCHED!AR76=26,MATCHED!$AA76,IF(MATCHED!AR76=27,MATCHED!$AB76,"."))))))</f>
        <v>#N/A</v>
      </c>
      <c r="Q76" s="423" t="e">
        <f>IF(MATCHED!AS76=1,MATCHED!$B76,IF(MATCHED!AS76=2,MATCHED!$C76,IF(MATCHED!AS76=3,MATCHED!$D76,IF(MATCHED!AS76=4,MATCHED!$E76,IF(MATCHED!AS76=3,MATCHED!$F76,IF(MATCHED!AS76=6,MATCHED!$G76,IF(MATCHED!AS76=7,MATCHED!$H76,"")))))))&amp;IF(MATCHED!AS76=8,MATCHED!$I76,IF(MATCHED!AS76=9,MATCHED!$J76,IF(MATCHED!AS76=10,MATCHED!$K76,IF(MATCHED!AS76=11,MATCHED!$L76,IF(MATCHED!AS76=12,MATCHED!$M76,IF(MATCHED!AS76=13,MATCHED!$N76,IF(MATCHED!AS76=14,MATCHED!$O76,"")))))))&amp;IF(MATCHED!AS76=15,MATCHED!$P76,IF(MATCHED!AS76=16,MATCHED!$Q76,IF(MATCHED!AS76=17,MATCHED!$R76,IF(MATCHED!AS76=18,MATCHED!$S76,IF(MATCHED!AS76=19,MATCHED!$T76,IF(MATCHED!AS76=20,MATCHED!$U76,IF(MATCHED!AS76=21,MATCHED!$V76,)))))))&amp;IF(MATCHED!AS76=22,MATCHED!$W76,IF(MATCHED!AS76=23,MATCHED!$X76,IF(MATCHED!AS76=24,MATCHED!$Y76,IF(MATCHED!AS76=25,MATCHED!$Z76,IF(MATCHED!AS76=26,MATCHED!$AA76,IF(MATCHED!AS76=27,MATCHED!$AB76,"."))))))</f>
        <v>#N/A</v>
      </c>
      <c r="R76" s="423" t="e">
        <f>IF(MATCHED!AT76=1,MATCHED!$B76,IF(MATCHED!AT76=2,MATCHED!$C76,IF(MATCHED!AT76=3,MATCHED!$D76,IF(MATCHED!AT76=4,MATCHED!$E76,IF(MATCHED!AT76=3,MATCHED!$F76,IF(MATCHED!AT76=6,MATCHED!$G76,IF(MATCHED!AT76=7,MATCHED!$H76,"")))))))&amp;IF(MATCHED!AT76=8,MATCHED!$I76,IF(MATCHED!AT76=9,MATCHED!$J76,IF(MATCHED!AT76=10,MATCHED!$K76,IF(MATCHED!AT76=11,MATCHED!$L76,IF(MATCHED!AT76=12,MATCHED!$M76,IF(MATCHED!AT76=13,MATCHED!$N76,IF(MATCHED!AT76=14,MATCHED!$O76,"")))))))&amp;IF(MATCHED!AT76=15,MATCHED!$P76,IF(MATCHED!AT76=16,MATCHED!$Q76,IF(MATCHED!AT76=17,MATCHED!$R76,IF(MATCHED!AT76=18,MATCHED!$S76,IF(MATCHED!AT76=19,MATCHED!$T76,IF(MATCHED!AT76=20,MATCHED!$U76,IF(MATCHED!AT76=21,MATCHED!$V76,)))))))&amp;IF(MATCHED!AT76=22,MATCHED!$W76,IF(MATCHED!AT76=23,MATCHED!$X76,IF(MATCHED!AT76=24,MATCHED!$Y76,IF(MATCHED!AT76=25,MATCHED!$Z76,IF(MATCHED!AT76=26,MATCHED!$AA76,IF(MATCHED!AT76=27,MATCHED!$AB76,"."))))))</f>
        <v>#N/A</v>
      </c>
      <c r="S76" s="423" t="e">
        <f>IF(MATCHED!AU76=1,MATCHED!$B76,IF(MATCHED!AU76=2,MATCHED!$C76,IF(MATCHED!AU76=3,MATCHED!$D76,IF(MATCHED!AU76=4,MATCHED!$E76,IF(MATCHED!AU76=3,MATCHED!$F76,IF(MATCHED!AU76=6,MATCHED!$G76,IF(MATCHED!AU76=7,MATCHED!$H76,"")))))))&amp;IF(MATCHED!AU76=8,MATCHED!$I76,IF(MATCHED!AU76=9,MATCHED!$J76,IF(MATCHED!AU76=10,MATCHED!$K76,IF(MATCHED!AU76=11,MATCHED!$L76,IF(MATCHED!AU76=12,MATCHED!$M76,IF(MATCHED!AU76=13,MATCHED!$N76,IF(MATCHED!AU76=14,MATCHED!$O76,"")))))))&amp;IF(MATCHED!AU76=15,MATCHED!$P76,IF(MATCHED!AU76=16,MATCHED!$Q76,IF(MATCHED!AU76=17,MATCHED!$R76,IF(MATCHED!AU76=18,MATCHED!$S76,IF(MATCHED!AU76=19,MATCHED!$T76,IF(MATCHED!AU76=20,MATCHED!$U76,IF(MATCHED!AU76=21,MATCHED!$V76,)))))))&amp;IF(MATCHED!AU76=22,MATCHED!$W76,IF(MATCHED!AU76=23,MATCHED!$X76,IF(MATCHED!AU76=24,MATCHED!$Y76,IF(MATCHED!AU76=25,MATCHED!$Z76,IF(MATCHED!AU76=26,MATCHED!$AA76,IF(MATCHED!AU76=27,MATCHED!$AB76,"."))))))</f>
        <v>#N/A</v>
      </c>
      <c r="T76" s="423" t="e">
        <f>IF(MATCHED!AV76=1,MATCHED!$B76,IF(MATCHED!AV76=2,MATCHED!$C76,IF(MATCHED!AV76=3,MATCHED!$D76,IF(MATCHED!AV76=4,MATCHED!$E76,IF(MATCHED!AV76=3,MATCHED!$F76,IF(MATCHED!AV76=6,MATCHED!$G76,IF(MATCHED!AV76=7,MATCHED!$H76,"")))))))&amp;IF(MATCHED!AV76=8,MATCHED!$I76,IF(MATCHED!AV76=9,MATCHED!$J76,IF(MATCHED!AV76=10,MATCHED!$K76,IF(MATCHED!AV76=11,MATCHED!$L76,IF(MATCHED!AV76=12,MATCHED!$M76,IF(MATCHED!AV76=13,MATCHED!$N76,IF(MATCHED!AV76=14,MATCHED!$O76,"")))))))&amp;IF(MATCHED!AV76=15,MATCHED!$P76,IF(MATCHED!AV76=16,MATCHED!$Q76,IF(MATCHED!AV76=17,MATCHED!$R76,IF(MATCHED!AV76=18,MATCHED!$S76,IF(MATCHED!AV76=19,MATCHED!$T76,IF(MATCHED!AV76=20,MATCHED!$U76,IF(MATCHED!AV76=21,MATCHED!$V76,)))))))&amp;IF(MATCHED!AV76=22,MATCHED!$W76,IF(MATCHED!AV76=23,MATCHED!$X76,IF(MATCHED!AV76=24,MATCHED!$Y76,IF(MATCHED!AV76=25,MATCHED!$Z76,IF(MATCHED!AV76=26,MATCHED!$AA76,IF(MATCHED!AV76=27,MATCHED!$AB76,"."))))))</f>
        <v>#N/A</v>
      </c>
      <c r="U76" s="423" t="e">
        <f>IF(MATCHED!AW76=1,MATCHED!$B76,IF(MATCHED!AW76=2,MATCHED!$C76,IF(MATCHED!AW76=3,MATCHED!$D76,IF(MATCHED!AW76=4,MATCHED!$E76,IF(MATCHED!AW76=3,MATCHED!$F76,IF(MATCHED!AW76=6,MATCHED!$G76,IF(MATCHED!AW76=7,MATCHED!$H76,"")))))))&amp;IF(MATCHED!AW76=8,MATCHED!$I76,IF(MATCHED!AW76=9,MATCHED!$J76,IF(MATCHED!AW76=10,MATCHED!$K76,IF(MATCHED!AW76=11,MATCHED!$L76,IF(MATCHED!AW76=12,MATCHED!$M76,IF(MATCHED!AW76=13,MATCHED!$N76,IF(MATCHED!AW76=14,MATCHED!$O76,"")))))))&amp;IF(MATCHED!AW76=15,MATCHED!$P76,IF(MATCHED!AW76=16,MATCHED!$Q76,IF(MATCHED!AW76=17,MATCHED!$R76,IF(MATCHED!AW76=18,MATCHED!$S76,IF(MATCHED!AW76=19,MATCHED!$T76,IF(MATCHED!AW76=20,MATCHED!$U76,IF(MATCHED!AW76=21,MATCHED!$V76,)))))))&amp;IF(MATCHED!AW76=22,MATCHED!$W76,IF(MATCHED!AW76=23,MATCHED!$X76,IF(MATCHED!AW76=24,MATCHED!$Y76,IF(MATCHED!AW76=25,MATCHED!$Z76,IF(MATCHED!AW76=26,MATCHED!$AA76,IF(MATCHED!AW76=27,MATCHED!$AB76,"."))))))</f>
        <v>#N/A</v>
      </c>
      <c r="V76" s="423" t="e">
        <f>IF(MATCHED!AX76=1,MATCHED!$B76,IF(MATCHED!AX76=2,MATCHED!$C76,IF(MATCHED!AX76=3,MATCHED!$D76,IF(MATCHED!AX76=4,MATCHED!$E76,IF(MATCHED!AX76=3,MATCHED!$F76,IF(MATCHED!AX76=6,MATCHED!$G76,IF(MATCHED!AX76=7,MATCHED!$H76,"")))))))&amp;IF(MATCHED!AX76=8,MATCHED!$I76,IF(MATCHED!AX76=9,MATCHED!$J76,IF(MATCHED!AX76=10,MATCHED!$K76,IF(MATCHED!AX76=11,MATCHED!$L76,IF(MATCHED!AX76=12,MATCHED!$M76,IF(MATCHED!AX76=13,MATCHED!$N76,IF(MATCHED!AX76=14,MATCHED!$O76,"")))))))&amp;IF(MATCHED!AX76=15,MATCHED!$P76,IF(MATCHED!AX76=16,MATCHED!$Q76,IF(MATCHED!AX76=17,MATCHED!$R76,IF(MATCHED!AX76=18,MATCHED!$S76,IF(MATCHED!AX76=19,MATCHED!$T76,IF(MATCHED!AX76=20,MATCHED!$U76,IF(MATCHED!AX76=21,MATCHED!$V76,)))))))&amp;IF(MATCHED!AX76=22,MATCHED!$W76,IF(MATCHED!AX76=23,MATCHED!$X76,IF(MATCHED!AX76=24,MATCHED!$Y76,IF(MATCHED!AX76=25,MATCHED!$Z76,IF(MATCHED!AX76=26,MATCHED!$AA76,IF(MATCHED!AX76=27,MATCHED!$AB76,"."))))))</f>
        <v>#N/A</v>
      </c>
      <c r="W76" s="423" t="e">
        <f>IF(MATCHED!AY76=1,MATCHED!$B76,IF(MATCHED!AY76=2,MATCHED!$C76,IF(MATCHED!AY76=3,MATCHED!$D76,IF(MATCHED!AY76=4,MATCHED!$E76,IF(MATCHED!AY76=3,MATCHED!$F76,IF(MATCHED!AY76=6,MATCHED!$G76,IF(MATCHED!AY76=7,MATCHED!$H76,"")))))))&amp;IF(MATCHED!AY76=8,MATCHED!$I76,IF(MATCHED!AY76=9,MATCHED!$J76,IF(MATCHED!AY76=10,MATCHED!$K76,IF(MATCHED!AY76=11,MATCHED!$L76,IF(MATCHED!AY76=12,MATCHED!$M76,IF(MATCHED!AY76=13,MATCHED!$N76,IF(MATCHED!AY76=14,MATCHED!$O76,"")))))))&amp;IF(MATCHED!AY76=15,MATCHED!$P76,IF(MATCHED!AY76=16,MATCHED!$Q76,IF(MATCHED!AY76=17,MATCHED!$R76,IF(MATCHED!AY76=18,MATCHED!$S76,IF(MATCHED!AY76=19,MATCHED!$T76,IF(MATCHED!AY76=20,MATCHED!$U76,IF(MATCHED!AY76=21,MATCHED!$V76,)))))))&amp;IF(MATCHED!AY76=22,MATCHED!$W76,IF(MATCHED!AY76=23,MATCHED!$X76,IF(MATCHED!AY76=24,MATCHED!$Y76,IF(MATCHED!AY76=25,MATCHED!$Z76,IF(MATCHED!AY76=26,MATCHED!$AA76,IF(MATCHED!AY76=27,MATCHED!$AB76,"."))))))</f>
        <v>#N/A</v>
      </c>
      <c r="X76" s="423" t="e">
        <f>IF(MATCHED!AZ76=1,MATCHED!$B76,IF(MATCHED!AZ76=2,MATCHED!$C76,IF(MATCHED!AZ76=3,MATCHED!$D76,IF(MATCHED!AZ76=4,MATCHED!$E76,IF(MATCHED!AZ76=3,MATCHED!$F76,IF(MATCHED!AZ76=6,MATCHED!$G76,IF(MATCHED!AZ76=7,MATCHED!$H76,"")))))))&amp;IF(MATCHED!AZ76=8,MATCHED!$I76,IF(MATCHED!AZ76=9,MATCHED!$J76,IF(MATCHED!AZ76=10,MATCHED!$K76,IF(MATCHED!AZ76=11,MATCHED!$L76,IF(MATCHED!AZ76=12,MATCHED!$M76,IF(MATCHED!AZ76=13,MATCHED!$N76,IF(MATCHED!AZ76=14,MATCHED!$O76,"")))))))&amp;IF(MATCHED!AZ76=15,MATCHED!$P76,IF(MATCHED!AZ76=16,MATCHED!$Q76,IF(MATCHED!AZ76=17,MATCHED!$R76,IF(MATCHED!AZ76=18,MATCHED!$S76,IF(MATCHED!AZ76=19,MATCHED!$T76,IF(MATCHED!AZ76=20,MATCHED!$U76,IF(MATCHED!AZ76=21,MATCHED!$V76,)))))))&amp;IF(MATCHED!AZ76=22,MATCHED!$W76,IF(MATCHED!AZ76=23,MATCHED!$X76,IF(MATCHED!AZ76=24,MATCHED!$Y76,IF(MATCHED!AZ76=25,MATCHED!$Z76,IF(MATCHED!AZ76=26,MATCHED!$AA76,IF(MATCHED!AZ76=27,MATCHED!$AB76,"."))))))</f>
        <v>#N/A</v>
      </c>
      <c r="Y76" s="423" t="e">
        <f>IF(MATCHED!BA76=1,MATCHED!$B76,IF(MATCHED!BA76=2,MATCHED!$C76,IF(MATCHED!BA76=3,MATCHED!$D76,IF(MATCHED!BA76=4,MATCHED!$E76,IF(MATCHED!BA76=3,MATCHED!$F76,IF(MATCHED!BA76=6,MATCHED!$G76,IF(MATCHED!BA76=7,MATCHED!$H76,"")))))))&amp;IF(MATCHED!BA76=8,MATCHED!$I76,IF(MATCHED!BA76=9,MATCHED!$J76,IF(MATCHED!BA76=10,MATCHED!$K76,IF(MATCHED!BA76=11,MATCHED!$L76,IF(MATCHED!BA76=12,MATCHED!$M76,IF(MATCHED!BA76=13,MATCHED!$N76,IF(MATCHED!BA76=14,MATCHED!$O76,"")))))))&amp;IF(MATCHED!BA76=15,MATCHED!$P76,IF(MATCHED!BA76=16,MATCHED!$Q76,IF(MATCHED!BA76=17,MATCHED!$R76,IF(MATCHED!BA76=18,MATCHED!$S76,IF(MATCHED!BA76=19,MATCHED!$T76,IF(MATCHED!BA76=20,MATCHED!$U76,IF(MATCHED!BA76=21,MATCHED!$V76,)))))))&amp;IF(MATCHED!BA76=22,MATCHED!$W76,IF(MATCHED!BA76=23,MATCHED!$X76,IF(MATCHED!BA76=24,MATCHED!$Y76,IF(MATCHED!BA76=25,MATCHED!$Z76,IF(MATCHED!BA76=26,MATCHED!$AA76,IF(MATCHED!BA76=27,MATCHED!$AB76,"."))))))</f>
        <v>#N/A</v>
      </c>
      <c r="Z76" s="423" t="e">
        <f>IF(MATCHED!BB76=1,MATCHED!$B76,IF(MATCHED!BB76=2,MATCHED!$C76,IF(MATCHED!BB76=3,MATCHED!$D76,IF(MATCHED!BB76=4,MATCHED!$E76,IF(MATCHED!BB76=3,MATCHED!$F76,IF(MATCHED!BB76=6,MATCHED!$G76,IF(MATCHED!BB76=7,MATCHED!$H76,"")))))))&amp;IF(MATCHED!BB76=8,MATCHED!$I76,IF(MATCHED!BB76=9,MATCHED!$J76,IF(MATCHED!BB76=10,MATCHED!$K76,IF(MATCHED!BB76=11,MATCHED!$L76,IF(MATCHED!BB76=12,MATCHED!$M76,IF(MATCHED!BB76=13,MATCHED!$N76,IF(MATCHED!BB76=14,MATCHED!$O76,"")))))))&amp;IF(MATCHED!BB76=15,MATCHED!$P76,IF(MATCHED!BB76=16,MATCHED!$Q76,IF(MATCHED!BB76=17,MATCHED!$R76,IF(MATCHED!BB76=18,MATCHED!$S76,IF(MATCHED!BB76=19,MATCHED!$T76,IF(MATCHED!BB76=20,MATCHED!$U76,IF(MATCHED!BB76=21,MATCHED!$V76,)))))))&amp;IF(MATCHED!BB76=22,MATCHED!$W76,IF(MATCHED!BB76=23,MATCHED!$X76,IF(MATCHED!BB76=24,MATCHED!$Y76,IF(MATCHED!BB76=25,MATCHED!$Z76,IF(MATCHED!BB76=26,MATCHED!$AA76,IF(MATCHED!BB76=27,MATCHED!$AB76,"."))))))</f>
        <v>#N/A</v>
      </c>
      <c r="AA76" s="423" t="e">
        <f>IF(MATCHED!BC76=1,MATCHED!$B76,IF(MATCHED!BC76=2,MATCHED!$C76,IF(MATCHED!BC76=3,MATCHED!$D76,IF(MATCHED!BC76=4,MATCHED!$E76,IF(MATCHED!BC76=3,MATCHED!$F76,IF(MATCHED!BC76=6,MATCHED!$G76,IF(MATCHED!BC76=7,MATCHED!$H76,"")))))))&amp;IF(MATCHED!BC76=8,MATCHED!$I76,IF(MATCHED!BC76=9,MATCHED!$J76,IF(MATCHED!BC76=10,MATCHED!$K76,IF(MATCHED!BC76=11,MATCHED!$L76,IF(MATCHED!BC76=12,MATCHED!$M76,IF(MATCHED!BC76=13,MATCHED!$N76,IF(MATCHED!BC76=14,MATCHED!$O76,"")))))))&amp;IF(MATCHED!BC76=15,MATCHED!$P76,IF(MATCHED!BC76=16,MATCHED!$Q76,IF(MATCHED!BC76=17,MATCHED!$R76,IF(MATCHED!BC76=18,MATCHED!$S76,IF(MATCHED!BC76=19,MATCHED!$T76,IF(MATCHED!BC76=20,MATCHED!$U76,IF(MATCHED!BC76=21,MATCHED!$V76,)))))))&amp;IF(MATCHED!BC76=22,MATCHED!$W76,IF(MATCHED!BC76=23,MATCHED!$X76,IF(MATCHED!BC76=24,MATCHED!$Y76,IF(MATCHED!BC76=25,MATCHED!$Z76,IF(MATCHED!BC76=26,MATCHED!$AA76,IF(MATCHED!BC76=27,MATCHED!$AB76,"."))))))</f>
        <v>#N/A</v>
      </c>
      <c r="AB76" s="423" t="e">
        <f>IF(MATCHED!BD76=1,MATCHED!$B76,IF(MATCHED!BD76=2,MATCHED!$C76,IF(MATCHED!BD76=3,MATCHED!$D76,IF(MATCHED!BD76=4,MATCHED!$E76,IF(MATCHED!BD76=3,MATCHED!$F76,IF(MATCHED!BD76=6,MATCHED!$G76,IF(MATCHED!BD76=7,MATCHED!$H76,"")))))))&amp;IF(MATCHED!BD76=8,MATCHED!$I76,IF(MATCHED!BD76=9,MATCHED!$J76,IF(MATCHED!BD76=10,MATCHED!$K76,IF(MATCHED!BD76=11,MATCHED!$L76,IF(MATCHED!BD76=12,MATCHED!$M76,IF(MATCHED!BD76=13,MATCHED!$N76,IF(MATCHED!BD76=14,MATCHED!$O76,"")))))))&amp;IF(MATCHED!BD76=15,MATCHED!$P76,IF(MATCHED!BD76=16,MATCHED!$Q76,IF(MATCHED!BD76=17,MATCHED!$R76,IF(MATCHED!BD76=18,MATCHED!$S76,IF(MATCHED!BD76=19,MATCHED!$T76,IF(MATCHED!BD76=20,MATCHED!$U76,IF(MATCHED!BD76=21,MATCHED!$V76,)))))))&amp;IF(MATCHED!BD76=22,MATCHED!$W76,IF(MATCHED!BD76=23,MATCHED!$X76,IF(MATCHED!BD76=24,MATCHED!$Y76,IF(MATCHED!BD76=25,MATCHED!$Z76,IF(MATCHED!BD76=26,MATCHED!$AA76,IF(MATCHED!BD76=27,MATCHED!$AB76,"."))))))</f>
        <v>#N/A</v>
      </c>
      <c r="AC76" s="423" t="e">
        <f>IF(MATCHED!BE76=1,MATCHED!$B76,IF(MATCHED!BE76=2,MATCHED!$C76,IF(MATCHED!BE76=3,MATCHED!$D76,IF(MATCHED!BE76=4,MATCHED!$E76,IF(MATCHED!BE76=3,MATCHED!$F76,IF(MATCHED!BE76=6,MATCHED!$G76,IF(MATCHED!BE76=7,MATCHED!$H76,"")))))))&amp;IF(MATCHED!BE76=8,MATCHED!$I76,IF(MATCHED!BE76=9,MATCHED!$J76,IF(MATCHED!BE76=10,MATCHED!$K76,IF(MATCHED!BE76=11,MATCHED!$L76,IF(MATCHED!BE76=12,MATCHED!$M76,IF(MATCHED!BE76=13,MATCHED!$N76,IF(MATCHED!BE76=14,MATCHED!$O76,"")))))))&amp;IF(MATCHED!BE76=15,MATCHED!$P76,IF(MATCHED!BE76=16,MATCHED!$Q76,IF(MATCHED!BE76=17,MATCHED!$R76,IF(MATCHED!BE76=18,MATCHED!$S76,IF(MATCHED!BE76=19,MATCHED!$T76,IF(MATCHED!BE76=20,MATCHED!$U76,IF(MATCHED!BE76=21,MATCHED!$V76,)))))))&amp;IF(MATCHED!BE76=22,MATCHED!$W76,IF(MATCHED!BE76=23,MATCHED!$X76,IF(MATCHED!BE76=24,MATCHED!$Y76,IF(MATCHED!BE76=25,MATCHED!$Z76,IF(MATCHED!BE76=26,MATCHED!$AA76,IF(MATCHED!BE76=27,MATCHED!$AB76,"."))))))</f>
        <v>#N/A</v>
      </c>
      <c r="AD76" s="423" t="e">
        <f>IF(MATCHED!BF76=1,MATCHED!$B76,IF(MATCHED!BF76=2,MATCHED!$C76,IF(MATCHED!BF76=3,MATCHED!$D76,IF(MATCHED!BF76=4,MATCHED!$E76,IF(MATCHED!BF76=3,MATCHED!$F76,IF(MATCHED!BF76=6,MATCHED!$G76,IF(MATCHED!BF76=7,MATCHED!$H76,"")))))))&amp;IF(MATCHED!BF76=8,MATCHED!$I76,IF(MATCHED!BF76=9,MATCHED!$J76,IF(MATCHED!BF76=10,MATCHED!$K76,IF(MATCHED!BF76=11,MATCHED!$L76,IF(MATCHED!BF76=12,MATCHED!$M76,IF(MATCHED!BF76=13,MATCHED!$N76,IF(MATCHED!BF76=14,MATCHED!$O76,"")))))))&amp;IF(MATCHED!BF76=15,MATCHED!$P76,IF(MATCHED!BF76=16,MATCHED!$Q76,IF(MATCHED!BF76=17,MATCHED!$R76,IF(MATCHED!BF76=18,MATCHED!$S76,IF(MATCHED!BF76=19,MATCHED!$T76,IF(MATCHED!BF76=20,MATCHED!$U76,IF(MATCHED!BF76=21,MATCHED!$V76,)))))))&amp;IF(MATCHED!BF76=22,MATCHED!$W76,IF(MATCHED!BF76=23,MATCHED!$X76,IF(MATCHED!BF76=24,MATCHED!$Y76,IF(MATCHED!BF76=25,MATCHED!$Z76,IF(MATCHED!BF76=26,MATCHED!$AA76,IF(MATCHED!BF76=27,MATCHED!$AB76,"."))))))</f>
        <v>#N/A</v>
      </c>
      <c r="AE76" s="423" t="e">
        <f>IF(MATCHED!BG76=1,MATCHED!$B76,IF(MATCHED!BG76=2,MATCHED!$C76,IF(MATCHED!BG76=3,MATCHED!$D76,IF(MATCHED!BG76=4,MATCHED!$E76,IF(MATCHED!BG76=3,MATCHED!$F76,IF(MATCHED!BG76=6,MATCHED!$G76,IF(MATCHED!BG76=7,MATCHED!$H76,"")))))))&amp;IF(MATCHED!BG76=8,MATCHED!$I76,IF(MATCHED!BG76=9,MATCHED!$J76,IF(MATCHED!BG76=10,MATCHED!$K76,IF(MATCHED!BG76=11,MATCHED!$L76,IF(MATCHED!BG76=12,MATCHED!$M76,IF(MATCHED!BG76=13,MATCHED!$N76,IF(MATCHED!BG76=14,MATCHED!$O76,"")))))))&amp;IF(MATCHED!BG76=15,MATCHED!$P76,IF(MATCHED!BG76=16,MATCHED!$Q76,IF(MATCHED!BG76=17,MATCHED!$R76,IF(MATCHED!BG76=18,MATCHED!$S76,IF(MATCHED!BG76=19,MATCHED!$T76,IF(MATCHED!BG76=20,MATCHED!$U76,IF(MATCHED!BG76=21,MATCHED!$V76,)))))))&amp;IF(MATCHED!BG76=22,MATCHED!$W76,IF(MATCHED!BG76=23,MATCHED!$X76,IF(MATCHED!BG76=24,MATCHED!$Y76,IF(MATCHED!BG76=25,MATCHED!$Z76,IF(MATCHED!BG76=26,MATCHED!$AA76,IF(MATCHED!BG76=27,MATCHED!$AB76,"."))))))</f>
        <v>#N/A</v>
      </c>
      <c r="AF76" s="423" t="e">
        <f>IF(MATCHED!BH76=1,MATCHED!$B76,IF(MATCHED!BH76=2,MATCHED!$C76,IF(MATCHED!BH76=3,MATCHED!$D76,IF(MATCHED!BH76=4,MATCHED!$E76,IF(MATCHED!BH76=3,MATCHED!$F76,IF(MATCHED!BH76=6,MATCHED!$G76,IF(MATCHED!BH76=7,MATCHED!$H76,"")))))))&amp;IF(MATCHED!BH76=8,MATCHED!$I76,IF(MATCHED!BH76=9,MATCHED!$J76,IF(MATCHED!BH76=10,MATCHED!$K76,IF(MATCHED!BH76=11,MATCHED!$L76,IF(MATCHED!BH76=12,MATCHED!$M76,IF(MATCHED!BH76=13,MATCHED!$N76,IF(MATCHED!BH76=14,MATCHED!$O76,"")))))))&amp;IF(MATCHED!BH76=15,MATCHED!$P76,IF(MATCHED!BH76=16,MATCHED!$Q76,IF(MATCHED!BH76=17,MATCHED!$R76,IF(MATCHED!BH76=18,MATCHED!$S76,IF(MATCHED!BH76=19,MATCHED!$T76,IF(MATCHED!BH76=20,MATCHED!$U76,IF(MATCHED!BH76=21,MATCHED!$V76,)))))))&amp;IF(MATCHED!BH76=22,MATCHED!$W76,IF(MATCHED!BH76=23,MATCHED!$X76,IF(MATCHED!BH76=24,MATCHED!$Y76,IF(MATCHED!BH76=25,MATCHED!$Z76,IF(MATCHED!BH76=26,MATCHED!$AA76,IF(MATCHED!BH76=27,MATCHED!$AB76,"."))))))</f>
        <v>#N/A</v>
      </c>
      <c r="AG76" s="423" t="e">
        <f>IF(MATCHED!BI76=1,MATCHED!$B76,IF(MATCHED!BI76=2,MATCHED!$C76,IF(MATCHED!BI76=3,MATCHED!$D76,IF(MATCHED!BI76=4,MATCHED!$E76,IF(MATCHED!BI76=3,MATCHED!$F76,IF(MATCHED!BI76=6,MATCHED!$G76,IF(MATCHED!BI76=7,MATCHED!$H76,"")))))))&amp;IF(MATCHED!BI76=8,MATCHED!$I76,IF(MATCHED!BI76=9,MATCHED!$J76,IF(MATCHED!BI76=10,MATCHED!$K76,IF(MATCHED!BI76=11,MATCHED!$L76,IF(MATCHED!BI76=12,MATCHED!$M76,IF(MATCHED!BI76=13,MATCHED!$N76,IF(MATCHED!BI76=14,MATCHED!$O76,"")))))))&amp;IF(MATCHED!BI76=15,MATCHED!$P76,IF(MATCHED!BI76=16,MATCHED!$Q76,IF(MATCHED!BI76=17,MATCHED!$R76,IF(MATCHED!BI76=18,MATCHED!$S76,IF(MATCHED!BI76=19,MATCHED!$T76,IF(MATCHED!BI76=20,MATCHED!$U76,IF(MATCHED!BI76=21,MATCHED!$V76,)))))))&amp;IF(MATCHED!BI76=22,MATCHED!$W76,IF(MATCHED!BI76=23,MATCHED!$X76,IF(MATCHED!BI76=24,MATCHED!$Y76,IF(MATCHED!BI76=25,MATCHED!$Z76,IF(MATCHED!BI76=26,MATCHED!$AA76,IF(MATCHED!BI76=27,MATCHED!$AB76,"."))))))</f>
        <v>#N/A</v>
      </c>
      <c r="AH76" s="423" t="e">
        <f>IF(MATCHED!BJ76=1,MATCHED!$B76,IF(MATCHED!BJ76=2,MATCHED!$C76,IF(MATCHED!BJ76=3,MATCHED!$D76,IF(MATCHED!BJ76=4,MATCHED!$E76,IF(MATCHED!BJ76=3,MATCHED!$F76,IF(MATCHED!BJ76=6,MATCHED!$G76,IF(MATCHED!BJ76=7,MATCHED!$H76,"")))))))&amp;IF(MATCHED!BJ76=8,MATCHED!$I76,IF(MATCHED!BJ76=9,MATCHED!$J76,IF(MATCHED!BJ76=10,MATCHED!$K76,IF(MATCHED!BJ76=11,MATCHED!$L76,IF(MATCHED!BJ76=12,MATCHED!$M76,IF(MATCHED!BJ76=13,MATCHED!$N76,IF(MATCHED!BJ76=14,MATCHED!$O76,"")))))))&amp;IF(MATCHED!BJ76=15,MATCHED!$P76,IF(MATCHED!BJ76=16,MATCHED!$Q76,IF(MATCHED!BJ76=17,MATCHED!$R76,IF(MATCHED!BJ76=18,MATCHED!$S76,IF(MATCHED!BJ76=19,MATCHED!$T76,IF(MATCHED!BJ76=20,MATCHED!$U76,IF(MATCHED!BJ76=21,MATCHED!$V76,)))))))&amp;IF(MATCHED!BJ76=22,MATCHED!$W76,IF(MATCHED!BJ76=23,MATCHED!$X76,IF(MATCHED!BJ76=24,MATCHED!$Y76,IF(MATCHED!BJ76=25,MATCHED!$Z76,IF(MATCHED!BJ76=26,MATCHED!$AA76,IF(MATCHED!BJ76=27,MATCHED!$AB76,"."))))))</f>
        <v>#N/A</v>
      </c>
      <c r="AI76" s="423" t="e">
        <f>IF(MATCHED!BK76=1,MATCHED!$B76,IF(MATCHED!BK76=2,MATCHED!$C76,IF(MATCHED!BK76=3,MATCHED!$D76,IF(MATCHED!BK76=4,MATCHED!$E76,IF(MATCHED!BK76=3,MATCHED!$F76,IF(MATCHED!BK76=6,MATCHED!$G76,IF(MATCHED!BK76=7,MATCHED!$H76,"")))))))&amp;IF(MATCHED!BK76=8,MATCHED!$I76,IF(MATCHED!BK76=9,MATCHED!$J76,IF(MATCHED!BK76=10,MATCHED!$K76,IF(MATCHED!BK76=11,MATCHED!$L76,IF(MATCHED!BK76=12,MATCHED!$M76,IF(MATCHED!BK76=13,MATCHED!$N76,IF(MATCHED!BK76=14,MATCHED!$O76,"")))))))&amp;IF(MATCHED!BK76=15,MATCHED!$P76,IF(MATCHED!BK76=16,MATCHED!$Q76,IF(MATCHED!BK76=17,MATCHED!$R76,IF(MATCHED!BK76=18,MATCHED!$S76,IF(MATCHED!BK76=19,MATCHED!$T76,IF(MATCHED!BK76=20,MATCHED!$U76,IF(MATCHED!BK76=21,MATCHED!$V76,)))))))&amp;IF(MATCHED!BK76=22,MATCHED!$W76,IF(MATCHED!BK76=23,MATCHED!$X76,IF(MATCHED!BK76=24,MATCHED!$Y76,IF(MATCHED!BK76=25,MATCHED!$Z76,IF(MATCHED!BK76=26,MATCHED!$AA76,IF(MATCHED!BK76=27,MATCHED!$AB76,"."))))))</f>
        <v>#N/A</v>
      </c>
      <c r="AJ76" s="542"/>
    </row>
    <row r="77" spans="1:36" s="338" customFormat="1" x14ac:dyDescent="0.25">
      <c r="A77" s="542"/>
      <c r="B77" s="423" t="e">
        <f>IF(MATCHED!AD77=1,MATCHED!$B77,IF(MATCHED!AD77=2,MATCHED!$C77,IF(MATCHED!AD77=3,MATCHED!$D77,IF(MATCHED!AD77=4,MATCHED!$E77,IF(MATCHED!AD77=3,MATCHED!$F77,IF(MATCHED!AD77=6,MATCHED!$G77,IF(MATCHED!AD77=7,MATCHED!$H77,"")))))))&amp;IF(MATCHED!AD77=8,MATCHED!$I77,IF(MATCHED!AD77=9,MATCHED!$J77,IF(MATCHED!AD77=10,MATCHED!$K77,IF(MATCHED!AD77=11,MATCHED!$L77,IF(MATCHED!AD77=12,MATCHED!$M77,IF(MATCHED!AD77=13,MATCHED!$N77,IF(MATCHED!AD77=14,MATCHED!$O77,"")))))))&amp;IF(MATCHED!AD77=15,MATCHED!$P77,IF(MATCHED!AD77=16,MATCHED!$Q77,IF(MATCHED!AD77=17,MATCHED!$R77,IF(MATCHED!AD77=18,MATCHED!$S77,IF(MATCHED!AD77=19,MATCHED!$T77,IF(MATCHED!AD77=20,MATCHED!$U77,IF(MATCHED!AD77=21,MATCHED!$V77,)))))))&amp;IF(MATCHED!AD77=22,MATCHED!$W77,IF(MATCHED!AD77=23,MATCHED!$X77,IF(MATCHED!AD77=24,MATCHED!$Y77,IF(MATCHED!AD77=25,MATCHED!$Z77,IF(MATCHED!AD77=26,MATCHED!$AA77,IF(MATCHED!AD77=27,MATCHED!$AB77,"."))))))</f>
        <v>#N/A</v>
      </c>
      <c r="C77" s="423" t="e">
        <f>IF(MATCHED!AE77=1,MATCHED!$B77,IF(MATCHED!AE77=2,MATCHED!$C77,IF(MATCHED!AE77=3,MATCHED!$D77,IF(MATCHED!AE77=4,MATCHED!$E77,IF(MATCHED!AE77=3,MATCHED!$F77,IF(MATCHED!AE77=6,MATCHED!$G77,IF(MATCHED!AE77=7,MATCHED!$H77,"")))))))&amp;IF(MATCHED!AE77=8,MATCHED!$I77,IF(MATCHED!AE77=9,MATCHED!$J77,IF(MATCHED!AE77=10,MATCHED!$K77,IF(MATCHED!AE77=11,MATCHED!$L77,IF(MATCHED!AE77=12,MATCHED!$M77,IF(MATCHED!AE77=13,MATCHED!$N77,IF(MATCHED!AE77=14,MATCHED!$O77,"")))))))&amp;IF(MATCHED!AE77=15,MATCHED!$P77,IF(MATCHED!AE77=16,MATCHED!$Q77,IF(MATCHED!AE77=17,MATCHED!$R77,IF(MATCHED!AE77=18,MATCHED!$S77,IF(MATCHED!AE77=19,MATCHED!$T77,IF(MATCHED!AE77=20,MATCHED!$U77,IF(MATCHED!AE77=21,MATCHED!$V77,)))))))&amp;IF(MATCHED!AE77=22,MATCHED!$W77,IF(MATCHED!AE77=23,MATCHED!$X77,IF(MATCHED!AE77=24,MATCHED!$Y77,IF(MATCHED!AE77=25,MATCHED!$Z77,IF(MATCHED!AE77=26,MATCHED!$AA77,IF(MATCHED!AE77=27,MATCHED!$AB77,"."))))))</f>
        <v>#N/A</v>
      </c>
      <c r="D77" s="423" t="e">
        <f>IF(MATCHED!AF77=1,MATCHED!$B77,IF(MATCHED!AF77=2,MATCHED!$C77,IF(MATCHED!AF77=3,MATCHED!$D77,IF(MATCHED!AF77=4,MATCHED!$E77,IF(MATCHED!AF77=3,MATCHED!$F77,IF(MATCHED!AF77=6,MATCHED!$G77,IF(MATCHED!AF77=7,MATCHED!$H77,"")))))))&amp;IF(MATCHED!AF77=8,MATCHED!$I77,IF(MATCHED!AF77=9,MATCHED!$J77,IF(MATCHED!AF77=10,MATCHED!$K77,IF(MATCHED!AF77=11,MATCHED!$L77,IF(MATCHED!AF77=12,MATCHED!$M77,IF(MATCHED!AF77=13,MATCHED!$N77,IF(MATCHED!AF77=14,MATCHED!$O77,"")))))))&amp;IF(MATCHED!AF77=15,MATCHED!$P77,IF(MATCHED!AF77=16,MATCHED!$Q77,IF(MATCHED!AF77=17,MATCHED!$R77,IF(MATCHED!AF77=18,MATCHED!$S77,IF(MATCHED!AF77=19,MATCHED!$T77,IF(MATCHED!AF77=20,MATCHED!$U77,IF(MATCHED!AF77=21,MATCHED!$V77,)))))))&amp;IF(MATCHED!AF77=22,MATCHED!$W77,IF(MATCHED!AF77=23,MATCHED!$X77,IF(MATCHED!AF77=24,MATCHED!$Y77,IF(MATCHED!AF77=25,MATCHED!$Z77,IF(MATCHED!AF77=26,MATCHED!$AA77,IF(MATCHED!AF77=27,MATCHED!$AB77,"."))))))</f>
        <v>#N/A</v>
      </c>
      <c r="E77" s="423" t="e">
        <f>IF(MATCHED!AG77=1,MATCHED!$B77,IF(MATCHED!AG77=2,MATCHED!$C77,IF(MATCHED!AG77=3,MATCHED!$D77,IF(MATCHED!AG77=4,MATCHED!$E77,IF(MATCHED!AG77=3,MATCHED!$F77,IF(MATCHED!AG77=6,MATCHED!$G77,IF(MATCHED!AG77=7,MATCHED!$H77,"")))))))&amp;IF(MATCHED!AG77=8,MATCHED!$I77,IF(MATCHED!AG77=9,MATCHED!$J77,IF(MATCHED!AG77=10,MATCHED!$K77,IF(MATCHED!AG77=11,MATCHED!$L77,IF(MATCHED!AG77=12,MATCHED!$M77,IF(MATCHED!AG77=13,MATCHED!$N77,IF(MATCHED!AG77=14,MATCHED!$O77,"")))))))&amp;IF(MATCHED!AG77=15,MATCHED!$P77,IF(MATCHED!AG77=16,MATCHED!$Q77,IF(MATCHED!AG77=17,MATCHED!$R77,IF(MATCHED!AG77=18,MATCHED!$S77,IF(MATCHED!AG77=19,MATCHED!$T77,IF(MATCHED!AG77=20,MATCHED!$U77,IF(MATCHED!AG77=21,MATCHED!$V77,)))))))&amp;IF(MATCHED!AG77=22,MATCHED!$W77,IF(MATCHED!AG77=23,MATCHED!$X77,IF(MATCHED!AG77=24,MATCHED!$Y77,IF(MATCHED!AG77=25,MATCHED!$Z77,IF(MATCHED!AG77=26,MATCHED!$AA77,IF(MATCHED!AG77=27,MATCHED!$AB77,"."))))))</f>
        <v>#N/A</v>
      </c>
      <c r="F77" s="423" t="e">
        <f>IF(MATCHED!AH77=1,MATCHED!$B77,IF(MATCHED!AH77=2,MATCHED!$C77,IF(MATCHED!AH77=3,MATCHED!$D77,IF(MATCHED!AH77=4,MATCHED!$E77,IF(MATCHED!AH77=3,MATCHED!$F77,IF(MATCHED!AH77=6,MATCHED!$G77,IF(MATCHED!AH77=7,MATCHED!$H77,"")))))))&amp;IF(MATCHED!AH77=8,MATCHED!$I77,IF(MATCHED!AH77=9,MATCHED!$J77,IF(MATCHED!AH77=10,MATCHED!$K77,IF(MATCHED!AH77=11,MATCHED!$L77,IF(MATCHED!AH77=12,MATCHED!$M77,IF(MATCHED!AH77=13,MATCHED!$N77,IF(MATCHED!AH77=14,MATCHED!$O77,"")))))))&amp;IF(MATCHED!AH77=15,MATCHED!$P77,IF(MATCHED!AH77=16,MATCHED!$Q77,IF(MATCHED!AH77=17,MATCHED!$R77,IF(MATCHED!AH77=18,MATCHED!$S77,IF(MATCHED!AH77=19,MATCHED!$T77,IF(MATCHED!AH77=20,MATCHED!$U77,IF(MATCHED!AH77=21,MATCHED!$V77,)))))))&amp;IF(MATCHED!AH77=22,MATCHED!$W77,IF(MATCHED!AH77=23,MATCHED!$X77,IF(MATCHED!AH77=24,MATCHED!$Y77,IF(MATCHED!AH77=25,MATCHED!$Z77,IF(MATCHED!AH77=26,MATCHED!$AA77,IF(MATCHED!AH77=27,MATCHED!$AB77,"."))))))</f>
        <v>#N/A</v>
      </c>
      <c r="G77" s="423" t="e">
        <f>IF(MATCHED!AI77=1,MATCHED!$B77,IF(MATCHED!AI77=2,MATCHED!$C77,IF(MATCHED!AI77=3,MATCHED!$D77,IF(MATCHED!AI77=4,MATCHED!$E77,IF(MATCHED!AI77=3,MATCHED!$F77,IF(MATCHED!AI77=6,MATCHED!$G77,IF(MATCHED!AI77=7,MATCHED!$H77,"")))))))&amp;IF(MATCHED!AI77=8,MATCHED!$I77,IF(MATCHED!AI77=9,MATCHED!$J77,IF(MATCHED!AI77=10,MATCHED!$K77,IF(MATCHED!AI77=11,MATCHED!$L77,IF(MATCHED!AI77=12,MATCHED!$M77,IF(MATCHED!AI77=13,MATCHED!$N77,IF(MATCHED!AI77=14,MATCHED!$O77,"")))))))&amp;IF(MATCHED!AI77=15,MATCHED!$P77,IF(MATCHED!AI77=16,MATCHED!$Q77,IF(MATCHED!AI77=17,MATCHED!$R77,IF(MATCHED!AI77=18,MATCHED!$S77,IF(MATCHED!AI77=19,MATCHED!$T77,IF(MATCHED!AI77=20,MATCHED!$U77,IF(MATCHED!AI77=21,MATCHED!$V77,)))))))&amp;IF(MATCHED!AI77=22,MATCHED!$W77,IF(MATCHED!AI77=23,MATCHED!$X77,IF(MATCHED!AI77=24,MATCHED!$Y77,IF(MATCHED!AI77=25,MATCHED!$Z77,IF(MATCHED!AI77=26,MATCHED!$AA77,IF(MATCHED!AI77=27,MATCHED!$AB77,"."))))))</f>
        <v>#N/A</v>
      </c>
      <c r="H77" s="423" t="e">
        <f>IF(MATCHED!AJ77=1,MATCHED!$B77,IF(MATCHED!AJ77=2,MATCHED!$C77,IF(MATCHED!AJ77=3,MATCHED!$D77,IF(MATCHED!AJ77=4,MATCHED!$E77,IF(MATCHED!AJ77=3,MATCHED!$F77,IF(MATCHED!AJ77=6,MATCHED!$G77,IF(MATCHED!AJ77=7,MATCHED!$H77,"")))))))&amp;IF(MATCHED!AJ77=8,MATCHED!$I77,IF(MATCHED!AJ77=9,MATCHED!$J77,IF(MATCHED!AJ77=10,MATCHED!$K77,IF(MATCHED!AJ77=11,MATCHED!$L77,IF(MATCHED!AJ77=12,MATCHED!$M77,IF(MATCHED!AJ77=13,MATCHED!$N77,IF(MATCHED!AJ77=14,MATCHED!$O77,"")))))))&amp;IF(MATCHED!AJ77=15,MATCHED!$P77,IF(MATCHED!AJ77=16,MATCHED!$Q77,IF(MATCHED!AJ77=17,MATCHED!$R77,IF(MATCHED!AJ77=18,MATCHED!$S77,IF(MATCHED!AJ77=19,MATCHED!$T77,IF(MATCHED!AJ77=20,MATCHED!$U77,IF(MATCHED!AJ77=21,MATCHED!$V77,)))))))&amp;IF(MATCHED!AJ77=22,MATCHED!$W77,IF(MATCHED!AJ77=23,MATCHED!$X77,IF(MATCHED!AJ77=24,MATCHED!$Y77,IF(MATCHED!AJ77=25,MATCHED!$Z77,IF(MATCHED!AJ77=26,MATCHED!$AA77,IF(MATCHED!AJ77=27,MATCHED!$AB77,"."))))))</f>
        <v>#N/A</v>
      </c>
      <c r="I77" s="423" t="e">
        <f>IF(MATCHED!AK77=1,MATCHED!$B77,IF(MATCHED!AK77=2,MATCHED!$C77,IF(MATCHED!AK77=3,MATCHED!$D77,IF(MATCHED!AK77=4,MATCHED!$E77,IF(MATCHED!AK77=3,MATCHED!$F77,IF(MATCHED!AK77=6,MATCHED!$G77,IF(MATCHED!AK77=7,MATCHED!$H77,"")))))))&amp;IF(MATCHED!AK77=8,MATCHED!$I77,IF(MATCHED!AK77=9,MATCHED!$J77,IF(MATCHED!AK77=10,MATCHED!$K77,IF(MATCHED!AK77=11,MATCHED!$L77,IF(MATCHED!AK77=12,MATCHED!$M77,IF(MATCHED!AK77=13,MATCHED!$N77,IF(MATCHED!AK77=14,MATCHED!$O77,"")))))))&amp;IF(MATCHED!AK77=15,MATCHED!$P77,IF(MATCHED!AK77=16,MATCHED!$Q77,IF(MATCHED!AK77=17,MATCHED!$R77,IF(MATCHED!AK77=18,MATCHED!$S77,IF(MATCHED!AK77=19,MATCHED!$T77,IF(MATCHED!AK77=20,MATCHED!$U77,IF(MATCHED!AK77=21,MATCHED!$V77,)))))))&amp;IF(MATCHED!AK77=22,MATCHED!$W77,IF(MATCHED!AK77=23,MATCHED!$X77,IF(MATCHED!AK77=24,MATCHED!$Y77,IF(MATCHED!AK77=25,MATCHED!$Z77,IF(MATCHED!AK77=26,MATCHED!$AA77,IF(MATCHED!AK77=27,MATCHED!$AB77,"."))))))</f>
        <v>#N/A</v>
      </c>
      <c r="J77" s="423" t="e">
        <f>IF(MATCHED!AL77=1,MATCHED!$B77,IF(MATCHED!AL77=2,MATCHED!$C77,IF(MATCHED!AL77=3,MATCHED!$D77,IF(MATCHED!AL77=4,MATCHED!$E77,IF(MATCHED!AL77=3,MATCHED!$F77,IF(MATCHED!AL77=6,MATCHED!$G77,IF(MATCHED!AL77=7,MATCHED!$H77,"")))))))&amp;IF(MATCHED!AL77=8,MATCHED!$I77,IF(MATCHED!AL77=9,MATCHED!$J77,IF(MATCHED!AL77=10,MATCHED!$K77,IF(MATCHED!AL77=11,MATCHED!$L77,IF(MATCHED!AL77=12,MATCHED!$M77,IF(MATCHED!AL77=13,MATCHED!$N77,IF(MATCHED!AL77=14,MATCHED!$O77,"")))))))&amp;IF(MATCHED!AL77=15,MATCHED!$P77,IF(MATCHED!AL77=16,MATCHED!$Q77,IF(MATCHED!AL77=17,MATCHED!$R77,IF(MATCHED!AL77=18,MATCHED!$S77,IF(MATCHED!AL77=19,MATCHED!$T77,IF(MATCHED!AL77=20,MATCHED!$U77,IF(MATCHED!AL77=21,MATCHED!$V77,)))))))&amp;IF(MATCHED!AL77=22,MATCHED!$W77,IF(MATCHED!AL77=23,MATCHED!$X77,IF(MATCHED!AL77=24,MATCHED!$Y77,IF(MATCHED!AL77=25,MATCHED!$Z77,IF(MATCHED!AL77=26,MATCHED!$AA77,IF(MATCHED!AL77=27,MATCHED!$AB77,"."))))))</f>
        <v>#N/A</v>
      </c>
      <c r="K77" s="423" t="e">
        <f>IF(MATCHED!AM77=1,MATCHED!$B77,IF(MATCHED!AM77=2,MATCHED!$C77,IF(MATCHED!AM77=3,MATCHED!$D77,IF(MATCHED!AM77=4,MATCHED!$E77,IF(MATCHED!AM77=3,MATCHED!$F77,IF(MATCHED!AM77=6,MATCHED!$G77,IF(MATCHED!AM77=7,MATCHED!$H77,"")))))))&amp;IF(MATCHED!AM77=8,MATCHED!$I77,IF(MATCHED!AM77=9,MATCHED!$J77,IF(MATCHED!AM77=10,MATCHED!$K77,IF(MATCHED!AM77=11,MATCHED!$L77,IF(MATCHED!AM77=12,MATCHED!$M77,IF(MATCHED!AM77=13,MATCHED!$N77,IF(MATCHED!AM77=14,MATCHED!$O77,"")))))))&amp;IF(MATCHED!AM77=15,MATCHED!$P77,IF(MATCHED!AM77=16,MATCHED!$Q77,IF(MATCHED!AM77=17,MATCHED!$R77,IF(MATCHED!AM77=18,MATCHED!$S77,IF(MATCHED!AM77=19,MATCHED!$T77,IF(MATCHED!AM77=20,MATCHED!$U77,IF(MATCHED!AM77=21,MATCHED!$V77,)))))))&amp;IF(MATCHED!AM77=22,MATCHED!$W77,IF(MATCHED!AM77=23,MATCHED!$X77,IF(MATCHED!AM77=24,MATCHED!$Y77,IF(MATCHED!AM77=25,MATCHED!$Z77,IF(MATCHED!AM77=26,MATCHED!$AA77,IF(MATCHED!AM77=27,MATCHED!$AB77,"."))))))</f>
        <v>#N/A</v>
      </c>
      <c r="L77" s="423" t="e">
        <f>IF(MATCHED!AN77=1,MATCHED!$B77,IF(MATCHED!AN77=2,MATCHED!$C77,IF(MATCHED!AN77=3,MATCHED!$D77,IF(MATCHED!AN77=4,MATCHED!$E77,IF(MATCHED!AN77=3,MATCHED!$F77,IF(MATCHED!AN77=6,MATCHED!$G77,IF(MATCHED!AN77=7,MATCHED!$H77,"")))))))&amp;IF(MATCHED!AN77=8,MATCHED!$I77,IF(MATCHED!AN77=9,MATCHED!$J77,IF(MATCHED!AN77=10,MATCHED!$K77,IF(MATCHED!AN77=11,MATCHED!$L77,IF(MATCHED!AN77=12,MATCHED!$M77,IF(MATCHED!AN77=13,MATCHED!$N77,IF(MATCHED!AN77=14,MATCHED!$O77,"")))))))&amp;IF(MATCHED!AN77=15,MATCHED!$P77,IF(MATCHED!AN77=16,MATCHED!$Q77,IF(MATCHED!AN77=17,MATCHED!$R77,IF(MATCHED!AN77=18,MATCHED!$S77,IF(MATCHED!AN77=19,MATCHED!$T77,IF(MATCHED!AN77=20,MATCHED!$U77,IF(MATCHED!AN77=21,MATCHED!$V77,)))))))&amp;IF(MATCHED!AN77=22,MATCHED!$W77,IF(MATCHED!AN77=23,MATCHED!$X77,IF(MATCHED!AN77=24,MATCHED!$Y77,IF(MATCHED!AN77=25,MATCHED!$Z77,IF(MATCHED!AN77=26,MATCHED!$AA77,IF(MATCHED!AN77=27,MATCHED!$AB77,"."))))))</f>
        <v>#N/A</v>
      </c>
      <c r="M77" s="423" t="e">
        <f>IF(MATCHED!AO77=1,MATCHED!$B77,IF(MATCHED!AO77=2,MATCHED!$C77,IF(MATCHED!AO77=3,MATCHED!$D77,IF(MATCHED!AO77=4,MATCHED!$E77,IF(MATCHED!AO77=3,MATCHED!$F77,IF(MATCHED!AO77=6,MATCHED!$G77,IF(MATCHED!AO77=7,MATCHED!$H77,"")))))))&amp;IF(MATCHED!AO77=8,MATCHED!$I77,IF(MATCHED!AO77=9,MATCHED!$J77,IF(MATCHED!AO77=10,MATCHED!$K77,IF(MATCHED!AO77=11,MATCHED!$L77,IF(MATCHED!AO77=12,MATCHED!$M77,IF(MATCHED!AO77=13,MATCHED!$N77,IF(MATCHED!AO77=14,MATCHED!$O77,"")))))))&amp;IF(MATCHED!AO77=15,MATCHED!$P77,IF(MATCHED!AO77=16,MATCHED!$Q77,IF(MATCHED!AO77=17,MATCHED!$R77,IF(MATCHED!AO77=18,MATCHED!$S77,IF(MATCHED!AO77=19,MATCHED!$T77,IF(MATCHED!AO77=20,MATCHED!$U77,IF(MATCHED!AO77=21,MATCHED!$V77,)))))))&amp;IF(MATCHED!AO77=22,MATCHED!$W77,IF(MATCHED!AO77=23,MATCHED!$X77,IF(MATCHED!AO77=24,MATCHED!$Y77,IF(MATCHED!AO77=25,MATCHED!$Z77,IF(MATCHED!AO77=26,MATCHED!$AA77,IF(MATCHED!AO77=27,MATCHED!$AB77,"."))))))</f>
        <v>#N/A</v>
      </c>
      <c r="N77" s="423" t="e">
        <f>IF(MATCHED!AP77=1,MATCHED!$B77,IF(MATCHED!AP77=2,MATCHED!$C77,IF(MATCHED!AP77=3,MATCHED!$D77,IF(MATCHED!AP77=4,MATCHED!$E77,IF(MATCHED!AP77=3,MATCHED!$F77,IF(MATCHED!AP77=6,MATCHED!$G77,IF(MATCHED!AP77=7,MATCHED!$H77,"")))))))&amp;IF(MATCHED!AP77=8,MATCHED!$I77,IF(MATCHED!AP77=9,MATCHED!$J77,IF(MATCHED!AP77=10,MATCHED!$K77,IF(MATCHED!AP77=11,MATCHED!$L77,IF(MATCHED!AP77=12,MATCHED!$M77,IF(MATCHED!AP77=13,MATCHED!$N77,IF(MATCHED!AP77=14,MATCHED!$O77,"")))))))&amp;IF(MATCHED!AP77=15,MATCHED!$P77,IF(MATCHED!AP77=16,MATCHED!$Q77,IF(MATCHED!AP77=17,MATCHED!$R77,IF(MATCHED!AP77=18,MATCHED!$S77,IF(MATCHED!AP77=19,MATCHED!$T77,IF(MATCHED!AP77=20,MATCHED!$U77,IF(MATCHED!AP77=21,MATCHED!$V77,)))))))&amp;IF(MATCHED!AP77=22,MATCHED!$W77,IF(MATCHED!AP77=23,MATCHED!$X77,IF(MATCHED!AP77=24,MATCHED!$Y77,IF(MATCHED!AP77=25,MATCHED!$Z77,IF(MATCHED!AP77=26,MATCHED!$AA77,IF(MATCHED!AP77=27,MATCHED!$AB77,"."))))))</f>
        <v>#N/A</v>
      </c>
      <c r="O77" s="423" t="e">
        <f>IF(MATCHED!AQ77=1,MATCHED!$B77,IF(MATCHED!AQ77=2,MATCHED!$C77,IF(MATCHED!AQ77=3,MATCHED!$D77,IF(MATCHED!AQ77=4,MATCHED!$E77,IF(MATCHED!AQ77=3,MATCHED!$F77,IF(MATCHED!AQ77=6,MATCHED!$G77,IF(MATCHED!AQ77=7,MATCHED!$H77,"")))))))&amp;IF(MATCHED!AQ77=8,MATCHED!$I77,IF(MATCHED!AQ77=9,MATCHED!$J77,IF(MATCHED!AQ77=10,MATCHED!$K77,IF(MATCHED!AQ77=11,MATCHED!$L77,IF(MATCHED!AQ77=12,MATCHED!$M77,IF(MATCHED!AQ77=13,MATCHED!$N77,IF(MATCHED!AQ77=14,MATCHED!$O77,"")))))))&amp;IF(MATCHED!AQ77=15,MATCHED!$P77,IF(MATCHED!AQ77=16,MATCHED!$Q77,IF(MATCHED!AQ77=17,MATCHED!$R77,IF(MATCHED!AQ77=18,MATCHED!$S77,IF(MATCHED!AQ77=19,MATCHED!$T77,IF(MATCHED!AQ77=20,MATCHED!$U77,IF(MATCHED!AQ77=21,MATCHED!$V77,)))))))&amp;IF(MATCHED!AQ77=22,MATCHED!$W77,IF(MATCHED!AQ77=23,MATCHED!$X77,IF(MATCHED!AQ77=24,MATCHED!$Y77,IF(MATCHED!AQ77=25,MATCHED!$Z77,IF(MATCHED!AQ77=26,MATCHED!$AA77,IF(MATCHED!AQ77=27,MATCHED!$AB77,"."))))))</f>
        <v>#N/A</v>
      </c>
      <c r="P77" s="423" t="e">
        <f>IF(MATCHED!AR77=1,MATCHED!$B77,IF(MATCHED!AR77=2,MATCHED!$C77,IF(MATCHED!AR77=3,MATCHED!$D77,IF(MATCHED!AR77=4,MATCHED!$E77,IF(MATCHED!AR77=3,MATCHED!$F77,IF(MATCHED!AR77=6,MATCHED!$G77,IF(MATCHED!AR77=7,MATCHED!$H77,"")))))))&amp;IF(MATCHED!AR77=8,MATCHED!$I77,IF(MATCHED!AR77=9,MATCHED!$J77,IF(MATCHED!AR77=10,MATCHED!$K77,IF(MATCHED!AR77=11,MATCHED!$L77,IF(MATCHED!AR77=12,MATCHED!$M77,IF(MATCHED!AR77=13,MATCHED!$N77,IF(MATCHED!AR77=14,MATCHED!$O77,"")))))))&amp;IF(MATCHED!AR77=15,MATCHED!$P77,IF(MATCHED!AR77=16,MATCHED!$Q77,IF(MATCHED!AR77=17,MATCHED!$R77,IF(MATCHED!AR77=18,MATCHED!$S77,IF(MATCHED!AR77=19,MATCHED!$T77,IF(MATCHED!AR77=20,MATCHED!$U77,IF(MATCHED!AR77=21,MATCHED!$V77,)))))))&amp;IF(MATCHED!AR77=22,MATCHED!$W77,IF(MATCHED!AR77=23,MATCHED!$X77,IF(MATCHED!AR77=24,MATCHED!$Y77,IF(MATCHED!AR77=25,MATCHED!$Z77,IF(MATCHED!AR77=26,MATCHED!$AA77,IF(MATCHED!AR77=27,MATCHED!$AB77,"."))))))</f>
        <v>#N/A</v>
      </c>
      <c r="Q77" s="423" t="e">
        <f>IF(MATCHED!AS77=1,MATCHED!$B77,IF(MATCHED!AS77=2,MATCHED!$C77,IF(MATCHED!AS77=3,MATCHED!$D77,IF(MATCHED!AS77=4,MATCHED!$E77,IF(MATCHED!AS77=3,MATCHED!$F77,IF(MATCHED!AS77=6,MATCHED!$G77,IF(MATCHED!AS77=7,MATCHED!$H77,"")))))))&amp;IF(MATCHED!AS77=8,MATCHED!$I77,IF(MATCHED!AS77=9,MATCHED!$J77,IF(MATCHED!AS77=10,MATCHED!$K77,IF(MATCHED!AS77=11,MATCHED!$L77,IF(MATCHED!AS77=12,MATCHED!$M77,IF(MATCHED!AS77=13,MATCHED!$N77,IF(MATCHED!AS77=14,MATCHED!$O77,"")))))))&amp;IF(MATCHED!AS77=15,MATCHED!$P77,IF(MATCHED!AS77=16,MATCHED!$Q77,IF(MATCHED!AS77=17,MATCHED!$R77,IF(MATCHED!AS77=18,MATCHED!$S77,IF(MATCHED!AS77=19,MATCHED!$T77,IF(MATCHED!AS77=20,MATCHED!$U77,IF(MATCHED!AS77=21,MATCHED!$V77,)))))))&amp;IF(MATCHED!AS77=22,MATCHED!$W77,IF(MATCHED!AS77=23,MATCHED!$X77,IF(MATCHED!AS77=24,MATCHED!$Y77,IF(MATCHED!AS77=25,MATCHED!$Z77,IF(MATCHED!AS77=26,MATCHED!$AA77,IF(MATCHED!AS77=27,MATCHED!$AB77,"."))))))</f>
        <v>#N/A</v>
      </c>
      <c r="R77" s="423" t="e">
        <f>IF(MATCHED!AT77=1,MATCHED!$B77,IF(MATCHED!AT77=2,MATCHED!$C77,IF(MATCHED!AT77=3,MATCHED!$D77,IF(MATCHED!AT77=4,MATCHED!$E77,IF(MATCHED!AT77=3,MATCHED!$F77,IF(MATCHED!AT77=6,MATCHED!$G77,IF(MATCHED!AT77=7,MATCHED!$H77,"")))))))&amp;IF(MATCHED!AT77=8,MATCHED!$I77,IF(MATCHED!AT77=9,MATCHED!$J77,IF(MATCHED!AT77=10,MATCHED!$K77,IF(MATCHED!AT77=11,MATCHED!$L77,IF(MATCHED!AT77=12,MATCHED!$M77,IF(MATCHED!AT77=13,MATCHED!$N77,IF(MATCHED!AT77=14,MATCHED!$O77,"")))))))&amp;IF(MATCHED!AT77=15,MATCHED!$P77,IF(MATCHED!AT77=16,MATCHED!$Q77,IF(MATCHED!AT77=17,MATCHED!$R77,IF(MATCHED!AT77=18,MATCHED!$S77,IF(MATCHED!AT77=19,MATCHED!$T77,IF(MATCHED!AT77=20,MATCHED!$U77,IF(MATCHED!AT77=21,MATCHED!$V77,)))))))&amp;IF(MATCHED!AT77=22,MATCHED!$W77,IF(MATCHED!AT77=23,MATCHED!$X77,IF(MATCHED!AT77=24,MATCHED!$Y77,IF(MATCHED!AT77=25,MATCHED!$Z77,IF(MATCHED!AT77=26,MATCHED!$AA77,IF(MATCHED!AT77=27,MATCHED!$AB77,"."))))))</f>
        <v>#N/A</v>
      </c>
      <c r="S77" s="423" t="e">
        <f>IF(MATCHED!AU77=1,MATCHED!$B77,IF(MATCHED!AU77=2,MATCHED!$C77,IF(MATCHED!AU77=3,MATCHED!$D77,IF(MATCHED!AU77=4,MATCHED!$E77,IF(MATCHED!AU77=3,MATCHED!$F77,IF(MATCHED!AU77=6,MATCHED!$G77,IF(MATCHED!AU77=7,MATCHED!$H77,"")))))))&amp;IF(MATCHED!AU77=8,MATCHED!$I77,IF(MATCHED!AU77=9,MATCHED!$J77,IF(MATCHED!AU77=10,MATCHED!$K77,IF(MATCHED!AU77=11,MATCHED!$L77,IF(MATCHED!AU77=12,MATCHED!$M77,IF(MATCHED!AU77=13,MATCHED!$N77,IF(MATCHED!AU77=14,MATCHED!$O77,"")))))))&amp;IF(MATCHED!AU77=15,MATCHED!$P77,IF(MATCHED!AU77=16,MATCHED!$Q77,IF(MATCHED!AU77=17,MATCHED!$R77,IF(MATCHED!AU77=18,MATCHED!$S77,IF(MATCHED!AU77=19,MATCHED!$T77,IF(MATCHED!AU77=20,MATCHED!$U77,IF(MATCHED!AU77=21,MATCHED!$V77,)))))))&amp;IF(MATCHED!AU77=22,MATCHED!$W77,IF(MATCHED!AU77=23,MATCHED!$X77,IF(MATCHED!AU77=24,MATCHED!$Y77,IF(MATCHED!AU77=25,MATCHED!$Z77,IF(MATCHED!AU77=26,MATCHED!$AA77,IF(MATCHED!AU77=27,MATCHED!$AB77,"."))))))</f>
        <v>#N/A</v>
      </c>
      <c r="T77" s="423" t="e">
        <f>IF(MATCHED!AV77=1,MATCHED!$B77,IF(MATCHED!AV77=2,MATCHED!$C77,IF(MATCHED!AV77=3,MATCHED!$D77,IF(MATCHED!AV77=4,MATCHED!$E77,IF(MATCHED!AV77=3,MATCHED!$F77,IF(MATCHED!AV77=6,MATCHED!$G77,IF(MATCHED!AV77=7,MATCHED!$H77,"")))))))&amp;IF(MATCHED!AV77=8,MATCHED!$I77,IF(MATCHED!AV77=9,MATCHED!$J77,IF(MATCHED!AV77=10,MATCHED!$K77,IF(MATCHED!AV77=11,MATCHED!$L77,IF(MATCHED!AV77=12,MATCHED!$M77,IF(MATCHED!AV77=13,MATCHED!$N77,IF(MATCHED!AV77=14,MATCHED!$O77,"")))))))&amp;IF(MATCHED!AV77=15,MATCHED!$P77,IF(MATCHED!AV77=16,MATCHED!$Q77,IF(MATCHED!AV77=17,MATCHED!$R77,IF(MATCHED!AV77=18,MATCHED!$S77,IF(MATCHED!AV77=19,MATCHED!$T77,IF(MATCHED!AV77=20,MATCHED!$U77,IF(MATCHED!AV77=21,MATCHED!$V77,)))))))&amp;IF(MATCHED!AV77=22,MATCHED!$W77,IF(MATCHED!AV77=23,MATCHED!$X77,IF(MATCHED!AV77=24,MATCHED!$Y77,IF(MATCHED!AV77=25,MATCHED!$Z77,IF(MATCHED!AV77=26,MATCHED!$AA77,IF(MATCHED!AV77=27,MATCHED!$AB77,"."))))))</f>
        <v>#N/A</v>
      </c>
      <c r="U77" s="423" t="e">
        <f>IF(MATCHED!AW77=1,MATCHED!$B77,IF(MATCHED!AW77=2,MATCHED!$C77,IF(MATCHED!AW77=3,MATCHED!$D77,IF(MATCHED!AW77=4,MATCHED!$E77,IF(MATCHED!AW77=3,MATCHED!$F77,IF(MATCHED!AW77=6,MATCHED!$G77,IF(MATCHED!AW77=7,MATCHED!$H77,"")))))))&amp;IF(MATCHED!AW77=8,MATCHED!$I77,IF(MATCHED!AW77=9,MATCHED!$J77,IF(MATCHED!AW77=10,MATCHED!$K77,IF(MATCHED!AW77=11,MATCHED!$L77,IF(MATCHED!AW77=12,MATCHED!$M77,IF(MATCHED!AW77=13,MATCHED!$N77,IF(MATCHED!AW77=14,MATCHED!$O77,"")))))))&amp;IF(MATCHED!AW77=15,MATCHED!$P77,IF(MATCHED!AW77=16,MATCHED!$Q77,IF(MATCHED!AW77=17,MATCHED!$R77,IF(MATCHED!AW77=18,MATCHED!$S77,IF(MATCHED!AW77=19,MATCHED!$T77,IF(MATCHED!AW77=20,MATCHED!$U77,IF(MATCHED!AW77=21,MATCHED!$V77,)))))))&amp;IF(MATCHED!AW77=22,MATCHED!$W77,IF(MATCHED!AW77=23,MATCHED!$X77,IF(MATCHED!AW77=24,MATCHED!$Y77,IF(MATCHED!AW77=25,MATCHED!$Z77,IF(MATCHED!AW77=26,MATCHED!$AA77,IF(MATCHED!AW77=27,MATCHED!$AB77,"."))))))</f>
        <v>#N/A</v>
      </c>
      <c r="V77" s="423" t="e">
        <f>IF(MATCHED!AX77=1,MATCHED!$B77,IF(MATCHED!AX77=2,MATCHED!$C77,IF(MATCHED!AX77=3,MATCHED!$D77,IF(MATCHED!AX77=4,MATCHED!$E77,IF(MATCHED!AX77=3,MATCHED!$F77,IF(MATCHED!AX77=6,MATCHED!$G77,IF(MATCHED!AX77=7,MATCHED!$H77,"")))))))&amp;IF(MATCHED!AX77=8,MATCHED!$I77,IF(MATCHED!AX77=9,MATCHED!$J77,IF(MATCHED!AX77=10,MATCHED!$K77,IF(MATCHED!AX77=11,MATCHED!$L77,IF(MATCHED!AX77=12,MATCHED!$M77,IF(MATCHED!AX77=13,MATCHED!$N77,IF(MATCHED!AX77=14,MATCHED!$O77,"")))))))&amp;IF(MATCHED!AX77=15,MATCHED!$P77,IF(MATCHED!AX77=16,MATCHED!$Q77,IF(MATCHED!AX77=17,MATCHED!$R77,IF(MATCHED!AX77=18,MATCHED!$S77,IF(MATCHED!AX77=19,MATCHED!$T77,IF(MATCHED!AX77=20,MATCHED!$U77,IF(MATCHED!AX77=21,MATCHED!$V77,)))))))&amp;IF(MATCHED!AX77=22,MATCHED!$W77,IF(MATCHED!AX77=23,MATCHED!$X77,IF(MATCHED!AX77=24,MATCHED!$Y77,IF(MATCHED!AX77=25,MATCHED!$Z77,IF(MATCHED!AX77=26,MATCHED!$AA77,IF(MATCHED!AX77=27,MATCHED!$AB77,"."))))))</f>
        <v>#N/A</v>
      </c>
      <c r="W77" s="423" t="e">
        <f>IF(MATCHED!AY77=1,MATCHED!$B77,IF(MATCHED!AY77=2,MATCHED!$C77,IF(MATCHED!AY77=3,MATCHED!$D77,IF(MATCHED!AY77=4,MATCHED!$E77,IF(MATCHED!AY77=3,MATCHED!$F77,IF(MATCHED!AY77=6,MATCHED!$G77,IF(MATCHED!AY77=7,MATCHED!$H77,"")))))))&amp;IF(MATCHED!AY77=8,MATCHED!$I77,IF(MATCHED!AY77=9,MATCHED!$J77,IF(MATCHED!AY77=10,MATCHED!$K77,IF(MATCHED!AY77=11,MATCHED!$L77,IF(MATCHED!AY77=12,MATCHED!$M77,IF(MATCHED!AY77=13,MATCHED!$N77,IF(MATCHED!AY77=14,MATCHED!$O77,"")))))))&amp;IF(MATCHED!AY77=15,MATCHED!$P77,IF(MATCHED!AY77=16,MATCHED!$Q77,IF(MATCHED!AY77=17,MATCHED!$R77,IF(MATCHED!AY77=18,MATCHED!$S77,IF(MATCHED!AY77=19,MATCHED!$T77,IF(MATCHED!AY77=20,MATCHED!$U77,IF(MATCHED!AY77=21,MATCHED!$V77,)))))))&amp;IF(MATCHED!AY77=22,MATCHED!$W77,IF(MATCHED!AY77=23,MATCHED!$X77,IF(MATCHED!AY77=24,MATCHED!$Y77,IF(MATCHED!AY77=25,MATCHED!$Z77,IF(MATCHED!AY77=26,MATCHED!$AA77,IF(MATCHED!AY77=27,MATCHED!$AB77,"."))))))</f>
        <v>#N/A</v>
      </c>
      <c r="X77" s="423" t="e">
        <f>IF(MATCHED!AZ77=1,MATCHED!$B77,IF(MATCHED!AZ77=2,MATCHED!$C77,IF(MATCHED!AZ77=3,MATCHED!$D77,IF(MATCHED!AZ77=4,MATCHED!$E77,IF(MATCHED!AZ77=3,MATCHED!$F77,IF(MATCHED!AZ77=6,MATCHED!$G77,IF(MATCHED!AZ77=7,MATCHED!$H77,"")))))))&amp;IF(MATCHED!AZ77=8,MATCHED!$I77,IF(MATCHED!AZ77=9,MATCHED!$J77,IF(MATCHED!AZ77=10,MATCHED!$K77,IF(MATCHED!AZ77=11,MATCHED!$L77,IF(MATCHED!AZ77=12,MATCHED!$M77,IF(MATCHED!AZ77=13,MATCHED!$N77,IF(MATCHED!AZ77=14,MATCHED!$O77,"")))))))&amp;IF(MATCHED!AZ77=15,MATCHED!$P77,IF(MATCHED!AZ77=16,MATCHED!$Q77,IF(MATCHED!AZ77=17,MATCHED!$R77,IF(MATCHED!AZ77=18,MATCHED!$S77,IF(MATCHED!AZ77=19,MATCHED!$T77,IF(MATCHED!AZ77=20,MATCHED!$U77,IF(MATCHED!AZ77=21,MATCHED!$V77,)))))))&amp;IF(MATCHED!AZ77=22,MATCHED!$W77,IF(MATCHED!AZ77=23,MATCHED!$X77,IF(MATCHED!AZ77=24,MATCHED!$Y77,IF(MATCHED!AZ77=25,MATCHED!$Z77,IF(MATCHED!AZ77=26,MATCHED!$AA77,IF(MATCHED!AZ77=27,MATCHED!$AB77,"."))))))</f>
        <v>#N/A</v>
      </c>
      <c r="Y77" s="423" t="e">
        <f>IF(MATCHED!BA77=1,MATCHED!$B77,IF(MATCHED!BA77=2,MATCHED!$C77,IF(MATCHED!BA77=3,MATCHED!$D77,IF(MATCHED!BA77=4,MATCHED!$E77,IF(MATCHED!BA77=3,MATCHED!$F77,IF(MATCHED!BA77=6,MATCHED!$G77,IF(MATCHED!BA77=7,MATCHED!$H77,"")))))))&amp;IF(MATCHED!BA77=8,MATCHED!$I77,IF(MATCHED!BA77=9,MATCHED!$J77,IF(MATCHED!BA77=10,MATCHED!$K77,IF(MATCHED!BA77=11,MATCHED!$L77,IF(MATCHED!BA77=12,MATCHED!$M77,IF(MATCHED!BA77=13,MATCHED!$N77,IF(MATCHED!BA77=14,MATCHED!$O77,"")))))))&amp;IF(MATCHED!BA77=15,MATCHED!$P77,IF(MATCHED!BA77=16,MATCHED!$Q77,IF(MATCHED!BA77=17,MATCHED!$R77,IF(MATCHED!BA77=18,MATCHED!$S77,IF(MATCHED!BA77=19,MATCHED!$T77,IF(MATCHED!BA77=20,MATCHED!$U77,IF(MATCHED!BA77=21,MATCHED!$V77,)))))))&amp;IF(MATCHED!BA77=22,MATCHED!$W77,IF(MATCHED!BA77=23,MATCHED!$X77,IF(MATCHED!BA77=24,MATCHED!$Y77,IF(MATCHED!BA77=25,MATCHED!$Z77,IF(MATCHED!BA77=26,MATCHED!$AA77,IF(MATCHED!BA77=27,MATCHED!$AB77,"."))))))</f>
        <v>#N/A</v>
      </c>
      <c r="Z77" s="423" t="e">
        <f>IF(MATCHED!BB77=1,MATCHED!$B77,IF(MATCHED!BB77=2,MATCHED!$C77,IF(MATCHED!BB77=3,MATCHED!$D77,IF(MATCHED!BB77=4,MATCHED!$E77,IF(MATCHED!BB77=3,MATCHED!$F77,IF(MATCHED!BB77=6,MATCHED!$G77,IF(MATCHED!BB77=7,MATCHED!$H77,"")))))))&amp;IF(MATCHED!BB77=8,MATCHED!$I77,IF(MATCHED!BB77=9,MATCHED!$J77,IF(MATCHED!BB77=10,MATCHED!$K77,IF(MATCHED!BB77=11,MATCHED!$L77,IF(MATCHED!BB77=12,MATCHED!$M77,IF(MATCHED!BB77=13,MATCHED!$N77,IF(MATCHED!BB77=14,MATCHED!$O77,"")))))))&amp;IF(MATCHED!BB77=15,MATCHED!$P77,IF(MATCHED!BB77=16,MATCHED!$Q77,IF(MATCHED!BB77=17,MATCHED!$R77,IF(MATCHED!BB77=18,MATCHED!$S77,IF(MATCHED!BB77=19,MATCHED!$T77,IF(MATCHED!BB77=20,MATCHED!$U77,IF(MATCHED!BB77=21,MATCHED!$V77,)))))))&amp;IF(MATCHED!BB77=22,MATCHED!$W77,IF(MATCHED!BB77=23,MATCHED!$X77,IF(MATCHED!BB77=24,MATCHED!$Y77,IF(MATCHED!BB77=25,MATCHED!$Z77,IF(MATCHED!BB77=26,MATCHED!$AA77,IF(MATCHED!BB77=27,MATCHED!$AB77,"."))))))</f>
        <v>#N/A</v>
      </c>
      <c r="AA77" s="423" t="e">
        <f>IF(MATCHED!BC77=1,MATCHED!$B77,IF(MATCHED!BC77=2,MATCHED!$C77,IF(MATCHED!BC77=3,MATCHED!$D77,IF(MATCHED!BC77=4,MATCHED!$E77,IF(MATCHED!BC77=3,MATCHED!$F77,IF(MATCHED!BC77=6,MATCHED!$G77,IF(MATCHED!BC77=7,MATCHED!$H77,"")))))))&amp;IF(MATCHED!BC77=8,MATCHED!$I77,IF(MATCHED!BC77=9,MATCHED!$J77,IF(MATCHED!BC77=10,MATCHED!$K77,IF(MATCHED!BC77=11,MATCHED!$L77,IF(MATCHED!BC77=12,MATCHED!$M77,IF(MATCHED!BC77=13,MATCHED!$N77,IF(MATCHED!BC77=14,MATCHED!$O77,"")))))))&amp;IF(MATCHED!BC77=15,MATCHED!$P77,IF(MATCHED!BC77=16,MATCHED!$Q77,IF(MATCHED!BC77=17,MATCHED!$R77,IF(MATCHED!BC77=18,MATCHED!$S77,IF(MATCHED!BC77=19,MATCHED!$T77,IF(MATCHED!BC77=20,MATCHED!$U77,IF(MATCHED!BC77=21,MATCHED!$V77,)))))))&amp;IF(MATCHED!BC77=22,MATCHED!$W77,IF(MATCHED!BC77=23,MATCHED!$X77,IF(MATCHED!BC77=24,MATCHED!$Y77,IF(MATCHED!BC77=25,MATCHED!$Z77,IF(MATCHED!BC77=26,MATCHED!$AA77,IF(MATCHED!BC77=27,MATCHED!$AB77,"."))))))</f>
        <v>#N/A</v>
      </c>
      <c r="AB77" s="423" t="e">
        <f>IF(MATCHED!BD77=1,MATCHED!$B77,IF(MATCHED!BD77=2,MATCHED!$C77,IF(MATCHED!BD77=3,MATCHED!$D77,IF(MATCHED!BD77=4,MATCHED!$E77,IF(MATCHED!BD77=3,MATCHED!$F77,IF(MATCHED!BD77=6,MATCHED!$G77,IF(MATCHED!BD77=7,MATCHED!$H77,"")))))))&amp;IF(MATCHED!BD77=8,MATCHED!$I77,IF(MATCHED!BD77=9,MATCHED!$J77,IF(MATCHED!BD77=10,MATCHED!$K77,IF(MATCHED!BD77=11,MATCHED!$L77,IF(MATCHED!BD77=12,MATCHED!$M77,IF(MATCHED!BD77=13,MATCHED!$N77,IF(MATCHED!BD77=14,MATCHED!$O77,"")))))))&amp;IF(MATCHED!BD77=15,MATCHED!$P77,IF(MATCHED!BD77=16,MATCHED!$Q77,IF(MATCHED!BD77=17,MATCHED!$R77,IF(MATCHED!BD77=18,MATCHED!$S77,IF(MATCHED!BD77=19,MATCHED!$T77,IF(MATCHED!BD77=20,MATCHED!$U77,IF(MATCHED!BD77=21,MATCHED!$V77,)))))))&amp;IF(MATCHED!BD77=22,MATCHED!$W77,IF(MATCHED!BD77=23,MATCHED!$X77,IF(MATCHED!BD77=24,MATCHED!$Y77,IF(MATCHED!BD77=25,MATCHED!$Z77,IF(MATCHED!BD77=26,MATCHED!$AA77,IF(MATCHED!BD77=27,MATCHED!$AB77,"."))))))</f>
        <v>#N/A</v>
      </c>
      <c r="AC77" s="423" t="e">
        <f>IF(MATCHED!BE77=1,MATCHED!$B77,IF(MATCHED!BE77=2,MATCHED!$C77,IF(MATCHED!BE77=3,MATCHED!$D77,IF(MATCHED!BE77=4,MATCHED!$E77,IF(MATCHED!BE77=3,MATCHED!$F77,IF(MATCHED!BE77=6,MATCHED!$G77,IF(MATCHED!BE77=7,MATCHED!$H77,"")))))))&amp;IF(MATCHED!BE77=8,MATCHED!$I77,IF(MATCHED!BE77=9,MATCHED!$J77,IF(MATCHED!BE77=10,MATCHED!$K77,IF(MATCHED!BE77=11,MATCHED!$L77,IF(MATCHED!BE77=12,MATCHED!$M77,IF(MATCHED!BE77=13,MATCHED!$N77,IF(MATCHED!BE77=14,MATCHED!$O77,"")))))))&amp;IF(MATCHED!BE77=15,MATCHED!$P77,IF(MATCHED!BE77=16,MATCHED!$Q77,IF(MATCHED!BE77=17,MATCHED!$R77,IF(MATCHED!BE77=18,MATCHED!$S77,IF(MATCHED!BE77=19,MATCHED!$T77,IF(MATCHED!BE77=20,MATCHED!$U77,IF(MATCHED!BE77=21,MATCHED!$V77,)))))))&amp;IF(MATCHED!BE77=22,MATCHED!$W77,IF(MATCHED!BE77=23,MATCHED!$X77,IF(MATCHED!BE77=24,MATCHED!$Y77,IF(MATCHED!BE77=25,MATCHED!$Z77,IF(MATCHED!BE77=26,MATCHED!$AA77,IF(MATCHED!BE77=27,MATCHED!$AB77,"."))))))</f>
        <v>#N/A</v>
      </c>
      <c r="AD77" s="423" t="e">
        <f>IF(MATCHED!BF77=1,MATCHED!$B77,IF(MATCHED!BF77=2,MATCHED!$C77,IF(MATCHED!BF77=3,MATCHED!$D77,IF(MATCHED!BF77=4,MATCHED!$E77,IF(MATCHED!BF77=3,MATCHED!$F77,IF(MATCHED!BF77=6,MATCHED!$G77,IF(MATCHED!BF77=7,MATCHED!$H77,"")))))))&amp;IF(MATCHED!BF77=8,MATCHED!$I77,IF(MATCHED!BF77=9,MATCHED!$J77,IF(MATCHED!BF77=10,MATCHED!$K77,IF(MATCHED!BF77=11,MATCHED!$L77,IF(MATCHED!BF77=12,MATCHED!$M77,IF(MATCHED!BF77=13,MATCHED!$N77,IF(MATCHED!BF77=14,MATCHED!$O77,"")))))))&amp;IF(MATCHED!BF77=15,MATCHED!$P77,IF(MATCHED!BF77=16,MATCHED!$Q77,IF(MATCHED!BF77=17,MATCHED!$R77,IF(MATCHED!BF77=18,MATCHED!$S77,IF(MATCHED!BF77=19,MATCHED!$T77,IF(MATCHED!BF77=20,MATCHED!$U77,IF(MATCHED!BF77=21,MATCHED!$V77,)))))))&amp;IF(MATCHED!BF77=22,MATCHED!$W77,IF(MATCHED!BF77=23,MATCHED!$X77,IF(MATCHED!BF77=24,MATCHED!$Y77,IF(MATCHED!BF77=25,MATCHED!$Z77,IF(MATCHED!BF77=26,MATCHED!$AA77,IF(MATCHED!BF77=27,MATCHED!$AB77,"."))))))</f>
        <v>#N/A</v>
      </c>
      <c r="AE77" s="423" t="e">
        <f>IF(MATCHED!BG77=1,MATCHED!$B77,IF(MATCHED!BG77=2,MATCHED!$C77,IF(MATCHED!BG77=3,MATCHED!$D77,IF(MATCHED!BG77=4,MATCHED!$E77,IF(MATCHED!BG77=3,MATCHED!$F77,IF(MATCHED!BG77=6,MATCHED!$G77,IF(MATCHED!BG77=7,MATCHED!$H77,"")))))))&amp;IF(MATCHED!BG77=8,MATCHED!$I77,IF(MATCHED!BG77=9,MATCHED!$J77,IF(MATCHED!BG77=10,MATCHED!$K77,IF(MATCHED!BG77=11,MATCHED!$L77,IF(MATCHED!BG77=12,MATCHED!$M77,IF(MATCHED!BG77=13,MATCHED!$N77,IF(MATCHED!BG77=14,MATCHED!$O77,"")))))))&amp;IF(MATCHED!BG77=15,MATCHED!$P77,IF(MATCHED!BG77=16,MATCHED!$Q77,IF(MATCHED!BG77=17,MATCHED!$R77,IF(MATCHED!BG77=18,MATCHED!$S77,IF(MATCHED!BG77=19,MATCHED!$T77,IF(MATCHED!BG77=20,MATCHED!$U77,IF(MATCHED!BG77=21,MATCHED!$V77,)))))))&amp;IF(MATCHED!BG77=22,MATCHED!$W77,IF(MATCHED!BG77=23,MATCHED!$X77,IF(MATCHED!BG77=24,MATCHED!$Y77,IF(MATCHED!BG77=25,MATCHED!$Z77,IF(MATCHED!BG77=26,MATCHED!$AA77,IF(MATCHED!BG77=27,MATCHED!$AB77,"."))))))</f>
        <v>#N/A</v>
      </c>
      <c r="AF77" s="423" t="e">
        <f>IF(MATCHED!BH77=1,MATCHED!$B77,IF(MATCHED!BH77=2,MATCHED!$C77,IF(MATCHED!BH77=3,MATCHED!$D77,IF(MATCHED!BH77=4,MATCHED!$E77,IF(MATCHED!BH77=3,MATCHED!$F77,IF(MATCHED!BH77=6,MATCHED!$G77,IF(MATCHED!BH77=7,MATCHED!$H77,"")))))))&amp;IF(MATCHED!BH77=8,MATCHED!$I77,IF(MATCHED!BH77=9,MATCHED!$J77,IF(MATCHED!BH77=10,MATCHED!$K77,IF(MATCHED!BH77=11,MATCHED!$L77,IF(MATCHED!BH77=12,MATCHED!$M77,IF(MATCHED!BH77=13,MATCHED!$N77,IF(MATCHED!BH77=14,MATCHED!$O77,"")))))))&amp;IF(MATCHED!BH77=15,MATCHED!$P77,IF(MATCHED!BH77=16,MATCHED!$Q77,IF(MATCHED!BH77=17,MATCHED!$R77,IF(MATCHED!BH77=18,MATCHED!$S77,IF(MATCHED!BH77=19,MATCHED!$T77,IF(MATCHED!BH77=20,MATCHED!$U77,IF(MATCHED!BH77=21,MATCHED!$V77,)))))))&amp;IF(MATCHED!BH77=22,MATCHED!$W77,IF(MATCHED!BH77=23,MATCHED!$X77,IF(MATCHED!BH77=24,MATCHED!$Y77,IF(MATCHED!BH77=25,MATCHED!$Z77,IF(MATCHED!BH77=26,MATCHED!$AA77,IF(MATCHED!BH77=27,MATCHED!$AB77,"."))))))</f>
        <v>#N/A</v>
      </c>
      <c r="AG77" s="423" t="e">
        <f>IF(MATCHED!BI77=1,MATCHED!$B77,IF(MATCHED!BI77=2,MATCHED!$C77,IF(MATCHED!BI77=3,MATCHED!$D77,IF(MATCHED!BI77=4,MATCHED!$E77,IF(MATCHED!BI77=3,MATCHED!$F77,IF(MATCHED!BI77=6,MATCHED!$G77,IF(MATCHED!BI77=7,MATCHED!$H77,"")))))))&amp;IF(MATCHED!BI77=8,MATCHED!$I77,IF(MATCHED!BI77=9,MATCHED!$J77,IF(MATCHED!BI77=10,MATCHED!$K77,IF(MATCHED!BI77=11,MATCHED!$L77,IF(MATCHED!BI77=12,MATCHED!$M77,IF(MATCHED!BI77=13,MATCHED!$N77,IF(MATCHED!BI77=14,MATCHED!$O77,"")))))))&amp;IF(MATCHED!BI77=15,MATCHED!$P77,IF(MATCHED!BI77=16,MATCHED!$Q77,IF(MATCHED!BI77=17,MATCHED!$R77,IF(MATCHED!BI77=18,MATCHED!$S77,IF(MATCHED!BI77=19,MATCHED!$T77,IF(MATCHED!BI77=20,MATCHED!$U77,IF(MATCHED!BI77=21,MATCHED!$V77,)))))))&amp;IF(MATCHED!BI77=22,MATCHED!$W77,IF(MATCHED!BI77=23,MATCHED!$X77,IF(MATCHED!BI77=24,MATCHED!$Y77,IF(MATCHED!BI77=25,MATCHED!$Z77,IF(MATCHED!BI77=26,MATCHED!$AA77,IF(MATCHED!BI77=27,MATCHED!$AB77,"."))))))</f>
        <v>#N/A</v>
      </c>
      <c r="AH77" s="423" t="e">
        <f>IF(MATCHED!BJ77=1,MATCHED!$B77,IF(MATCHED!BJ77=2,MATCHED!$C77,IF(MATCHED!BJ77=3,MATCHED!$D77,IF(MATCHED!BJ77=4,MATCHED!$E77,IF(MATCHED!BJ77=3,MATCHED!$F77,IF(MATCHED!BJ77=6,MATCHED!$G77,IF(MATCHED!BJ77=7,MATCHED!$H77,"")))))))&amp;IF(MATCHED!BJ77=8,MATCHED!$I77,IF(MATCHED!BJ77=9,MATCHED!$J77,IF(MATCHED!BJ77=10,MATCHED!$K77,IF(MATCHED!BJ77=11,MATCHED!$L77,IF(MATCHED!BJ77=12,MATCHED!$M77,IF(MATCHED!BJ77=13,MATCHED!$N77,IF(MATCHED!BJ77=14,MATCHED!$O77,"")))))))&amp;IF(MATCHED!BJ77=15,MATCHED!$P77,IF(MATCHED!BJ77=16,MATCHED!$Q77,IF(MATCHED!BJ77=17,MATCHED!$R77,IF(MATCHED!BJ77=18,MATCHED!$S77,IF(MATCHED!BJ77=19,MATCHED!$T77,IF(MATCHED!BJ77=20,MATCHED!$U77,IF(MATCHED!BJ77=21,MATCHED!$V77,)))))))&amp;IF(MATCHED!BJ77=22,MATCHED!$W77,IF(MATCHED!BJ77=23,MATCHED!$X77,IF(MATCHED!BJ77=24,MATCHED!$Y77,IF(MATCHED!BJ77=25,MATCHED!$Z77,IF(MATCHED!BJ77=26,MATCHED!$AA77,IF(MATCHED!BJ77=27,MATCHED!$AB77,"."))))))</f>
        <v>#N/A</v>
      </c>
      <c r="AI77" s="423" t="e">
        <f>IF(MATCHED!BK77=1,MATCHED!$B77,IF(MATCHED!BK77=2,MATCHED!$C77,IF(MATCHED!BK77=3,MATCHED!$D77,IF(MATCHED!BK77=4,MATCHED!$E77,IF(MATCHED!BK77=3,MATCHED!$F77,IF(MATCHED!BK77=6,MATCHED!$G77,IF(MATCHED!BK77=7,MATCHED!$H77,"")))))))&amp;IF(MATCHED!BK77=8,MATCHED!$I77,IF(MATCHED!BK77=9,MATCHED!$J77,IF(MATCHED!BK77=10,MATCHED!$K77,IF(MATCHED!BK77=11,MATCHED!$L77,IF(MATCHED!BK77=12,MATCHED!$M77,IF(MATCHED!BK77=13,MATCHED!$N77,IF(MATCHED!BK77=14,MATCHED!$O77,"")))))))&amp;IF(MATCHED!BK77=15,MATCHED!$P77,IF(MATCHED!BK77=16,MATCHED!$Q77,IF(MATCHED!BK77=17,MATCHED!$R77,IF(MATCHED!BK77=18,MATCHED!$S77,IF(MATCHED!BK77=19,MATCHED!$T77,IF(MATCHED!BK77=20,MATCHED!$U77,IF(MATCHED!BK77=21,MATCHED!$V77,)))))))&amp;IF(MATCHED!BK77=22,MATCHED!$W77,IF(MATCHED!BK77=23,MATCHED!$X77,IF(MATCHED!BK77=24,MATCHED!$Y77,IF(MATCHED!BK77=25,MATCHED!$Z77,IF(MATCHED!BK77=26,MATCHED!$AA77,IF(MATCHED!BK77=27,MATCHED!$AB77,"."))))))</f>
        <v>#N/A</v>
      </c>
      <c r="AJ77" s="542"/>
    </row>
    <row r="78" spans="1:36" s="338" customFormat="1" x14ac:dyDescent="0.25">
      <c r="A78" s="542"/>
      <c r="B78" s="423" t="e">
        <f>IF(MATCHED!AD78=1,MATCHED!$B78,IF(MATCHED!AD78=2,MATCHED!$C78,IF(MATCHED!AD78=3,MATCHED!$D78,IF(MATCHED!AD78=4,MATCHED!$E78,IF(MATCHED!AD78=3,MATCHED!$F78,IF(MATCHED!AD78=6,MATCHED!$G78,IF(MATCHED!AD78=7,MATCHED!$H78,"")))))))&amp;IF(MATCHED!AD78=8,MATCHED!$I78,IF(MATCHED!AD78=9,MATCHED!$J78,IF(MATCHED!AD78=10,MATCHED!$K78,IF(MATCHED!AD78=11,MATCHED!$L78,IF(MATCHED!AD78=12,MATCHED!$M78,IF(MATCHED!AD78=13,MATCHED!$N78,IF(MATCHED!AD78=14,MATCHED!$O78,"")))))))&amp;IF(MATCHED!AD78=15,MATCHED!$P78,IF(MATCHED!AD78=16,MATCHED!$Q78,IF(MATCHED!AD78=17,MATCHED!$R78,IF(MATCHED!AD78=18,MATCHED!$S78,IF(MATCHED!AD78=19,MATCHED!$T78,IF(MATCHED!AD78=20,MATCHED!$U78,IF(MATCHED!AD78=21,MATCHED!$V78,)))))))&amp;IF(MATCHED!AD78=22,MATCHED!$W78,IF(MATCHED!AD78=23,MATCHED!$X78,IF(MATCHED!AD78=24,MATCHED!$Y78,IF(MATCHED!AD78=25,MATCHED!$Z78,IF(MATCHED!AD78=26,MATCHED!$AA78,IF(MATCHED!AD78=27,MATCHED!$AB78,"."))))))</f>
        <v>#N/A</v>
      </c>
      <c r="C78" s="423" t="e">
        <f>IF(MATCHED!AE78=1,MATCHED!$B78,IF(MATCHED!AE78=2,MATCHED!$C78,IF(MATCHED!AE78=3,MATCHED!$D78,IF(MATCHED!AE78=4,MATCHED!$E78,IF(MATCHED!AE78=3,MATCHED!$F78,IF(MATCHED!AE78=6,MATCHED!$G78,IF(MATCHED!AE78=7,MATCHED!$H78,"")))))))&amp;IF(MATCHED!AE78=8,MATCHED!$I78,IF(MATCHED!AE78=9,MATCHED!$J78,IF(MATCHED!AE78=10,MATCHED!$K78,IF(MATCHED!AE78=11,MATCHED!$L78,IF(MATCHED!AE78=12,MATCHED!$M78,IF(MATCHED!AE78=13,MATCHED!$N78,IF(MATCHED!AE78=14,MATCHED!$O78,"")))))))&amp;IF(MATCHED!AE78=15,MATCHED!$P78,IF(MATCHED!AE78=16,MATCHED!$Q78,IF(MATCHED!AE78=17,MATCHED!$R78,IF(MATCHED!AE78=18,MATCHED!$S78,IF(MATCHED!AE78=19,MATCHED!$T78,IF(MATCHED!AE78=20,MATCHED!$U78,IF(MATCHED!AE78=21,MATCHED!$V78,)))))))&amp;IF(MATCHED!AE78=22,MATCHED!$W78,IF(MATCHED!AE78=23,MATCHED!$X78,IF(MATCHED!AE78=24,MATCHED!$Y78,IF(MATCHED!AE78=25,MATCHED!$Z78,IF(MATCHED!AE78=26,MATCHED!$AA78,IF(MATCHED!AE78=27,MATCHED!$AB78,"."))))))</f>
        <v>#N/A</v>
      </c>
      <c r="D78" s="423" t="e">
        <f>IF(MATCHED!AF78=1,MATCHED!$B78,IF(MATCHED!AF78=2,MATCHED!$C78,IF(MATCHED!AF78=3,MATCHED!$D78,IF(MATCHED!AF78=4,MATCHED!$E78,IF(MATCHED!AF78=3,MATCHED!$F78,IF(MATCHED!AF78=6,MATCHED!$G78,IF(MATCHED!AF78=7,MATCHED!$H78,"")))))))&amp;IF(MATCHED!AF78=8,MATCHED!$I78,IF(MATCHED!AF78=9,MATCHED!$J78,IF(MATCHED!AF78=10,MATCHED!$K78,IF(MATCHED!AF78=11,MATCHED!$L78,IF(MATCHED!AF78=12,MATCHED!$M78,IF(MATCHED!AF78=13,MATCHED!$N78,IF(MATCHED!AF78=14,MATCHED!$O78,"")))))))&amp;IF(MATCHED!AF78=15,MATCHED!$P78,IF(MATCHED!AF78=16,MATCHED!$Q78,IF(MATCHED!AF78=17,MATCHED!$R78,IF(MATCHED!AF78=18,MATCHED!$S78,IF(MATCHED!AF78=19,MATCHED!$T78,IF(MATCHED!AF78=20,MATCHED!$U78,IF(MATCHED!AF78=21,MATCHED!$V78,)))))))&amp;IF(MATCHED!AF78=22,MATCHED!$W78,IF(MATCHED!AF78=23,MATCHED!$X78,IF(MATCHED!AF78=24,MATCHED!$Y78,IF(MATCHED!AF78=25,MATCHED!$Z78,IF(MATCHED!AF78=26,MATCHED!$AA78,IF(MATCHED!AF78=27,MATCHED!$AB78,"."))))))</f>
        <v>#N/A</v>
      </c>
      <c r="E78" s="423" t="e">
        <f>IF(MATCHED!AG78=1,MATCHED!$B78,IF(MATCHED!AG78=2,MATCHED!$C78,IF(MATCHED!AG78=3,MATCHED!$D78,IF(MATCHED!AG78=4,MATCHED!$E78,IF(MATCHED!AG78=3,MATCHED!$F78,IF(MATCHED!AG78=6,MATCHED!$G78,IF(MATCHED!AG78=7,MATCHED!$H78,"")))))))&amp;IF(MATCHED!AG78=8,MATCHED!$I78,IF(MATCHED!AG78=9,MATCHED!$J78,IF(MATCHED!AG78=10,MATCHED!$K78,IF(MATCHED!AG78=11,MATCHED!$L78,IF(MATCHED!AG78=12,MATCHED!$M78,IF(MATCHED!AG78=13,MATCHED!$N78,IF(MATCHED!AG78=14,MATCHED!$O78,"")))))))&amp;IF(MATCHED!AG78=15,MATCHED!$P78,IF(MATCHED!AG78=16,MATCHED!$Q78,IF(MATCHED!AG78=17,MATCHED!$R78,IF(MATCHED!AG78=18,MATCHED!$S78,IF(MATCHED!AG78=19,MATCHED!$T78,IF(MATCHED!AG78=20,MATCHED!$U78,IF(MATCHED!AG78=21,MATCHED!$V78,)))))))&amp;IF(MATCHED!AG78=22,MATCHED!$W78,IF(MATCHED!AG78=23,MATCHED!$X78,IF(MATCHED!AG78=24,MATCHED!$Y78,IF(MATCHED!AG78=25,MATCHED!$Z78,IF(MATCHED!AG78=26,MATCHED!$AA78,IF(MATCHED!AG78=27,MATCHED!$AB78,"."))))))</f>
        <v>#N/A</v>
      </c>
      <c r="F78" s="423" t="e">
        <f>IF(MATCHED!AH78=1,MATCHED!$B78,IF(MATCHED!AH78=2,MATCHED!$C78,IF(MATCHED!AH78=3,MATCHED!$D78,IF(MATCHED!AH78=4,MATCHED!$E78,IF(MATCHED!AH78=3,MATCHED!$F78,IF(MATCHED!AH78=6,MATCHED!$G78,IF(MATCHED!AH78=7,MATCHED!$H78,"")))))))&amp;IF(MATCHED!AH78=8,MATCHED!$I78,IF(MATCHED!AH78=9,MATCHED!$J78,IF(MATCHED!AH78=10,MATCHED!$K78,IF(MATCHED!AH78=11,MATCHED!$L78,IF(MATCHED!AH78=12,MATCHED!$M78,IF(MATCHED!AH78=13,MATCHED!$N78,IF(MATCHED!AH78=14,MATCHED!$O78,"")))))))&amp;IF(MATCHED!AH78=15,MATCHED!$P78,IF(MATCHED!AH78=16,MATCHED!$Q78,IF(MATCHED!AH78=17,MATCHED!$R78,IF(MATCHED!AH78=18,MATCHED!$S78,IF(MATCHED!AH78=19,MATCHED!$T78,IF(MATCHED!AH78=20,MATCHED!$U78,IF(MATCHED!AH78=21,MATCHED!$V78,)))))))&amp;IF(MATCHED!AH78=22,MATCHED!$W78,IF(MATCHED!AH78=23,MATCHED!$X78,IF(MATCHED!AH78=24,MATCHED!$Y78,IF(MATCHED!AH78=25,MATCHED!$Z78,IF(MATCHED!AH78=26,MATCHED!$AA78,IF(MATCHED!AH78=27,MATCHED!$AB78,"."))))))</f>
        <v>#N/A</v>
      </c>
      <c r="G78" s="423" t="e">
        <f>IF(MATCHED!AI78=1,MATCHED!$B78,IF(MATCHED!AI78=2,MATCHED!$C78,IF(MATCHED!AI78=3,MATCHED!$D78,IF(MATCHED!AI78=4,MATCHED!$E78,IF(MATCHED!AI78=3,MATCHED!$F78,IF(MATCHED!AI78=6,MATCHED!$G78,IF(MATCHED!AI78=7,MATCHED!$H78,"")))))))&amp;IF(MATCHED!AI78=8,MATCHED!$I78,IF(MATCHED!AI78=9,MATCHED!$J78,IF(MATCHED!AI78=10,MATCHED!$K78,IF(MATCHED!AI78=11,MATCHED!$L78,IF(MATCHED!AI78=12,MATCHED!$M78,IF(MATCHED!AI78=13,MATCHED!$N78,IF(MATCHED!AI78=14,MATCHED!$O78,"")))))))&amp;IF(MATCHED!AI78=15,MATCHED!$P78,IF(MATCHED!AI78=16,MATCHED!$Q78,IF(MATCHED!AI78=17,MATCHED!$R78,IF(MATCHED!AI78=18,MATCHED!$S78,IF(MATCHED!AI78=19,MATCHED!$T78,IF(MATCHED!AI78=20,MATCHED!$U78,IF(MATCHED!AI78=21,MATCHED!$V78,)))))))&amp;IF(MATCHED!AI78=22,MATCHED!$W78,IF(MATCHED!AI78=23,MATCHED!$X78,IF(MATCHED!AI78=24,MATCHED!$Y78,IF(MATCHED!AI78=25,MATCHED!$Z78,IF(MATCHED!AI78=26,MATCHED!$AA78,IF(MATCHED!AI78=27,MATCHED!$AB78,"."))))))</f>
        <v>#N/A</v>
      </c>
      <c r="H78" s="423" t="e">
        <f>IF(MATCHED!AJ78=1,MATCHED!$B78,IF(MATCHED!AJ78=2,MATCHED!$C78,IF(MATCHED!AJ78=3,MATCHED!$D78,IF(MATCHED!AJ78=4,MATCHED!$E78,IF(MATCHED!AJ78=3,MATCHED!$F78,IF(MATCHED!AJ78=6,MATCHED!$G78,IF(MATCHED!AJ78=7,MATCHED!$H78,"")))))))&amp;IF(MATCHED!AJ78=8,MATCHED!$I78,IF(MATCHED!AJ78=9,MATCHED!$J78,IF(MATCHED!AJ78=10,MATCHED!$K78,IF(MATCHED!AJ78=11,MATCHED!$L78,IF(MATCHED!AJ78=12,MATCHED!$M78,IF(MATCHED!AJ78=13,MATCHED!$N78,IF(MATCHED!AJ78=14,MATCHED!$O78,"")))))))&amp;IF(MATCHED!AJ78=15,MATCHED!$P78,IF(MATCHED!AJ78=16,MATCHED!$Q78,IF(MATCHED!AJ78=17,MATCHED!$R78,IF(MATCHED!AJ78=18,MATCHED!$S78,IF(MATCHED!AJ78=19,MATCHED!$T78,IF(MATCHED!AJ78=20,MATCHED!$U78,IF(MATCHED!AJ78=21,MATCHED!$V78,)))))))&amp;IF(MATCHED!AJ78=22,MATCHED!$W78,IF(MATCHED!AJ78=23,MATCHED!$X78,IF(MATCHED!AJ78=24,MATCHED!$Y78,IF(MATCHED!AJ78=25,MATCHED!$Z78,IF(MATCHED!AJ78=26,MATCHED!$AA78,IF(MATCHED!AJ78=27,MATCHED!$AB78,"."))))))</f>
        <v>#N/A</v>
      </c>
      <c r="I78" s="423" t="e">
        <f>IF(MATCHED!AK78=1,MATCHED!$B78,IF(MATCHED!AK78=2,MATCHED!$C78,IF(MATCHED!AK78=3,MATCHED!$D78,IF(MATCHED!AK78=4,MATCHED!$E78,IF(MATCHED!AK78=3,MATCHED!$F78,IF(MATCHED!AK78=6,MATCHED!$G78,IF(MATCHED!AK78=7,MATCHED!$H78,"")))))))&amp;IF(MATCHED!AK78=8,MATCHED!$I78,IF(MATCHED!AK78=9,MATCHED!$J78,IF(MATCHED!AK78=10,MATCHED!$K78,IF(MATCHED!AK78=11,MATCHED!$L78,IF(MATCHED!AK78=12,MATCHED!$M78,IF(MATCHED!AK78=13,MATCHED!$N78,IF(MATCHED!AK78=14,MATCHED!$O78,"")))))))&amp;IF(MATCHED!AK78=15,MATCHED!$P78,IF(MATCHED!AK78=16,MATCHED!$Q78,IF(MATCHED!AK78=17,MATCHED!$R78,IF(MATCHED!AK78=18,MATCHED!$S78,IF(MATCHED!AK78=19,MATCHED!$T78,IF(MATCHED!AK78=20,MATCHED!$U78,IF(MATCHED!AK78=21,MATCHED!$V78,)))))))&amp;IF(MATCHED!AK78=22,MATCHED!$W78,IF(MATCHED!AK78=23,MATCHED!$X78,IF(MATCHED!AK78=24,MATCHED!$Y78,IF(MATCHED!AK78=25,MATCHED!$Z78,IF(MATCHED!AK78=26,MATCHED!$AA78,IF(MATCHED!AK78=27,MATCHED!$AB78,"."))))))</f>
        <v>#N/A</v>
      </c>
      <c r="J78" s="423" t="e">
        <f>IF(MATCHED!AL78=1,MATCHED!$B78,IF(MATCHED!AL78=2,MATCHED!$C78,IF(MATCHED!AL78=3,MATCHED!$D78,IF(MATCHED!AL78=4,MATCHED!$E78,IF(MATCHED!AL78=3,MATCHED!$F78,IF(MATCHED!AL78=6,MATCHED!$G78,IF(MATCHED!AL78=7,MATCHED!$H78,"")))))))&amp;IF(MATCHED!AL78=8,MATCHED!$I78,IF(MATCHED!AL78=9,MATCHED!$J78,IF(MATCHED!AL78=10,MATCHED!$K78,IF(MATCHED!AL78=11,MATCHED!$L78,IF(MATCHED!AL78=12,MATCHED!$M78,IF(MATCHED!AL78=13,MATCHED!$N78,IF(MATCHED!AL78=14,MATCHED!$O78,"")))))))&amp;IF(MATCHED!AL78=15,MATCHED!$P78,IF(MATCHED!AL78=16,MATCHED!$Q78,IF(MATCHED!AL78=17,MATCHED!$R78,IF(MATCHED!AL78=18,MATCHED!$S78,IF(MATCHED!AL78=19,MATCHED!$T78,IF(MATCHED!AL78=20,MATCHED!$U78,IF(MATCHED!AL78=21,MATCHED!$V78,)))))))&amp;IF(MATCHED!AL78=22,MATCHED!$W78,IF(MATCHED!AL78=23,MATCHED!$X78,IF(MATCHED!AL78=24,MATCHED!$Y78,IF(MATCHED!AL78=25,MATCHED!$Z78,IF(MATCHED!AL78=26,MATCHED!$AA78,IF(MATCHED!AL78=27,MATCHED!$AB78,"."))))))</f>
        <v>#N/A</v>
      </c>
      <c r="K78" s="423" t="e">
        <f>IF(MATCHED!AM78=1,MATCHED!$B78,IF(MATCHED!AM78=2,MATCHED!$C78,IF(MATCHED!AM78=3,MATCHED!$D78,IF(MATCHED!AM78=4,MATCHED!$E78,IF(MATCHED!AM78=3,MATCHED!$F78,IF(MATCHED!AM78=6,MATCHED!$G78,IF(MATCHED!AM78=7,MATCHED!$H78,"")))))))&amp;IF(MATCHED!AM78=8,MATCHED!$I78,IF(MATCHED!AM78=9,MATCHED!$J78,IF(MATCHED!AM78=10,MATCHED!$K78,IF(MATCHED!AM78=11,MATCHED!$L78,IF(MATCHED!AM78=12,MATCHED!$M78,IF(MATCHED!AM78=13,MATCHED!$N78,IF(MATCHED!AM78=14,MATCHED!$O78,"")))))))&amp;IF(MATCHED!AM78=15,MATCHED!$P78,IF(MATCHED!AM78=16,MATCHED!$Q78,IF(MATCHED!AM78=17,MATCHED!$R78,IF(MATCHED!AM78=18,MATCHED!$S78,IF(MATCHED!AM78=19,MATCHED!$T78,IF(MATCHED!AM78=20,MATCHED!$U78,IF(MATCHED!AM78=21,MATCHED!$V78,)))))))&amp;IF(MATCHED!AM78=22,MATCHED!$W78,IF(MATCHED!AM78=23,MATCHED!$X78,IF(MATCHED!AM78=24,MATCHED!$Y78,IF(MATCHED!AM78=25,MATCHED!$Z78,IF(MATCHED!AM78=26,MATCHED!$AA78,IF(MATCHED!AM78=27,MATCHED!$AB78,"."))))))</f>
        <v>#N/A</v>
      </c>
      <c r="L78" s="423" t="e">
        <f>IF(MATCHED!AN78=1,MATCHED!$B78,IF(MATCHED!AN78=2,MATCHED!$C78,IF(MATCHED!AN78=3,MATCHED!$D78,IF(MATCHED!AN78=4,MATCHED!$E78,IF(MATCHED!AN78=3,MATCHED!$F78,IF(MATCHED!AN78=6,MATCHED!$G78,IF(MATCHED!AN78=7,MATCHED!$H78,"")))))))&amp;IF(MATCHED!AN78=8,MATCHED!$I78,IF(MATCHED!AN78=9,MATCHED!$J78,IF(MATCHED!AN78=10,MATCHED!$K78,IF(MATCHED!AN78=11,MATCHED!$L78,IF(MATCHED!AN78=12,MATCHED!$M78,IF(MATCHED!AN78=13,MATCHED!$N78,IF(MATCHED!AN78=14,MATCHED!$O78,"")))))))&amp;IF(MATCHED!AN78=15,MATCHED!$P78,IF(MATCHED!AN78=16,MATCHED!$Q78,IF(MATCHED!AN78=17,MATCHED!$R78,IF(MATCHED!AN78=18,MATCHED!$S78,IF(MATCHED!AN78=19,MATCHED!$T78,IF(MATCHED!AN78=20,MATCHED!$U78,IF(MATCHED!AN78=21,MATCHED!$V78,)))))))&amp;IF(MATCHED!AN78=22,MATCHED!$W78,IF(MATCHED!AN78=23,MATCHED!$X78,IF(MATCHED!AN78=24,MATCHED!$Y78,IF(MATCHED!AN78=25,MATCHED!$Z78,IF(MATCHED!AN78=26,MATCHED!$AA78,IF(MATCHED!AN78=27,MATCHED!$AB78,"."))))))</f>
        <v>#N/A</v>
      </c>
      <c r="M78" s="423" t="e">
        <f>IF(MATCHED!AO78=1,MATCHED!$B78,IF(MATCHED!AO78=2,MATCHED!$C78,IF(MATCHED!AO78=3,MATCHED!$D78,IF(MATCHED!AO78=4,MATCHED!$E78,IF(MATCHED!AO78=3,MATCHED!$F78,IF(MATCHED!AO78=6,MATCHED!$G78,IF(MATCHED!AO78=7,MATCHED!$H78,"")))))))&amp;IF(MATCHED!AO78=8,MATCHED!$I78,IF(MATCHED!AO78=9,MATCHED!$J78,IF(MATCHED!AO78=10,MATCHED!$K78,IF(MATCHED!AO78=11,MATCHED!$L78,IF(MATCHED!AO78=12,MATCHED!$M78,IF(MATCHED!AO78=13,MATCHED!$N78,IF(MATCHED!AO78=14,MATCHED!$O78,"")))))))&amp;IF(MATCHED!AO78=15,MATCHED!$P78,IF(MATCHED!AO78=16,MATCHED!$Q78,IF(MATCHED!AO78=17,MATCHED!$R78,IF(MATCHED!AO78=18,MATCHED!$S78,IF(MATCHED!AO78=19,MATCHED!$T78,IF(MATCHED!AO78=20,MATCHED!$U78,IF(MATCHED!AO78=21,MATCHED!$V78,)))))))&amp;IF(MATCHED!AO78=22,MATCHED!$W78,IF(MATCHED!AO78=23,MATCHED!$X78,IF(MATCHED!AO78=24,MATCHED!$Y78,IF(MATCHED!AO78=25,MATCHED!$Z78,IF(MATCHED!AO78=26,MATCHED!$AA78,IF(MATCHED!AO78=27,MATCHED!$AB78,"."))))))</f>
        <v>#N/A</v>
      </c>
      <c r="N78" s="423" t="e">
        <f>IF(MATCHED!AP78=1,MATCHED!$B78,IF(MATCHED!AP78=2,MATCHED!$C78,IF(MATCHED!AP78=3,MATCHED!$D78,IF(MATCHED!AP78=4,MATCHED!$E78,IF(MATCHED!AP78=3,MATCHED!$F78,IF(MATCHED!AP78=6,MATCHED!$G78,IF(MATCHED!AP78=7,MATCHED!$H78,"")))))))&amp;IF(MATCHED!AP78=8,MATCHED!$I78,IF(MATCHED!AP78=9,MATCHED!$J78,IF(MATCHED!AP78=10,MATCHED!$K78,IF(MATCHED!AP78=11,MATCHED!$L78,IF(MATCHED!AP78=12,MATCHED!$M78,IF(MATCHED!AP78=13,MATCHED!$N78,IF(MATCHED!AP78=14,MATCHED!$O78,"")))))))&amp;IF(MATCHED!AP78=15,MATCHED!$P78,IF(MATCHED!AP78=16,MATCHED!$Q78,IF(MATCHED!AP78=17,MATCHED!$R78,IF(MATCHED!AP78=18,MATCHED!$S78,IF(MATCHED!AP78=19,MATCHED!$T78,IF(MATCHED!AP78=20,MATCHED!$U78,IF(MATCHED!AP78=21,MATCHED!$V78,)))))))&amp;IF(MATCHED!AP78=22,MATCHED!$W78,IF(MATCHED!AP78=23,MATCHED!$X78,IF(MATCHED!AP78=24,MATCHED!$Y78,IF(MATCHED!AP78=25,MATCHED!$Z78,IF(MATCHED!AP78=26,MATCHED!$AA78,IF(MATCHED!AP78=27,MATCHED!$AB78,"."))))))</f>
        <v>#N/A</v>
      </c>
      <c r="O78" s="423" t="e">
        <f>IF(MATCHED!AQ78=1,MATCHED!$B78,IF(MATCHED!AQ78=2,MATCHED!$C78,IF(MATCHED!AQ78=3,MATCHED!$D78,IF(MATCHED!AQ78=4,MATCHED!$E78,IF(MATCHED!AQ78=3,MATCHED!$F78,IF(MATCHED!AQ78=6,MATCHED!$G78,IF(MATCHED!AQ78=7,MATCHED!$H78,"")))))))&amp;IF(MATCHED!AQ78=8,MATCHED!$I78,IF(MATCHED!AQ78=9,MATCHED!$J78,IF(MATCHED!AQ78=10,MATCHED!$K78,IF(MATCHED!AQ78=11,MATCHED!$L78,IF(MATCHED!AQ78=12,MATCHED!$M78,IF(MATCHED!AQ78=13,MATCHED!$N78,IF(MATCHED!AQ78=14,MATCHED!$O78,"")))))))&amp;IF(MATCHED!AQ78=15,MATCHED!$P78,IF(MATCHED!AQ78=16,MATCHED!$Q78,IF(MATCHED!AQ78=17,MATCHED!$R78,IF(MATCHED!AQ78=18,MATCHED!$S78,IF(MATCHED!AQ78=19,MATCHED!$T78,IF(MATCHED!AQ78=20,MATCHED!$U78,IF(MATCHED!AQ78=21,MATCHED!$V78,)))))))&amp;IF(MATCHED!AQ78=22,MATCHED!$W78,IF(MATCHED!AQ78=23,MATCHED!$X78,IF(MATCHED!AQ78=24,MATCHED!$Y78,IF(MATCHED!AQ78=25,MATCHED!$Z78,IF(MATCHED!AQ78=26,MATCHED!$AA78,IF(MATCHED!AQ78=27,MATCHED!$AB78,"."))))))</f>
        <v>#N/A</v>
      </c>
      <c r="P78" s="423" t="e">
        <f>IF(MATCHED!AR78=1,MATCHED!$B78,IF(MATCHED!AR78=2,MATCHED!$C78,IF(MATCHED!AR78=3,MATCHED!$D78,IF(MATCHED!AR78=4,MATCHED!$E78,IF(MATCHED!AR78=3,MATCHED!$F78,IF(MATCHED!AR78=6,MATCHED!$G78,IF(MATCHED!AR78=7,MATCHED!$H78,"")))))))&amp;IF(MATCHED!AR78=8,MATCHED!$I78,IF(MATCHED!AR78=9,MATCHED!$J78,IF(MATCHED!AR78=10,MATCHED!$K78,IF(MATCHED!AR78=11,MATCHED!$L78,IF(MATCHED!AR78=12,MATCHED!$M78,IF(MATCHED!AR78=13,MATCHED!$N78,IF(MATCHED!AR78=14,MATCHED!$O78,"")))))))&amp;IF(MATCHED!AR78=15,MATCHED!$P78,IF(MATCHED!AR78=16,MATCHED!$Q78,IF(MATCHED!AR78=17,MATCHED!$R78,IF(MATCHED!AR78=18,MATCHED!$S78,IF(MATCHED!AR78=19,MATCHED!$T78,IF(MATCHED!AR78=20,MATCHED!$U78,IF(MATCHED!AR78=21,MATCHED!$V78,)))))))&amp;IF(MATCHED!AR78=22,MATCHED!$W78,IF(MATCHED!AR78=23,MATCHED!$X78,IF(MATCHED!AR78=24,MATCHED!$Y78,IF(MATCHED!AR78=25,MATCHED!$Z78,IF(MATCHED!AR78=26,MATCHED!$AA78,IF(MATCHED!AR78=27,MATCHED!$AB78,"."))))))</f>
        <v>#N/A</v>
      </c>
      <c r="Q78" s="423" t="e">
        <f>IF(MATCHED!AS78=1,MATCHED!$B78,IF(MATCHED!AS78=2,MATCHED!$C78,IF(MATCHED!AS78=3,MATCHED!$D78,IF(MATCHED!AS78=4,MATCHED!$E78,IF(MATCHED!AS78=3,MATCHED!$F78,IF(MATCHED!AS78=6,MATCHED!$G78,IF(MATCHED!AS78=7,MATCHED!$H78,"")))))))&amp;IF(MATCHED!AS78=8,MATCHED!$I78,IF(MATCHED!AS78=9,MATCHED!$J78,IF(MATCHED!AS78=10,MATCHED!$K78,IF(MATCHED!AS78=11,MATCHED!$L78,IF(MATCHED!AS78=12,MATCHED!$M78,IF(MATCHED!AS78=13,MATCHED!$N78,IF(MATCHED!AS78=14,MATCHED!$O78,"")))))))&amp;IF(MATCHED!AS78=15,MATCHED!$P78,IF(MATCHED!AS78=16,MATCHED!$Q78,IF(MATCHED!AS78=17,MATCHED!$R78,IF(MATCHED!AS78=18,MATCHED!$S78,IF(MATCHED!AS78=19,MATCHED!$T78,IF(MATCHED!AS78=20,MATCHED!$U78,IF(MATCHED!AS78=21,MATCHED!$V78,)))))))&amp;IF(MATCHED!AS78=22,MATCHED!$W78,IF(MATCHED!AS78=23,MATCHED!$X78,IF(MATCHED!AS78=24,MATCHED!$Y78,IF(MATCHED!AS78=25,MATCHED!$Z78,IF(MATCHED!AS78=26,MATCHED!$AA78,IF(MATCHED!AS78=27,MATCHED!$AB78,"."))))))</f>
        <v>#N/A</v>
      </c>
      <c r="R78" s="423" t="e">
        <f>IF(MATCHED!AT78=1,MATCHED!$B78,IF(MATCHED!AT78=2,MATCHED!$C78,IF(MATCHED!AT78=3,MATCHED!$D78,IF(MATCHED!AT78=4,MATCHED!$E78,IF(MATCHED!AT78=3,MATCHED!$F78,IF(MATCHED!AT78=6,MATCHED!$G78,IF(MATCHED!AT78=7,MATCHED!$H78,"")))))))&amp;IF(MATCHED!AT78=8,MATCHED!$I78,IF(MATCHED!AT78=9,MATCHED!$J78,IF(MATCHED!AT78=10,MATCHED!$K78,IF(MATCHED!AT78=11,MATCHED!$L78,IF(MATCHED!AT78=12,MATCHED!$M78,IF(MATCHED!AT78=13,MATCHED!$N78,IF(MATCHED!AT78=14,MATCHED!$O78,"")))))))&amp;IF(MATCHED!AT78=15,MATCHED!$P78,IF(MATCHED!AT78=16,MATCHED!$Q78,IF(MATCHED!AT78=17,MATCHED!$R78,IF(MATCHED!AT78=18,MATCHED!$S78,IF(MATCHED!AT78=19,MATCHED!$T78,IF(MATCHED!AT78=20,MATCHED!$U78,IF(MATCHED!AT78=21,MATCHED!$V78,)))))))&amp;IF(MATCHED!AT78=22,MATCHED!$W78,IF(MATCHED!AT78=23,MATCHED!$X78,IF(MATCHED!AT78=24,MATCHED!$Y78,IF(MATCHED!AT78=25,MATCHED!$Z78,IF(MATCHED!AT78=26,MATCHED!$AA78,IF(MATCHED!AT78=27,MATCHED!$AB78,"."))))))</f>
        <v>#N/A</v>
      </c>
      <c r="S78" s="423" t="e">
        <f>IF(MATCHED!AU78=1,MATCHED!$B78,IF(MATCHED!AU78=2,MATCHED!$C78,IF(MATCHED!AU78=3,MATCHED!$D78,IF(MATCHED!AU78=4,MATCHED!$E78,IF(MATCHED!AU78=3,MATCHED!$F78,IF(MATCHED!AU78=6,MATCHED!$G78,IF(MATCHED!AU78=7,MATCHED!$H78,"")))))))&amp;IF(MATCHED!AU78=8,MATCHED!$I78,IF(MATCHED!AU78=9,MATCHED!$J78,IF(MATCHED!AU78=10,MATCHED!$K78,IF(MATCHED!AU78=11,MATCHED!$L78,IF(MATCHED!AU78=12,MATCHED!$M78,IF(MATCHED!AU78=13,MATCHED!$N78,IF(MATCHED!AU78=14,MATCHED!$O78,"")))))))&amp;IF(MATCHED!AU78=15,MATCHED!$P78,IF(MATCHED!AU78=16,MATCHED!$Q78,IF(MATCHED!AU78=17,MATCHED!$R78,IF(MATCHED!AU78=18,MATCHED!$S78,IF(MATCHED!AU78=19,MATCHED!$T78,IF(MATCHED!AU78=20,MATCHED!$U78,IF(MATCHED!AU78=21,MATCHED!$V78,)))))))&amp;IF(MATCHED!AU78=22,MATCHED!$W78,IF(MATCHED!AU78=23,MATCHED!$X78,IF(MATCHED!AU78=24,MATCHED!$Y78,IF(MATCHED!AU78=25,MATCHED!$Z78,IF(MATCHED!AU78=26,MATCHED!$AA78,IF(MATCHED!AU78=27,MATCHED!$AB78,"."))))))</f>
        <v>#N/A</v>
      </c>
      <c r="T78" s="423" t="e">
        <f>IF(MATCHED!AV78=1,MATCHED!$B78,IF(MATCHED!AV78=2,MATCHED!$C78,IF(MATCHED!AV78=3,MATCHED!$D78,IF(MATCHED!AV78=4,MATCHED!$E78,IF(MATCHED!AV78=3,MATCHED!$F78,IF(MATCHED!AV78=6,MATCHED!$G78,IF(MATCHED!AV78=7,MATCHED!$H78,"")))))))&amp;IF(MATCHED!AV78=8,MATCHED!$I78,IF(MATCHED!AV78=9,MATCHED!$J78,IF(MATCHED!AV78=10,MATCHED!$K78,IF(MATCHED!AV78=11,MATCHED!$L78,IF(MATCHED!AV78=12,MATCHED!$M78,IF(MATCHED!AV78=13,MATCHED!$N78,IF(MATCHED!AV78=14,MATCHED!$O78,"")))))))&amp;IF(MATCHED!AV78=15,MATCHED!$P78,IF(MATCHED!AV78=16,MATCHED!$Q78,IF(MATCHED!AV78=17,MATCHED!$R78,IF(MATCHED!AV78=18,MATCHED!$S78,IF(MATCHED!AV78=19,MATCHED!$T78,IF(MATCHED!AV78=20,MATCHED!$U78,IF(MATCHED!AV78=21,MATCHED!$V78,)))))))&amp;IF(MATCHED!AV78=22,MATCHED!$W78,IF(MATCHED!AV78=23,MATCHED!$X78,IF(MATCHED!AV78=24,MATCHED!$Y78,IF(MATCHED!AV78=25,MATCHED!$Z78,IF(MATCHED!AV78=26,MATCHED!$AA78,IF(MATCHED!AV78=27,MATCHED!$AB78,"."))))))</f>
        <v>#N/A</v>
      </c>
      <c r="U78" s="423" t="e">
        <f>IF(MATCHED!AW78=1,MATCHED!$B78,IF(MATCHED!AW78=2,MATCHED!$C78,IF(MATCHED!AW78=3,MATCHED!$D78,IF(MATCHED!AW78=4,MATCHED!$E78,IF(MATCHED!AW78=3,MATCHED!$F78,IF(MATCHED!AW78=6,MATCHED!$G78,IF(MATCHED!AW78=7,MATCHED!$H78,"")))))))&amp;IF(MATCHED!AW78=8,MATCHED!$I78,IF(MATCHED!AW78=9,MATCHED!$J78,IF(MATCHED!AW78=10,MATCHED!$K78,IF(MATCHED!AW78=11,MATCHED!$L78,IF(MATCHED!AW78=12,MATCHED!$M78,IF(MATCHED!AW78=13,MATCHED!$N78,IF(MATCHED!AW78=14,MATCHED!$O78,"")))))))&amp;IF(MATCHED!AW78=15,MATCHED!$P78,IF(MATCHED!AW78=16,MATCHED!$Q78,IF(MATCHED!AW78=17,MATCHED!$R78,IF(MATCHED!AW78=18,MATCHED!$S78,IF(MATCHED!AW78=19,MATCHED!$T78,IF(MATCHED!AW78=20,MATCHED!$U78,IF(MATCHED!AW78=21,MATCHED!$V78,)))))))&amp;IF(MATCHED!AW78=22,MATCHED!$W78,IF(MATCHED!AW78=23,MATCHED!$X78,IF(MATCHED!AW78=24,MATCHED!$Y78,IF(MATCHED!AW78=25,MATCHED!$Z78,IF(MATCHED!AW78=26,MATCHED!$AA78,IF(MATCHED!AW78=27,MATCHED!$AB78,"."))))))</f>
        <v>#N/A</v>
      </c>
      <c r="V78" s="423" t="e">
        <f>IF(MATCHED!AX78=1,MATCHED!$B78,IF(MATCHED!AX78=2,MATCHED!$C78,IF(MATCHED!AX78=3,MATCHED!$D78,IF(MATCHED!AX78=4,MATCHED!$E78,IF(MATCHED!AX78=3,MATCHED!$F78,IF(MATCHED!AX78=6,MATCHED!$G78,IF(MATCHED!AX78=7,MATCHED!$H78,"")))))))&amp;IF(MATCHED!AX78=8,MATCHED!$I78,IF(MATCHED!AX78=9,MATCHED!$J78,IF(MATCHED!AX78=10,MATCHED!$K78,IF(MATCHED!AX78=11,MATCHED!$L78,IF(MATCHED!AX78=12,MATCHED!$M78,IF(MATCHED!AX78=13,MATCHED!$N78,IF(MATCHED!AX78=14,MATCHED!$O78,"")))))))&amp;IF(MATCHED!AX78=15,MATCHED!$P78,IF(MATCHED!AX78=16,MATCHED!$Q78,IF(MATCHED!AX78=17,MATCHED!$R78,IF(MATCHED!AX78=18,MATCHED!$S78,IF(MATCHED!AX78=19,MATCHED!$T78,IF(MATCHED!AX78=20,MATCHED!$U78,IF(MATCHED!AX78=21,MATCHED!$V78,)))))))&amp;IF(MATCHED!AX78=22,MATCHED!$W78,IF(MATCHED!AX78=23,MATCHED!$X78,IF(MATCHED!AX78=24,MATCHED!$Y78,IF(MATCHED!AX78=25,MATCHED!$Z78,IF(MATCHED!AX78=26,MATCHED!$AA78,IF(MATCHED!AX78=27,MATCHED!$AB78,"."))))))</f>
        <v>#N/A</v>
      </c>
      <c r="W78" s="423" t="e">
        <f>IF(MATCHED!AY78=1,MATCHED!$B78,IF(MATCHED!AY78=2,MATCHED!$C78,IF(MATCHED!AY78=3,MATCHED!$D78,IF(MATCHED!AY78=4,MATCHED!$E78,IF(MATCHED!AY78=3,MATCHED!$F78,IF(MATCHED!AY78=6,MATCHED!$G78,IF(MATCHED!AY78=7,MATCHED!$H78,"")))))))&amp;IF(MATCHED!AY78=8,MATCHED!$I78,IF(MATCHED!AY78=9,MATCHED!$J78,IF(MATCHED!AY78=10,MATCHED!$K78,IF(MATCHED!AY78=11,MATCHED!$L78,IF(MATCHED!AY78=12,MATCHED!$M78,IF(MATCHED!AY78=13,MATCHED!$N78,IF(MATCHED!AY78=14,MATCHED!$O78,"")))))))&amp;IF(MATCHED!AY78=15,MATCHED!$P78,IF(MATCHED!AY78=16,MATCHED!$Q78,IF(MATCHED!AY78=17,MATCHED!$R78,IF(MATCHED!AY78=18,MATCHED!$S78,IF(MATCHED!AY78=19,MATCHED!$T78,IF(MATCHED!AY78=20,MATCHED!$U78,IF(MATCHED!AY78=21,MATCHED!$V78,)))))))&amp;IF(MATCHED!AY78=22,MATCHED!$W78,IF(MATCHED!AY78=23,MATCHED!$X78,IF(MATCHED!AY78=24,MATCHED!$Y78,IF(MATCHED!AY78=25,MATCHED!$Z78,IF(MATCHED!AY78=26,MATCHED!$AA78,IF(MATCHED!AY78=27,MATCHED!$AB78,"."))))))</f>
        <v>#N/A</v>
      </c>
      <c r="X78" s="423" t="e">
        <f>IF(MATCHED!AZ78=1,MATCHED!$B78,IF(MATCHED!AZ78=2,MATCHED!$C78,IF(MATCHED!AZ78=3,MATCHED!$D78,IF(MATCHED!AZ78=4,MATCHED!$E78,IF(MATCHED!AZ78=3,MATCHED!$F78,IF(MATCHED!AZ78=6,MATCHED!$G78,IF(MATCHED!AZ78=7,MATCHED!$H78,"")))))))&amp;IF(MATCHED!AZ78=8,MATCHED!$I78,IF(MATCHED!AZ78=9,MATCHED!$J78,IF(MATCHED!AZ78=10,MATCHED!$K78,IF(MATCHED!AZ78=11,MATCHED!$L78,IF(MATCHED!AZ78=12,MATCHED!$M78,IF(MATCHED!AZ78=13,MATCHED!$N78,IF(MATCHED!AZ78=14,MATCHED!$O78,"")))))))&amp;IF(MATCHED!AZ78=15,MATCHED!$P78,IF(MATCHED!AZ78=16,MATCHED!$Q78,IF(MATCHED!AZ78=17,MATCHED!$R78,IF(MATCHED!AZ78=18,MATCHED!$S78,IF(MATCHED!AZ78=19,MATCHED!$T78,IF(MATCHED!AZ78=20,MATCHED!$U78,IF(MATCHED!AZ78=21,MATCHED!$V78,)))))))&amp;IF(MATCHED!AZ78=22,MATCHED!$W78,IF(MATCHED!AZ78=23,MATCHED!$X78,IF(MATCHED!AZ78=24,MATCHED!$Y78,IF(MATCHED!AZ78=25,MATCHED!$Z78,IF(MATCHED!AZ78=26,MATCHED!$AA78,IF(MATCHED!AZ78=27,MATCHED!$AB78,"."))))))</f>
        <v>#N/A</v>
      </c>
      <c r="Y78" s="423" t="e">
        <f>IF(MATCHED!BA78=1,MATCHED!$B78,IF(MATCHED!BA78=2,MATCHED!$C78,IF(MATCHED!BA78=3,MATCHED!$D78,IF(MATCHED!BA78=4,MATCHED!$E78,IF(MATCHED!BA78=3,MATCHED!$F78,IF(MATCHED!BA78=6,MATCHED!$G78,IF(MATCHED!BA78=7,MATCHED!$H78,"")))))))&amp;IF(MATCHED!BA78=8,MATCHED!$I78,IF(MATCHED!BA78=9,MATCHED!$J78,IF(MATCHED!BA78=10,MATCHED!$K78,IF(MATCHED!BA78=11,MATCHED!$L78,IF(MATCHED!BA78=12,MATCHED!$M78,IF(MATCHED!BA78=13,MATCHED!$N78,IF(MATCHED!BA78=14,MATCHED!$O78,"")))))))&amp;IF(MATCHED!BA78=15,MATCHED!$P78,IF(MATCHED!BA78=16,MATCHED!$Q78,IF(MATCHED!BA78=17,MATCHED!$R78,IF(MATCHED!BA78=18,MATCHED!$S78,IF(MATCHED!BA78=19,MATCHED!$T78,IF(MATCHED!BA78=20,MATCHED!$U78,IF(MATCHED!BA78=21,MATCHED!$V78,)))))))&amp;IF(MATCHED!BA78=22,MATCHED!$W78,IF(MATCHED!BA78=23,MATCHED!$X78,IF(MATCHED!BA78=24,MATCHED!$Y78,IF(MATCHED!BA78=25,MATCHED!$Z78,IF(MATCHED!BA78=26,MATCHED!$AA78,IF(MATCHED!BA78=27,MATCHED!$AB78,"."))))))</f>
        <v>#N/A</v>
      </c>
      <c r="Z78" s="423" t="e">
        <f>IF(MATCHED!BB78=1,MATCHED!$B78,IF(MATCHED!BB78=2,MATCHED!$C78,IF(MATCHED!BB78=3,MATCHED!$D78,IF(MATCHED!BB78=4,MATCHED!$E78,IF(MATCHED!BB78=3,MATCHED!$F78,IF(MATCHED!BB78=6,MATCHED!$G78,IF(MATCHED!BB78=7,MATCHED!$H78,"")))))))&amp;IF(MATCHED!BB78=8,MATCHED!$I78,IF(MATCHED!BB78=9,MATCHED!$J78,IF(MATCHED!BB78=10,MATCHED!$K78,IF(MATCHED!BB78=11,MATCHED!$L78,IF(MATCHED!BB78=12,MATCHED!$M78,IF(MATCHED!BB78=13,MATCHED!$N78,IF(MATCHED!BB78=14,MATCHED!$O78,"")))))))&amp;IF(MATCHED!BB78=15,MATCHED!$P78,IF(MATCHED!BB78=16,MATCHED!$Q78,IF(MATCHED!BB78=17,MATCHED!$R78,IF(MATCHED!BB78=18,MATCHED!$S78,IF(MATCHED!BB78=19,MATCHED!$T78,IF(MATCHED!BB78=20,MATCHED!$U78,IF(MATCHED!BB78=21,MATCHED!$V78,)))))))&amp;IF(MATCHED!BB78=22,MATCHED!$W78,IF(MATCHED!BB78=23,MATCHED!$X78,IF(MATCHED!BB78=24,MATCHED!$Y78,IF(MATCHED!BB78=25,MATCHED!$Z78,IF(MATCHED!BB78=26,MATCHED!$AA78,IF(MATCHED!BB78=27,MATCHED!$AB78,"."))))))</f>
        <v>#N/A</v>
      </c>
      <c r="AA78" s="423" t="e">
        <f>IF(MATCHED!BC78=1,MATCHED!$B78,IF(MATCHED!BC78=2,MATCHED!$C78,IF(MATCHED!BC78=3,MATCHED!$D78,IF(MATCHED!BC78=4,MATCHED!$E78,IF(MATCHED!BC78=3,MATCHED!$F78,IF(MATCHED!BC78=6,MATCHED!$G78,IF(MATCHED!BC78=7,MATCHED!$H78,"")))))))&amp;IF(MATCHED!BC78=8,MATCHED!$I78,IF(MATCHED!BC78=9,MATCHED!$J78,IF(MATCHED!BC78=10,MATCHED!$K78,IF(MATCHED!BC78=11,MATCHED!$L78,IF(MATCHED!BC78=12,MATCHED!$M78,IF(MATCHED!BC78=13,MATCHED!$N78,IF(MATCHED!BC78=14,MATCHED!$O78,"")))))))&amp;IF(MATCHED!BC78=15,MATCHED!$P78,IF(MATCHED!BC78=16,MATCHED!$Q78,IF(MATCHED!BC78=17,MATCHED!$R78,IF(MATCHED!BC78=18,MATCHED!$S78,IF(MATCHED!BC78=19,MATCHED!$T78,IF(MATCHED!BC78=20,MATCHED!$U78,IF(MATCHED!BC78=21,MATCHED!$V78,)))))))&amp;IF(MATCHED!BC78=22,MATCHED!$W78,IF(MATCHED!BC78=23,MATCHED!$X78,IF(MATCHED!BC78=24,MATCHED!$Y78,IF(MATCHED!BC78=25,MATCHED!$Z78,IF(MATCHED!BC78=26,MATCHED!$AA78,IF(MATCHED!BC78=27,MATCHED!$AB78,"."))))))</f>
        <v>#N/A</v>
      </c>
      <c r="AB78" s="423" t="e">
        <f>IF(MATCHED!BD78=1,MATCHED!$B78,IF(MATCHED!BD78=2,MATCHED!$C78,IF(MATCHED!BD78=3,MATCHED!$D78,IF(MATCHED!BD78=4,MATCHED!$E78,IF(MATCHED!BD78=3,MATCHED!$F78,IF(MATCHED!BD78=6,MATCHED!$G78,IF(MATCHED!BD78=7,MATCHED!$H78,"")))))))&amp;IF(MATCHED!BD78=8,MATCHED!$I78,IF(MATCHED!BD78=9,MATCHED!$J78,IF(MATCHED!BD78=10,MATCHED!$K78,IF(MATCHED!BD78=11,MATCHED!$L78,IF(MATCHED!BD78=12,MATCHED!$M78,IF(MATCHED!BD78=13,MATCHED!$N78,IF(MATCHED!BD78=14,MATCHED!$O78,"")))))))&amp;IF(MATCHED!BD78=15,MATCHED!$P78,IF(MATCHED!BD78=16,MATCHED!$Q78,IF(MATCHED!BD78=17,MATCHED!$R78,IF(MATCHED!BD78=18,MATCHED!$S78,IF(MATCHED!BD78=19,MATCHED!$T78,IF(MATCHED!BD78=20,MATCHED!$U78,IF(MATCHED!BD78=21,MATCHED!$V78,)))))))&amp;IF(MATCHED!BD78=22,MATCHED!$W78,IF(MATCHED!BD78=23,MATCHED!$X78,IF(MATCHED!BD78=24,MATCHED!$Y78,IF(MATCHED!BD78=25,MATCHED!$Z78,IF(MATCHED!BD78=26,MATCHED!$AA78,IF(MATCHED!BD78=27,MATCHED!$AB78,"."))))))</f>
        <v>#N/A</v>
      </c>
      <c r="AC78" s="423" t="e">
        <f>IF(MATCHED!BE78=1,MATCHED!$B78,IF(MATCHED!BE78=2,MATCHED!$C78,IF(MATCHED!BE78=3,MATCHED!$D78,IF(MATCHED!BE78=4,MATCHED!$E78,IF(MATCHED!BE78=3,MATCHED!$F78,IF(MATCHED!BE78=6,MATCHED!$G78,IF(MATCHED!BE78=7,MATCHED!$H78,"")))))))&amp;IF(MATCHED!BE78=8,MATCHED!$I78,IF(MATCHED!BE78=9,MATCHED!$J78,IF(MATCHED!BE78=10,MATCHED!$K78,IF(MATCHED!BE78=11,MATCHED!$L78,IF(MATCHED!BE78=12,MATCHED!$M78,IF(MATCHED!BE78=13,MATCHED!$N78,IF(MATCHED!BE78=14,MATCHED!$O78,"")))))))&amp;IF(MATCHED!BE78=15,MATCHED!$P78,IF(MATCHED!BE78=16,MATCHED!$Q78,IF(MATCHED!BE78=17,MATCHED!$R78,IF(MATCHED!BE78=18,MATCHED!$S78,IF(MATCHED!BE78=19,MATCHED!$T78,IF(MATCHED!BE78=20,MATCHED!$U78,IF(MATCHED!BE78=21,MATCHED!$V78,)))))))&amp;IF(MATCHED!BE78=22,MATCHED!$W78,IF(MATCHED!BE78=23,MATCHED!$X78,IF(MATCHED!BE78=24,MATCHED!$Y78,IF(MATCHED!BE78=25,MATCHED!$Z78,IF(MATCHED!BE78=26,MATCHED!$AA78,IF(MATCHED!BE78=27,MATCHED!$AB78,"."))))))</f>
        <v>#N/A</v>
      </c>
      <c r="AD78" s="423" t="e">
        <f>IF(MATCHED!BF78=1,MATCHED!$B78,IF(MATCHED!BF78=2,MATCHED!$C78,IF(MATCHED!BF78=3,MATCHED!$D78,IF(MATCHED!BF78=4,MATCHED!$E78,IF(MATCHED!BF78=3,MATCHED!$F78,IF(MATCHED!BF78=6,MATCHED!$G78,IF(MATCHED!BF78=7,MATCHED!$H78,"")))))))&amp;IF(MATCHED!BF78=8,MATCHED!$I78,IF(MATCHED!BF78=9,MATCHED!$J78,IF(MATCHED!BF78=10,MATCHED!$K78,IF(MATCHED!BF78=11,MATCHED!$L78,IF(MATCHED!BF78=12,MATCHED!$M78,IF(MATCHED!BF78=13,MATCHED!$N78,IF(MATCHED!BF78=14,MATCHED!$O78,"")))))))&amp;IF(MATCHED!BF78=15,MATCHED!$P78,IF(MATCHED!BF78=16,MATCHED!$Q78,IF(MATCHED!BF78=17,MATCHED!$R78,IF(MATCHED!BF78=18,MATCHED!$S78,IF(MATCHED!BF78=19,MATCHED!$T78,IF(MATCHED!BF78=20,MATCHED!$U78,IF(MATCHED!BF78=21,MATCHED!$V78,)))))))&amp;IF(MATCHED!BF78=22,MATCHED!$W78,IF(MATCHED!BF78=23,MATCHED!$X78,IF(MATCHED!BF78=24,MATCHED!$Y78,IF(MATCHED!BF78=25,MATCHED!$Z78,IF(MATCHED!BF78=26,MATCHED!$AA78,IF(MATCHED!BF78=27,MATCHED!$AB78,"."))))))</f>
        <v>#N/A</v>
      </c>
      <c r="AE78" s="423" t="e">
        <f>IF(MATCHED!BG78=1,MATCHED!$B78,IF(MATCHED!BG78=2,MATCHED!$C78,IF(MATCHED!BG78=3,MATCHED!$D78,IF(MATCHED!BG78=4,MATCHED!$E78,IF(MATCHED!BG78=3,MATCHED!$F78,IF(MATCHED!BG78=6,MATCHED!$G78,IF(MATCHED!BG78=7,MATCHED!$H78,"")))))))&amp;IF(MATCHED!BG78=8,MATCHED!$I78,IF(MATCHED!BG78=9,MATCHED!$J78,IF(MATCHED!BG78=10,MATCHED!$K78,IF(MATCHED!BG78=11,MATCHED!$L78,IF(MATCHED!BG78=12,MATCHED!$M78,IF(MATCHED!BG78=13,MATCHED!$N78,IF(MATCHED!BG78=14,MATCHED!$O78,"")))))))&amp;IF(MATCHED!BG78=15,MATCHED!$P78,IF(MATCHED!BG78=16,MATCHED!$Q78,IF(MATCHED!BG78=17,MATCHED!$R78,IF(MATCHED!BG78=18,MATCHED!$S78,IF(MATCHED!BG78=19,MATCHED!$T78,IF(MATCHED!BG78=20,MATCHED!$U78,IF(MATCHED!BG78=21,MATCHED!$V78,)))))))&amp;IF(MATCHED!BG78=22,MATCHED!$W78,IF(MATCHED!BG78=23,MATCHED!$X78,IF(MATCHED!BG78=24,MATCHED!$Y78,IF(MATCHED!BG78=25,MATCHED!$Z78,IF(MATCHED!BG78=26,MATCHED!$AA78,IF(MATCHED!BG78=27,MATCHED!$AB78,"."))))))</f>
        <v>#N/A</v>
      </c>
      <c r="AF78" s="423" t="e">
        <f>IF(MATCHED!BH78=1,MATCHED!$B78,IF(MATCHED!BH78=2,MATCHED!$C78,IF(MATCHED!BH78=3,MATCHED!$D78,IF(MATCHED!BH78=4,MATCHED!$E78,IF(MATCHED!BH78=3,MATCHED!$F78,IF(MATCHED!BH78=6,MATCHED!$G78,IF(MATCHED!BH78=7,MATCHED!$H78,"")))))))&amp;IF(MATCHED!BH78=8,MATCHED!$I78,IF(MATCHED!BH78=9,MATCHED!$J78,IF(MATCHED!BH78=10,MATCHED!$K78,IF(MATCHED!BH78=11,MATCHED!$L78,IF(MATCHED!BH78=12,MATCHED!$M78,IF(MATCHED!BH78=13,MATCHED!$N78,IF(MATCHED!BH78=14,MATCHED!$O78,"")))))))&amp;IF(MATCHED!BH78=15,MATCHED!$P78,IF(MATCHED!BH78=16,MATCHED!$Q78,IF(MATCHED!BH78=17,MATCHED!$R78,IF(MATCHED!BH78=18,MATCHED!$S78,IF(MATCHED!BH78=19,MATCHED!$T78,IF(MATCHED!BH78=20,MATCHED!$U78,IF(MATCHED!BH78=21,MATCHED!$V78,)))))))&amp;IF(MATCHED!BH78=22,MATCHED!$W78,IF(MATCHED!BH78=23,MATCHED!$X78,IF(MATCHED!BH78=24,MATCHED!$Y78,IF(MATCHED!BH78=25,MATCHED!$Z78,IF(MATCHED!BH78=26,MATCHED!$AA78,IF(MATCHED!BH78=27,MATCHED!$AB78,"."))))))</f>
        <v>#N/A</v>
      </c>
      <c r="AG78" s="423" t="e">
        <f>IF(MATCHED!BI78=1,MATCHED!$B78,IF(MATCHED!BI78=2,MATCHED!$C78,IF(MATCHED!BI78=3,MATCHED!$D78,IF(MATCHED!BI78=4,MATCHED!$E78,IF(MATCHED!BI78=3,MATCHED!$F78,IF(MATCHED!BI78=6,MATCHED!$G78,IF(MATCHED!BI78=7,MATCHED!$H78,"")))))))&amp;IF(MATCHED!BI78=8,MATCHED!$I78,IF(MATCHED!BI78=9,MATCHED!$J78,IF(MATCHED!BI78=10,MATCHED!$K78,IF(MATCHED!BI78=11,MATCHED!$L78,IF(MATCHED!BI78=12,MATCHED!$M78,IF(MATCHED!BI78=13,MATCHED!$N78,IF(MATCHED!BI78=14,MATCHED!$O78,"")))))))&amp;IF(MATCHED!BI78=15,MATCHED!$P78,IF(MATCHED!BI78=16,MATCHED!$Q78,IF(MATCHED!BI78=17,MATCHED!$R78,IF(MATCHED!BI78=18,MATCHED!$S78,IF(MATCHED!BI78=19,MATCHED!$T78,IF(MATCHED!BI78=20,MATCHED!$U78,IF(MATCHED!BI78=21,MATCHED!$V78,)))))))&amp;IF(MATCHED!BI78=22,MATCHED!$W78,IF(MATCHED!BI78=23,MATCHED!$X78,IF(MATCHED!BI78=24,MATCHED!$Y78,IF(MATCHED!BI78=25,MATCHED!$Z78,IF(MATCHED!BI78=26,MATCHED!$AA78,IF(MATCHED!BI78=27,MATCHED!$AB78,"."))))))</f>
        <v>#N/A</v>
      </c>
      <c r="AH78" s="423" t="e">
        <f>IF(MATCHED!BJ78=1,MATCHED!$B78,IF(MATCHED!BJ78=2,MATCHED!$C78,IF(MATCHED!BJ78=3,MATCHED!$D78,IF(MATCHED!BJ78=4,MATCHED!$E78,IF(MATCHED!BJ78=3,MATCHED!$F78,IF(MATCHED!BJ78=6,MATCHED!$G78,IF(MATCHED!BJ78=7,MATCHED!$H78,"")))))))&amp;IF(MATCHED!BJ78=8,MATCHED!$I78,IF(MATCHED!BJ78=9,MATCHED!$J78,IF(MATCHED!BJ78=10,MATCHED!$K78,IF(MATCHED!BJ78=11,MATCHED!$L78,IF(MATCHED!BJ78=12,MATCHED!$M78,IF(MATCHED!BJ78=13,MATCHED!$N78,IF(MATCHED!BJ78=14,MATCHED!$O78,"")))))))&amp;IF(MATCHED!BJ78=15,MATCHED!$P78,IF(MATCHED!BJ78=16,MATCHED!$Q78,IF(MATCHED!BJ78=17,MATCHED!$R78,IF(MATCHED!BJ78=18,MATCHED!$S78,IF(MATCHED!BJ78=19,MATCHED!$T78,IF(MATCHED!BJ78=20,MATCHED!$U78,IF(MATCHED!BJ78=21,MATCHED!$V78,)))))))&amp;IF(MATCHED!BJ78=22,MATCHED!$W78,IF(MATCHED!BJ78=23,MATCHED!$X78,IF(MATCHED!BJ78=24,MATCHED!$Y78,IF(MATCHED!BJ78=25,MATCHED!$Z78,IF(MATCHED!BJ78=26,MATCHED!$AA78,IF(MATCHED!BJ78=27,MATCHED!$AB78,"."))))))</f>
        <v>#N/A</v>
      </c>
      <c r="AI78" s="423" t="e">
        <f>IF(MATCHED!BK78=1,MATCHED!$B78,IF(MATCHED!BK78=2,MATCHED!$C78,IF(MATCHED!BK78=3,MATCHED!$D78,IF(MATCHED!BK78=4,MATCHED!$E78,IF(MATCHED!BK78=3,MATCHED!$F78,IF(MATCHED!BK78=6,MATCHED!$G78,IF(MATCHED!BK78=7,MATCHED!$H78,"")))))))&amp;IF(MATCHED!BK78=8,MATCHED!$I78,IF(MATCHED!BK78=9,MATCHED!$J78,IF(MATCHED!BK78=10,MATCHED!$K78,IF(MATCHED!BK78=11,MATCHED!$L78,IF(MATCHED!BK78=12,MATCHED!$M78,IF(MATCHED!BK78=13,MATCHED!$N78,IF(MATCHED!BK78=14,MATCHED!$O78,"")))))))&amp;IF(MATCHED!BK78=15,MATCHED!$P78,IF(MATCHED!BK78=16,MATCHED!$Q78,IF(MATCHED!BK78=17,MATCHED!$R78,IF(MATCHED!BK78=18,MATCHED!$S78,IF(MATCHED!BK78=19,MATCHED!$T78,IF(MATCHED!BK78=20,MATCHED!$U78,IF(MATCHED!BK78=21,MATCHED!$V78,)))))))&amp;IF(MATCHED!BK78=22,MATCHED!$W78,IF(MATCHED!BK78=23,MATCHED!$X78,IF(MATCHED!BK78=24,MATCHED!$Y78,IF(MATCHED!BK78=25,MATCHED!$Z78,IF(MATCHED!BK78=26,MATCHED!$AA78,IF(MATCHED!BK78=27,MATCHED!$AB78,"."))))))</f>
        <v>#N/A</v>
      </c>
      <c r="AJ78" s="542"/>
    </row>
    <row r="79" spans="1:36" s="338" customFormat="1" x14ac:dyDescent="0.25">
      <c r="A79" s="542"/>
      <c r="B79" s="423" t="e">
        <f>IF(MATCHED!AD79=1,MATCHED!$B79,IF(MATCHED!AD79=2,MATCHED!$C79,IF(MATCHED!AD79=3,MATCHED!$D79,IF(MATCHED!AD79=4,MATCHED!$E79,IF(MATCHED!AD79=3,MATCHED!$F79,IF(MATCHED!AD79=6,MATCHED!$G79,IF(MATCHED!AD79=7,MATCHED!$H79,"")))))))&amp;IF(MATCHED!AD79=8,MATCHED!$I79,IF(MATCHED!AD79=9,MATCHED!$J79,IF(MATCHED!AD79=10,MATCHED!$K79,IF(MATCHED!AD79=11,MATCHED!$L79,IF(MATCHED!AD79=12,MATCHED!$M79,IF(MATCHED!AD79=13,MATCHED!$N79,IF(MATCHED!AD79=14,MATCHED!$O79,"")))))))&amp;IF(MATCHED!AD79=15,MATCHED!$P79,IF(MATCHED!AD79=16,MATCHED!$Q79,IF(MATCHED!AD79=17,MATCHED!$R79,IF(MATCHED!AD79=18,MATCHED!$S79,IF(MATCHED!AD79=19,MATCHED!$T79,IF(MATCHED!AD79=20,MATCHED!$U79,IF(MATCHED!AD79=21,MATCHED!$V79,)))))))&amp;IF(MATCHED!AD79=22,MATCHED!$W79,IF(MATCHED!AD79=23,MATCHED!$X79,IF(MATCHED!AD79=24,MATCHED!$Y79,IF(MATCHED!AD79=25,MATCHED!$Z79,IF(MATCHED!AD79=26,MATCHED!$AA79,IF(MATCHED!AD79=27,MATCHED!$AB79,"."))))))</f>
        <v>#N/A</v>
      </c>
      <c r="C79" s="423" t="e">
        <f>IF(MATCHED!AE79=1,MATCHED!$B79,IF(MATCHED!AE79=2,MATCHED!$C79,IF(MATCHED!AE79=3,MATCHED!$D79,IF(MATCHED!AE79=4,MATCHED!$E79,IF(MATCHED!AE79=3,MATCHED!$F79,IF(MATCHED!AE79=6,MATCHED!$G79,IF(MATCHED!AE79=7,MATCHED!$H79,"")))))))&amp;IF(MATCHED!AE79=8,MATCHED!$I79,IF(MATCHED!AE79=9,MATCHED!$J79,IF(MATCHED!AE79=10,MATCHED!$K79,IF(MATCHED!AE79=11,MATCHED!$L79,IF(MATCHED!AE79=12,MATCHED!$M79,IF(MATCHED!AE79=13,MATCHED!$N79,IF(MATCHED!AE79=14,MATCHED!$O79,"")))))))&amp;IF(MATCHED!AE79=15,MATCHED!$P79,IF(MATCHED!AE79=16,MATCHED!$Q79,IF(MATCHED!AE79=17,MATCHED!$R79,IF(MATCHED!AE79=18,MATCHED!$S79,IF(MATCHED!AE79=19,MATCHED!$T79,IF(MATCHED!AE79=20,MATCHED!$U79,IF(MATCHED!AE79=21,MATCHED!$V79,)))))))&amp;IF(MATCHED!AE79=22,MATCHED!$W79,IF(MATCHED!AE79=23,MATCHED!$X79,IF(MATCHED!AE79=24,MATCHED!$Y79,IF(MATCHED!AE79=25,MATCHED!$Z79,IF(MATCHED!AE79=26,MATCHED!$AA79,IF(MATCHED!AE79=27,MATCHED!$AB79,"."))))))</f>
        <v>#N/A</v>
      </c>
      <c r="D79" s="423" t="e">
        <f>IF(MATCHED!AF79=1,MATCHED!$B79,IF(MATCHED!AF79=2,MATCHED!$C79,IF(MATCHED!AF79=3,MATCHED!$D79,IF(MATCHED!AF79=4,MATCHED!$E79,IF(MATCHED!AF79=3,MATCHED!$F79,IF(MATCHED!AF79=6,MATCHED!$G79,IF(MATCHED!AF79=7,MATCHED!$H79,"")))))))&amp;IF(MATCHED!AF79=8,MATCHED!$I79,IF(MATCHED!AF79=9,MATCHED!$J79,IF(MATCHED!AF79=10,MATCHED!$K79,IF(MATCHED!AF79=11,MATCHED!$L79,IF(MATCHED!AF79=12,MATCHED!$M79,IF(MATCHED!AF79=13,MATCHED!$N79,IF(MATCHED!AF79=14,MATCHED!$O79,"")))))))&amp;IF(MATCHED!AF79=15,MATCHED!$P79,IF(MATCHED!AF79=16,MATCHED!$Q79,IF(MATCHED!AF79=17,MATCHED!$R79,IF(MATCHED!AF79=18,MATCHED!$S79,IF(MATCHED!AF79=19,MATCHED!$T79,IF(MATCHED!AF79=20,MATCHED!$U79,IF(MATCHED!AF79=21,MATCHED!$V79,)))))))&amp;IF(MATCHED!AF79=22,MATCHED!$W79,IF(MATCHED!AF79=23,MATCHED!$X79,IF(MATCHED!AF79=24,MATCHED!$Y79,IF(MATCHED!AF79=25,MATCHED!$Z79,IF(MATCHED!AF79=26,MATCHED!$AA79,IF(MATCHED!AF79=27,MATCHED!$AB79,"."))))))</f>
        <v>#N/A</v>
      </c>
      <c r="E79" s="423" t="e">
        <f>IF(MATCHED!AG79=1,MATCHED!$B79,IF(MATCHED!AG79=2,MATCHED!$C79,IF(MATCHED!AG79=3,MATCHED!$D79,IF(MATCHED!AG79=4,MATCHED!$E79,IF(MATCHED!AG79=3,MATCHED!$F79,IF(MATCHED!AG79=6,MATCHED!$G79,IF(MATCHED!AG79=7,MATCHED!$H79,"")))))))&amp;IF(MATCHED!AG79=8,MATCHED!$I79,IF(MATCHED!AG79=9,MATCHED!$J79,IF(MATCHED!AG79=10,MATCHED!$K79,IF(MATCHED!AG79=11,MATCHED!$L79,IF(MATCHED!AG79=12,MATCHED!$M79,IF(MATCHED!AG79=13,MATCHED!$N79,IF(MATCHED!AG79=14,MATCHED!$O79,"")))))))&amp;IF(MATCHED!AG79=15,MATCHED!$P79,IF(MATCHED!AG79=16,MATCHED!$Q79,IF(MATCHED!AG79=17,MATCHED!$R79,IF(MATCHED!AG79=18,MATCHED!$S79,IF(MATCHED!AG79=19,MATCHED!$T79,IF(MATCHED!AG79=20,MATCHED!$U79,IF(MATCHED!AG79=21,MATCHED!$V79,)))))))&amp;IF(MATCHED!AG79=22,MATCHED!$W79,IF(MATCHED!AG79=23,MATCHED!$X79,IF(MATCHED!AG79=24,MATCHED!$Y79,IF(MATCHED!AG79=25,MATCHED!$Z79,IF(MATCHED!AG79=26,MATCHED!$AA79,IF(MATCHED!AG79=27,MATCHED!$AB79,"."))))))</f>
        <v>#N/A</v>
      </c>
      <c r="F79" s="423" t="e">
        <f>IF(MATCHED!AH79=1,MATCHED!$B79,IF(MATCHED!AH79=2,MATCHED!$C79,IF(MATCHED!AH79=3,MATCHED!$D79,IF(MATCHED!AH79=4,MATCHED!$E79,IF(MATCHED!AH79=3,MATCHED!$F79,IF(MATCHED!AH79=6,MATCHED!$G79,IF(MATCHED!AH79=7,MATCHED!$H79,"")))))))&amp;IF(MATCHED!AH79=8,MATCHED!$I79,IF(MATCHED!AH79=9,MATCHED!$J79,IF(MATCHED!AH79=10,MATCHED!$K79,IF(MATCHED!AH79=11,MATCHED!$L79,IF(MATCHED!AH79=12,MATCHED!$M79,IF(MATCHED!AH79=13,MATCHED!$N79,IF(MATCHED!AH79=14,MATCHED!$O79,"")))))))&amp;IF(MATCHED!AH79=15,MATCHED!$P79,IF(MATCHED!AH79=16,MATCHED!$Q79,IF(MATCHED!AH79=17,MATCHED!$R79,IF(MATCHED!AH79=18,MATCHED!$S79,IF(MATCHED!AH79=19,MATCHED!$T79,IF(MATCHED!AH79=20,MATCHED!$U79,IF(MATCHED!AH79=21,MATCHED!$V79,)))))))&amp;IF(MATCHED!AH79=22,MATCHED!$W79,IF(MATCHED!AH79=23,MATCHED!$X79,IF(MATCHED!AH79=24,MATCHED!$Y79,IF(MATCHED!AH79=25,MATCHED!$Z79,IF(MATCHED!AH79=26,MATCHED!$AA79,IF(MATCHED!AH79=27,MATCHED!$AB79,"."))))))</f>
        <v>#N/A</v>
      </c>
      <c r="G79" s="423" t="e">
        <f>IF(MATCHED!AI79=1,MATCHED!$B79,IF(MATCHED!AI79=2,MATCHED!$C79,IF(MATCHED!AI79=3,MATCHED!$D79,IF(MATCHED!AI79=4,MATCHED!$E79,IF(MATCHED!AI79=3,MATCHED!$F79,IF(MATCHED!AI79=6,MATCHED!$G79,IF(MATCHED!AI79=7,MATCHED!$H79,"")))))))&amp;IF(MATCHED!AI79=8,MATCHED!$I79,IF(MATCHED!AI79=9,MATCHED!$J79,IF(MATCHED!AI79=10,MATCHED!$K79,IF(MATCHED!AI79=11,MATCHED!$L79,IF(MATCHED!AI79=12,MATCHED!$M79,IF(MATCHED!AI79=13,MATCHED!$N79,IF(MATCHED!AI79=14,MATCHED!$O79,"")))))))&amp;IF(MATCHED!AI79=15,MATCHED!$P79,IF(MATCHED!AI79=16,MATCHED!$Q79,IF(MATCHED!AI79=17,MATCHED!$R79,IF(MATCHED!AI79=18,MATCHED!$S79,IF(MATCHED!AI79=19,MATCHED!$T79,IF(MATCHED!AI79=20,MATCHED!$U79,IF(MATCHED!AI79=21,MATCHED!$V79,)))))))&amp;IF(MATCHED!AI79=22,MATCHED!$W79,IF(MATCHED!AI79=23,MATCHED!$X79,IF(MATCHED!AI79=24,MATCHED!$Y79,IF(MATCHED!AI79=25,MATCHED!$Z79,IF(MATCHED!AI79=26,MATCHED!$AA79,IF(MATCHED!AI79=27,MATCHED!$AB79,"."))))))</f>
        <v>#N/A</v>
      </c>
      <c r="H79" s="423" t="e">
        <f>IF(MATCHED!AJ79=1,MATCHED!$B79,IF(MATCHED!AJ79=2,MATCHED!$C79,IF(MATCHED!AJ79=3,MATCHED!$D79,IF(MATCHED!AJ79=4,MATCHED!$E79,IF(MATCHED!AJ79=3,MATCHED!$F79,IF(MATCHED!AJ79=6,MATCHED!$G79,IF(MATCHED!AJ79=7,MATCHED!$H79,"")))))))&amp;IF(MATCHED!AJ79=8,MATCHED!$I79,IF(MATCHED!AJ79=9,MATCHED!$J79,IF(MATCHED!AJ79=10,MATCHED!$K79,IF(MATCHED!AJ79=11,MATCHED!$L79,IF(MATCHED!AJ79=12,MATCHED!$M79,IF(MATCHED!AJ79=13,MATCHED!$N79,IF(MATCHED!AJ79=14,MATCHED!$O79,"")))))))&amp;IF(MATCHED!AJ79=15,MATCHED!$P79,IF(MATCHED!AJ79=16,MATCHED!$Q79,IF(MATCHED!AJ79=17,MATCHED!$R79,IF(MATCHED!AJ79=18,MATCHED!$S79,IF(MATCHED!AJ79=19,MATCHED!$T79,IF(MATCHED!AJ79=20,MATCHED!$U79,IF(MATCHED!AJ79=21,MATCHED!$V79,)))))))&amp;IF(MATCHED!AJ79=22,MATCHED!$W79,IF(MATCHED!AJ79=23,MATCHED!$X79,IF(MATCHED!AJ79=24,MATCHED!$Y79,IF(MATCHED!AJ79=25,MATCHED!$Z79,IF(MATCHED!AJ79=26,MATCHED!$AA79,IF(MATCHED!AJ79=27,MATCHED!$AB79,"."))))))</f>
        <v>#N/A</v>
      </c>
      <c r="I79" s="423" t="e">
        <f>IF(MATCHED!AK79=1,MATCHED!$B79,IF(MATCHED!AK79=2,MATCHED!$C79,IF(MATCHED!AK79=3,MATCHED!$D79,IF(MATCHED!AK79=4,MATCHED!$E79,IF(MATCHED!AK79=3,MATCHED!$F79,IF(MATCHED!AK79=6,MATCHED!$G79,IF(MATCHED!AK79=7,MATCHED!$H79,"")))))))&amp;IF(MATCHED!AK79=8,MATCHED!$I79,IF(MATCHED!AK79=9,MATCHED!$J79,IF(MATCHED!AK79=10,MATCHED!$K79,IF(MATCHED!AK79=11,MATCHED!$L79,IF(MATCHED!AK79=12,MATCHED!$M79,IF(MATCHED!AK79=13,MATCHED!$N79,IF(MATCHED!AK79=14,MATCHED!$O79,"")))))))&amp;IF(MATCHED!AK79=15,MATCHED!$P79,IF(MATCHED!AK79=16,MATCHED!$Q79,IF(MATCHED!AK79=17,MATCHED!$R79,IF(MATCHED!AK79=18,MATCHED!$S79,IF(MATCHED!AK79=19,MATCHED!$T79,IF(MATCHED!AK79=20,MATCHED!$U79,IF(MATCHED!AK79=21,MATCHED!$V79,)))))))&amp;IF(MATCHED!AK79=22,MATCHED!$W79,IF(MATCHED!AK79=23,MATCHED!$X79,IF(MATCHED!AK79=24,MATCHED!$Y79,IF(MATCHED!AK79=25,MATCHED!$Z79,IF(MATCHED!AK79=26,MATCHED!$AA79,IF(MATCHED!AK79=27,MATCHED!$AB79,"."))))))</f>
        <v>#N/A</v>
      </c>
      <c r="J79" s="423" t="e">
        <f>IF(MATCHED!AL79=1,MATCHED!$B79,IF(MATCHED!AL79=2,MATCHED!$C79,IF(MATCHED!AL79=3,MATCHED!$D79,IF(MATCHED!AL79=4,MATCHED!$E79,IF(MATCHED!AL79=3,MATCHED!$F79,IF(MATCHED!AL79=6,MATCHED!$G79,IF(MATCHED!AL79=7,MATCHED!$H79,"")))))))&amp;IF(MATCHED!AL79=8,MATCHED!$I79,IF(MATCHED!AL79=9,MATCHED!$J79,IF(MATCHED!AL79=10,MATCHED!$K79,IF(MATCHED!AL79=11,MATCHED!$L79,IF(MATCHED!AL79=12,MATCHED!$M79,IF(MATCHED!AL79=13,MATCHED!$N79,IF(MATCHED!AL79=14,MATCHED!$O79,"")))))))&amp;IF(MATCHED!AL79=15,MATCHED!$P79,IF(MATCHED!AL79=16,MATCHED!$Q79,IF(MATCHED!AL79=17,MATCHED!$R79,IF(MATCHED!AL79=18,MATCHED!$S79,IF(MATCHED!AL79=19,MATCHED!$T79,IF(MATCHED!AL79=20,MATCHED!$U79,IF(MATCHED!AL79=21,MATCHED!$V79,)))))))&amp;IF(MATCHED!AL79=22,MATCHED!$W79,IF(MATCHED!AL79=23,MATCHED!$X79,IF(MATCHED!AL79=24,MATCHED!$Y79,IF(MATCHED!AL79=25,MATCHED!$Z79,IF(MATCHED!AL79=26,MATCHED!$AA79,IF(MATCHED!AL79=27,MATCHED!$AB79,"."))))))</f>
        <v>#N/A</v>
      </c>
      <c r="K79" s="423" t="e">
        <f>IF(MATCHED!AM79=1,MATCHED!$B79,IF(MATCHED!AM79=2,MATCHED!$C79,IF(MATCHED!AM79=3,MATCHED!$D79,IF(MATCHED!AM79=4,MATCHED!$E79,IF(MATCHED!AM79=3,MATCHED!$F79,IF(MATCHED!AM79=6,MATCHED!$G79,IF(MATCHED!AM79=7,MATCHED!$H79,"")))))))&amp;IF(MATCHED!AM79=8,MATCHED!$I79,IF(MATCHED!AM79=9,MATCHED!$J79,IF(MATCHED!AM79=10,MATCHED!$K79,IF(MATCHED!AM79=11,MATCHED!$L79,IF(MATCHED!AM79=12,MATCHED!$M79,IF(MATCHED!AM79=13,MATCHED!$N79,IF(MATCHED!AM79=14,MATCHED!$O79,"")))))))&amp;IF(MATCHED!AM79=15,MATCHED!$P79,IF(MATCHED!AM79=16,MATCHED!$Q79,IF(MATCHED!AM79=17,MATCHED!$R79,IF(MATCHED!AM79=18,MATCHED!$S79,IF(MATCHED!AM79=19,MATCHED!$T79,IF(MATCHED!AM79=20,MATCHED!$U79,IF(MATCHED!AM79=21,MATCHED!$V79,)))))))&amp;IF(MATCHED!AM79=22,MATCHED!$W79,IF(MATCHED!AM79=23,MATCHED!$X79,IF(MATCHED!AM79=24,MATCHED!$Y79,IF(MATCHED!AM79=25,MATCHED!$Z79,IF(MATCHED!AM79=26,MATCHED!$AA79,IF(MATCHED!AM79=27,MATCHED!$AB79,"."))))))</f>
        <v>#N/A</v>
      </c>
      <c r="L79" s="423" t="e">
        <f>IF(MATCHED!AN79=1,MATCHED!$B79,IF(MATCHED!AN79=2,MATCHED!$C79,IF(MATCHED!AN79=3,MATCHED!$D79,IF(MATCHED!AN79=4,MATCHED!$E79,IF(MATCHED!AN79=3,MATCHED!$F79,IF(MATCHED!AN79=6,MATCHED!$G79,IF(MATCHED!AN79=7,MATCHED!$H79,"")))))))&amp;IF(MATCHED!AN79=8,MATCHED!$I79,IF(MATCHED!AN79=9,MATCHED!$J79,IF(MATCHED!AN79=10,MATCHED!$K79,IF(MATCHED!AN79=11,MATCHED!$L79,IF(MATCHED!AN79=12,MATCHED!$M79,IF(MATCHED!AN79=13,MATCHED!$N79,IF(MATCHED!AN79=14,MATCHED!$O79,"")))))))&amp;IF(MATCHED!AN79=15,MATCHED!$P79,IF(MATCHED!AN79=16,MATCHED!$Q79,IF(MATCHED!AN79=17,MATCHED!$R79,IF(MATCHED!AN79=18,MATCHED!$S79,IF(MATCHED!AN79=19,MATCHED!$T79,IF(MATCHED!AN79=20,MATCHED!$U79,IF(MATCHED!AN79=21,MATCHED!$V79,)))))))&amp;IF(MATCHED!AN79=22,MATCHED!$W79,IF(MATCHED!AN79=23,MATCHED!$X79,IF(MATCHED!AN79=24,MATCHED!$Y79,IF(MATCHED!AN79=25,MATCHED!$Z79,IF(MATCHED!AN79=26,MATCHED!$AA79,IF(MATCHED!AN79=27,MATCHED!$AB79,"."))))))</f>
        <v>#N/A</v>
      </c>
      <c r="M79" s="423" t="e">
        <f>IF(MATCHED!AO79=1,MATCHED!$B79,IF(MATCHED!AO79=2,MATCHED!$C79,IF(MATCHED!AO79=3,MATCHED!$D79,IF(MATCHED!AO79=4,MATCHED!$E79,IF(MATCHED!AO79=3,MATCHED!$F79,IF(MATCHED!AO79=6,MATCHED!$G79,IF(MATCHED!AO79=7,MATCHED!$H79,"")))))))&amp;IF(MATCHED!AO79=8,MATCHED!$I79,IF(MATCHED!AO79=9,MATCHED!$J79,IF(MATCHED!AO79=10,MATCHED!$K79,IF(MATCHED!AO79=11,MATCHED!$L79,IF(MATCHED!AO79=12,MATCHED!$M79,IF(MATCHED!AO79=13,MATCHED!$N79,IF(MATCHED!AO79=14,MATCHED!$O79,"")))))))&amp;IF(MATCHED!AO79=15,MATCHED!$P79,IF(MATCHED!AO79=16,MATCHED!$Q79,IF(MATCHED!AO79=17,MATCHED!$R79,IF(MATCHED!AO79=18,MATCHED!$S79,IF(MATCHED!AO79=19,MATCHED!$T79,IF(MATCHED!AO79=20,MATCHED!$U79,IF(MATCHED!AO79=21,MATCHED!$V79,)))))))&amp;IF(MATCHED!AO79=22,MATCHED!$W79,IF(MATCHED!AO79=23,MATCHED!$X79,IF(MATCHED!AO79=24,MATCHED!$Y79,IF(MATCHED!AO79=25,MATCHED!$Z79,IF(MATCHED!AO79=26,MATCHED!$AA79,IF(MATCHED!AO79=27,MATCHED!$AB79,"."))))))</f>
        <v>#N/A</v>
      </c>
      <c r="N79" s="423" t="e">
        <f>IF(MATCHED!AP79=1,MATCHED!$B79,IF(MATCHED!AP79=2,MATCHED!$C79,IF(MATCHED!AP79=3,MATCHED!$D79,IF(MATCHED!AP79=4,MATCHED!$E79,IF(MATCHED!AP79=3,MATCHED!$F79,IF(MATCHED!AP79=6,MATCHED!$G79,IF(MATCHED!AP79=7,MATCHED!$H79,"")))))))&amp;IF(MATCHED!AP79=8,MATCHED!$I79,IF(MATCHED!AP79=9,MATCHED!$J79,IF(MATCHED!AP79=10,MATCHED!$K79,IF(MATCHED!AP79=11,MATCHED!$L79,IF(MATCHED!AP79=12,MATCHED!$M79,IF(MATCHED!AP79=13,MATCHED!$N79,IF(MATCHED!AP79=14,MATCHED!$O79,"")))))))&amp;IF(MATCHED!AP79=15,MATCHED!$P79,IF(MATCHED!AP79=16,MATCHED!$Q79,IF(MATCHED!AP79=17,MATCHED!$R79,IF(MATCHED!AP79=18,MATCHED!$S79,IF(MATCHED!AP79=19,MATCHED!$T79,IF(MATCHED!AP79=20,MATCHED!$U79,IF(MATCHED!AP79=21,MATCHED!$V79,)))))))&amp;IF(MATCHED!AP79=22,MATCHED!$W79,IF(MATCHED!AP79=23,MATCHED!$X79,IF(MATCHED!AP79=24,MATCHED!$Y79,IF(MATCHED!AP79=25,MATCHED!$Z79,IF(MATCHED!AP79=26,MATCHED!$AA79,IF(MATCHED!AP79=27,MATCHED!$AB79,"."))))))</f>
        <v>#N/A</v>
      </c>
      <c r="O79" s="423" t="e">
        <f>IF(MATCHED!AQ79=1,MATCHED!$B79,IF(MATCHED!AQ79=2,MATCHED!$C79,IF(MATCHED!AQ79=3,MATCHED!$D79,IF(MATCHED!AQ79=4,MATCHED!$E79,IF(MATCHED!AQ79=3,MATCHED!$F79,IF(MATCHED!AQ79=6,MATCHED!$G79,IF(MATCHED!AQ79=7,MATCHED!$H79,"")))))))&amp;IF(MATCHED!AQ79=8,MATCHED!$I79,IF(MATCHED!AQ79=9,MATCHED!$J79,IF(MATCHED!AQ79=10,MATCHED!$K79,IF(MATCHED!AQ79=11,MATCHED!$L79,IF(MATCHED!AQ79=12,MATCHED!$M79,IF(MATCHED!AQ79=13,MATCHED!$N79,IF(MATCHED!AQ79=14,MATCHED!$O79,"")))))))&amp;IF(MATCHED!AQ79=15,MATCHED!$P79,IF(MATCHED!AQ79=16,MATCHED!$Q79,IF(MATCHED!AQ79=17,MATCHED!$R79,IF(MATCHED!AQ79=18,MATCHED!$S79,IF(MATCHED!AQ79=19,MATCHED!$T79,IF(MATCHED!AQ79=20,MATCHED!$U79,IF(MATCHED!AQ79=21,MATCHED!$V79,)))))))&amp;IF(MATCHED!AQ79=22,MATCHED!$W79,IF(MATCHED!AQ79=23,MATCHED!$X79,IF(MATCHED!AQ79=24,MATCHED!$Y79,IF(MATCHED!AQ79=25,MATCHED!$Z79,IF(MATCHED!AQ79=26,MATCHED!$AA79,IF(MATCHED!AQ79=27,MATCHED!$AB79,"."))))))</f>
        <v>#N/A</v>
      </c>
      <c r="P79" s="423" t="e">
        <f>IF(MATCHED!AR79=1,MATCHED!$B79,IF(MATCHED!AR79=2,MATCHED!$C79,IF(MATCHED!AR79=3,MATCHED!$D79,IF(MATCHED!AR79=4,MATCHED!$E79,IF(MATCHED!AR79=3,MATCHED!$F79,IF(MATCHED!AR79=6,MATCHED!$G79,IF(MATCHED!AR79=7,MATCHED!$H79,"")))))))&amp;IF(MATCHED!AR79=8,MATCHED!$I79,IF(MATCHED!AR79=9,MATCHED!$J79,IF(MATCHED!AR79=10,MATCHED!$K79,IF(MATCHED!AR79=11,MATCHED!$L79,IF(MATCHED!AR79=12,MATCHED!$M79,IF(MATCHED!AR79=13,MATCHED!$N79,IF(MATCHED!AR79=14,MATCHED!$O79,"")))))))&amp;IF(MATCHED!AR79=15,MATCHED!$P79,IF(MATCHED!AR79=16,MATCHED!$Q79,IF(MATCHED!AR79=17,MATCHED!$R79,IF(MATCHED!AR79=18,MATCHED!$S79,IF(MATCHED!AR79=19,MATCHED!$T79,IF(MATCHED!AR79=20,MATCHED!$U79,IF(MATCHED!AR79=21,MATCHED!$V79,)))))))&amp;IF(MATCHED!AR79=22,MATCHED!$W79,IF(MATCHED!AR79=23,MATCHED!$X79,IF(MATCHED!AR79=24,MATCHED!$Y79,IF(MATCHED!AR79=25,MATCHED!$Z79,IF(MATCHED!AR79=26,MATCHED!$AA79,IF(MATCHED!AR79=27,MATCHED!$AB79,"."))))))</f>
        <v>#N/A</v>
      </c>
      <c r="Q79" s="423" t="e">
        <f>IF(MATCHED!AS79=1,MATCHED!$B79,IF(MATCHED!AS79=2,MATCHED!$C79,IF(MATCHED!AS79=3,MATCHED!$D79,IF(MATCHED!AS79=4,MATCHED!$E79,IF(MATCHED!AS79=3,MATCHED!$F79,IF(MATCHED!AS79=6,MATCHED!$G79,IF(MATCHED!AS79=7,MATCHED!$H79,"")))))))&amp;IF(MATCHED!AS79=8,MATCHED!$I79,IF(MATCHED!AS79=9,MATCHED!$J79,IF(MATCHED!AS79=10,MATCHED!$K79,IF(MATCHED!AS79=11,MATCHED!$L79,IF(MATCHED!AS79=12,MATCHED!$M79,IF(MATCHED!AS79=13,MATCHED!$N79,IF(MATCHED!AS79=14,MATCHED!$O79,"")))))))&amp;IF(MATCHED!AS79=15,MATCHED!$P79,IF(MATCHED!AS79=16,MATCHED!$Q79,IF(MATCHED!AS79=17,MATCHED!$R79,IF(MATCHED!AS79=18,MATCHED!$S79,IF(MATCHED!AS79=19,MATCHED!$T79,IF(MATCHED!AS79=20,MATCHED!$U79,IF(MATCHED!AS79=21,MATCHED!$V79,)))))))&amp;IF(MATCHED!AS79=22,MATCHED!$W79,IF(MATCHED!AS79=23,MATCHED!$X79,IF(MATCHED!AS79=24,MATCHED!$Y79,IF(MATCHED!AS79=25,MATCHED!$Z79,IF(MATCHED!AS79=26,MATCHED!$AA79,IF(MATCHED!AS79=27,MATCHED!$AB79,"."))))))</f>
        <v>#N/A</v>
      </c>
      <c r="R79" s="423" t="e">
        <f>IF(MATCHED!AT79=1,MATCHED!$B79,IF(MATCHED!AT79=2,MATCHED!$C79,IF(MATCHED!AT79=3,MATCHED!$D79,IF(MATCHED!AT79=4,MATCHED!$E79,IF(MATCHED!AT79=3,MATCHED!$F79,IF(MATCHED!AT79=6,MATCHED!$G79,IF(MATCHED!AT79=7,MATCHED!$H79,"")))))))&amp;IF(MATCHED!AT79=8,MATCHED!$I79,IF(MATCHED!AT79=9,MATCHED!$J79,IF(MATCHED!AT79=10,MATCHED!$K79,IF(MATCHED!AT79=11,MATCHED!$L79,IF(MATCHED!AT79=12,MATCHED!$M79,IF(MATCHED!AT79=13,MATCHED!$N79,IF(MATCHED!AT79=14,MATCHED!$O79,"")))))))&amp;IF(MATCHED!AT79=15,MATCHED!$P79,IF(MATCHED!AT79=16,MATCHED!$Q79,IF(MATCHED!AT79=17,MATCHED!$R79,IF(MATCHED!AT79=18,MATCHED!$S79,IF(MATCHED!AT79=19,MATCHED!$T79,IF(MATCHED!AT79=20,MATCHED!$U79,IF(MATCHED!AT79=21,MATCHED!$V79,)))))))&amp;IF(MATCHED!AT79=22,MATCHED!$W79,IF(MATCHED!AT79=23,MATCHED!$X79,IF(MATCHED!AT79=24,MATCHED!$Y79,IF(MATCHED!AT79=25,MATCHED!$Z79,IF(MATCHED!AT79=26,MATCHED!$AA79,IF(MATCHED!AT79=27,MATCHED!$AB79,"."))))))</f>
        <v>#N/A</v>
      </c>
      <c r="S79" s="423" t="e">
        <f>IF(MATCHED!AU79=1,MATCHED!$B79,IF(MATCHED!AU79=2,MATCHED!$C79,IF(MATCHED!AU79=3,MATCHED!$D79,IF(MATCHED!AU79=4,MATCHED!$E79,IF(MATCHED!AU79=3,MATCHED!$F79,IF(MATCHED!AU79=6,MATCHED!$G79,IF(MATCHED!AU79=7,MATCHED!$H79,"")))))))&amp;IF(MATCHED!AU79=8,MATCHED!$I79,IF(MATCHED!AU79=9,MATCHED!$J79,IF(MATCHED!AU79=10,MATCHED!$K79,IF(MATCHED!AU79=11,MATCHED!$L79,IF(MATCHED!AU79=12,MATCHED!$M79,IF(MATCHED!AU79=13,MATCHED!$N79,IF(MATCHED!AU79=14,MATCHED!$O79,"")))))))&amp;IF(MATCHED!AU79=15,MATCHED!$P79,IF(MATCHED!AU79=16,MATCHED!$Q79,IF(MATCHED!AU79=17,MATCHED!$R79,IF(MATCHED!AU79=18,MATCHED!$S79,IF(MATCHED!AU79=19,MATCHED!$T79,IF(MATCHED!AU79=20,MATCHED!$U79,IF(MATCHED!AU79=21,MATCHED!$V79,)))))))&amp;IF(MATCHED!AU79=22,MATCHED!$W79,IF(MATCHED!AU79=23,MATCHED!$X79,IF(MATCHED!AU79=24,MATCHED!$Y79,IF(MATCHED!AU79=25,MATCHED!$Z79,IF(MATCHED!AU79=26,MATCHED!$AA79,IF(MATCHED!AU79=27,MATCHED!$AB79,"."))))))</f>
        <v>#N/A</v>
      </c>
      <c r="T79" s="423" t="e">
        <f>IF(MATCHED!AV79=1,MATCHED!$B79,IF(MATCHED!AV79=2,MATCHED!$C79,IF(MATCHED!AV79=3,MATCHED!$D79,IF(MATCHED!AV79=4,MATCHED!$E79,IF(MATCHED!AV79=3,MATCHED!$F79,IF(MATCHED!AV79=6,MATCHED!$G79,IF(MATCHED!AV79=7,MATCHED!$H79,"")))))))&amp;IF(MATCHED!AV79=8,MATCHED!$I79,IF(MATCHED!AV79=9,MATCHED!$J79,IF(MATCHED!AV79=10,MATCHED!$K79,IF(MATCHED!AV79=11,MATCHED!$L79,IF(MATCHED!AV79=12,MATCHED!$M79,IF(MATCHED!AV79=13,MATCHED!$N79,IF(MATCHED!AV79=14,MATCHED!$O79,"")))))))&amp;IF(MATCHED!AV79=15,MATCHED!$P79,IF(MATCHED!AV79=16,MATCHED!$Q79,IF(MATCHED!AV79=17,MATCHED!$R79,IF(MATCHED!AV79=18,MATCHED!$S79,IF(MATCHED!AV79=19,MATCHED!$T79,IF(MATCHED!AV79=20,MATCHED!$U79,IF(MATCHED!AV79=21,MATCHED!$V79,)))))))&amp;IF(MATCHED!AV79=22,MATCHED!$W79,IF(MATCHED!AV79=23,MATCHED!$X79,IF(MATCHED!AV79=24,MATCHED!$Y79,IF(MATCHED!AV79=25,MATCHED!$Z79,IF(MATCHED!AV79=26,MATCHED!$AA79,IF(MATCHED!AV79=27,MATCHED!$AB79,"."))))))</f>
        <v>#N/A</v>
      </c>
      <c r="U79" s="423" t="e">
        <f>IF(MATCHED!AW79=1,MATCHED!$B79,IF(MATCHED!AW79=2,MATCHED!$C79,IF(MATCHED!AW79=3,MATCHED!$D79,IF(MATCHED!AW79=4,MATCHED!$E79,IF(MATCHED!AW79=3,MATCHED!$F79,IF(MATCHED!AW79=6,MATCHED!$G79,IF(MATCHED!AW79=7,MATCHED!$H79,"")))))))&amp;IF(MATCHED!AW79=8,MATCHED!$I79,IF(MATCHED!AW79=9,MATCHED!$J79,IF(MATCHED!AW79=10,MATCHED!$K79,IF(MATCHED!AW79=11,MATCHED!$L79,IF(MATCHED!AW79=12,MATCHED!$M79,IF(MATCHED!AW79=13,MATCHED!$N79,IF(MATCHED!AW79=14,MATCHED!$O79,"")))))))&amp;IF(MATCHED!AW79=15,MATCHED!$P79,IF(MATCHED!AW79=16,MATCHED!$Q79,IF(MATCHED!AW79=17,MATCHED!$R79,IF(MATCHED!AW79=18,MATCHED!$S79,IF(MATCHED!AW79=19,MATCHED!$T79,IF(MATCHED!AW79=20,MATCHED!$U79,IF(MATCHED!AW79=21,MATCHED!$V79,)))))))&amp;IF(MATCHED!AW79=22,MATCHED!$W79,IF(MATCHED!AW79=23,MATCHED!$X79,IF(MATCHED!AW79=24,MATCHED!$Y79,IF(MATCHED!AW79=25,MATCHED!$Z79,IF(MATCHED!AW79=26,MATCHED!$AA79,IF(MATCHED!AW79=27,MATCHED!$AB79,"."))))))</f>
        <v>#N/A</v>
      </c>
      <c r="V79" s="423" t="e">
        <f>IF(MATCHED!AX79=1,MATCHED!$B79,IF(MATCHED!AX79=2,MATCHED!$C79,IF(MATCHED!AX79=3,MATCHED!$D79,IF(MATCHED!AX79=4,MATCHED!$E79,IF(MATCHED!AX79=3,MATCHED!$F79,IF(MATCHED!AX79=6,MATCHED!$G79,IF(MATCHED!AX79=7,MATCHED!$H79,"")))))))&amp;IF(MATCHED!AX79=8,MATCHED!$I79,IF(MATCHED!AX79=9,MATCHED!$J79,IF(MATCHED!AX79=10,MATCHED!$K79,IF(MATCHED!AX79=11,MATCHED!$L79,IF(MATCHED!AX79=12,MATCHED!$M79,IF(MATCHED!AX79=13,MATCHED!$N79,IF(MATCHED!AX79=14,MATCHED!$O79,"")))))))&amp;IF(MATCHED!AX79=15,MATCHED!$P79,IF(MATCHED!AX79=16,MATCHED!$Q79,IF(MATCHED!AX79=17,MATCHED!$R79,IF(MATCHED!AX79=18,MATCHED!$S79,IF(MATCHED!AX79=19,MATCHED!$T79,IF(MATCHED!AX79=20,MATCHED!$U79,IF(MATCHED!AX79=21,MATCHED!$V79,)))))))&amp;IF(MATCHED!AX79=22,MATCHED!$W79,IF(MATCHED!AX79=23,MATCHED!$X79,IF(MATCHED!AX79=24,MATCHED!$Y79,IF(MATCHED!AX79=25,MATCHED!$Z79,IF(MATCHED!AX79=26,MATCHED!$AA79,IF(MATCHED!AX79=27,MATCHED!$AB79,"."))))))</f>
        <v>#N/A</v>
      </c>
      <c r="W79" s="423" t="e">
        <f>IF(MATCHED!AY79=1,MATCHED!$B79,IF(MATCHED!AY79=2,MATCHED!$C79,IF(MATCHED!AY79=3,MATCHED!$D79,IF(MATCHED!AY79=4,MATCHED!$E79,IF(MATCHED!AY79=3,MATCHED!$F79,IF(MATCHED!AY79=6,MATCHED!$G79,IF(MATCHED!AY79=7,MATCHED!$H79,"")))))))&amp;IF(MATCHED!AY79=8,MATCHED!$I79,IF(MATCHED!AY79=9,MATCHED!$J79,IF(MATCHED!AY79=10,MATCHED!$K79,IF(MATCHED!AY79=11,MATCHED!$L79,IF(MATCHED!AY79=12,MATCHED!$M79,IF(MATCHED!AY79=13,MATCHED!$N79,IF(MATCHED!AY79=14,MATCHED!$O79,"")))))))&amp;IF(MATCHED!AY79=15,MATCHED!$P79,IF(MATCHED!AY79=16,MATCHED!$Q79,IF(MATCHED!AY79=17,MATCHED!$R79,IF(MATCHED!AY79=18,MATCHED!$S79,IF(MATCHED!AY79=19,MATCHED!$T79,IF(MATCHED!AY79=20,MATCHED!$U79,IF(MATCHED!AY79=21,MATCHED!$V79,)))))))&amp;IF(MATCHED!AY79=22,MATCHED!$W79,IF(MATCHED!AY79=23,MATCHED!$X79,IF(MATCHED!AY79=24,MATCHED!$Y79,IF(MATCHED!AY79=25,MATCHED!$Z79,IF(MATCHED!AY79=26,MATCHED!$AA79,IF(MATCHED!AY79=27,MATCHED!$AB79,"."))))))</f>
        <v>#N/A</v>
      </c>
      <c r="X79" s="423" t="e">
        <f>IF(MATCHED!AZ79=1,MATCHED!$B79,IF(MATCHED!AZ79=2,MATCHED!$C79,IF(MATCHED!AZ79=3,MATCHED!$D79,IF(MATCHED!AZ79=4,MATCHED!$E79,IF(MATCHED!AZ79=3,MATCHED!$F79,IF(MATCHED!AZ79=6,MATCHED!$G79,IF(MATCHED!AZ79=7,MATCHED!$H79,"")))))))&amp;IF(MATCHED!AZ79=8,MATCHED!$I79,IF(MATCHED!AZ79=9,MATCHED!$J79,IF(MATCHED!AZ79=10,MATCHED!$K79,IF(MATCHED!AZ79=11,MATCHED!$L79,IF(MATCHED!AZ79=12,MATCHED!$M79,IF(MATCHED!AZ79=13,MATCHED!$N79,IF(MATCHED!AZ79=14,MATCHED!$O79,"")))))))&amp;IF(MATCHED!AZ79=15,MATCHED!$P79,IF(MATCHED!AZ79=16,MATCHED!$Q79,IF(MATCHED!AZ79=17,MATCHED!$R79,IF(MATCHED!AZ79=18,MATCHED!$S79,IF(MATCHED!AZ79=19,MATCHED!$T79,IF(MATCHED!AZ79=20,MATCHED!$U79,IF(MATCHED!AZ79=21,MATCHED!$V79,)))))))&amp;IF(MATCHED!AZ79=22,MATCHED!$W79,IF(MATCHED!AZ79=23,MATCHED!$X79,IF(MATCHED!AZ79=24,MATCHED!$Y79,IF(MATCHED!AZ79=25,MATCHED!$Z79,IF(MATCHED!AZ79=26,MATCHED!$AA79,IF(MATCHED!AZ79=27,MATCHED!$AB79,"."))))))</f>
        <v>#N/A</v>
      </c>
      <c r="Y79" s="423" t="e">
        <f>IF(MATCHED!BA79=1,MATCHED!$B79,IF(MATCHED!BA79=2,MATCHED!$C79,IF(MATCHED!BA79=3,MATCHED!$D79,IF(MATCHED!BA79=4,MATCHED!$E79,IF(MATCHED!BA79=3,MATCHED!$F79,IF(MATCHED!BA79=6,MATCHED!$G79,IF(MATCHED!BA79=7,MATCHED!$H79,"")))))))&amp;IF(MATCHED!BA79=8,MATCHED!$I79,IF(MATCHED!BA79=9,MATCHED!$J79,IF(MATCHED!BA79=10,MATCHED!$K79,IF(MATCHED!BA79=11,MATCHED!$L79,IF(MATCHED!BA79=12,MATCHED!$M79,IF(MATCHED!BA79=13,MATCHED!$N79,IF(MATCHED!BA79=14,MATCHED!$O79,"")))))))&amp;IF(MATCHED!BA79=15,MATCHED!$P79,IF(MATCHED!BA79=16,MATCHED!$Q79,IF(MATCHED!BA79=17,MATCHED!$R79,IF(MATCHED!BA79=18,MATCHED!$S79,IF(MATCHED!BA79=19,MATCHED!$T79,IF(MATCHED!BA79=20,MATCHED!$U79,IF(MATCHED!BA79=21,MATCHED!$V79,)))))))&amp;IF(MATCHED!BA79=22,MATCHED!$W79,IF(MATCHED!BA79=23,MATCHED!$X79,IF(MATCHED!BA79=24,MATCHED!$Y79,IF(MATCHED!BA79=25,MATCHED!$Z79,IF(MATCHED!BA79=26,MATCHED!$AA79,IF(MATCHED!BA79=27,MATCHED!$AB79,"."))))))</f>
        <v>#N/A</v>
      </c>
      <c r="Z79" s="423" t="e">
        <f>IF(MATCHED!BB79=1,MATCHED!$B79,IF(MATCHED!BB79=2,MATCHED!$C79,IF(MATCHED!BB79=3,MATCHED!$D79,IF(MATCHED!BB79=4,MATCHED!$E79,IF(MATCHED!BB79=3,MATCHED!$F79,IF(MATCHED!BB79=6,MATCHED!$G79,IF(MATCHED!BB79=7,MATCHED!$H79,"")))))))&amp;IF(MATCHED!BB79=8,MATCHED!$I79,IF(MATCHED!BB79=9,MATCHED!$J79,IF(MATCHED!BB79=10,MATCHED!$K79,IF(MATCHED!BB79=11,MATCHED!$L79,IF(MATCHED!BB79=12,MATCHED!$M79,IF(MATCHED!BB79=13,MATCHED!$N79,IF(MATCHED!BB79=14,MATCHED!$O79,"")))))))&amp;IF(MATCHED!BB79=15,MATCHED!$P79,IF(MATCHED!BB79=16,MATCHED!$Q79,IF(MATCHED!BB79=17,MATCHED!$R79,IF(MATCHED!BB79=18,MATCHED!$S79,IF(MATCHED!BB79=19,MATCHED!$T79,IF(MATCHED!BB79=20,MATCHED!$U79,IF(MATCHED!BB79=21,MATCHED!$V79,)))))))&amp;IF(MATCHED!BB79=22,MATCHED!$W79,IF(MATCHED!BB79=23,MATCHED!$X79,IF(MATCHED!BB79=24,MATCHED!$Y79,IF(MATCHED!BB79=25,MATCHED!$Z79,IF(MATCHED!BB79=26,MATCHED!$AA79,IF(MATCHED!BB79=27,MATCHED!$AB79,"."))))))</f>
        <v>#N/A</v>
      </c>
      <c r="AA79" s="423" t="e">
        <f>IF(MATCHED!BC79=1,MATCHED!$B79,IF(MATCHED!BC79=2,MATCHED!$C79,IF(MATCHED!BC79=3,MATCHED!$D79,IF(MATCHED!BC79=4,MATCHED!$E79,IF(MATCHED!BC79=3,MATCHED!$F79,IF(MATCHED!BC79=6,MATCHED!$G79,IF(MATCHED!BC79=7,MATCHED!$H79,"")))))))&amp;IF(MATCHED!BC79=8,MATCHED!$I79,IF(MATCHED!BC79=9,MATCHED!$J79,IF(MATCHED!BC79=10,MATCHED!$K79,IF(MATCHED!BC79=11,MATCHED!$L79,IF(MATCHED!BC79=12,MATCHED!$M79,IF(MATCHED!BC79=13,MATCHED!$N79,IF(MATCHED!BC79=14,MATCHED!$O79,"")))))))&amp;IF(MATCHED!BC79=15,MATCHED!$P79,IF(MATCHED!BC79=16,MATCHED!$Q79,IF(MATCHED!BC79=17,MATCHED!$R79,IF(MATCHED!BC79=18,MATCHED!$S79,IF(MATCHED!BC79=19,MATCHED!$T79,IF(MATCHED!BC79=20,MATCHED!$U79,IF(MATCHED!BC79=21,MATCHED!$V79,)))))))&amp;IF(MATCHED!BC79=22,MATCHED!$W79,IF(MATCHED!BC79=23,MATCHED!$X79,IF(MATCHED!BC79=24,MATCHED!$Y79,IF(MATCHED!BC79=25,MATCHED!$Z79,IF(MATCHED!BC79=26,MATCHED!$AA79,IF(MATCHED!BC79=27,MATCHED!$AB79,"."))))))</f>
        <v>#N/A</v>
      </c>
      <c r="AB79" s="423" t="e">
        <f>IF(MATCHED!BD79=1,MATCHED!$B79,IF(MATCHED!BD79=2,MATCHED!$C79,IF(MATCHED!BD79=3,MATCHED!$D79,IF(MATCHED!BD79=4,MATCHED!$E79,IF(MATCHED!BD79=3,MATCHED!$F79,IF(MATCHED!BD79=6,MATCHED!$G79,IF(MATCHED!BD79=7,MATCHED!$H79,"")))))))&amp;IF(MATCHED!BD79=8,MATCHED!$I79,IF(MATCHED!BD79=9,MATCHED!$J79,IF(MATCHED!BD79=10,MATCHED!$K79,IF(MATCHED!BD79=11,MATCHED!$L79,IF(MATCHED!BD79=12,MATCHED!$M79,IF(MATCHED!BD79=13,MATCHED!$N79,IF(MATCHED!BD79=14,MATCHED!$O79,"")))))))&amp;IF(MATCHED!BD79=15,MATCHED!$P79,IF(MATCHED!BD79=16,MATCHED!$Q79,IF(MATCHED!BD79=17,MATCHED!$R79,IF(MATCHED!BD79=18,MATCHED!$S79,IF(MATCHED!BD79=19,MATCHED!$T79,IF(MATCHED!BD79=20,MATCHED!$U79,IF(MATCHED!BD79=21,MATCHED!$V79,)))))))&amp;IF(MATCHED!BD79=22,MATCHED!$W79,IF(MATCHED!BD79=23,MATCHED!$X79,IF(MATCHED!BD79=24,MATCHED!$Y79,IF(MATCHED!BD79=25,MATCHED!$Z79,IF(MATCHED!BD79=26,MATCHED!$AA79,IF(MATCHED!BD79=27,MATCHED!$AB79,"."))))))</f>
        <v>#N/A</v>
      </c>
      <c r="AC79" s="423" t="e">
        <f>IF(MATCHED!BE79=1,MATCHED!$B79,IF(MATCHED!BE79=2,MATCHED!$C79,IF(MATCHED!BE79=3,MATCHED!$D79,IF(MATCHED!BE79=4,MATCHED!$E79,IF(MATCHED!BE79=3,MATCHED!$F79,IF(MATCHED!BE79=6,MATCHED!$G79,IF(MATCHED!BE79=7,MATCHED!$H79,"")))))))&amp;IF(MATCHED!BE79=8,MATCHED!$I79,IF(MATCHED!BE79=9,MATCHED!$J79,IF(MATCHED!BE79=10,MATCHED!$K79,IF(MATCHED!BE79=11,MATCHED!$L79,IF(MATCHED!BE79=12,MATCHED!$M79,IF(MATCHED!BE79=13,MATCHED!$N79,IF(MATCHED!BE79=14,MATCHED!$O79,"")))))))&amp;IF(MATCHED!BE79=15,MATCHED!$P79,IF(MATCHED!BE79=16,MATCHED!$Q79,IF(MATCHED!BE79=17,MATCHED!$R79,IF(MATCHED!BE79=18,MATCHED!$S79,IF(MATCHED!BE79=19,MATCHED!$T79,IF(MATCHED!BE79=20,MATCHED!$U79,IF(MATCHED!BE79=21,MATCHED!$V79,)))))))&amp;IF(MATCHED!BE79=22,MATCHED!$W79,IF(MATCHED!BE79=23,MATCHED!$X79,IF(MATCHED!BE79=24,MATCHED!$Y79,IF(MATCHED!BE79=25,MATCHED!$Z79,IF(MATCHED!BE79=26,MATCHED!$AA79,IF(MATCHED!BE79=27,MATCHED!$AB79,"."))))))</f>
        <v>#N/A</v>
      </c>
      <c r="AD79" s="423" t="e">
        <f>IF(MATCHED!BF79=1,MATCHED!$B79,IF(MATCHED!BF79=2,MATCHED!$C79,IF(MATCHED!BF79=3,MATCHED!$D79,IF(MATCHED!BF79=4,MATCHED!$E79,IF(MATCHED!BF79=3,MATCHED!$F79,IF(MATCHED!BF79=6,MATCHED!$G79,IF(MATCHED!BF79=7,MATCHED!$H79,"")))))))&amp;IF(MATCHED!BF79=8,MATCHED!$I79,IF(MATCHED!BF79=9,MATCHED!$J79,IF(MATCHED!BF79=10,MATCHED!$K79,IF(MATCHED!BF79=11,MATCHED!$L79,IF(MATCHED!BF79=12,MATCHED!$M79,IF(MATCHED!BF79=13,MATCHED!$N79,IF(MATCHED!BF79=14,MATCHED!$O79,"")))))))&amp;IF(MATCHED!BF79=15,MATCHED!$P79,IF(MATCHED!BF79=16,MATCHED!$Q79,IF(MATCHED!BF79=17,MATCHED!$R79,IF(MATCHED!BF79=18,MATCHED!$S79,IF(MATCHED!BF79=19,MATCHED!$T79,IF(MATCHED!BF79=20,MATCHED!$U79,IF(MATCHED!BF79=21,MATCHED!$V79,)))))))&amp;IF(MATCHED!BF79=22,MATCHED!$W79,IF(MATCHED!BF79=23,MATCHED!$X79,IF(MATCHED!BF79=24,MATCHED!$Y79,IF(MATCHED!BF79=25,MATCHED!$Z79,IF(MATCHED!BF79=26,MATCHED!$AA79,IF(MATCHED!BF79=27,MATCHED!$AB79,"."))))))</f>
        <v>#N/A</v>
      </c>
      <c r="AE79" s="423" t="e">
        <f>IF(MATCHED!BG79=1,MATCHED!$B79,IF(MATCHED!BG79=2,MATCHED!$C79,IF(MATCHED!BG79=3,MATCHED!$D79,IF(MATCHED!BG79=4,MATCHED!$E79,IF(MATCHED!BG79=3,MATCHED!$F79,IF(MATCHED!BG79=6,MATCHED!$G79,IF(MATCHED!BG79=7,MATCHED!$H79,"")))))))&amp;IF(MATCHED!BG79=8,MATCHED!$I79,IF(MATCHED!BG79=9,MATCHED!$J79,IF(MATCHED!BG79=10,MATCHED!$K79,IF(MATCHED!BG79=11,MATCHED!$L79,IF(MATCHED!BG79=12,MATCHED!$M79,IF(MATCHED!BG79=13,MATCHED!$N79,IF(MATCHED!BG79=14,MATCHED!$O79,"")))))))&amp;IF(MATCHED!BG79=15,MATCHED!$P79,IF(MATCHED!BG79=16,MATCHED!$Q79,IF(MATCHED!BG79=17,MATCHED!$R79,IF(MATCHED!BG79=18,MATCHED!$S79,IF(MATCHED!BG79=19,MATCHED!$T79,IF(MATCHED!BG79=20,MATCHED!$U79,IF(MATCHED!BG79=21,MATCHED!$V79,)))))))&amp;IF(MATCHED!BG79=22,MATCHED!$W79,IF(MATCHED!BG79=23,MATCHED!$X79,IF(MATCHED!BG79=24,MATCHED!$Y79,IF(MATCHED!BG79=25,MATCHED!$Z79,IF(MATCHED!BG79=26,MATCHED!$AA79,IF(MATCHED!BG79=27,MATCHED!$AB79,"."))))))</f>
        <v>#N/A</v>
      </c>
      <c r="AF79" s="423" t="e">
        <f>IF(MATCHED!BH79=1,MATCHED!$B79,IF(MATCHED!BH79=2,MATCHED!$C79,IF(MATCHED!BH79=3,MATCHED!$D79,IF(MATCHED!BH79=4,MATCHED!$E79,IF(MATCHED!BH79=3,MATCHED!$F79,IF(MATCHED!BH79=6,MATCHED!$G79,IF(MATCHED!BH79=7,MATCHED!$H79,"")))))))&amp;IF(MATCHED!BH79=8,MATCHED!$I79,IF(MATCHED!BH79=9,MATCHED!$J79,IF(MATCHED!BH79=10,MATCHED!$K79,IF(MATCHED!BH79=11,MATCHED!$L79,IF(MATCHED!BH79=12,MATCHED!$M79,IF(MATCHED!BH79=13,MATCHED!$N79,IF(MATCHED!BH79=14,MATCHED!$O79,"")))))))&amp;IF(MATCHED!BH79=15,MATCHED!$P79,IF(MATCHED!BH79=16,MATCHED!$Q79,IF(MATCHED!BH79=17,MATCHED!$R79,IF(MATCHED!BH79=18,MATCHED!$S79,IF(MATCHED!BH79=19,MATCHED!$T79,IF(MATCHED!BH79=20,MATCHED!$U79,IF(MATCHED!BH79=21,MATCHED!$V79,)))))))&amp;IF(MATCHED!BH79=22,MATCHED!$W79,IF(MATCHED!BH79=23,MATCHED!$X79,IF(MATCHED!BH79=24,MATCHED!$Y79,IF(MATCHED!BH79=25,MATCHED!$Z79,IF(MATCHED!BH79=26,MATCHED!$AA79,IF(MATCHED!BH79=27,MATCHED!$AB79,"."))))))</f>
        <v>#N/A</v>
      </c>
      <c r="AG79" s="423" t="e">
        <f>IF(MATCHED!BI79=1,MATCHED!$B79,IF(MATCHED!BI79=2,MATCHED!$C79,IF(MATCHED!BI79=3,MATCHED!$D79,IF(MATCHED!BI79=4,MATCHED!$E79,IF(MATCHED!BI79=3,MATCHED!$F79,IF(MATCHED!BI79=6,MATCHED!$G79,IF(MATCHED!BI79=7,MATCHED!$H79,"")))))))&amp;IF(MATCHED!BI79=8,MATCHED!$I79,IF(MATCHED!BI79=9,MATCHED!$J79,IF(MATCHED!BI79=10,MATCHED!$K79,IF(MATCHED!BI79=11,MATCHED!$L79,IF(MATCHED!BI79=12,MATCHED!$M79,IF(MATCHED!BI79=13,MATCHED!$N79,IF(MATCHED!BI79=14,MATCHED!$O79,"")))))))&amp;IF(MATCHED!BI79=15,MATCHED!$P79,IF(MATCHED!BI79=16,MATCHED!$Q79,IF(MATCHED!BI79=17,MATCHED!$R79,IF(MATCHED!BI79=18,MATCHED!$S79,IF(MATCHED!BI79=19,MATCHED!$T79,IF(MATCHED!BI79=20,MATCHED!$U79,IF(MATCHED!BI79=21,MATCHED!$V79,)))))))&amp;IF(MATCHED!BI79=22,MATCHED!$W79,IF(MATCHED!BI79=23,MATCHED!$X79,IF(MATCHED!BI79=24,MATCHED!$Y79,IF(MATCHED!BI79=25,MATCHED!$Z79,IF(MATCHED!BI79=26,MATCHED!$AA79,IF(MATCHED!BI79=27,MATCHED!$AB79,"."))))))</f>
        <v>#N/A</v>
      </c>
      <c r="AH79" s="423" t="e">
        <f>IF(MATCHED!BJ79=1,MATCHED!$B79,IF(MATCHED!BJ79=2,MATCHED!$C79,IF(MATCHED!BJ79=3,MATCHED!$D79,IF(MATCHED!BJ79=4,MATCHED!$E79,IF(MATCHED!BJ79=3,MATCHED!$F79,IF(MATCHED!BJ79=6,MATCHED!$G79,IF(MATCHED!BJ79=7,MATCHED!$H79,"")))))))&amp;IF(MATCHED!BJ79=8,MATCHED!$I79,IF(MATCHED!BJ79=9,MATCHED!$J79,IF(MATCHED!BJ79=10,MATCHED!$K79,IF(MATCHED!BJ79=11,MATCHED!$L79,IF(MATCHED!BJ79=12,MATCHED!$M79,IF(MATCHED!BJ79=13,MATCHED!$N79,IF(MATCHED!BJ79=14,MATCHED!$O79,"")))))))&amp;IF(MATCHED!BJ79=15,MATCHED!$P79,IF(MATCHED!BJ79=16,MATCHED!$Q79,IF(MATCHED!BJ79=17,MATCHED!$R79,IF(MATCHED!BJ79=18,MATCHED!$S79,IF(MATCHED!BJ79=19,MATCHED!$T79,IF(MATCHED!BJ79=20,MATCHED!$U79,IF(MATCHED!BJ79=21,MATCHED!$V79,)))))))&amp;IF(MATCHED!BJ79=22,MATCHED!$W79,IF(MATCHED!BJ79=23,MATCHED!$X79,IF(MATCHED!BJ79=24,MATCHED!$Y79,IF(MATCHED!BJ79=25,MATCHED!$Z79,IF(MATCHED!BJ79=26,MATCHED!$AA79,IF(MATCHED!BJ79=27,MATCHED!$AB79,"."))))))</f>
        <v>#N/A</v>
      </c>
      <c r="AI79" s="423" t="e">
        <f>IF(MATCHED!BK79=1,MATCHED!$B79,IF(MATCHED!BK79=2,MATCHED!$C79,IF(MATCHED!BK79=3,MATCHED!$D79,IF(MATCHED!BK79=4,MATCHED!$E79,IF(MATCHED!BK79=3,MATCHED!$F79,IF(MATCHED!BK79=6,MATCHED!$G79,IF(MATCHED!BK79=7,MATCHED!$H79,"")))))))&amp;IF(MATCHED!BK79=8,MATCHED!$I79,IF(MATCHED!BK79=9,MATCHED!$J79,IF(MATCHED!BK79=10,MATCHED!$K79,IF(MATCHED!BK79=11,MATCHED!$L79,IF(MATCHED!BK79=12,MATCHED!$M79,IF(MATCHED!BK79=13,MATCHED!$N79,IF(MATCHED!BK79=14,MATCHED!$O79,"")))))))&amp;IF(MATCHED!BK79=15,MATCHED!$P79,IF(MATCHED!BK79=16,MATCHED!$Q79,IF(MATCHED!BK79=17,MATCHED!$R79,IF(MATCHED!BK79=18,MATCHED!$S79,IF(MATCHED!BK79=19,MATCHED!$T79,IF(MATCHED!BK79=20,MATCHED!$U79,IF(MATCHED!BK79=21,MATCHED!$V79,)))))))&amp;IF(MATCHED!BK79=22,MATCHED!$W79,IF(MATCHED!BK79=23,MATCHED!$X79,IF(MATCHED!BK79=24,MATCHED!$Y79,IF(MATCHED!BK79=25,MATCHED!$Z79,IF(MATCHED!BK79=26,MATCHED!$AA79,IF(MATCHED!BK79=27,MATCHED!$AB79,"."))))))</f>
        <v>#N/A</v>
      </c>
      <c r="AJ79" s="542"/>
    </row>
    <row r="80" spans="1:36" s="338" customFormat="1" x14ac:dyDescent="0.25">
      <c r="A80" s="542"/>
      <c r="B80" s="423" t="e">
        <f>IF(MATCHED!AD80=1,MATCHED!$B80,IF(MATCHED!AD80=2,MATCHED!$C80,IF(MATCHED!AD80=3,MATCHED!$D80,IF(MATCHED!AD80=4,MATCHED!$E80,IF(MATCHED!AD80=3,MATCHED!$F80,IF(MATCHED!AD80=6,MATCHED!$G80,IF(MATCHED!AD80=7,MATCHED!$H80,"")))))))&amp;IF(MATCHED!AD80=8,MATCHED!$I80,IF(MATCHED!AD80=9,MATCHED!$J80,IF(MATCHED!AD80=10,MATCHED!$K80,IF(MATCHED!AD80=11,MATCHED!$L80,IF(MATCHED!AD80=12,MATCHED!$M80,IF(MATCHED!AD80=13,MATCHED!$N80,IF(MATCHED!AD80=14,MATCHED!$O80,"")))))))&amp;IF(MATCHED!AD80=15,MATCHED!$P80,IF(MATCHED!AD80=16,MATCHED!$Q80,IF(MATCHED!AD80=17,MATCHED!$R80,IF(MATCHED!AD80=18,MATCHED!$S80,IF(MATCHED!AD80=19,MATCHED!$T80,IF(MATCHED!AD80=20,MATCHED!$U80,IF(MATCHED!AD80=21,MATCHED!$V80,)))))))&amp;IF(MATCHED!AD80=22,MATCHED!$W80,IF(MATCHED!AD80=23,MATCHED!$X80,IF(MATCHED!AD80=24,MATCHED!$Y80,IF(MATCHED!AD80=25,MATCHED!$Z80,IF(MATCHED!AD80=26,MATCHED!$AA80,IF(MATCHED!AD80=27,MATCHED!$AB80,"."))))))</f>
        <v>#N/A</v>
      </c>
      <c r="C80" s="423" t="e">
        <f>IF(MATCHED!AE80=1,MATCHED!$B80,IF(MATCHED!AE80=2,MATCHED!$C80,IF(MATCHED!AE80=3,MATCHED!$D80,IF(MATCHED!AE80=4,MATCHED!$E80,IF(MATCHED!AE80=3,MATCHED!$F80,IF(MATCHED!AE80=6,MATCHED!$G80,IF(MATCHED!AE80=7,MATCHED!$H80,"")))))))&amp;IF(MATCHED!AE80=8,MATCHED!$I80,IF(MATCHED!AE80=9,MATCHED!$J80,IF(MATCHED!AE80=10,MATCHED!$K80,IF(MATCHED!AE80=11,MATCHED!$L80,IF(MATCHED!AE80=12,MATCHED!$M80,IF(MATCHED!AE80=13,MATCHED!$N80,IF(MATCHED!AE80=14,MATCHED!$O80,"")))))))&amp;IF(MATCHED!AE80=15,MATCHED!$P80,IF(MATCHED!AE80=16,MATCHED!$Q80,IF(MATCHED!AE80=17,MATCHED!$R80,IF(MATCHED!AE80=18,MATCHED!$S80,IF(MATCHED!AE80=19,MATCHED!$T80,IF(MATCHED!AE80=20,MATCHED!$U80,IF(MATCHED!AE80=21,MATCHED!$V80,)))))))&amp;IF(MATCHED!AE80=22,MATCHED!$W80,IF(MATCHED!AE80=23,MATCHED!$X80,IF(MATCHED!AE80=24,MATCHED!$Y80,IF(MATCHED!AE80=25,MATCHED!$Z80,IF(MATCHED!AE80=26,MATCHED!$AA80,IF(MATCHED!AE80=27,MATCHED!$AB80,"."))))))</f>
        <v>#N/A</v>
      </c>
      <c r="D80" s="423" t="e">
        <f>IF(MATCHED!AF80=1,MATCHED!$B80,IF(MATCHED!AF80=2,MATCHED!$C80,IF(MATCHED!AF80=3,MATCHED!$D80,IF(MATCHED!AF80=4,MATCHED!$E80,IF(MATCHED!AF80=3,MATCHED!$F80,IF(MATCHED!AF80=6,MATCHED!$G80,IF(MATCHED!AF80=7,MATCHED!$H80,"")))))))&amp;IF(MATCHED!AF80=8,MATCHED!$I80,IF(MATCHED!AF80=9,MATCHED!$J80,IF(MATCHED!AF80=10,MATCHED!$K80,IF(MATCHED!AF80=11,MATCHED!$L80,IF(MATCHED!AF80=12,MATCHED!$M80,IF(MATCHED!AF80=13,MATCHED!$N80,IF(MATCHED!AF80=14,MATCHED!$O80,"")))))))&amp;IF(MATCHED!AF80=15,MATCHED!$P80,IF(MATCHED!AF80=16,MATCHED!$Q80,IF(MATCHED!AF80=17,MATCHED!$R80,IF(MATCHED!AF80=18,MATCHED!$S80,IF(MATCHED!AF80=19,MATCHED!$T80,IF(MATCHED!AF80=20,MATCHED!$U80,IF(MATCHED!AF80=21,MATCHED!$V80,)))))))&amp;IF(MATCHED!AF80=22,MATCHED!$W80,IF(MATCHED!AF80=23,MATCHED!$X80,IF(MATCHED!AF80=24,MATCHED!$Y80,IF(MATCHED!AF80=25,MATCHED!$Z80,IF(MATCHED!AF80=26,MATCHED!$AA80,IF(MATCHED!AF80=27,MATCHED!$AB80,"."))))))</f>
        <v>#N/A</v>
      </c>
      <c r="E80" s="423" t="e">
        <f>IF(MATCHED!AG80=1,MATCHED!$B80,IF(MATCHED!AG80=2,MATCHED!$C80,IF(MATCHED!AG80=3,MATCHED!$D80,IF(MATCHED!AG80=4,MATCHED!$E80,IF(MATCHED!AG80=3,MATCHED!$F80,IF(MATCHED!AG80=6,MATCHED!$G80,IF(MATCHED!AG80=7,MATCHED!$H80,"")))))))&amp;IF(MATCHED!AG80=8,MATCHED!$I80,IF(MATCHED!AG80=9,MATCHED!$J80,IF(MATCHED!AG80=10,MATCHED!$K80,IF(MATCHED!AG80=11,MATCHED!$L80,IF(MATCHED!AG80=12,MATCHED!$M80,IF(MATCHED!AG80=13,MATCHED!$N80,IF(MATCHED!AG80=14,MATCHED!$O80,"")))))))&amp;IF(MATCHED!AG80=15,MATCHED!$P80,IF(MATCHED!AG80=16,MATCHED!$Q80,IF(MATCHED!AG80=17,MATCHED!$R80,IF(MATCHED!AG80=18,MATCHED!$S80,IF(MATCHED!AG80=19,MATCHED!$T80,IF(MATCHED!AG80=20,MATCHED!$U80,IF(MATCHED!AG80=21,MATCHED!$V80,)))))))&amp;IF(MATCHED!AG80=22,MATCHED!$W80,IF(MATCHED!AG80=23,MATCHED!$X80,IF(MATCHED!AG80=24,MATCHED!$Y80,IF(MATCHED!AG80=25,MATCHED!$Z80,IF(MATCHED!AG80=26,MATCHED!$AA80,IF(MATCHED!AG80=27,MATCHED!$AB80,"."))))))</f>
        <v>#N/A</v>
      </c>
      <c r="F80" s="423" t="e">
        <f>IF(MATCHED!AH80=1,MATCHED!$B80,IF(MATCHED!AH80=2,MATCHED!$C80,IF(MATCHED!AH80=3,MATCHED!$D80,IF(MATCHED!AH80=4,MATCHED!$E80,IF(MATCHED!AH80=3,MATCHED!$F80,IF(MATCHED!AH80=6,MATCHED!$G80,IF(MATCHED!AH80=7,MATCHED!$H80,"")))))))&amp;IF(MATCHED!AH80=8,MATCHED!$I80,IF(MATCHED!AH80=9,MATCHED!$J80,IF(MATCHED!AH80=10,MATCHED!$K80,IF(MATCHED!AH80=11,MATCHED!$L80,IF(MATCHED!AH80=12,MATCHED!$M80,IF(MATCHED!AH80=13,MATCHED!$N80,IF(MATCHED!AH80=14,MATCHED!$O80,"")))))))&amp;IF(MATCHED!AH80=15,MATCHED!$P80,IF(MATCHED!AH80=16,MATCHED!$Q80,IF(MATCHED!AH80=17,MATCHED!$R80,IF(MATCHED!AH80=18,MATCHED!$S80,IF(MATCHED!AH80=19,MATCHED!$T80,IF(MATCHED!AH80=20,MATCHED!$U80,IF(MATCHED!AH80=21,MATCHED!$V80,)))))))&amp;IF(MATCHED!AH80=22,MATCHED!$W80,IF(MATCHED!AH80=23,MATCHED!$X80,IF(MATCHED!AH80=24,MATCHED!$Y80,IF(MATCHED!AH80=25,MATCHED!$Z80,IF(MATCHED!AH80=26,MATCHED!$AA80,IF(MATCHED!AH80=27,MATCHED!$AB80,"."))))))</f>
        <v>#N/A</v>
      </c>
      <c r="G80" s="423" t="e">
        <f>IF(MATCHED!AI80=1,MATCHED!$B80,IF(MATCHED!AI80=2,MATCHED!$C80,IF(MATCHED!AI80=3,MATCHED!$D80,IF(MATCHED!AI80=4,MATCHED!$E80,IF(MATCHED!AI80=3,MATCHED!$F80,IF(MATCHED!AI80=6,MATCHED!$G80,IF(MATCHED!AI80=7,MATCHED!$H80,"")))))))&amp;IF(MATCHED!AI80=8,MATCHED!$I80,IF(MATCHED!AI80=9,MATCHED!$J80,IF(MATCHED!AI80=10,MATCHED!$K80,IF(MATCHED!AI80=11,MATCHED!$L80,IF(MATCHED!AI80=12,MATCHED!$M80,IF(MATCHED!AI80=13,MATCHED!$N80,IF(MATCHED!AI80=14,MATCHED!$O80,"")))))))&amp;IF(MATCHED!AI80=15,MATCHED!$P80,IF(MATCHED!AI80=16,MATCHED!$Q80,IF(MATCHED!AI80=17,MATCHED!$R80,IF(MATCHED!AI80=18,MATCHED!$S80,IF(MATCHED!AI80=19,MATCHED!$T80,IF(MATCHED!AI80=20,MATCHED!$U80,IF(MATCHED!AI80=21,MATCHED!$V80,)))))))&amp;IF(MATCHED!AI80=22,MATCHED!$W80,IF(MATCHED!AI80=23,MATCHED!$X80,IF(MATCHED!AI80=24,MATCHED!$Y80,IF(MATCHED!AI80=25,MATCHED!$Z80,IF(MATCHED!AI80=26,MATCHED!$AA80,IF(MATCHED!AI80=27,MATCHED!$AB80,"."))))))</f>
        <v>#N/A</v>
      </c>
      <c r="H80" s="423" t="e">
        <f>IF(MATCHED!AJ80=1,MATCHED!$B80,IF(MATCHED!AJ80=2,MATCHED!$C80,IF(MATCHED!AJ80=3,MATCHED!$D80,IF(MATCHED!AJ80=4,MATCHED!$E80,IF(MATCHED!AJ80=3,MATCHED!$F80,IF(MATCHED!AJ80=6,MATCHED!$G80,IF(MATCHED!AJ80=7,MATCHED!$H80,"")))))))&amp;IF(MATCHED!AJ80=8,MATCHED!$I80,IF(MATCHED!AJ80=9,MATCHED!$J80,IF(MATCHED!AJ80=10,MATCHED!$K80,IF(MATCHED!AJ80=11,MATCHED!$L80,IF(MATCHED!AJ80=12,MATCHED!$M80,IF(MATCHED!AJ80=13,MATCHED!$N80,IF(MATCHED!AJ80=14,MATCHED!$O80,"")))))))&amp;IF(MATCHED!AJ80=15,MATCHED!$P80,IF(MATCHED!AJ80=16,MATCHED!$Q80,IF(MATCHED!AJ80=17,MATCHED!$R80,IF(MATCHED!AJ80=18,MATCHED!$S80,IF(MATCHED!AJ80=19,MATCHED!$T80,IF(MATCHED!AJ80=20,MATCHED!$U80,IF(MATCHED!AJ80=21,MATCHED!$V80,)))))))&amp;IF(MATCHED!AJ80=22,MATCHED!$W80,IF(MATCHED!AJ80=23,MATCHED!$X80,IF(MATCHED!AJ80=24,MATCHED!$Y80,IF(MATCHED!AJ80=25,MATCHED!$Z80,IF(MATCHED!AJ80=26,MATCHED!$AA80,IF(MATCHED!AJ80=27,MATCHED!$AB80,"."))))))</f>
        <v>#N/A</v>
      </c>
      <c r="I80" s="423" t="e">
        <f>IF(MATCHED!AK80=1,MATCHED!$B80,IF(MATCHED!AK80=2,MATCHED!$C80,IF(MATCHED!AK80=3,MATCHED!$D80,IF(MATCHED!AK80=4,MATCHED!$E80,IF(MATCHED!AK80=3,MATCHED!$F80,IF(MATCHED!AK80=6,MATCHED!$G80,IF(MATCHED!AK80=7,MATCHED!$H80,"")))))))&amp;IF(MATCHED!AK80=8,MATCHED!$I80,IF(MATCHED!AK80=9,MATCHED!$J80,IF(MATCHED!AK80=10,MATCHED!$K80,IF(MATCHED!AK80=11,MATCHED!$L80,IF(MATCHED!AK80=12,MATCHED!$M80,IF(MATCHED!AK80=13,MATCHED!$N80,IF(MATCHED!AK80=14,MATCHED!$O80,"")))))))&amp;IF(MATCHED!AK80=15,MATCHED!$P80,IF(MATCHED!AK80=16,MATCHED!$Q80,IF(MATCHED!AK80=17,MATCHED!$R80,IF(MATCHED!AK80=18,MATCHED!$S80,IF(MATCHED!AK80=19,MATCHED!$T80,IF(MATCHED!AK80=20,MATCHED!$U80,IF(MATCHED!AK80=21,MATCHED!$V80,)))))))&amp;IF(MATCHED!AK80=22,MATCHED!$W80,IF(MATCHED!AK80=23,MATCHED!$X80,IF(MATCHED!AK80=24,MATCHED!$Y80,IF(MATCHED!AK80=25,MATCHED!$Z80,IF(MATCHED!AK80=26,MATCHED!$AA80,IF(MATCHED!AK80=27,MATCHED!$AB80,"."))))))</f>
        <v>#N/A</v>
      </c>
      <c r="J80" s="423" t="e">
        <f>IF(MATCHED!AL80=1,MATCHED!$B80,IF(MATCHED!AL80=2,MATCHED!$C80,IF(MATCHED!AL80=3,MATCHED!$D80,IF(MATCHED!AL80=4,MATCHED!$E80,IF(MATCHED!AL80=3,MATCHED!$F80,IF(MATCHED!AL80=6,MATCHED!$G80,IF(MATCHED!AL80=7,MATCHED!$H80,"")))))))&amp;IF(MATCHED!AL80=8,MATCHED!$I80,IF(MATCHED!AL80=9,MATCHED!$J80,IF(MATCHED!AL80=10,MATCHED!$K80,IF(MATCHED!AL80=11,MATCHED!$L80,IF(MATCHED!AL80=12,MATCHED!$M80,IF(MATCHED!AL80=13,MATCHED!$N80,IF(MATCHED!AL80=14,MATCHED!$O80,"")))))))&amp;IF(MATCHED!AL80=15,MATCHED!$P80,IF(MATCHED!AL80=16,MATCHED!$Q80,IF(MATCHED!AL80=17,MATCHED!$R80,IF(MATCHED!AL80=18,MATCHED!$S80,IF(MATCHED!AL80=19,MATCHED!$T80,IF(MATCHED!AL80=20,MATCHED!$U80,IF(MATCHED!AL80=21,MATCHED!$V80,)))))))&amp;IF(MATCHED!AL80=22,MATCHED!$W80,IF(MATCHED!AL80=23,MATCHED!$X80,IF(MATCHED!AL80=24,MATCHED!$Y80,IF(MATCHED!AL80=25,MATCHED!$Z80,IF(MATCHED!AL80=26,MATCHED!$AA80,IF(MATCHED!AL80=27,MATCHED!$AB80,"."))))))</f>
        <v>#N/A</v>
      </c>
      <c r="K80" s="423" t="e">
        <f>IF(MATCHED!AM80=1,MATCHED!$B80,IF(MATCHED!AM80=2,MATCHED!$C80,IF(MATCHED!AM80=3,MATCHED!$D80,IF(MATCHED!AM80=4,MATCHED!$E80,IF(MATCHED!AM80=3,MATCHED!$F80,IF(MATCHED!AM80=6,MATCHED!$G80,IF(MATCHED!AM80=7,MATCHED!$H80,"")))))))&amp;IF(MATCHED!AM80=8,MATCHED!$I80,IF(MATCHED!AM80=9,MATCHED!$J80,IF(MATCHED!AM80=10,MATCHED!$K80,IF(MATCHED!AM80=11,MATCHED!$L80,IF(MATCHED!AM80=12,MATCHED!$M80,IF(MATCHED!AM80=13,MATCHED!$N80,IF(MATCHED!AM80=14,MATCHED!$O80,"")))))))&amp;IF(MATCHED!AM80=15,MATCHED!$P80,IF(MATCHED!AM80=16,MATCHED!$Q80,IF(MATCHED!AM80=17,MATCHED!$R80,IF(MATCHED!AM80=18,MATCHED!$S80,IF(MATCHED!AM80=19,MATCHED!$T80,IF(MATCHED!AM80=20,MATCHED!$U80,IF(MATCHED!AM80=21,MATCHED!$V80,)))))))&amp;IF(MATCHED!AM80=22,MATCHED!$W80,IF(MATCHED!AM80=23,MATCHED!$X80,IF(MATCHED!AM80=24,MATCHED!$Y80,IF(MATCHED!AM80=25,MATCHED!$Z80,IF(MATCHED!AM80=26,MATCHED!$AA80,IF(MATCHED!AM80=27,MATCHED!$AB80,"."))))))</f>
        <v>#N/A</v>
      </c>
      <c r="L80" s="423" t="e">
        <f>IF(MATCHED!AN80=1,MATCHED!$B80,IF(MATCHED!AN80=2,MATCHED!$C80,IF(MATCHED!AN80=3,MATCHED!$D80,IF(MATCHED!AN80=4,MATCHED!$E80,IF(MATCHED!AN80=3,MATCHED!$F80,IF(MATCHED!AN80=6,MATCHED!$G80,IF(MATCHED!AN80=7,MATCHED!$H80,"")))))))&amp;IF(MATCHED!AN80=8,MATCHED!$I80,IF(MATCHED!AN80=9,MATCHED!$J80,IF(MATCHED!AN80=10,MATCHED!$K80,IF(MATCHED!AN80=11,MATCHED!$L80,IF(MATCHED!AN80=12,MATCHED!$M80,IF(MATCHED!AN80=13,MATCHED!$N80,IF(MATCHED!AN80=14,MATCHED!$O80,"")))))))&amp;IF(MATCHED!AN80=15,MATCHED!$P80,IF(MATCHED!AN80=16,MATCHED!$Q80,IF(MATCHED!AN80=17,MATCHED!$R80,IF(MATCHED!AN80=18,MATCHED!$S80,IF(MATCHED!AN80=19,MATCHED!$T80,IF(MATCHED!AN80=20,MATCHED!$U80,IF(MATCHED!AN80=21,MATCHED!$V80,)))))))&amp;IF(MATCHED!AN80=22,MATCHED!$W80,IF(MATCHED!AN80=23,MATCHED!$X80,IF(MATCHED!AN80=24,MATCHED!$Y80,IF(MATCHED!AN80=25,MATCHED!$Z80,IF(MATCHED!AN80=26,MATCHED!$AA80,IF(MATCHED!AN80=27,MATCHED!$AB80,"."))))))</f>
        <v>#N/A</v>
      </c>
      <c r="M80" s="423" t="e">
        <f>IF(MATCHED!AO80=1,MATCHED!$B80,IF(MATCHED!AO80=2,MATCHED!$C80,IF(MATCHED!AO80=3,MATCHED!$D80,IF(MATCHED!AO80=4,MATCHED!$E80,IF(MATCHED!AO80=3,MATCHED!$F80,IF(MATCHED!AO80=6,MATCHED!$G80,IF(MATCHED!AO80=7,MATCHED!$H80,"")))))))&amp;IF(MATCHED!AO80=8,MATCHED!$I80,IF(MATCHED!AO80=9,MATCHED!$J80,IF(MATCHED!AO80=10,MATCHED!$K80,IF(MATCHED!AO80=11,MATCHED!$L80,IF(MATCHED!AO80=12,MATCHED!$M80,IF(MATCHED!AO80=13,MATCHED!$N80,IF(MATCHED!AO80=14,MATCHED!$O80,"")))))))&amp;IF(MATCHED!AO80=15,MATCHED!$P80,IF(MATCHED!AO80=16,MATCHED!$Q80,IF(MATCHED!AO80=17,MATCHED!$R80,IF(MATCHED!AO80=18,MATCHED!$S80,IF(MATCHED!AO80=19,MATCHED!$T80,IF(MATCHED!AO80=20,MATCHED!$U80,IF(MATCHED!AO80=21,MATCHED!$V80,)))))))&amp;IF(MATCHED!AO80=22,MATCHED!$W80,IF(MATCHED!AO80=23,MATCHED!$X80,IF(MATCHED!AO80=24,MATCHED!$Y80,IF(MATCHED!AO80=25,MATCHED!$Z80,IF(MATCHED!AO80=26,MATCHED!$AA80,IF(MATCHED!AO80=27,MATCHED!$AB80,"."))))))</f>
        <v>#N/A</v>
      </c>
      <c r="N80" s="423" t="e">
        <f>IF(MATCHED!AP80=1,MATCHED!$B80,IF(MATCHED!AP80=2,MATCHED!$C80,IF(MATCHED!AP80=3,MATCHED!$D80,IF(MATCHED!AP80=4,MATCHED!$E80,IF(MATCHED!AP80=3,MATCHED!$F80,IF(MATCHED!AP80=6,MATCHED!$G80,IF(MATCHED!AP80=7,MATCHED!$H80,"")))))))&amp;IF(MATCHED!AP80=8,MATCHED!$I80,IF(MATCHED!AP80=9,MATCHED!$J80,IF(MATCHED!AP80=10,MATCHED!$K80,IF(MATCHED!AP80=11,MATCHED!$L80,IF(MATCHED!AP80=12,MATCHED!$M80,IF(MATCHED!AP80=13,MATCHED!$N80,IF(MATCHED!AP80=14,MATCHED!$O80,"")))))))&amp;IF(MATCHED!AP80=15,MATCHED!$P80,IF(MATCHED!AP80=16,MATCHED!$Q80,IF(MATCHED!AP80=17,MATCHED!$R80,IF(MATCHED!AP80=18,MATCHED!$S80,IF(MATCHED!AP80=19,MATCHED!$T80,IF(MATCHED!AP80=20,MATCHED!$U80,IF(MATCHED!AP80=21,MATCHED!$V80,)))))))&amp;IF(MATCHED!AP80=22,MATCHED!$W80,IF(MATCHED!AP80=23,MATCHED!$X80,IF(MATCHED!AP80=24,MATCHED!$Y80,IF(MATCHED!AP80=25,MATCHED!$Z80,IF(MATCHED!AP80=26,MATCHED!$AA80,IF(MATCHED!AP80=27,MATCHED!$AB80,"."))))))</f>
        <v>#N/A</v>
      </c>
      <c r="O80" s="423" t="e">
        <f>IF(MATCHED!AQ80=1,MATCHED!$B80,IF(MATCHED!AQ80=2,MATCHED!$C80,IF(MATCHED!AQ80=3,MATCHED!$D80,IF(MATCHED!AQ80=4,MATCHED!$E80,IF(MATCHED!AQ80=3,MATCHED!$F80,IF(MATCHED!AQ80=6,MATCHED!$G80,IF(MATCHED!AQ80=7,MATCHED!$H80,"")))))))&amp;IF(MATCHED!AQ80=8,MATCHED!$I80,IF(MATCHED!AQ80=9,MATCHED!$J80,IF(MATCHED!AQ80=10,MATCHED!$K80,IF(MATCHED!AQ80=11,MATCHED!$L80,IF(MATCHED!AQ80=12,MATCHED!$M80,IF(MATCHED!AQ80=13,MATCHED!$N80,IF(MATCHED!AQ80=14,MATCHED!$O80,"")))))))&amp;IF(MATCHED!AQ80=15,MATCHED!$P80,IF(MATCHED!AQ80=16,MATCHED!$Q80,IF(MATCHED!AQ80=17,MATCHED!$R80,IF(MATCHED!AQ80=18,MATCHED!$S80,IF(MATCHED!AQ80=19,MATCHED!$T80,IF(MATCHED!AQ80=20,MATCHED!$U80,IF(MATCHED!AQ80=21,MATCHED!$V80,)))))))&amp;IF(MATCHED!AQ80=22,MATCHED!$W80,IF(MATCHED!AQ80=23,MATCHED!$X80,IF(MATCHED!AQ80=24,MATCHED!$Y80,IF(MATCHED!AQ80=25,MATCHED!$Z80,IF(MATCHED!AQ80=26,MATCHED!$AA80,IF(MATCHED!AQ80=27,MATCHED!$AB80,"."))))))</f>
        <v>#N/A</v>
      </c>
      <c r="P80" s="423" t="e">
        <f>IF(MATCHED!AR80=1,MATCHED!$B80,IF(MATCHED!AR80=2,MATCHED!$C80,IF(MATCHED!AR80=3,MATCHED!$D80,IF(MATCHED!AR80=4,MATCHED!$E80,IF(MATCHED!AR80=3,MATCHED!$F80,IF(MATCHED!AR80=6,MATCHED!$G80,IF(MATCHED!AR80=7,MATCHED!$H80,"")))))))&amp;IF(MATCHED!AR80=8,MATCHED!$I80,IF(MATCHED!AR80=9,MATCHED!$J80,IF(MATCHED!AR80=10,MATCHED!$K80,IF(MATCHED!AR80=11,MATCHED!$L80,IF(MATCHED!AR80=12,MATCHED!$M80,IF(MATCHED!AR80=13,MATCHED!$N80,IF(MATCHED!AR80=14,MATCHED!$O80,"")))))))&amp;IF(MATCHED!AR80=15,MATCHED!$P80,IF(MATCHED!AR80=16,MATCHED!$Q80,IF(MATCHED!AR80=17,MATCHED!$R80,IF(MATCHED!AR80=18,MATCHED!$S80,IF(MATCHED!AR80=19,MATCHED!$T80,IF(MATCHED!AR80=20,MATCHED!$U80,IF(MATCHED!AR80=21,MATCHED!$V80,)))))))&amp;IF(MATCHED!AR80=22,MATCHED!$W80,IF(MATCHED!AR80=23,MATCHED!$X80,IF(MATCHED!AR80=24,MATCHED!$Y80,IF(MATCHED!AR80=25,MATCHED!$Z80,IF(MATCHED!AR80=26,MATCHED!$AA80,IF(MATCHED!AR80=27,MATCHED!$AB80,"."))))))</f>
        <v>#N/A</v>
      </c>
      <c r="Q80" s="423" t="e">
        <f>IF(MATCHED!AS80=1,MATCHED!$B80,IF(MATCHED!AS80=2,MATCHED!$C80,IF(MATCHED!AS80=3,MATCHED!$D80,IF(MATCHED!AS80=4,MATCHED!$E80,IF(MATCHED!AS80=3,MATCHED!$F80,IF(MATCHED!AS80=6,MATCHED!$G80,IF(MATCHED!AS80=7,MATCHED!$H80,"")))))))&amp;IF(MATCHED!AS80=8,MATCHED!$I80,IF(MATCHED!AS80=9,MATCHED!$J80,IF(MATCHED!AS80=10,MATCHED!$K80,IF(MATCHED!AS80=11,MATCHED!$L80,IF(MATCHED!AS80=12,MATCHED!$M80,IF(MATCHED!AS80=13,MATCHED!$N80,IF(MATCHED!AS80=14,MATCHED!$O80,"")))))))&amp;IF(MATCHED!AS80=15,MATCHED!$P80,IF(MATCHED!AS80=16,MATCHED!$Q80,IF(MATCHED!AS80=17,MATCHED!$R80,IF(MATCHED!AS80=18,MATCHED!$S80,IF(MATCHED!AS80=19,MATCHED!$T80,IF(MATCHED!AS80=20,MATCHED!$U80,IF(MATCHED!AS80=21,MATCHED!$V80,)))))))&amp;IF(MATCHED!AS80=22,MATCHED!$W80,IF(MATCHED!AS80=23,MATCHED!$X80,IF(MATCHED!AS80=24,MATCHED!$Y80,IF(MATCHED!AS80=25,MATCHED!$Z80,IF(MATCHED!AS80=26,MATCHED!$AA80,IF(MATCHED!AS80=27,MATCHED!$AB80,"."))))))</f>
        <v>#N/A</v>
      </c>
      <c r="R80" s="423" t="e">
        <f>IF(MATCHED!AT80=1,MATCHED!$B80,IF(MATCHED!AT80=2,MATCHED!$C80,IF(MATCHED!AT80=3,MATCHED!$D80,IF(MATCHED!AT80=4,MATCHED!$E80,IF(MATCHED!AT80=3,MATCHED!$F80,IF(MATCHED!AT80=6,MATCHED!$G80,IF(MATCHED!AT80=7,MATCHED!$H80,"")))))))&amp;IF(MATCHED!AT80=8,MATCHED!$I80,IF(MATCHED!AT80=9,MATCHED!$J80,IF(MATCHED!AT80=10,MATCHED!$K80,IF(MATCHED!AT80=11,MATCHED!$L80,IF(MATCHED!AT80=12,MATCHED!$M80,IF(MATCHED!AT80=13,MATCHED!$N80,IF(MATCHED!AT80=14,MATCHED!$O80,"")))))))&amp;IF(MATCHED!AT80=15,MATCHED!$P80,IF(MATCHED!AT80=16,MATCHED!$Q80,IF(MATCHED!AT80=17,MATCHED!$R80,IF(MATCHED!AT80=18,MATCHED!$S80,IF(MATCHED!AT80=19,MATCHED!$T80,IF(MATCHED!AT80=20,MATCHED!$U80,IF(MATCHED!AT80=21,MATCHED!$V80,)))))))&amp;IF(MATCHED!AT80=22,MATCHED!$W80,IF(MATCHED!AT80=23,MATCHED!$X80,IF(MATCHED!AT80=24,MATCHED!$Y80,IF(MATCHED!AT80=25,MATCHED!$Z80,IF(MATCHED!AT80=26,MATCHED!$AA80,IF(MATCHED!AT80=27,MATCHED!$AB80,"."))))))</f>
        <v>#N/A</v>
      </c>
      <c r="S80" s="423" t="e">
        <f>IF(MATCHED!AU80=1,MATCHED!$B80,IF(MATCHED!AU80=2,MATCHED!$C80,IF(MATCHED!AU80=3,MATCHED!$D80,IF(MATCHED!AU80=4,MATCHED!$E80,IF(MATCHED!AU80=3,MATCHED!$F80,IF(MATCHED!AU80=6,MATCHED!$G80,IF(MATCHED!AU80=7,MATCHED!$H80,"")))))))&amp;IF(MATCHED!AU80=8,MATCHED!$I80,IF(MATCHED!AU80=9,MATCHED!$J80,IF(MATCHED!AU80=10,MATCHED!$K80,IF(MATCHED!AU80=11,MATCHED!$L80,IF(MATCHED!AU80=12,MATCHED!$M80,IF(MATCHED!AU80=13,MATCHED!$N80,IF(MATCHED!AU80=14,MATCHED!$O80,"")))))))&amp;IF(MATCHED!AU80=15,MATCHED!$P80,IF(MATCHED!AU80=16,MATCHED!$Q80,IF(MATCHED!AU80=17,MATCHED!$R80,IF(MATCHED!AU80=18,MATCHED!$S80,IF(MATCHED!AU80=19,MATCHED!$T80,IF(MATCHED!AU80=20,MATCHED!$U80,IF(MATCHED!AU80=21,MATCHED!$V80,)))))))&amp;IF(MATCHED!AU80=22,MATCHED!$W80,IF(MATCHED!AU80=23,MATCHED!$X80,IF(MATCHED!AU80=24,MATCHED!$Y80,IF(MATCHED!AU80=25,MATCHED!$Z80,IF(MATCHED!AU80=26,MATCHED!$AA80,IF(MATCHED!AU80=27,MATCHED!$AB80,"."))))))</f>
        <v>#N/A</v>
      </c>
      <c r="T80" s="423" t="e">
        <f>IF(MATCHED!AV80=1,MATCHED!$B80,IF(MATCHED!AV80=2,MATCHED!$C80,IF(MATCHED!AV80=3,MATCHED!$D80,IF(MATCHED!AV80=4,MATCHED!$E80,IF(MATCHED!AV80=3,MATCHED!$F80,IF(MATCHED!AV80=6,MATCHED!$G80,IF(MATCHED!AV80=7,MATCHED!$H80,"")))))))&amp;IF(MATCHED!AV80=8,MATCHED!$I80,IF(MATCHED!AV80=9,MATCHED!$J80,IF(MATCHED!AV80=10,MATCHED!$K80,IF(MATCHED!AV80=11,MATCHED!$L80,IF(MATCHED!AV80=12,MATCHED!$M80,IF(MATCHED!AV80=13,MATCHED!$N80,IF(MATCHED!AV80=14,MATCHED!$O80,"")))))))&amp;IF(MATCHED!AV80=15,MATCHED!$P80,IF(MATCHED!AV80=16,MATCHED!$Q80,IF(MATCHED!AV80=17,MATCHED!$R80,IF(MATCHED!AV80=18,MATCHED!$S80,IF(MATCHED!AV80=19,MATCHED!$T80,IF(MATCHED!AV80=20,MATCHED!$U80,IF(MATCHED!AV80=21,MATCHED!$V80,)))))))&amp;IF(MATCHED!AV80=22,MATCHED!$W80,IF(MATCHED!AV80=23,MATCHED!$X80,IF(MATCHED!AV80=24,MATCHED!$Y80,IF(MATCHED!AV80=25,MATCHED!$Z80,IF(MATCHED!AV80=26,MATCHED!$AA80,IF(MATCHED!AV80=27,MATCHED!$AB80,"."))))))</f>
        <v>#N/A</v>
      </c>
      <c r="U80" s="423" t="e">
        <f>IF(MATCHED!AW80=1,MATCHED!$B80,IF(MATCHED!AW80=2,MATCHED!$C80,IF(MATCHED!AW80=3,MATCHED!$D80,IF(MATCHED!AW80=4,MATCHED!$E80,IF(MATCHED!AW80=3,MATCHED!$F80,IF(MATCHED!AW80=6,MATCHED!$G80,IF(MATCHED!AW80=7,MATCHED!$H80,"")))))))&amp;IF(MATCHED!AW80=8,MATCHED!$I80,IF(MATCHED!AW80=9,MATCHED!$J80,IF(MATCHED!AW80=10,MATCHED!$K80,IF(MATCHED!AW80=11,MATCHED!$L80,IF(MATCHED!AW80=12,MATCHED!$M80,IF(MATCHED!AW80=13,MATCHED!$N80,IF(MATCHED!AW80=14,MATCHED!$O80,"")))))))&amp;IF(MATCHED!AW80=15,MATCHED!$P80,IF(MATCHED!AW80=16,MATCHED!$Q80,IF(MATCHED!AW80=17,MATCHED!$R80,IF(MATCHED!AW80=18,MATCHED!$S80,IF(MATCHED!AW80=19,MATCHED!$T80,IF(MATCHED!AW80=20,MATCHED!$U80,IF(MATCHED!AW80=21,MATCHED!$V80,)))))))&amp;IF(MATCHED!AW80=22,MATCHED!$W80,IF(MATCHED!AW80=23,MATCHED!$X80,IF(MATCHED!AW80=24,MATCHED!$Y80,IF(MATCHED!AW80=25,MATCHED!$Z80,IF(MATCHED!AW80=26,MATCHED!$AA80,IF(MATCHED!AW80=27,MATCHED!$AB80,"."))))))</f>
        <v>#N/A</v>
      </c>
      <c r="V80" s="423" t="e">
        <f>IF(MATCHED!AX80=1,MATCHED!$B80,IF(MATCHED!AX80=2,MATCHED!$C80,IF(MATCHED!AX80=3,MATCHED!$D80,IF(MATCHED!AX80=4,MATCHED!$E80,IF(MATCHED!AX80=3,MATCHED!$F80,IF(MATCHED!AX80=6,MATCHED!$G80,IF(MATCHED!AX80=7,MATCHED!$H80,"")))))))&amp;IF(MATCHED!AX80=8,MATCHED!$I80,IF(MATCHED!AX80=9,MATCHED!$J80,IF(MATCHED!AX80=10,MATCHED!$K80,IF(MATCHED!AX80=11,MATCHED!$L80,IF(MATCHED!AX80=12,MATCHED!$M80,IF(MATCHED!AX80=13,MATCHED!$N80,IF(MATCHED!AX80=14,MATCHED!$O80,"")))))))&amp;IF(MATCHED!AX80=15,MATCHED!$P80,IF(MATCHED!AX80=16,MATCHED!$Q80,IF(MATCHED!AX80=17,MATCHED!$R80,IF(MATCHED!AX80=18,MATCHED!$S80,IF(MATCHED!AX80=19,MATCHED!$T80,IF(MATCHED!AX80=20,MATCHED!$U80,IF(MATCHED!AX80=21,MATCHED!$V80,)))))))&amp;IF(MATCHED!AX80=22,MATCHED!$W80,IF(MATCHED!AX80=23,MATCHED!$X80,IF(MATCHED!AX80=24,MATCHED!$Y80,IF(MATCHED!AX80=25,MATCHED!$Z80,IF(MATCHED!AX80=26,MATCHED!$AA80,IF(MATCHED!AX80=27,MATCHED!$AB80,"."))))))</f>
        <v>#N/A</v>
      </c>
      <c r="W80" s="423" t="e">
        <f>IF(MATCHED!AY80=1,MATCHED!$B80,IF(MATCHED!AY80=2,MATCHED!$C80,IF(MATCHED!AY80=3,MATCHED!$D80,IF(MATCHED!AY80=4,MATCHED!$E80,IF(MATCHED!AY80=3,MATCHED!$F80,IF(MATCHED!AY80=6,MATCHED!$G80,IF(MATCHED!AY80=7,MATCHED!$H80,"")))))))&amp;IF(MATCHED!AY80=8,MATCHED!$I80,IF(MATCHED!AY80=9,MATCHED!$J80,IF(MATCHED!AY80=10,MATCHED!$K80,IF(MATCHED!AY80=11,MATCHED!$L80,IF(MATCHED!AY80=12,MATCHED!$M80,IF(MATCHED!AY80=13,MATCHED!$N80,IF(MATCHED!AY80=14,MATCHED!$O80,"")))))))&amp;IF(MATCHED!AY80=15,MATCHED!$P80,IF(MATCHED!AY80=16,MATCHED!$Q80,IF(MATCHED!AY80=17,MATCHED!$R80,IF(MATCHED!AY80=18,MATCHED!$S80,IF(MATCHED!AY80=19,MATCHED!$T80,IF(MATCHED!AY80=20,MATCHED!$U80,IF(MATCHED!AY80=21,MATCHED!$V80,)))))))&amp;IF(MATCHED!AY80=22,MATCHED!$W80,IF(MATCHED!AY80=23,MATCHED!$X80,IF(MATCHED!AY80=24,MATCHED!$Y80,IF(MATCHED!AY80=25,MATCHED!$Z80,IF(MATCHED!AY80=26,MATCHED!$AA80,IF(MATCHED!AY80=27,MATCHED!$AB80,"."))))))</f>
        <v>#N/A</v>
      </c>
      <c r="X80" s="423" t="e">
        <f>IF(MATCHED!AZ80=1,MATCHED!$B80,IF(MATCHED!AZ80=2,MATCHED!$C80,IF(MATCHED!AZ80=3,MATCHED!$D80,IF(MATCHED!AZ80=4,MATCHED!$E80,IF(MATCHED!AZ80=3,MATCHED!$F80,IF(MATCHED!AZ80=6,MATCHED!$G80,IF(MATCHED!AZ80=7,MATCHED!$H80,"")))))))&amp;IF(MATCHED!AZ80=8,MATCHED!$I80,IF(MATCHED!AZ80=9,MATCHED!$J80,IF(MATCHED!AZ80=10,MATCHED!$K80,IF(MATCHED!AZ80=11,MATCHED!$L80,IF(MATCHED!AZ80=12,MATCHED!$M80,IF(MATCHED!AZ80=13,MATCHED!$N80,IF(MATCHED!AZ80=14,MATCHED!$O80,"")))))))&amp;IF(MATCHED!AZ80=15,MATCHED!$P80,IF(MATCHED!AZ80=16,MATCHED!$Q80,IF(MATCHED!AZ80=17,MATCHED!$R80,IF(MATCHED!AZ80=18,MATCHED!$S80,IF(MATCHED!AZ80=19,MATCHED!$T80,IF(MATCHED!AZ80=20,MATCHED!$U80,IF(MATCHED!AZ80=21,MATCHED!$V80,)))))))&amp;IF(MATCHED!AZ80=22,MATCHED!$W80,IF(MATCHED!AZ80=23,MATCHED!$X80,IF(MATCHED!AZ80=24,MATCHED!$Y80,IF(MATCHED!AZ80=25,MATCHED!$Z80,IF(MATCHED!AZ80=26,MATCHED!$AA80,IF(MATCHED!AZ80=27,MATCHED!$AB80,"."))))))</f>
        <v>#N/A</v>
      </c>
      <c r="Y80" s="423" t="e">
        <f>IF(MATCHED!BA80=1,MATCHED!$B80,IF(MATCHED!BA80=2,MATCHED!$C80,IF(MATCHED!BA80=3,MATCHED!$D80,IF(MATCHED!BA80=4,MATCHED!$E80,IF(MATCHED!BA80=3,MATCHED!$F80,IF(MATCHED!BA80=6,MATCHED!$G80,IF(MATCHED!BA80=7,MATCHED!$H80,"")))))))&amp;IF(MATCHED!BA80=8,MATCHED!$I80,IF(MATCHED!BA80=9,MATCHED!$J80,IF(MATCHED!BA80=10,MATCHED!$K80,IF(MATCHED!BA80=11,MATCHED!$L80,IF(MATCHED!BA80=12,MATCHED!$M80,IF(MATCHED!BA80=13,MATCHED!$N80,IF(MATCHED!BA80=14,MATCHED!$O80,"")))))))&amp;IF(MATCHED!BA80=15,MATCHED!$P80,IF(MATCHED!BA80=16,MATCHED!$Q80,IF(MATCHED!BA80=17,MATCHED!$R80,IF(MATCHED!BA80=18,MATCHED!$S80,IF(MATCHED!BA80=19,MATCHED!$T80,IF(MATCHED!BA80=20,MATCHED!$U80,IF(MATCHED!BA80=21,MATCHED!$V80,)))))))&amp;IF(MATCHED!BA80=22,MATCHED!$W80,IF(MATCHED!BA80=23,MATCHED!$X80,IF(MATCHED!BA80=24,MATCHED!$Y80,IF(MATCHED!BA80=25,MATCHED!$Z80,IF(MATCHED!BA80=26,MATCHED!$AA80,IF(MATCHED!BA80=27,MATCHED!$AB80,"."))))))</f>
        <v>#N/A</v>
      </c>
      <c r="Z80" s="423" t="e">
        <f>IF(MATCHED!BB80=1,MATCHED!$B80,IF(MATCHED!BB80=2,MATCHED!$C80,IF(MATCHED!BB80=3,MATCHED!$D80,IF(MATCHED!BB80=4,MATCHED!$E80,IF(MATCHED!BB80=3,MATCHED!$F80,IF(MATCHED!BB80=6,MATCHED!$G80,IF(MATCHED!BB80=7,MATCHED!$H80,"")))))))&amp;IF(MATCHED!BB80=8,MATCHED!$I80,IF(MATCHED!BB80=9,MATCHED!$J80,IF(MATCHED!BB80=10,MATCHED!$K80,IF(MATCHED!BB80=11,MATCHED!$L80,IF(MATCHED!BB80=12,MATCHED!$M80,IF(MATCHED!BB80=13,MATCHED!$N80,IF(MATCHED!BB80=14,MATCHED!$O80,"")))))))&amp;IF(MATCHED!BB80=15,MATCHED!$P80,IF(MATCHED!BB80=16,MATCHED!$Q80,IF(MATCHED!BB80=17,MATCHED!$R80,IF(MATCHED!BB80=18,MATCHED!$S80,IF(MATCHED!BB80=19,MATCHED!$T80,IF(MATCHED!BB80=20,MATCHED!$U80,IF(MATCHED!BB80=21,MATCHED!$V80,)))))))&amp;IF(MATCHED!BB80=22,MATCHED!$W80,IF(MATCHED!BB80=23,MATCHED!$X80,IF(MATCHED!BB80=24,MATCHED!$Y80,IF(MATCHED!BB80=25,MATCHED!$Z80,IF(MATCHED!BB80=26,MATCHED!$AA80,IF(MATCHED!BB80=27,MATCHED!$AB80,"."))))))</f>
        <v>#N/A</v>
      </c>
      <c r="AA80" s="423" t="e">
        <f>IF(MATCHED!BC80=1,MATCHED!$B80,IF(MATCHED!BC80=2,MATCHED!$C80,IF(MATCHED!BC80=3,MATCHED!$D80,IF(MATCHED!BC80=4,MATCHED!$E80,IF(MATCHED!BC80=3,MATCHED!$F80,IF(MATCHED!BC80=6,MATCHED!$G80,IF(MATCHED!BC80=7,MATCHED!$H80,"")))))))&amp;IF(MATCHED!BC80=8,MATCHED!$I80,IF(MATCHED!BC80=9,MATCHED!$J80,IF(MATCHED!BC80=10,MATCHED!$K80,IF(MATCHED!BC80=11,MATCHED!$L80,IF(MATCHED!BC80=12,MATCHED!$M80,IF(MATCHED!BC80=13,MATCHED!$N80,IF(MATCHED!BC80=14,MATCHED!$O80,"")))))))&amp;IF(MATCHED!BC80=15,MATCHED!$P80,IF(MATCHED!BC80=16,MATCHED!$Q80,IF(MATCHED!BC80=17,MATCHED!$R80,IF(MATCHED!BC80=18,MATCHED!$S80,IF(MATCHED!BC80=19,MATCHED!$T80,IF(MATCHED!BC80=20,MATCHED!$U80,IF(MATCHED!BC80=21,MATCHED!$V80,)))))))&amp;IF(MATCHED!BC80=22,MATCHED!$W80,IF(MATCHED!BC80=23,MATCHED!$X80,IF(MATCHED!BC80=24,MATCHED!$Y80,IF(MATCHED!BC80=25,MATCHED!$Z80,IF(MATCHED!BC80=26,MATCHED!$AA80,IF(MATCHED!BC80=27,MATCHED!$AB80,"."))))))</f>
        <v>#N/A</v>
      </c>
      <c r="AB80" s="423" t="e">
        <f>IF(MATCHED!BD80=1,MATCHED!$B80,IF(MATCHED!BD80=2,MATCHED!$C80,IF(MATCHED!BD80=3,MATCHED!$D80,IF(MATCHED!BD80=4,MATCHED!$E80,IF(MATCHED!BD80=3,MATCHED!$F80,IF(MATCHED!BD80=6,MATCHED!$G80,IF(MATCHED!BD80=7,MATCHED!$H80,"")))))))&amp;IF(MATCHED!BD80=8,MATCHED!$I80,IF(MATCHED!BD80=9,MATCHED!$J80,IF(MATCHED!BD80=10,MATCHED!$K80,IF(MATCHED!BD80=11,MATCHED!$L80,IF(MATCHED!BD80=12,MATCHED!$M80,IF(MATCHED!BD80=13,MATCHED!$N80,IF(MATCHED!BD80=14,MATCHED!$O80,"")))))))&amp;IF(MATCHED!BD80=15,MATCHED!$P80,IF(MATCHED!BD80=16,MATCHED!$Q80,IF(MATCHED!BD80=17,MATCHED!$R80,IF(MATCHED!BD80=18,MATCHED!$S80,IF(MATCHED!BD80=19,MATCHED!$T80,IF(MATCHED!BD80=20,MATCHED!$U80,IF(MATCHED!BD80=21,MATCHED!$V80,)))))))&amp;IF(MATCHED!BD80=22,MATCHED!$W80,IF(MATCHED!BD80=23,MATCHED!$X80,IF(MATCHED!BD80=24,MATCHED!$Y80,IF(MATCHED!BD80=25,MATCHED!$Z80,IF(MATCHED!BD80=26,MATCHED!$AA80,IF(MATCHED!BD80=27,MATCHED!$AB80,"."))))))</f>
        <v>#N/A</v>
      </c>
      <c r="AC80" s="423" t="e">
        <f>IF(MATCHED!BE80=1,MATCHED!$B80,IF(MATCHED!BE80=2,MATCHED!$C80,IF(MATCHED!BE80=3,MATCHED!$D80,IF(MATCHED!BE80=4,MATCHED!$E80,IF(MATCHED!BE80=3,MATCHED!$F80,IF(MATCHED!BE80=6,MATCHED!$G80,IF(MATCHED!BE80=7,MATCHED!$H80,"")))))))&amp;IF(MATCHED!BE80=8,MATCHED!$I80,IF(MATCHED!BE80=9,MATCHED!$J80,IF(MATCHED!BE80=10,MATCHED!$K80,IF(MATCHED!BE80=11,MATCHED!$L80,IF(MATCHED!BE80=12,MATCHED!$M80,IF(MATCHED!BE80=13,MATCHED!$N80,IF(MATCHED!BE80=14,MATCHED!$O80,"")))))))&amp;IF(MATCHED!BE80=15,MATCHED!$P80,IF(MATCHED!BE80=16,MATCHED!$Q80,IF(MATCHED!BE80=17,MATCHED!$R80,IF(MATCHED!BE80=18,MATCHED!$S80,IF(MATCHED!BE80=19,MATCHED!$T80,IF(MATCHED!BE80=20,MATCHED!$U80,IF(MATCHED!BE80=21,MATCHED!$V80,)))))))&amp;IF(MATCHED!BE80=22,MATCHED!$W80,IF(MATCHED!BE80=23,MATCHED!$X80,IF(MATCHED!BE80=24,MATCHED!$Y80,IF(MATCHED!BE80=25,MATCHED!$Z80,IF(MATCHED!BE80=26,MATCHED!$AA80,IF(MATCHED!BE80=27,MATCHED!$AB80,"."))))))</f>
        <v>#N/A</v>
      </c>
      <c r="AD80" s="423" t="e">
        <f>IF(MATCHED!BF80=1,MATCHED!$B80,IF(MATCHED!BF80=2,MATCHED!$C80,IF(MATCHED!BF80=3,MATCHED!$D80,IF(MATCHED!BF80=4,MATCHED!$E80,IF(MATCHED!BF80=3,MATCHED!$F80,IF(MATCHED!BF80=6,MATCHED!$G80,IF(MATCHED!BF80=7,MATCHED!$H80,"")))))))&amp;IF(MATCHED!BF80=8,MATCHED!$I80,IF(MATCHED!BF80=9,MATCHED!$J80,IF(MATCHED!BF80=10,MATCHED!$K80,IF(MATCHED!BF80=11,MATCHED!$L80,IF(MATCHED!BF80=12,MATCHED!$M80,IF(MATCHED!BF80=13,MATCHED!$N80,IF(MATCHED!BF80=14,MATCHED!$O80,"")))))))&amp;IF(MATCHED!BF80=15,MATCHED!$P80,IF(MATCHED!BF80=16,MATCHED!$Q80,IF(MATCHED!BF80=17,MATCHED!$R80,IF(MATCHED!BF80=18,MATCHED!$S80,IF(MATCHED!BF80=19,MATCHED!$T80,IF(MATCHED!BF80=20,MATCHED!$U80,IF(MATCHED!BF80=21,MATCHED!$V80,)))))))&amp;IF(MATCHED!BF80=22,MATCHED!$W80,IF(MATCHED!BF80=23,MATCHED!$X80,IF(MATCHED!BF80=24,MATCHED!$Y80,IF(MATCHED!BF80=25,MATCHED!$Z80,IF(MATCHED!BF80=26,MATCHED!$AA80,IF(MATCHED!BF80=27,MATCHED!$AB80,"."))))))</f>
        <v>#N/A</v>
      </c>
      <c r="AE80" s="423" t="e">
        <f>IF(MATCHED!BG80=1,MATCHED!$B80,IF(MATCHED!BG80=2,MATCHED!$C80,IF(MATCHED!BG80=3,MATCHED!$D80,IF(MATCHED!BG80=4,MATCHED!$E80,IF(MATCHED!BG80=3,MATCHED!$F80,IF(MATCHED!BG80=6,MATCHED!$G80,IF(MATCHED!BG80=7,MATCHED!$H80,"")))))))&amp;IF(MATCHED!BG80=8,MATCHED!$I80,IF(MATCHED!BG80=9,MATCHED!$J80,IF(MATCHED!BG80=10,MATCHED!$K80,IF(MATCHED!BG80=11,MATCHED!$L80,IF(MATCHED!BG80=12,MATCHED!$M80,IF(MATCHED!BG80=13,MATCHED!$N80,IF(MATCHED!BG80=14,MATCHED!$O80,"")))))))&amp;IF(MATCHED!BG80=15,MATCHED!$P80,IF(MATCHED!BG80=16,MATCHED!$Q80,IF(MATCHED!BG80=17,MATCHED!$R80,IF(MATCHED!BG80=18,MATCHED!$S80,IF(MATCHED!BG80=19,MATCHED!$T80,IF(MATCHED!BG80=20,MATCHED!$U80,IF(MATCHED!BG80=21,MATCHED!$V80,)))))))&amp;IF(MATCHED!BG80=22,MATCHED!$W80,IF(MATCHED!BG80=23,MATCHED!$X80,IF(MATCHED!BG80=24,MATCHED!$Y80,IF(MATCHED!BG80=25,MATCHED!$Z80,IF(MATCHED!BG80=26,MATCHED!$AA80,IF(MATCHED!BG80=27,MATCHED!$AB80,"."))))))</f>
        <v>#N/A</v>
      </c>
      <c r="AF80" s="423" t="e">
        <f>IF(MATCHED!BH80=1,MATCHED!$B80,IF(MATCHED!BH80=2,MATCHED!$C80,IF(MATCHED!BH80=3,MATCHED!$D80,IF(MATCHED!BH80=4,MATCHED!$E80,IF(MATCHED!BH80=3,MATCHED!$F80,IF(MATCHED!BH80=6,MATCHED!$G80,IF(MATCHED!BH80=7,MATCHED!$H80,"")))))))&amp;IF(MATCHED!BH80=8,MATCHED!$I80,IF(MATCHED!BH80=9,MATCHED!$J80,IF(MATCHED!BH80=10,MATCHED!$K80,IF(MATCHED!BH80=11,MATCHED!$L80,IF(MATCHED!BH80=12,MATCHED!$M80,IF(MATCHED!BH80=13,MATCHED!$N80,IF(MATCHED!BH80=14,MATCHED!$O80,"")))))))&amp;IF(MATCHED!BH80=15,MATCHED!$P80,IF(MATCHED!BH80=16,MATCHED!$Q80,IF(MATCHED!BH80=17,MATCHED!$R80,IF(MATCHED!BH80=18,MATCHED!$S80,IF(MATCHED!BH80=19,MATCHED!$T80,IF(MATCHED!BH80=20,MATCHED!$U80,IF(MATCHED!BH80=21,MATCHED!$V80,)))))))&amp;IF(MATCHED!BH80=22,MATCHED!$W80,IF(MATCHED!BH80=23,MATCHED!$X80,IF(MATCHED!BH80=24,MATCHED!$Y80,IF(MATCHED!BH80=25,MATCHED!$Z80,IF(MATCHED!BH80=26,MATCHED!$AA80,IF(MATCHED!BH80=27,MATCHED!$AB80,"."))))))</f>
        <v>#N/A</v>
      </c>
      <c r="AG80" s="423" t="e">
        <f>IF(MATCHED!BI80=1,MATCHED!$B80,IF(MATCHED!BI80=2,MATCHED!$C80,IF(MATCHED!BI80=3,MATCHED!$D80,IF(MATCHED!BI80=4,MATCHED!$E80,IF(MATCHED!BI80=3,MATCHED!$F80,IF(MATCHED!BI80=6,MATCHED!$G80,IF(MATCHED!BI80=7,MATCHED!$H80,"")))))))&amp;IF(MATCHED!BI80=8,MATCHED!$I80,IF(MATCHED!BI80=9,MATCHED!$J80,IF(MATCHED!BI80=10,MATCHED!$K80,IF(MATCHED!BI80=11,MATCHED!$L80,IF(MATCHED!BI80=12,MATCHED!$M80,IF(MATCHED!BI80=13,MATCHED!$N80,IF(MATCHED!BI80=14,MATCHED!$O80,"")))))))&amp;IF(MATCHED!BI80=15,MATCHED!$P80,IF(MATCHED!BI80=16,MATCHED!$Q80,IF(MATCHED!BI80=17,MATCHED!$R80,IF(MATCHED!BI80=18,MATCHED!$S80,IF(MATCHED!BI80=19,MATCHED!$T80,IF(MATCHED!BI80=20,MATCHED!$U80,IF(MATCHED!BI80=21,MATCHED!$V80,)))))))&amp;IF(MATCHED!BI80=22,MATCHED!$W80,IF(MATCHED!BI80=23,MATCHED!$X80,IF(MATCHED!BI80=24,MATCHED!$Y80,IF(MATCHED!BI80=25,MATCHED!$Z80,IF(MATCHED!BI80=26,MATCHED!$AA80,IF(MATCHED!BI80=27,MATCHED!$AB80,"."))))))</f>
        <v>#N/A</v>
      </c>
      <c r="AH80" s="423" t="e">
        <f>IF(MATCHED!BJ80=1,MATCHED!$B80,IF(MATCHED!BJ80=2,MATCHED!$C80,IF(MATCHED!BJ80=3,MATCHED!$D80,IF(MATCHED!BJ80=4,MATCHED!$E80,IF(MATCHED!BJ80=3,MATCHED!$F80,IF(MATCHED!BJ80=6,MATCHED!$G80,IF(MATCHED!BJ80=7,MATCHED!$H80,"")))))))&amp;IF(MATCHED!BJ80=8,MATCHED!$I80,IF(MATCHED!BJ80=9,MATCHED!$J80,IF(MATCHED!BJ80=10,MATCHED!$K80,IF(MATCHED!BJ80=11,MATCHED!$L80,IF(MATCHED!BJ80=12,MATCHED!$M80,IF(MATCHED!BJ80=13,MATCHED!$N80,IF(MATCHED!BJ80=14,MATCHED!$O80,"")))))))&amp;IF(MATCHED!BJ80=15,MATCHED!$P80,IF(MATCHED!BJ80=16,MATCHED!$Q80,IF(MATCHED!BJ80=17,MATCHED!$R80,IF(MATCHED!BJ80=18,MATCHED!$S80,IF(MATCHED!BJ80=19,MATCHED!$T80,IF(MATCHED!BJ80=20,MATCHED!$U80,IF(MATCHED!BJ80=21,MATCHED!$V80,)))))))&amp;IF(MATCHED!BJ80=22,MATCHED!$W80,IF(MATCHED!BJ80=23,MATCHED!$X80,IF(MATCHED!BJ80=24,MATCHED!$Y80,IF(MATCHED!BJ80=25,MATCHED!$Z80,IF(MATCHED!BJ80=26,MATCHED!$AA80,IF(MATCHED!BJ80=27,MATCHED!$AB80,"."))))))</f>
        <v>#N/A</v>
      </c>
      <c r="AI80" s="423" t="e">
        <f>IF(MATCHED!BK80=1,MATCHED!$B80,IF(MATCHED!BK80=2,MATCHED!$C80,IF(MATCHED!BK80=3,MATCHED!$D80,IF(MATCHED!BK80=4,MATCHED!$E80,IF(MATCHED!BK80=3,MATCHED!$F80,IF(MATCHED!BK80=6,MATCHED!$G80,IF(MATCHED!BK80=7,MATCHED!$H80,"")))))))&amp;IF(MATCHED!BK80=8,MATCHED!$I80,IF(MATCHED!BK80=9,MATCHED!$J80,IF(MATCHED!BK80=10,MATCHED!$K80,IF(MATCHED!BK80=11,MATCHED!$L80,IF(MATCHED!BK80=12,MATCHED!$M80,IF(MATCHED!BK80=13,MATCHED!$N80,IF(MATCHED!BK80=14,MATCHED!$O80,"")))))))&amp;IF(MATCHED!BK80=15,MATCHED!$P80,IF(MATCHED!BK80=16,MATCHED!$Q80,IF(MATCHED!BK80=17,MATCHED!$R80,IF(MATCHED!BK80=18,MATCHED!$S80,IF(MATCHED!BK80=19,MATCHED!$T80,IF(MATCHED!BK80=20,MATCHED!$U80,IF(MATCHED!BK80=21,MATCHED!$V80,)))))))&amp;IF(MATCHED!BK80=22,MATCHED!$W80,IF(MATCHED!BK80=23,MATCHED!$X80,IF(MATCHED!BK80=24,MATCHED!$Y80,IF(MATCHED!BK80=25,MATCHED!$Z80,IF(MATCHED!BK80=26,MATCHED!$AA80,IF(MATCHED!BK80=27,MATCHED!$AB80,"."))))))</f>
        <v>#N/A</v>
      </c>
      <c r="AJ80" s="542"/>
    </row>
    <row r="81" spans="1:36" s="338" customFormat="1" x14ac:dyDescent="0.25">
      <c r="A81" s="542"/>
      <c r="B81" s="423" t="e">
        <f>IF(MATCHED!AD81=1,MATCHED!$B81,IF(MATCHED!AD81=2,MATCHED!$C81,IF(MATCHED!AD81=3,MATCHED!$D81,IF(MATCHED!AD81=4,MATCHED!$E81,IF(MATCHED!AD81=3,MATCHED!$F81,IF(MATCHED!AD81=6,MATCHED!$G81,IF(MATCHED!AD81=7,MATCHED!$H81,"")))))))&amp;IF(MATCHED!AD81=8,MATCHED!$I81,IF(MATCHED!AD81=9,MATCHED!$J81,IF(MATCHED!AD81=10,MATCHED!$K81,IF(MATCHED!AD81=11,MATCHED!$L81,IF(MATCHED!AD81=12,MATCHED!$M81,IF(MATCHED!AD81=13,MATCHED!$N81,IF(MATCHED!AD81=14,MATCHED!$O81,"")))))))&amp;IF(MATCHED!AD81=15,MATCHED!$P81,IF(MATCHED!AD81=16,MATCHED!$Q81,IF(MATCHED!AD81=17,MATCHED!$R81,IF(MATCHED!AD81=18,MATCHED!$S81,IF(MATCHED!AD81=19,MATCHED!$T81,IF(MATCHED!AD81=20,MATCHED!$U81,IF(MATCHED!AD81=21,MATCHED!$V81,)))))))&amp;IF(MATCHED!AD81=22,MATCHED!$W81,IF(MATCHED!AD81=23,MATCHED!$X81,IF(MATCHED!AD81=24,MATCHED!$Y81,IF(MATCHED!AD81=25,MATCHED!$Z81,IF(MATCHED!AD81=26,MATCHED!$AA81,IF(MATCHED!AD81=27,MATCHED!$AB81,"."))))))</f>
        <v>#N/A</v>
      </c>
      <c r="C81" s="423" t="e">
        <f>IF(MATCHED!AE81=1,MATCHED!$B81,IF(MATCHED!AE81=2,MATCHED!$C81,IF(MATCHED!AE81=3,MATCHED!$D81,IF(MATCHED!AE81=4,MATCHED!$E81,IF(MATCHED!AE81=3,MATCHED!$F81,IF(MATCHED!AE81=6,MATCHED!$G81,IF(MATCHED!AE81=7,MATCHED!$H81,"")))))))&amp;IF(MATCHED!AE81=8,MATCHED!$I81,IF(MATCHED!AE81=9,MATCHED!$J81,IF(MATCHED!AE81=10,MATCHED!$K81,IF(MATCHED!AE81=11,MATCHED!$L81,IF(MATCHED!AE81=12,MATCHED!$M81,IF(MATCHED!AE81=13,MATCHED!$N81,IF(MATCHED!AE81=14,MATCHED!$O81,"")))))))&amp;IF(MATCHED!AE81=15,MATCHED!$P81,IF(MATCHED!AE81=16,MATCHED!$Q81,IF(MATCHED!AE81=17,MATCHED!$R81,IF(MATCHED!AE81=18,MATCHED!$S81,IF(MATCHED!AE81=19,MATCHED!$T81,IF(MATCHED!AE81=20,MATCHED!$U81,IF(MATCHED!AE81=21,MATCHED!$V81,)))))))&amp;IF(MATCHED!AE81=22,MATCHED!$W81,IF(MATCHED!AE81=23,MATCHED!$X81,IF(MATCHED!AE81=24,MATCHED!$Y81,IF(MATCHED!AE81=25,MATCHED!$Z81,IF(MATCHED!AE81=26,MATCHED!$AA81,IF(MATCHED!AE81=27,MATCHED!$AB81,"."))))))</f>
        <v>#N/A</v>
      </c>
      <c r="D81" s="423" t="e">
        <f>IF(MATCHED!AF81=1,MATCHED!$B81,IF(MATCHED!AF81=2,MATCHED!$C81,IF(MATCHED!AF81=3,MATCHED!$D81,IF(MATCHED!AF81=4,MATCHED!$E81,IF(MATCHED!AF81=3,MATCHED!$F81,IF(MATCHED!AF81=6,MATCHED!$G81,IF(MATCHED!AF81=7,MATCHED!$H81,"")))))))&amp;IF(MATCHED!AF81=8,MATCHED!$I81,IF(MATCHED!AF81=9,MATCHED!$J81,IF(MATCHED!AF81=10,MATCHED!$K81,IF(MATCHED!AF81=11,MATCHED!$L81,IF(MATCHED!AF81=12,MATCHED!$M81,IF(MATCHED!AF81=13,MATCHED!$N81,IF(MATCHED!AF81=14,MATCHED!$O81,"")))))))&amp;IF(MATCHED!AF81=15,MATCHED!$P81,IF(MATCHED!AF81=16,MATCHED!$Q81,IF(MATCHED!AF81=17,MATCHED!$R81,IF(MATCHED!AF81=18,MATCHED!$S81,IF(MATCHED!AF81=19,MATCHED!$T81,IF(MATCHED!AF81=20,MATCHED!$U81,IF(MATCHED!AF81=21,MATCHED!$V81,)))))))&amp;IF(MATCHED!AF81=22,MATCHED!$W81,IF(MATCHED!AF81=23,MATCHED!$X81,IF(MATCHED!AF81=24,MATCHED!$Y81,IF(MATCHED!AF81=25,MATCHED!$Z81,IF(MATCHED!AF81=26,MATCHED!$AA81,IF(MATCHED!AF81=27,MATCHED!$AB81,"."))))))</f>
        <v>#N/A</v>
      </c>
      <c r="E81" s="423" t="e">
        <f>IF(MATCHED!AG81=1,MATCHED!$B81,IF(MATCHED!AG81=2,MATCHED!$C81,IF(MATCHED!AG81=3,MATCHED!$D81,IF(MATCHED!AG81=4,MATCHED!$E81,IF(MATCHED!AG81=3,MATCHED!$F81,IF(MATCHED!AG81=6,MATCHED!$G81,IF(MATCHED!AG81=7,MATCHED!$H81,"")))))))&amp;IF(MATCHED!AG81=8,MATCHED!$I81,IF(MATCHED!AG81=9,MATCHED!$J81,IF(MATCHED!AG81=10,MATCHED!$K81,IF(MATCHED!AG81=11,MATCHED!$L81,IF(MATCHED!AG81=12,MATCHED!$M81,IF(MATCHED!AG81=13,MATCHED!$N81,IF(MATCHED!AG81=14,MATCHED!$O81,"")))))))&amp;IF(MATCHED!AG81=15,MATCHED!$P81,IF(MATCHED!AG81=16,MATCHED!$Q81,IF(MATCHED!AG81=17,MATCHED!$R81,IF(MATCHED!AG81=18,MATCHED!$S81,IF(MATCHED!AG81=19,MATCHED!$T81,IF(MATCHED!AG81=20,MATCHED!$U81,IF(MATCHED!AG81=21,MATCHED!$V81,)))))))&amp;IF(MATCHED!AG81=22,MATCHED!$W81,IF(MATCHED!AG81=23,MATCHED!$X81,IF(MATCHED!AG81=24,MATCHED!$Y81,IF(MATCHED!AG81=25,MATCHED!$Z81,IF(MATCHED!AG81=26,MATCHED!$AA81,IF(MATCHED!AG81=27,MATCHED!$AB81,"."))))))</f>
        <v>#N/A</v>
      </c>
      <c r="F81" s="423" t="e">
        <f>IF(MATCHED!AH81=1,MATCHED!$B81,IF(MATCHED!AH81=2,MATCHED!$C81,IF(MATCHED!AH81=3,MATCHED!$D81,IF(MATCHED!AH81=4,MATCHED!$E81,IF(MATCHED!AH81=3,MATCHED!$F81,IF(MATCHED!AH81=6,MATCHED!$G81,IF(MATCHED!AH81=7,MATCHED!$H81,"")))))))&amp;IF(MATCHED!AH81=8,MATCHED!$I81,IF(MATCHED!AH81=9,MATCHED!$J81,IF(MATCHED!AH81=10,MATCHED!$K81,IF(MATCHED!AH81=11,MATCHED!$L81,IF(MATCHED!AH81=12,MATCHED!$M81,IF(MATCHED!AH81=13,MATCHED!$N81,IF(MATCHED!AH81=14,MATCHED!$O81,"")))))))&amp;IF(MATCHED!AH81=15,MATCHED!$P81,IF(MATCHED!AH81=16,MATCHED!$Q81,IF(MATCHED!AH81=17,MATCHED!$R81,IF(MATCHED!AH81=18,MATCHED!$S81,IF(MATCHED!AH81=19,MATCHED!$T81,IF(MATCHED!AH81=20,MATCHED!$U81,IF(MATCHED!AH81=21,MATCHED!$V81,)))))))&amp;IF(MATCHED!AH81=22,MATCHED!$W81,IF(MATCHED!AH81=23,MATCHED!$X81,IF(MATCHED!AH81=24,MATCHED!$Y81,IF(MATCHED!AH81=25,MATCHED!$Z81,IF(MATCHED!AH81=26,MATCHED!$AA81,IF(MATCHED!AH81=27,MATCHED!$AB81,"."))))))</f>
        <v>#N/A</v>
      </c>
      <c r="G81" s="423" t="e">
        <f>IF(MATCHED!AI81=1,MATCHED!$B81,IF(MATCHED!AI81=2,MATCHED!$C81,IF(MATCHED!AI81=3,MATCHED!$D81,IF(MATCHED!AI81=4,MATCHED!$E81,IF(MATCHED!AI81=3,MATCHED!$F81,IF(MATCHED!AI81=6,MATCHED!$G81,IF(MATCHED!AI81=7,MATCHED!$H81,"")))))))&amp;IF(MATCHED!AI81=8,MATCHED!$I81,IF(MATCHED!AI81=9,MATCHED!$J81,IF(MATCHED!AI81=10,MATCHED!$K81,IF(MATCHED!AI81=11,MATCHED!$L81,IF(MATCHED!AI81=12,MATCHED!$M81,IF(MATCHED!AI81=13,MATCHED!$N81,IF(MATCHED!AI81=14,MATCHED!$O81,"")))))))&amp;IF(MATCHED!AI81=15,MATCHED!$P81,IF(MATCHED!AI81=16,MATCHED!$Q81,IF(MATCHED!AI81=17,MATCHED!$R81,IF(MATCHED!AI81=18,MATCHED!$S81,IF(MATCHED!AI81=19,MATCHED!$T81,IF(MATCHED!AI81=20,MATCHED!$U81,IF(MATCHED!AI81=21,MATCHED!$V81,)))))))&amp;IF(MATCHED!AI81=22,MATCHED!$W81,IF(MATCHED!AI81=23,MATCHED!$X81,IF(MATCHED!AI81=24,MATCHED!$Y81,IF(MATCHED!AI81=25,MATCHED!$Z81,IF(MATCHED!AI81=26,MATCHED!$AA81,IF(MATCHED!AI81=27,MATCHED!$AB81,"."))))))</f>
        <v>#N/A</v>
      </c>
      <c r="H81" s="423" t="e">
        <f>IF(MATCHED!AJ81=1,MATCHED!$B81,IF(MATCHED!AJ81=2,MATCHED!$C81,IF(MATCHED!AJ81=3,MATCHED!$D81,IF(MATCHED!AJ81=4,MATCHED!$E81,IF(MATCHED!AJ81=3,MATCHED!$F81,IF(MATCHED!AJ81=6,MATCHED!$G81,IF(MATCHED!AJ81=7,MATCHED!$H81,"")))))))&amp;IF(MATCHED!AJ81=8,MATCHED!$I81,IF(MATCHED!AJ81=9,MATCHED!$J81,IF(MATCHED!AJ81=10,MATCHED!$K81,IF(MATCHED!AJ81=11,MATCHED!$L81,IF(MATCHED!AJ81=12,MATCHED!$M81,IF(MATCHED!AJ81=13,MATCHED!$N81,IF(MATCHED!AJ81=14,MATCHED!$O81,"")))))))&amp;IF(MATCHED!AJ81=15,MATCHED!$P81,IF(MATCHED!AJ81=16,MATCHED!$Q81,IF(MATCHED!AJ81=17,MATCHED!$R81,IF(MATCHED!AJ81=18,MATCHED!$S81,IF(MATCHED!AJ81=19,MATCHED!$T81,IF(MATCHED!AJ81=20,MATCHED!$U81,IF(MATCHED!AJ81=21,MATCHED!$V81,)))))))&amp;IF(MATCHED!AJ81=22,MATCHED!$W81,IF(MATCHED!AJ81=23,MATCHED!$X81,IF(MATCHED!AJ81=24,MATCHED!$Y81,IF(MATCHED!AJ81=25,MATCHED!$Z81,IF(MATCHED!AJ81=26,MATCHED!$AA81,IF(MATCHED!AJ81=27,MATCHED!$AB81,"."))))))</f>
        <v>#N/A</v>
      </c>
      <c r="I81" s="423" t="e">
        <f>IF(MATCHED!AK81=1,MATCHED!$B81,IF(MATCHED!AK81=2,MATCHED!$C81,IF(MATCHED!AK81=3,MATCHED!$D81,IF(MATCHED!AK81=4,MATCHED!$E81,IF(MATCHED!AK81=3,MATCHED!$F81,IF(MATCHED!AK81=6,MATCHED!$G81,IF(MATCHED!AK81=7,MATCHED!$H81,"")))))))&amp;IF(MATCHED!AK81=8,MATCHED!$I81,IF(MATCHED!AK81=9,MATCHED!$J81,IF(MATCHED!AK81=10,MATCHED!$K81,IF(MATCHED!AK81=11,MATCHED!$L81,IF(MATCHED!AK81=12,MATCHED!$M81,IF(MATCHED!AK81=13,MATCHED!$N81,IF(MATCHED!AK81=14,MATCHED!$O81,"")))))))&amp;IF(MATCHED!AK81=15,MATCHED!$P81,IF(MATCHED!AK81=16,MATCHED!$Q81,IF(MATCHED!AK81=17,MATCHED!$R81,IF(MATCHED!AK81=18,MATCHED!$S81,IF(MATCHED!AK81=19,MATCHED!$T81,IF(MATCHED!AK81=20,MATCHED!$U81,IF(MATCHED!AK81=21,MATCHED!$V81,)))))))&amp;IF(MATCHED!AK81=22,MATCHED!$W81,IF(MATCHED!AK81=23,MATCHED!$X81,IF(MATCHED!AK81=24,MATCHED!$Y81,IF(MATCHED!AK81=25,MATCHED!$Z81,IF(MATCHED!AK81=26,MATCHED!$AA81,IF(MATCHED!AK81=27,MATCHED!$AB81,"."))))))</f>
        <v>#N/A</v>
      </c>
      <c r="J81" s="423" t="e">
        <f>IF(MATCHED!AL81=1,MATCHED!$B81,IF(MATCHED!AL81=2,MATCHED!$C81,IF(MATCHED!AL81=3,MATCHED!$D81,IF(MATCHED!AL81=4,MATCHED!$E81,IF(MATCHED!AL81=3,MATCHED!$F81,IF(MATCHED!AL81=6,MATCHED!$G81,IF(MATCHED!AL81=7,MATCHED!$H81,"")))))))&amp;IF(MATCHED!AL81=8,MATCHED!$I81,IF(MATCHED!AL81=9,MATCHED!$J81,IF(MATCHED!AL81=10,MATCHED!$K81,IF(MATCHED!AL81=11,MATCHED!$L81,IF(MATCHED!AL81=12,MATCHED!$M81,IF(MATCHED!AL81=13,MATCHED!$N81,IF(MATCHED!AL81=14,MATCHED!$O81,"")))))))&amp;IF(MATCHED!AL81=15,MATCHED!$P81,IF(MATCHED!AL81=16,MATCHED!$Q81,IF(MATCHED!AL81=17,MATCHED!$R81,IF(MATCHED!AL81=18,MATCHED!$S81,IF(MATCHED!AL81=19,MATCHED!$T81,IF(MATCHED!AL81=20,MATCHED!$U81,IF(MATCHED!AL81=21,MATCHED!$V81,)))))))&amp;IF(MATCHED!AL81=22,MATCHED!$W81,IF(MATCHED!AL81=23,MATCHED!$X81,IF(MATCHED!AL81=24,MATCHED!$Y81,IF(MATCHED!AL81=25,MATCHED!$Z81,IF(MATCHED!AL81=26,MATCHED!$AA81,IF(MATCHED!AL81=27,MATCHED!$AB81,"."))))))</f>
        <v>#N/A</v>
      </c>
      <c r="K81" s="423" t="e">
        <f>IF(MATCHED!AM81=1,MATCHED!$B81,IF(MATCHED!AM81=2,MATCHED!$C81,IF(MATCHED!AM81=3,MATCHED!$D81,IF(MATCHED!AM81=4,MATCHED!$E81,IF(MATCHED!AM81=3,MATCHED!$F81,IF(MATCHED!AM81=6,MATCHED!$G81,IF(MATCHED!AM81=7,MATCHED!$H81,"")))))))&amp;IF(MATCHED!AM81=8,MATCHED!$I81,IF(MATCHED!AM81=9,MATCHED!$J81,IF(MATCHED!AM81=10,MATCHED!$K81,IF(MATCHED!AM81=11,MATCHED!$L81,IF(MATCHED!AM81=12,MATCHED!$M81,IF(MATCHED!AM81=13,MATCHED!$N81,IF(MATCHED!AM81=14,MATCHED!$O81,"")))))))&amp;IF(MATCHED!AM81=15,MATCHED!$P81,IF(MATCHED!AM81=16,MATCHED!$Q81,IF(MATCHED!AM81=17,MATCHED!$R81,IF(MATCHED!AM81=18,MATCHED!$S81,IF(MATCHED!AM81=19,MATCHED!$T81,IF(MATCHED!AM81=20,MATCHED!$U81,IF(MATCHED!AM81=21,MATCHED!$V81,)))))))&amp;IF(MATCHED!AM81=22,MATCHED!$W81,IF(MATCHED!AM81=23,MATCHED!$X81,IF(MATCHED!AM81=24,MATCHED!$Y81,IF(MATCHED!AM81=25,MATCHED!$Z81,IF(MATCHED!AM81=26,MATCHED!$AA81,IF(MATCHED!AM81=27,MATCHED!$AB81,"."))))))</f>
        <v>#N/A</v>
      </c>
      <c r="L81" s="423" t="e">
        <f>IF(MATCHED!AN81=1,MATCHED!$B81,IF(MATCHED!AN81=2,MATCHED!$C81,IF(MATCHED!AN81=3,MATCHED!$D81,IF(MATCHED!AN81=4,MATCHED!$E81,IF(MATCHED!AN81=3,MATCHED!$F81,IF(MATCHED!AN81=6,MATCHED!$G81,IF(MATCHED!AN81=7,MATCHED!$H81,"")))))))&amp;IF(MATCHED!AN81=8,MATCHED!$I81,IF(MATCHED!AN81=9,MATCHED!$J81,IF(MATCHED!AN81=10,MATCHED!$K81,IF(MATCHED!AN81=11,MATCHED!$L81,IF(MATCHED!AN81=12,MATCHED!$M81,IF(MATCHED!AN81=13,MATCHED!$N81,IF(MATCHED!AN81=14,MATCHED!$O81,"")))))))&amp;IF(MATCHED!AN81=15,MATCHED!$P81,IF(MATCHED!AN81=16,MATCHED!$Q81,IF(MATCHED!AN81=17,MATCHED!$R81,IF(MATCHED!AN81=18,MATCHED!$S81,IF(MATCHED!AN81=19,MATCHED!$T81,IF(MATCHED!AN81=20,MATCHED!$U81,IF(MATCHED!AN81=21,MATCHED!$V81,)))))))&amp;IF(MATCHED!AN81=22,MATCHED!$W81,IF(MATCHED!AN81=23,MATCHED!$X81,IF(MATCHED!AN81=24,MATCHED!$Y81,IF(MATCHED!AN81=25,MATCHED!$Z81,IF(MATCHED!AN81=26,MATCHED!$AA81,IF(MATCHED!AN81=27,MATCHED!$AB81,"."))))))</f>
        <v>#N/A</v>
      </c>
      <c r="M81" s="423" t="e">
        <f>IF(MATCHED!AO81=1,MATCHED!$B81,IF(MATCHED!AO81=2,MATCHED!$C81,IF(MATCHED!AO81=3,MATCHED!$D81,IF(MATCHED!AO81=4,MATCHED!$E81,IF(MATCHED!AO81=3,MATCHED!$F81,IF(MATCHED!AO81=6,MATCHED!$G81,IF(MATCHED!AO81=7,MATCHED!$H81,"")))))))&amp;IF(MATCHED!AO81=8,MATCHED!$I81,IF(MATCHED!AO81=9,MATCHED!$J81,IF(MATCHED!AO81=10,MATCHED!$K81,IF(MATCHED!AO81=11,MATCHED!$L81,IF(MATCHED!AO81=12,MATCHED!$M81,IF(MATCHED!AO81=13,MATCHED!$N81,IF(MATCHED!AO81=14,MATCHED!$O81,"")))))))&amp;IF(MATCHED!AO81=15,MATCHED!$P81,IF(MATCHED!AO81=16,MATCHED!$Q81,IF(MATCHED!AO81=17,MATCHED!$R81,IF(MATCHED!AO81=18,MATCHED!$S81,IF(MATCHED!AO81=19,MATCHED!$T81,IF(MATCHED!AO81=20,MATCHED!$U81,IF(MATCHED!AO81=21,MATCHED!$V81,)))))))&amp;IF(MATCHED!AO81=22,MATCHED!$W81,IF(MATCHED!AO81=23,MATCHED!$X81,IF(MATCHED!AO81=24,MATCHED!$Y81,IF(MATCHED!AO81=25,MATCHED!$Z81,IF(MATCHED!AO81=26,MATCHED!$AA81,IF(MATCHED!AO81=27,MATCHED!$AB81,"."))))))</f>
        <v>#N/A</v>
      </c>
      <c r="N81" s="423" t="e">
        <f>IF(MATCHED!AP81=1,MATCHED!$B81,IF(MATCHED!AP81=2,MATCHED!$C81,IF(MATCHED!AP81=3,MATCHED!$D81,IF(MATCHED!AP81=4,MATCHED!$E81,IF(MATCHED!AP81=3,MATCHED!$F81,IF(MATCHED!AP81=6,MATCHED!$G81,IF(MATCHED!AP81=7,MATCHED!$H81,"")))))))&amp;IF(MATCHED!AP81=8,MATCHED!$I81,IF(MATCHED!AP81=9,MATCHED!$J81,IF(MATCHED!AP81=10,MATCHED!$K81,IF(MATCHED!AP81=11,MATCHED!$L81,IF(MATCHED!AP81=12,MATCHED!$M81,IF(MATCHED!AP81=13,MATCHED!$N81,IF(MATCHED!AP81=14,MATCHED!$O81,"")))))))&amp;IF(MATCHED!AP81=15,MATCHED!$P81,IF(MATCHED!AP81=16,MATCHED!$Q81,IF(MATCHED!AP81=17,MATCHED!$R81,IF(MATCHED!AP81=18,MATCHED!$S81,IF(MATCHED!AP81=19,MATCHED!$T81,IF(MATCHED!AP81=20,MATCHED!$U81,IF(MATCHED!AP81=21,MATCHED!$V81,)))))))&amp;IF(MATCHED!AP81=22,MATCHED!$W81,IF(MATCHED!AP81=23,MATCHED!$X81,IF(MATCHED!AP81=24,MATCHED!$Y81,IF(MATCHED!AP81=25,MATCHED!$Z81,IF(MATCHED!AP81=26,MATCHED!$AA81,IF(MATCHED!AP81=27,MATCHED!$AB81,"."))))))</f>
        <v>#N/A</v>
      </c>
      <c r="O81" s="423" t="e">
        <f>IF(MATCHED!AQ81=1,MATCHED!$B81,IF(MATCHED!AQ81=2,MATCHED!$C81,IF(MATCHED!AQ81=3,MATCHED!$D81,IF(MATCHED!AQ81=4,MATCHED!$E81,IF(MATCHED!AQ81=3,MATCHED!$F81,IF(MATCHED!AQ81=6,MATCHED!$G81,IF(MATCHED!AQ81=7,MATCHED!$H81,"")))))))&amp;IF(MATCHED!AQ81=8,MATCHED!$I81,IF(MATCHED!AQ81=9,MATCHED!$J81,IF(MATCHED!AQ81=10,MATCHED!$K81,IF(MATCHED!AQ81=11,MATCHED!$L81,IF(MATCHED!AQ81=12,MATCHED!$M81,IF(MATCHED!AQ81=13,MATCHED!$N81,IF(MATCHED!AQ81=14,MATCHED!$O81,"")))))))&amp;IF(MATCHED!AQ81=15,MATCHED!$P81,IF(MATCHED!AQ81=16,MATCHED!$Q81,IF(MATCHED!AQ81=17,MATCHED!$R81,IF(MATCHED!AQ81=18,MATCHED!$S81,IF(MATCHED!AQ81=19,MATCHED!$T81,IF(MATCHED!AQ81=20,MATCHED!$U81,IF(MATCHED!AQ81=21,MATCHED!$V81,)))))))&amp;IF(MATCHED!AQ81=22,MATCHED!$W81,IF(MATCHED!AQ81=23,MATCHED!$X81,IF(MATCHED!AQ81=24,MATCHED!$Y81,IF(MATCHED!AQ81=25,MATCHED!$Z81,IF(MATCHED!AQ81=26,MATCHED!$AA81,IF(MATCHED!AQ81=27,MATCHED!$AB81,"."))))))</f>
        <v>#N/A</v>
      </c>
      <c r="P81" s="423" t="e">
        <f>IF(MATCHED!AR81=1,MATCHED!$B81,IF(MATCHED!AR81=2,MATCHED!$C81,IF(MATCHED!AR81=3,MATCHED!$D81,IF(MATCHED!AR81=4,MATCHED!$E81,IF(MATCHED!AR81=3,MATCHED!$F81,IF(MATCHED!AR81=6,MATCHED!$G81,IF(MATCHED!AR81=7,MATCHED!$H81,"")))))))&amp;IF(MATCHED!AR81=8,MATCHED!$I81,IF(MATCHED!AR81=9,MATCHED!$J81,IF(MATCHED!AR81=10,MATCHED!$K81,IF(MATCHED!AR81=11,MATCHED!$L81,IF(MATCHED!AR81=12,MATCHED!$M81,IF(MATCHED!AR81=13,MATCHED!$N81,IF(MATCHED!AR81=14,MATCHED!$O81,"")))))))&amp;IF(MATCHED!AR81=15,MATCHED!$P81,IF(MATCHED!AR81=16,MATCHED!$Q81,IF(MATCHED!AR81=17,MATCHED!$R81,IF(MATCHED!AR81=18,MATCHED!$S81,IF(MATCHED!AR81=19,MATCHED!$T81,IF(MATCHED!AR81=20,MATCHED!$U81,IF(MATCHED!AR81=21,MATCHED!$V81,)))))))&amp;IF(MATCHED!AR81=22,MATCHED!$W81,IF(MATCHED!AR81=23,MATCHED!$X81,IF(MATCHED!AR81=24,MATCHED!$Y81,IF(MATCHED!AR81=25,MATCHED!$Z81,IF(MATCHED!AR81=26,MATCHED!$AA81,IF(MATCHED!AR81=27,MATCHED!$AB81,"."))))))</f>
        <v>#N/A</v>
      </c>
      <c r="Q81" s="423" t="e">
        <f>IF(MATCHED!AS81=1,MATCHED!$B81,IF(MATCHED!AS81=2,MATCHED!$C81,IF(MATCHED!AS81=3,MATCHED!$D81,IF(MATCHED!AS81=4,MATCHED!$E81,IF(MATCHED!AS81=3,MATCHED!$F81,IF(MATCHED!AS81=6,MATCHED!$G81,IF(MATCHED!AS81=7,MATCHED!$H81,"")))))))&amp;IF(MATCHED!AS81=8,MATCHED!$I81,IF(MATCHED!AS81=9,MATCHED!$J81,IF(MATCHED!AS81=10,MATCHED!$K81,IF(MATCHED!AS81=11,MATCHED!$L81,IF(MATCHED!AS81=12,MATCHED!$M81,IF(MATCHED!AS81=13,MATCHED!$N81,IF(MATCHED!AS81=14,MATCHED!$O81,"")))))))&amp;IF(MATCHED!AS81=15,MATCHED!$P81,IF(MATCHED!AS81=16,MATCHED!$Q81,IF(MATCHED!AS81=17,MATCHED!$R81,IF(MATCHED!AS81=18,MATCHED!$S81,IF(MATCHED!AS81=19,MATCHED!$T81,IF(MATCHED!AS81=20,MATCHED!$U81,IF(MATCHED!AS81=21,MATCHED!$V81,)))))))&amp;IF(MATCHED!AS81=22,MATCHED!$W81,IF(MATCHED!AS81=23,MATCHED!$X81,IF(MATCHED!AS81=24,MATCHED!$Y81,IF(MATCHED!AS81=25,MATCHED!$Z81,IF(MATCHED!AS81=26,MATCHED!$AA81,IF(MATCHED!AS81=27,MATCHED!$AB81,"."))))))</f>
        <v>#N/A</v>
      </c>
      <c r="R81" s="423" t="e">
        <f>IF(MATCHED!AT81=1,MATCHED!$B81,IF(MATCHED!AT81=2,MATCHED!$C81,IF(MATCHED!AT81=3,MATCHED!$D81,IF(MATCHED!AT81=4,MATCHED!$E81,IF(MATCHED!AT81=3,MATCHED!$F81,IF(MATCHED!AT81=6,MATCHED!$G81,IF(MATCHED!AT81=7,MATCHED!$H81,"")))))))&amp;IF(MATCHED!AT81=8,MATCHED!$I81,IF(MATCHED!AT81=9,MATCHED!$J81,IF(MATCHED!AT81=10,MATCHED!$K81,IF(MATCHED!AT81=11,MATCHED!$L81,IF(MATCHED!AT81=12,MATCHED!$M81,IF(MATCHED!AT81=13,MATCHED!$N81,IF(MATCHED!AT81=14,MATCHED!$O81,"")))))))&amp;IF(MATCHED!AT81=15,MATCHED!$P81,IF(MATCHED!AT81=16,MATCHED!$Q81,IF(MATCHED!AT81=17,MATCHED!$R81,IF(MATCHED!AT81=18,MATCHED!$S81,IF(MATCHED!AT81=19,MATCHED!$T81,IF(MATCHED!AT81=20,MATCHED!$U81,IF(MATCHED!AT81=21,MATCHED!$V81,)))))))&amp;IF(MATCHED!AT81=22,MATCHED!$W81,IF(MATCHED!AT81=23,MATCHED!$X81,IF(MATCHED!AT81=24,MATCHED!$Y81,IF(MATCHED!AT81=25,MATCHED!$Z81,IF(MATCHED!AT81=26,MATCHED!$AA81,IF(MATCHED!AT81=27,MATCHED!$AB81,"."))))))</f>
        <v>#N/A</v>
      </c>
      <c r="S81" s="423" t="e">
        <f>IF(MATCHED!AU81=1,MATCHED!$B81,IF(MATCHED!AU81=2,MATCHED!$C81,IF(MATCHED!AU81=3,MATCHED!$D81,IF(MATCHED!AU81=4,MATCHED!$E81,IF(MATCHED!AU81=3,MATCHED!$F81,IF(MATCHED!AU81=6,MATCHED!$G81,IF(MATCHED!AU81=7,MATCHED!$H81,"")))))))&amp;IF(MATCHED!AU81=8,MATCHED!$I81,IF(MATCHED!AU81=9,MATCHED!$J81,IF(MATCHED!AU81=10,MATCHED!$K81,IF(MATCHED!AU81=11,MATCHED!$L81,IF(MATCHED!AU81=12,MATCHED!$M81,IF(MATCHED!AU81=13,MATCHED!$N81,IF(MATCHED!AU81=14,MATCHED!$O81,"")))))))&amp;IF(MATCHED!AU81=15,MATCHED!$P81,IF(MATCHED!AU81=16,MATCHED!$Q81,IF(MATCHED!AU81=17,MATCHED!$R81,IF(MATCHED!AU81=18,MATCHED!$S81,IF(MATCHED!AU81=19,MATCHED!$T81,IF(MATCHED!AU81=20,MATCHED!$U81,IF(MATCHED!AU81=21,MATCHED!$V81,)))))))&amp;IF(MATCHED!AU81=22,MATCHED!$W81,IF(MATCHED!AU81=23,MATCHED!$X81,IF(MATCHED!AU81=24,MATCHED!$Y81,IF(MATCHED!AU81=25,MATCHED!$Z81,IF(MATCHED!AU81=26,MATCHED!$AA81,IF(MATCHED!AU81=27,MATCHED!$AB81,"."))))))</f>
        <v>#N/A</v>
      </c>
      <c r="T81" s="423" t="e">
        <f>IF(MATCHED!AV81=1,MATCHED!$B81,IF(MATCHED!AV81=2,MATCHED!$C81,IF(MATCHED!AV81=3,MATCHED!$D81,IF(MATCHED!AV81=4,MATCHED!$E81,IF(MATCHED!AV81=3,MATCHED!$F81,IF(MATCHED!AV81=6,MATCHED!$G81,IF(MATCHED!AV81=7,MATCHED!$H81,"")))))))&amp;IF(MATCHED!AV81=8,MATCHED!$I81,IF(MATCHED!AV81=9,MATCHED!$J81,IF(MATCHED!AV81=10,MATCHED!$K81,IF(MATCHED!AV81=11,MATCHED!$L81,IF(MATCHED!AV81=12,MATCHED!$M81,IF(MATCHED!AV81=13,MATCHED!$N81,IF(MATCHED!AV81=14,MATCHED!$O81,"")))))))&amp;IF(MATCHED!AV81=15,MATCHED!$P81,IF(MATCHED!AV81=16,MATCHED!$Q81,IF(MATCHED!AV81=17,MATCHED!$R81,IF(MATCHED!AV81=18,MATCHED!$S81,IF(MATCHED!AV81=19,MATCHED!$T81,IF(MATCHED!AV81=20,MATCHED!$U81,IF(MATCHED!AV81=21,MATCHED!$V81,)))))))&amp;IF(MATCHED!AV81=22,MATCHED!$W81,IF(MATCHED!AV81=23,MATCHED!$X81,IF(MATCHED!AV81=24,MATCHED!$Y81,IF(MATCHED!AV81=25,MATCHED!$Z81,IF(MATCHED!AV81=26,MATCHED!$AA81,IF(MATCHED!AV81=27,MATCHED!$AB81,"."))))))</f>
        <v>#N/A</v>
      </c>
      <c r="U81" s="423" t="e">
        <f>IF(MATCHED!AW81=1,MATCHED!$B81,IF(MATCHED!AW81=2,MATCHED!$C81,IF(MATCHED!AW81=3,MATCHED!$D81,IF(MATCHED!AW81=4,MATCHED!$E81,IF(MATCHED!AW81=3,MATCHED!$F81,IF(MATCHED!AW81=6,MATCHED!$G81,IF(MATCHED!AW81=7,MATCHED!$H81,"")))))))&amp;IF(MATCHED!AW81=8,MATCHED!$I81,IF(MATCHED!AW81=9,MATCHED!$J81,IF(MATCHED!AW81=10,MATCHED!$K81,IF(MATCHED!AW81=11,MATCHED!$L81,IF(MATCHED!AW81=12,MATCHED!$M81,IF(MATCHED!AW81=13,MATCHED!$N81,IF(MATCHED!AW81=14,MATCHED!$O81,"")))))))&amp;IF(MATCHED!AW81=15,MATCHED!$P81,IF(MATCHED!AW81=16,MATCHED!$Q81,IF(MATCHED!AW81=17,MATCHED!$R81,IF(MATCHED!AW81=18,MATCHED!$S81,IF(MATCHED!AW81=19,MATCHED!$T81,IF(MATCHED!AW81=20,MATCHED!$U81,IF(MATCHED!AW81=21,MATCHED!$V81,)))))))&amp;IF(MATCHED!AW81=22,MATCHED!$W81,IF(MATCHED!AW81=23,MATCHED!$X81,IF(MATCHED!AW81=24,MATCHED!$Y81,IF(MATCHED!AW81=25,MATCHED!$Z81,IF(MATCHED!AW81=26,MATCHED!$AA81,IF(MATCHED!AW81=27,MATCHED!$AB81,"."))))))</f>
        <v>#N/A</v>
      </c>
      <c r="V81" s="423" t="e">
        <f>IF(MATCHED!AX81=1,MATCHED!$B81,IF(MATCHED!AX81=2,MATCHED!$C81,IF(MATCHED!AX81=3,MATCHED!$D81,IF(MATCHED!AX81=4,MATCHED!$E81,IF(MATCHED!AX81=3,MATCHED!$F81,IF(MATCHED!AX81=6,MATCHED!$G81,IF(MATCHED!AX81=7,MATCHED!$H81,"")))))))&amp;IF(MATCHED!AX81=8,MATCHED!$I81,IF(MATCHED!AX81=9,MATCHED!$J81,IF(MATCHED!AX81=10,MATCHED!$K81,IF(MATCHED!AX81=11,MATCHED!$L81,IF(MATCHED!AX81=12,MATCHED!$M81,IF(MATCHED!AX81=13,MATCHED!$N81,IF(MATCHED!AX81=14,MATCHED!$O81,"")))))))&amp;IF(MATCHED!AX81=15,MATCHED!$P81,IF(MATCHED!AX81=16,MATCHED!$Q81,IF(MATCHED!AX81=17,MATCHED!$R81,IF(MATCHED!AX81=18,MATCHED!$S81,IF(MATCHED!AX81=19,MATCHED!$T81,IF(MATCHED!AX81=20,MATCHED!$U81,IF(MATCHED!AX81=21,MATCHED!$V81,)))))))&amp;IF(MATCHED!AX81=22,MATCHED!$W81,IF(MATCHED!AX81=23,MATCHED!$X81,IF(MATCHED!AX81=24,MATCHED!$Y81,IF(MATCHED!AX81=25,MATCHED!$Z81,IF(MATCHED!AX81=26,MATCHED!$AA81,IF(MATCHED!AX81=27,MATCHED!$AB81,"."))))))</f>
        <v>#N/A</v>
      </c>
      <c r="W81" s="423" t="e">
        <f>IF(MATCHED!AY81=1,MATCHED!$B81,IF(MATCHED!AY81=2,MATCHED!$C81,IF(MATCHED!AY81=3,MATCHED!$D81,IF(MATCHED!AY81=4,MATCHED!$E81,IF(MATCHED!AY81=3,MATCHED!$F81,IF(MATCHED!AY81=6,MATCHED!$G81,IF(MATCHED!AY81=7,MATCHED!$H81,"")))))))&amp;IF(MATCHED!AY81=8,MATCHED!$I81,IF(MATCHED!AY81=9,MATCHED!$J81,IF(MATCHED!AY81=10,MATCHED!$K81,IF(MATCHED!AY81=11,MATCHED!$L81,IF(MATCHED!AY81=12,MATCHED!$M81,IF(MATCHED!AY81=13,MATCHED!$N81,IF(MATCHED!AY81=14,MATCHED!$O81,"")))))))&amp;IF(MATCHED!AY81=15,MATCHED!$P81,IF(MATCHED!AY81=16,MATCHED!$Q81,IF(MATCHED!AY81=17,MATCHED!$R81,IF(MATCHED!AY81=18,MATCHED!$S81,IF(MATCHED!AY81=19,MATCHED!$T81,IF(MATCHED!AY81=20,MATCHED!$U81,IF(MATCHED!AY81=21,MATCHED!$V81,)))))))&amp;IF(MATCHED!AY81=22,MATCHED!$W81,IF(MATCHED!AY81=23,MATCHED!$X81,IF(MATCHED!AY81=24,MATCHED!$Y81,IF(MATCHED!AY81=25,MATCHED!$Z81,IF(MATCHED!AY81=26,MATCHED!$AA81,IF(MATCHED!AY81=27,MATCHED!$AB81,"."))))))</f>
        <v>#N/A</v>
      </c>
      <c r="X81" s="423" t="e">
        <f>IF(MATCHED!AZ81=1,MATCHED!$B81,IF(MATCHED!AZ81=2,MATCHED!$C81,IF(MATCHED!AZ81=3,MATCHED!$D81,IF(MATCHED!AZ81=4,MATCHED!$E81,IF(MATCHED!AZ81=3,MATCHED!$F81,IF(MATCHED!AZ81=6,MATCHED!$G81,IF(MATCHED!AZ81=7,MATCHED!$H81,"")))))))&amp;IF(MATCHED!AZ81=8,MATCHED!$I81,IF(MATCHED!AZ81=9,MATCHED!$J81,IF(MATCHED!AZ81=10,MATCHED!$K81,IF(MATCHED!AZ81=11,MATCHED!$L81,IF(MATCHED!AZ81=12,MATCHED!$M81,IF(MATCHED!AZ81=13,MATCHED!$N81,IF(MATCHED!AZ81=14,MATCHED!$O81,"")))))))&amp;IF(MATCHED!AZ81=15,MATCHED!$P81,IF(MATCHED!AZ81=16,MATCHED!$Q81,IF(MATCHED!AZ81=17,MATCHED!$R81,IF(MATCHED!AZ81=18,MATCHED!$S81,IF(MATCHED!AZ81=19,MATCHED!$T81,IF(MATCHED!AZ81=20,MATCHED!$U81,IF(MATCHED!AZ81=21,MATCHED!$V81,)))))))&amp;IF(MATCHED!AZ81=22,MATCHED!$W81,IF(MATCHED!AZ81=23,MATCHED!$X81,IF(MATCHED!AZ81=24,MATCHED!$Y81,IF(MATCHED!AZ81=25,MATCHED!$Z81,IF(MATCHED!AZ81=26,MATCHED!$AA81,IF(MATCHED!AZ81=27,MATCHED!$AB81,"."))))))</f>
        <v>#N/A</v>
      </c>
      <c r="Y81" s="423" t="e">
        <f>IF(MATCHED!BA81=1,MATCHED!$B81,IF(MATCHED!BA81=2,MATCHED!$C81,IF(MATCHED!BA81=3,MATCHED!$D81,IF(MATCHED!BA81=4,MATCHED!$E81,IF(MATCHED!BA81=3,MATCHED!$F81,IF(MATCHED!BA81=6,MATCHED!$G81,IF(MATCHED!BA81=7,MATCHED!$H81,"")))))))&amp;IF(MATCHED!BA81=8,MATCHED!$I81,IF(MATCHED!BA81=9,MATCHED!$J81,IF(MATCHED!BA81=10,MATCHED!$K81,IF(MATCHED!BA81=11,MATCHED!$L81,IF(MATCHED!BA81=12,MATCHED!$M81,IF(MATCHED!BA81=13,MATCHED!$N81,IF(MATCHED!BA81=14,MATCHED!$O81,"")))))))&amp;IF(MATCHED!BA81=15,MATCHED!$P81,IF(MATCHED!BA81=16,MATCHED!$Q81,IF(MATCHED!BA81=17,MATCHED!$R81,IF(MATCHED!BA81=18,MATCHED!$S81,IF(MATCHED!BA81=19,MATCHED!$T81,IF(MATCHED!BA81=20,MATCHED!$U81,IF(MATCHED!BA81=21,MATCHED!$V81,)))))))&amp;IF(MATCHED!BA81=22,MATCHED!$W81,IF(MATCHED!BA81=23,MATCHED!$X81,IF(MATCHED!BA81=24,MATCHED!$Y81,IF(MATCHED!BA81=25,MATCHED!$Z81,IF(MATCHED!BA81=26,MATCHED!$AA81,IF(MATCHED!BA81=27,MATCHED!$AB81,"."))))))</f>
        <v>#N/A</v>
      </c>
      <c r="Z81" s="423" t="e">
        <f>IF(MATCHED!BB81=1,MATCHED!$B81,IF(MATCHED!BB81=2,MATCHED!$C81,IF(MATCHED!BB81=3,MATCHED!$D81,IF(MATCHED!BB81=4,MATCHED!$E81,IF(MATCHED!BB81=3,MATCHED!$F81,IF(MATCHED!BB81=6,MATCHED!$G81,IF(MATCHED!BB81=7,MATCHED!$H81,"")))))))&amp;IF(MATCHED!BB81=8,MATCHED!$I81,IF(MATCHED!BB81=9,MATCHED!$J81,IF(MATCHED!BB81=10,MATCHED!$K81,IF(MATCHED!BB81=11,MATCHED!$L81,IF(MATCHED!BB81=12,MATCHED!$M81,IF(MATCHED!BB81=13,MATCHED!$N81,IF(MATCHED!BB81=14,MATCHED!$O81,"")))))))&amp;IF(MATCHED!BB81=15,MATCHED!$P81,IF(MATCHED!BB81=16,MATCHED!$Q81,IF(MATCHED!BB81=17,MATCHED!$R81,IF(MATCHED!BB81=18,MATCHED!$S81,IF(MATCHED!BB81=19,MATCHED!$T81,IF(MATCHED!BB81=20,MATCHED!$U81,IF(MATCHED!BB81=21,MATCHED!$V81,)))))))&amp;IF(MATCHED!BB81=22,MATCHED!$W81,IF(MATCHED!BB81=23,MATCHED!$X81,IF(MATCHED!BB81=24,MATCHED!$Y81,IF(MATCHED!BB81=25,MATCHED!$Z81,IF(MATCHED!BB81=26,MATCHED!$AA81,IF(MATCHED!BB81=27,MATCHED!$AB81,"."))))))</f>
        <v>#N/A</v>
      </c>
      <c r="AA81" s="423" t="e">
        <f>IF(MATCHED!BC81=1,MATCHED!$B81,IF(MATCHED!BC81=2,MATCHED!$C81,IF(MATCHED!BC81=3,MATCHED!$D81,IF(MATCHED!BC81=4,MATCHED!$E81,IF(MATCHED!BC81=3,MATCHED!$F81,IF(MATCHED!BC81=6,MATCHED!$G81,IF(MATCHED!BC81=7,MATCHED!$H81,"")))))))&amp;IF(MATCHED!BC81=8,MATCHED!$I81,IF(MATCHED!BC81=9,MATCHED!$J81,IF(MATCHED!BC81=10,MATCHED!$K81,IF(MATCHED!BC81=11,MATCHED!$L81,IF(MATCHED!BC81=12,MATCHED!$M81,IF(MATCHED!BC81=13,MATCHED!$N81,IF(MATCHED!BC81=14,MATCHED!$O81,"")))))))&amp;IF(MATCHED!BC81=15,MATCHED!$P81,IF(MATCHED!BC81=16,MATCHED!$Q81,IF(MATCHED!BC81=17,MATCHED!$R81,IF(MATCHED!BC81=18,MATCHED!$S81,IF(MATCHED!BC81=19,MATCHED!$T81,IF(MATCHED!BC81=20,MATCHED!$U81,IF(MATCHED!BC81=21,MATCHED!$V81,)))))))&amp;IF(MATCHED!BC81=22,MATCHED!$W81,IF(MATCHED!BC81=23,MATCHED!$X81,IF(MATCHED!BC81=24,MATCHED!$Y81,IF(MATCHED!BC81=25,MATCHED!$Z81,IF(MATCHED!BC81=26,MATCHED!$AA81,IF(MATCHED!BC81=27,MATCHED!$AB81,"."))))))</f>
        <v>#N/A</v>
      </c>
      <c r="AB81" s="423" t="e">
        <f>IF(MATCHED!BD81=1,MATCHED!$B81,IF(MATCHED!BD81=2,MATCHED!$C81,IF(MATCHED!BD81=3,MATCHED!$D81,IF(MATCHED!BD81=4,MATCHED!$E81,IF(MATCHED!BD81=3,MATCHED!$F81,IF(MATCHED!BD81=6,MATCHED!$G81,IF(MATCHED!BD81=7,MATCHED!$H81,"")))))))&amp;IF(MATCHED!BD81=8,MATCHED!$I81,IF(MATCHED!BD81=9,MATCHED!$J81,IF(MATCHED!BD81=10,MATCHED!$K81,IF(MATCHED!BD81=11,MATCHED!$L81,IF(MATCHED!BD81=12,MATCHED!$M81,IF(MATCHED!BD81=13,MATCHED!$N81,IF(MATCHED!BD81=14,MATCHED!$O81,"")))))))&amp;IF(MATCHED!BD81=15,MATCHED!$P81,IF(MATCHED!BD81=16,MATCHED!$Q81,IF(MATCHED!BD81=17,MATCHED!$R81,IF(MATCHED!BD81=18,MATCHED!$S81,IF(MATCHED!BD81=19,MATCHED!$T81,IF(MATCHED!BD81=20,MATCHED!$U81,IF(MATCHED!BD81=21,MATCHED!$V81,)))))))&amp;IF(MATCHED!BD81=22,MATCHED!$W81,IF(MATCHED!BD81=23,MATCHED!$X81,IF(MATCHED!BD81=24,MATCHED!$Y81,IF(MATCHED!BD81=25,MATCHED!$Z81,IF(MATCHED!BD81=26,MATCHED!$AA81,IF(MATCHED!BD81=27,MATCHED!$AB81,"."))))))</f>
        <v>#N/A</v>
      </c>
      <c r="AC81" s="423" t="e">
        <f>IF(MATCHED!BE81=1,MATCHED!$B81,IF(MATCHED!BE81=2,MATCHED!$C81,IF(MATCHED!BE81=3,MATCHED!$D81,IF(MATCHED!BE81=4,MATCHED!$E81,IF(MATCHED!BE81=3,MATCHED!$F81,IF(MATCHED!BE81=6,MATCHED!$G81,IF(MATCHED!BE81=7,MATCHED!$H81,"")))))))&amp;IF(MATCHED!BE81=8,MATCHED!$I81,IF(MATCHED!BE81=9,MATCHED!$J81,IF(MATCHED!BE81=10,MATCHED!$K81,IF(MATCHED!BE81=11,MATCHED!$L81,IF(MATCHED!BE81=12,MATCHED!$M81,IF(MATCHED!BE81=13,MATCHED!$N81,IF(MATCHED!BE81=14,MATCHED!$O81,"")))))))&amp;IF(MATCHED!BE81=15,MATCHED!$P81,IF(MATCHED!BE81=16,MATCHED!$Q81,IF(MATCHED!BE81=17,MATCHED!$R81,IF(MATCHED!BE81=18,MATCHED!$S81,IF(MATCHED!BE81=19,MATCHED!$T81,IF(MATCHED!BE81=20,MATCHED!$U81,IF(MATCHED!BE81=21,MATCHED!$V81,)))))))&amp;IF(MATCHED!BE81=22,MATCHED!$W81,IF(MATCHED!BE81=23,MATCHED!$X81,IF(MATCHED!BE81=24,MATCHED!$Y81,IF(MATCHED!BE81=25,MATCHED!$Z81,IF(MATCHED!BE81=26,MATCHED!$AA81,IF(MATCHED!BE81=27,MATCHED!$AB81,"."))))))</f>
        <v>#N/A</v>
      </c>
      <c r="AD81" s="423" t="e">
        <f>IF(MATCHED!BF81=1,MATCHED!$B81,IF(MATCHED!BF81=2,MATCHED!$C81,IF(MATCHED!BF81=3,MATCHED!$D81,IF(MATCHED!BF81=4,MATCHED!$E81,IF(MATCHED!BF81=3,MATCHED!$F81,IF(MATCHED!BF81=6,MATCHED!$G81,IF(MATCHED!BF81=7,MATCHED!$H81,"")))))))&amp;IF(MATCHED!BF81=8,MATCHED!$I81,IF(MATCHED!BF81=9,MATCHED!$J81,IF(MATCHED!BF81=10,MATCHED!$K81,IF(MATCHED!BF81=11,MATCHED!$L81,IF(MATCHED!BF81=12,MATCHED!$M81,IF(MATCHED!BF81=13,MATCHED!$N81,IF(MATCHED!BF81=14,MATCHED!$O81,"")))))))&amp;IF(MATCHED!BF81=15,MATCHED!$P81,IF(MATCHED!BF81=16,MATCHED!$Q81,IF(MATCHED!BF81=17,MATCHED!$R81,IF(MATCHED!BF81=18,MATCHED!$S81,IF(MATCHED!BF81=19,MATCHED!$T81,IF(MATCHED!BF81=20,MATCHED!$U81,IF(MATCHED!BF81=21,MATCHED!$V81,)))))))&amp;IF(MATCHED!BF81=22,MATCHED!$W81,IF(MATCHED!BF81=23,MATCHED!$X81,IF(MATCHED!BF81=24,MATCHED!$Y81,IF(MATCHED!BF81=25,MATCHED!$Z81,IF(MATCHED!BF81=26,MATCHED!$AA81,IF(MATCHED!BF81=27,MATCHED!$AB81,"."))))))</f>
        <v>#N/A</v>
      </c>
      <c r="AE81" s="423" t="e">
        <f>IF(MATCHED!BG81=1,MATCHED!$B81,IF(MATCHED!BG81=2,MATCHED!$C81,IF(MATCHED!BG81=3,MATCHED!$D81,IF(MATCHED!BG81=4,MATCHED!$E81,IF(MATCHED!BG81=3,MATCHED!$F81,IF(MATCHED!BG81=6,MATCHED!$G81,IF(MATCHED!BG81=7,MATCHED!$H81,"")))))))&amp;IF(MATCHED!BG81=8,MATCHED!$I81,IF(MATCHED!BG81=9,MATCHED!$J81,IF(MATCHED!BG81=10,MATCHED!$K81,IF(MATCHED!BG81=11,MATCHED!$L81,IF(MATCHED!BG81=12,MATCHED!$M81,IF(MATCHED!BG81=13,MATCHED!$N81,IF(MATCHED!BG81=14,MATCHED!$O81,"")))))))&amp;IF(MATCHED!BG81=15,MATCHED!$P81,IF(MATCHED!BG81=16,MATCHED!$Q81,IF(MATCHED!BG81=17,MATCHED!$R81,IF(MATCHED!BG81=18,MATCHED!$S81,IF(MATCHED!BG81=19,MATCHED!$T81,IF(MATCHED!BG81=20,MATCHED!$U81,IF(MATCHED!BG81=21,MATCHED!$V81,)))))))&amp;IF(MATCHED!BG81=22,MATCHED!$W81,IF(MATCHED!BG81=23,MATCHED!$X81,IF(MATCHED!BG81=24,MATCHED!$Y81,IF(MATCHED!BG81=25,MATCHED!$Z81,IF(MATCHED!BG81=26,MATCHED!$AA81,IF(MATCHED!BG81=27,MATCHED!$AB81,"."))))))</f>
        <v>#N/A</v>
      </c>
      <c r="AF81" s="423" t="e">
        <f>IF(MATCHED!BH81=1,MATCHED!$B81,IF(MATCHED!BH81=2,MATCHED!$C81,IF(MATCHED!BH81=3,MATCHED!$D81,IF(MATCHED!BH81=4,MATCHED!$E81,IF(MATCHED!BH81=3,MATCHED!$F81,IF(MATCHED!BH81=6,MATCHED!$G81,IF(MATCHED!BH81=7,MATCHED!$H81,"")))))))&amp;IF(MATCHED!BH81=8,MATCHED!$I81,IF(MATCHED!BH81=9,MATCHED!$J81,IF(MATCHED!BH81=10,MATCHED!$K81,IF(MATCHED!BH81=11,MATCHED!$L81,IF(MATCHED!BH81=12,MATCHED!$M81,IF(MATCHED!BH81=13,MATCHED!$N81,IF(MATCHED!BH81=14,MATCHED!$O81,"")))))))&amp;IF(MATCHED!BH81=15,MATCHED!$P81,IF(MATCHED!BH81=16,MATCHED!$Q81,IF(MATCHED!BH81=17,MATCHED!$R81,IF(MATCHED!BH81=18,MATCHED!$S81,IF(MATCHED!BH81=19,MATCHED!$T81,IF(MATCHED!BH81=20,MATCHED!$U81,IF(MATCHED!BH81=21,MATCHED!$V81,)))))))&amp;IF(MATCHED!BH81=22,MATCHED!$W81,IF(MATCHED!BH81=23,MATCHED!$X81,IF(MATCHED!BH81=24,MATCHED!$Y81,IF(MATCHED!BH81=25,MATCHED!$Z81,IF(MATCHED!BH81=26,MATCHED!$AA81,IF(MATCHED!BH81=27,MATCHED!$AB81,"."))))))</f>
        <v>#N/A</v>
      </c>
      <c r="AG81" s="423" t="e">
        <f>IF(MATCHED!BI81=1,MATCHED!$B81,IF(MATCHED!BI81=2,MATCHED!$C81,IF(MATCHED!BI81=3,MATCHED!$D81,IF(MATCHED!BI81=4,MATCHED!$E81,IF(MATCHED!BI81=3,MATCHED!$F81,IF(MATCHED!BI81=6,MATCHED!$G81,IF(MATCHED!BI81=7,MATCHED!$H81,"")))))))&amp;IF(MATCHED!BI81=8,MATCHED!$I81,IF(MATCHED!BI81=9,MATCHED!$J81,IF(MATCHED!BI81=10,MATCHED!$K81,IF(MATCHED!BI81=11,MATCHED!$L81,IF(MATCHED!BI81=12,MATCHED!$M81,IF(MATCHED!BI81=13,MATCHED!$N81,IF(MATCHED!BI81=14,MATCHED!$O81,"")))))))&amp;IF(MATCHED!BI81=15,MATCHED!$P81,IF(MATCHED!BI81=16,MATCHED!$Q81,IF(MATCHED!BI81=17,MATCHED!$R81,IF(MATCHED!BI81=18,MATCHED!$S81,IF(MATCHED!BI81=19,MATCHED!$T81,IF(MATCHED!BI81=20,MATCHED!$U81,IF(MATCHED!BI81=21,MATCHED!$V81,)))))))&amp;IF(MATCHED!BI81=22,MATCHED!$W81,IF(MATCHED!BI81=23,MATCHED!$X81,IF(MATCHED!BI81=24,MATCHED!$Y81,IF(MATCHED!BI81=25,MATCHED!$Z81,IF(MATCHED!BI81=26,MATCHED!$AA81,IF(MATCHED!BI81=27,MATCHED!$AB81,"."))))))</f>
        <v>#N/A</v>
      </c>
      <c r="AH81" s="423" t="e">
        <f>IF(MATCHED!BJ81=1,MATCHED!$B81,IF(MATCHED!BJ81=2,MATCHED!$C81,IF(MATCHED!BJ81=3,MATCHED!$D81,IF(MATCHED!BJ81=4,MATCHED!$E81,IF(MATCHED!BJ81=3,MATCHED!$F81,IF(MATCHED!BJ81=6,MATCHED!$G81,IF(MATCHED!BJ81=7,MATCHED!$H81,"")))))))&amp;IF(MATCHED!BJ81=8,MATCHED!$I81,IF(MATCHED!BJ81=9,MATCHED!$J81,IF(MATCHED!BJ81=10,MATCHED!$K81,IF(MATCHED!BJ81=11,MATCHED!$L81,IF(MATCHED!BJ81=12,MATCHED!$M81,IF(MATCHED!BJ81=13,MATCHED!$N81,IF(MATCHED!BJ81=14,MATCHED!$O81,"")))))))&amp;IF(MATCHED!BJ81=15,MATCHED!$P81,IF(MATCHED!BJ81=16,MATCHED!$Q81,IF(MATCHED!BJ81=17,MATCHED!$R81,IF(MATCHED!BJ81=18,MATCHED!$S81,IF(MATCHED!BJ81=19,MATCHED!$T81,IF(MATCHED!BJ81=20,MATCHED!$U81,IF(MATCHED!BJ81=21,MATCHED!$V81,)))))))&amp;IF(MATCHED!BJ81=22,MATCHED!$W81,IF(MATCHED!BJ81=23,MATCHED!$X81,IF(MATCHED!BJ81=24,MATCHED!$Y81,IF(MATCHED!BJ81=25,MATCHED!$Z81,IF(MATCHED!BJ81=26,MATCHED!$AA81,IF(MATCHED!BJ81=27,MATCHED!$AB81,"."))))))</f>
        <v>#N/A</v>
      </c>
      <c r="AI81" s="423" t="e">
        <f>IF(MATCHED!BK81=1,MATCHED!$B81,IF(MATCHED!BK81=2,MATCHED!$C81,IF(MATCHED!BK81=3,MATCHED!$D81,IF(MATCHED!BK81=4,MATCHED!$E81,IF(MATCHED!BK81=3,MATCHED!$F81,IF(MATCHED!BK81=6,MATCHED!$G81,IF(MATCHED!BK81=7,MATCHED!$H81,"")))))))&amp;IF(MATCHED!BK81=8,MATCHED!$I81,IF(MATCHED!BK81=9,MATCHED!$J81,IF(MATCHED!BK81=10,MATCHED!$K81,IF(MATCHED!BK81=11,MATCHED!$L81,IF(MATCHED!BK81=12,MATCHED!$M81,IF(MATCHED!BK81=13,MATCHED!$N81,IF(MATCHED!BK81=14,MATCHED!$O81,"")))))))&amp;IF(MATCHED!BK81=15,MATCHED!$P81,IF(MATCHED!BK81=16,MATCHED!$Q81,IF(MATCHED!BK81=17,MATCHED!$R81,IF(MATCHED!BK81=18,MATCHED!$S81,IF(MATCHED!BK81=19,MATCHED!$T81,IF(MATCHED!BK81=20,MATCHED!$U81,IF(MATCHED!BK81=21,MATCHED!$V81,)))))))&amp;IF(MATCHED!BK81=22,MATCHED!$W81,IF(MATCHED!BK81=23,MATCHED!$X81,IF(MATCHED!BK81=24,MATCHED!$Y81,IF(MATCHED!BK81=25,MATCHED!$Z81,IF(MATCHED!BK81=26,MATCHED!$AA81,IF(MATCHED!BK81=27,MATCHED!$AB81,"."))))))</f>
        <v>#N/A</v>
      </c>
      <c r="AJ81" s="542"/>
    </row>
    <row r="82" spans="1:36" s="338" customFormat="1" x14ac:dyDescent="0.25">
      <c r="A82" s="542"/>
      <c r="B82" s="423" t="e">
        <f>IF(MATCHED!AD82=1,MATCHED!$B82,IF(MATCHED!AD82=2,MATCHED!$C82,IF(MATCHED!AD82=3,MATCHED!$D82,IF(MATCHED!AD82=4,MATCHED!$E82,IF(MATCHED!AD82=3,MATCHED!$F82,IF(MATCHED!AD82=6,MATCHED!$G82,IF(MATCHED!AD82=7,MATCHED!$H82,"")))))))&amp;IF(MATCHED!AD82=8,MATCHED!$I82,IF(MATCHED!AD82=9,MATCHED!$J82,IF(MATCHED!AD82=10,MATCHED!$K82,IF(MATCHED!AD82=11,MATCHED!$L82,IF(MATCHED!AD82=12,MATCHED!$M82,IF(MATCHED!AD82=13,MATCHED!$N82,IF(MATCHED!AD82=14,MATCHED!$O82,"")))))))&amp;IF(MATCHED!AD82=15,MATCHED!$P82,IF(MATCHED!AD82=16,MATCHED!$Q82,IF(MATCHED!AD82=17,MATCHED!$R82,IF(MATCHED!AD82=18,MATCHED!$S82,IF(MATCHED!AD82=19,MATCHED!$T82,IF(MATCHED!AD82=20,MATCHED!$U82,IF(MATCHED!AD82=21,MATCHED!$V82,)))))))&amp;IF(MATCHED!AD82=22,MATCHED!$W82,IF(MATCHED!AD82=23,MATCHED!$X82,IF(MATCHED!AD82=24,MATCHED!$Y82,IF(MATCHED!AD82=25,MATCHED!$Z82,IF(MATCHED!AD82=26,MATCHED!$AA82,IF(MATCHED!AD82=27,MATCHED!$AB82,"."))))))</f>
        <v>#N/A</v>
      </c>
      <c r="C82" s="423" t="e">
        <f>IF(MATCHED!AE82=1,MATCHED!$B82,IF(MATCHED!AE82=2,MATCHED!$C82,IF(MATCHED!AE82=3,MATCHED!$D82,IF(MATCHED!AE82=4,MATCHED!$E82,IF(MATCHED!AE82=3,MATCHED!$F82,IF(MATCHED!AE82=6,MATCHED!$G82,IF(MATCHED!AE82=7,MATCHED!$H82,"")))))))&amp;IF(MATCHED!AE82=8,MATCHED!$I82,IF(MATCHED!AE82=9,MATCHED!$J82,IF(MATCHED!AE82=10,MATCHED!$K82,IF(MATCHED!AE82=11,MATCHED!$L82,IF(MATCHED!AE82=12,MATCHED!$M82,IF(MATCHED!AE82=13,MATCHED!$N82,IF(MATCHED!AE82=14,MATCHED!$O82,"")))))))&amp;IF(MATCHED!AE82=15,MATCHED!$P82,IF(MATCHED!AE82=16,MATCHED!$Q82,IF(MATCHED!AE82=17,MATCHED!$R82,IF(MATCHED!AE82=18,MATCHED!$S82,IF(MATCHED!AE82=19,MATCHED!$T82,IF(MATCHED!AE82=20,MATCHED!$U82,IF(MATCHED!AE82=21,MATCHED!$V82,)))))))&amp;IF(MATCHED!AE82=22,MATCHED!$W82,IF(MATCHED!AE82=23,MATCHED!$X82,IF(MATCHED!AE82=24,MATCHED!$Y82,IF(MATCHED!AE82=25,MATCHED!$Z82,IF(MATCHED!AE82=26,MATCHED!$AA82,IF(MATCHED!AE82=27,MATCHED!$AB82,"."))))))</f>
        <v>#N/A</v>
      </c>
      <c r="D82" s="423" t="e">
        <f>IF(MATCHED!AF82=1,MATCHED!$B82,IF(MATCHED!AF82=2,MATCHED!$C82,IF(MATCHED!AF82=3,MATCHED!$D82,IF(MATCHED!AF82=4,MATCHED!$E82,IF(MATCHED!AF82=3,MATCHED!$F82,IF(MATCHED!AF82=6,MATCHED!$G82,IF(MATCHED!AF82=7,MATCHED!$H82,"")))))))&amp;IF(MATCHED!AF82=8,MATCHED!$I82,IF(MATCHED!AF82=9,MATCHED!$J82,IF(MATCHED!AF82=10,MATCHED!$K82,IF(MATCHED!AF82=11,MATCHED!$L82,IF(MATCHED!AF82=12,MATCHED!$M82,IF(MATCHED!AF82=13,MATCHED!$N82,IF(MATCHED!AF82=14,MATCHED!$O82,"")))))))&amp;IF(MATCHED!AF82=15,MATCHED!$P82,IF(MATCHED!AF82=16,MATCHED!$Q82,IF(MATCHED!AF82=17,MATCHED!$R82,IF(MATCHED!AF82=18,MATCHED!$S82,IF(MATCHED!AF82=19,MATCHED!$T82,IF(MATCHED!AF82=20,MATCHED!$U82,IF(MATCHED!AF82=21,MATCHED!$V82,)))))))&amp;IF(MATCHED!AF82=22,MATCHED!$W82,IF(MATCHED!AF82=23,MATCHED!$X82,IF(MATCHED!AF82=24,MATCHED!$Y82,IF(MATCHED!AF82=25,MATCHED!$Z82,IF(MATCHED!AF82=26,MATCHED!$AA82,IF(MATCHED!AF82=27,MATCHED!$AB82,"."))))))</f>
        <v>#N/A</v>
      </c>
      <c r="E82" s="423" t="e">
        <f>IF(MATCHED!AG82=1,MATCHED!$B82,IF(MATCHED!AG82=2,MATCHED!$C82,IF(MATCHED!AG82=3,MATCHED!$D82,IF(MATCHED!AG82=4,MATCHED!$E82,IF(MATCHED!AG82=3,MATCHED!$F82,IF(MATCHED!AG82=6,MATCHED!$G82,IF(MATCHED!AG82=7,MATCHED!$H82,"")))))))&amp;IF(MATCHED!AG82=8,MATCHED!$I82,IF(MATCHED!AG82=9,MATCHED!$J82,IF(MATCHED!AG82=10,MATCHED!$K82,IF(MATCHED!AG82=11,MATCHED!$L82,IF(MATCHED!AG82=12,MATCHED!$M82,IF(MATCHED!AG82=13,MATCHED!$N82,IF(MATCHED!AG82=14,MATCHED!$O82,"")))))))&amp;IF(MATCHED!AG82=15,MATCHED!$P82,IF(MATCHED!AG82=16,MATCHED!$Q82,IF(MATCHED!AG82=17,MATCHED!$R82,IF(MATCHED!AG82=18,MATCHED!$S82,IF(MATCHED!AG82=19,MATCHED!$T82,IF(MATCHED!AG82=20,MATCHED!$U82,IF(MATCHED!AG82=21,MATCHED!$V82,)))))))&amp;IF(MATCHED!AG82=22,MATCHED!$W82,IF(MATCHED!AG82=23,MATCHED!$X82,IF(MATCHED!AG82=24,MATCHED!$Y82,IF(MATCHED!AG82=25,MATCHED!$Z82,IF(MATCHED!AG82=26,MATCHED!$AA82,IF(MATCHED!AG82=27,MATCHED!$AB82,"."))))))</f>
        <v>#N/A</v>
      </c>
      <c r="F82" s="423" t="e">
        <f>IF(MATCHED!AH82=1,MATCHED!$B82,IF(MATCHED!AH82=2,MATCHED!$C82,IF(MATCHED!AH82=3,MATCHED!$D82,IF(MATCHED!AH82=4,MATCHED!$E82,IF(MATCHED!AH82=3,MATCHED!$F82,IF(MATCHED!AH82=6,MATCHED!$G82,IF(MATCHED!AH82=7,MATCHED!$H82,"")))))))&amp;IF(MATCHED!AH82=8,MATCHED!$I82,IF(MATCHED!AH82=9,MATCHED!$J82,IF(MATCHED!AH82=10,MATCHED!$K82,IF(MATCHED!AH82=11,MATCHED!$L82,IF(MATCHED!AH82=12,MATCHED!$M82,IF(MATCHED!AH82=13,MATCHED!$N82,IF(MATCHED!AH82=14,MATCHED!$O82,"")))))))&amp;IF(MATCHED!AH82=15,MATCHED!$P82,IF(MATCHED!AH82=16,MATCHED!$Q82,IF(MATCHED!AH82=17,MATCHED!$R82,IF(MATCHED!AH82=18,MATCHED!$S82,IF(MATCHED!AH82=19,MATCHED!$T82,IF(MATCHED!AH82=20,MATCHED!$U82,IF(MATCHED!AH82=21,MATCHED!$V82,)))))))&amp;IF(MATCHED!AH82=22,MATCHED!$W82,IF(MATCHED!AH82=23,MATCHED!$X82,IF(MATCHED!AH82=24,MATCHED!$Y82,IF(MATCHED!AH82=25,MATCHED!$Z82,IF(MATCHED!AH82=26,MATCHED!$AA82,IF(MATCHED!AH82=27,MATCHED!$AB82,"."))))))</f>
        <v>#N/A</v>
      </c>
      <c r="G82" s="423" t="e">
        <f>IF(MATCHED!AI82=1,MATCHED!$B82,IF(MATCHED!AI82=2,MATCHED!$C82,IF(MATCHED!AI82=3,MATCHED!$D82,IF(MATCHED!AI82=4,MATCHED!$E82,IF(MATCHED!AI82=3,MATCHED!$F82,IF(MATCHED!AI82=6,MATCHED!$G82,IF(MATCHED!AI82=7,MATCHED!$H82,"")))))))&amp;IF(MATCHED!AI82=8,MATCHED!$I82,IF(MATCHED!AI82=9,MATCHED!$J82,IF(MATCHED!AI82=10,MATCHED!$K82,IF(MATCHED!AI82=11,MATCHED!$L82,IF(MATCHED!AI82=12,MATCHED!$M82,IF(MATCHED!AI82=13,MATCHED!$N82,IF(MATCHED!AI82=14,MATCHED!$O82,"")))))))&amp;IF(MATCHED!AI82=15,MATCHED!$P82,IF(MATCHED!AI82=16,MATCHED!$Q82,IF(MATCHED!AI82=17,MATCHED!$R82,IF(MATCHED!AI82=18,MATCHED!$S82,IF(MATCHED!AI82=19,MATCHED!$T82,IF(MATCHED!AI82=20,MATCHED!$U82,IF(MATCHED!AI82=21,MATCHED!$V82,)))))))&amp;IF(MATCHED!AI82=22,MATCHED!$W82,IF(MATCHED!AI82=23,MATCHED!$X82,IF(MATCHED!AI82=24,MATCHED!$Y82,IF(MATCHED!AI82=25,MATCHED!$Z82,IF(MATCHED!AI82=26,MATCHED!$AA82,IF(MATCHED!AI82=27,MATCHED!$AB82,"."))))))</f>
        <v>#N/A</v>
      </c>
      <c r="H82" s="423" t="e">
        <f>IF(MATCHED!AJ82=1,MATCHED!$B82,IF(MATCHED!AJ82=2,MATCHED!$C82,IF(MATCHED!AJ82=3,MATCHED!$D82,IF(MATCHED!AJ82=4,MATCHED!$E82,IF(MATCHED!AJ82=3,MATCHED!$F82,IF(MATCHED!AJ82=6,MATCHED!$G82,IF(MATCHED!AJ82=7,MATCHED!$H82,"")))))))&amp;IF(MATCHED!AJ82=8,MATCHED!$I82,IF(MATCHED!AJ82=9,MATCHED!$J82,IF(MATCHED!AJ82=10,MATCHED!$K82,IF(MATCHED!AJ82=11,MATCHED!$L82,IF(MATCHED!AJ82=12,MATCHED!$M82,IF(MATCHED!AJ82=13,MATCHED!$N82,IF(MATCHED!AJ82=14,MATCHED!$O82,"")))))))&amp;IF(MATCHED!AJ82=15,MATCHED!$P82,IF(MATCHED!AJ82=16,MATCHED!$Q82,IF(MATCHED!AJ82=17,MATCHED!$R82,IF(MATCHED!AJ82=18,MATCHED!$S82,IF(MATCHED!AJ82=19,MATCHED!$T82,IF(MATCHED!AJ82=20,MATCHED!$U82,IF(MATCHED!AJ82=21,MATCHED!$V82,)))))))&amp;IF(MATCHED!AJ82=22,MATCHED!$W82,IF(MATCHED!AJ82=23,MATCHED!$X82,IF(MATCHED!AJ82=24,MATCHED!$Y82,IF(MATCHED!AJ82=25,MATCHED!$Z82,IF(MATCHED!AJ82=26,MATCHED!$AA82,IF(MATCHED!AJ82=27,MATCHED!$AB82,"."))))))</f>
        <v>#N/A</v>
      </c>
      <c r="I82" s="423" t="e">
        <f>IF(MATCHED!AK82=1,MATCHED!$B82,IF(MATCHED!AK82=2,MATCHED!$C82,IF(MATCHED!AK82=3,MATCHED!$D82,IF(MATCHED!AK82=4,MATCHED!$E82,IF(MATCHED!AK82=3,MATCHED!$F82,IF(MATCHED!AK82=6,MATCHED!$G82,IF(MATCHED!AK82=7,MATCHED!$H82,"")))))))&amp;IF(MATCHED!AK82=8,MATCHED!$I82,IF(MATCHED!AK82=9,MATCHED!$J82,IF(MATCHED!AK82=10,MATCHED!$K82,IF(MATCHED!AK82=11,MATCHED!$L82,IF(MATCHED!AK82=12,MATCHED!$M82,IF(MATCHED!AK82=13,MATCHED!$N82,IF(MATCHED!AK82=14,MATCHED!$O82,"")))))))&amp;IF(MATCHED!AK82=15,MATCHED!$P82,IF(MATCHED!AK82=16,MATCHED!$Q82,IF(MATCHED!AK82=17,MATCHED!$R82,IF(MATCHED!AK82=18,MATCHED!$S82,IF(MATCHED!AK82=19,MATCHED!$T82,IF(MATCHED!AK82=20,MATCHED!$U82,IF(MATCHED!AK82=21,MATCHED!$V82,)))))))&amp;IF(MATCHED!AK82=22,MATCHED!$W82,IF(MATCHED!AK82=23,MATCHED!$X82,IF(MATCHED!AK82=24,MATCHED!$Y82,IF(MATCHED!AK82=25,MATCHED!$Z82,IF(MATCHED!AK82=26,MATCHED!$AA82,IF(MATCHED!AK82=27,MATCHED!$AB82,"."))))))</f>
        <v>#N/A</v>
      </c>
      <c r="J82" s="423" t="e">
        <f>IF(MATCHED!AL82=1,MATCHED!$B82,IF(MATCHED!AL82=2,MATCHED!$C82,IF(MATCHED!AL82=3,MATCHED!$D82,IF(MATCHED!AL82=4,MATCHED!$E82,IF(MATCHED!AL82=3,MATCHED!$F82,IF(MATCHED!AL82=6,MATCHED!$G82,IF(MATCHED!AL82=7,MATCHED!$H82,"")))))))&amp;IF(MATCHED!AL82=8,MATCHED!$I82,IF(MATCHED!AL82=9,MATCHED!$J82,IF(MATCHED!AL82=10,MATCHED!$K82,IF(MATCHED!AL82=11,MATCHED!$L82,IF(MATCHED!AL82=12,MATCHED!$M82,IF(MATCHED!AL82=13,MATCHED!$N82,IF(MATCHED!AL82=14,MATCHED!$O82,"")))))))&amp;IF(MATCHED!AL82=15,MATCHED!$P82,IF(MATCHED!AL82=16,MATCHED!$Q82,IF(MATCHED!AL82=17,MATCHED!$R82,IF(MATCHED!AL82=18,MATCHED!$S82,IF(MATCHED!AL82=19,MATCHED!$T82,IF(MATCHED!AL82=20,MATCHED!$U82,IF(MATCHED!AL82=21,MATCHED!$V82,)))))))&amp;IF(MATCHED!AL82=22,MATCHED!$W82,IF(MATCHED!AL82=23,MATCHED!$X82,IF(MATCHED!AL82=24,MATCHED!$Y82,IF(MATCHED!AL82=25,MATCHED!$Z82,IF(MATCHED!AL82=26,MATCHED!$AA82,IF(MATCHED!AL82=27,MATCHED!$AB82,"."))))))</f>
        <v>#N/A</v>
      </c>
      <c r="K82" s="423" t="e">
        <f>IF(MATCHED!AM82=1,MATCHED!$B82,IF(MATCHED!AM82=2,MATCHED!$C82,IF(MATCHED!AM82=3,MATCHED!$D82,IF(MATCHED!AM82=4,MATCHED!$E82,IF(MATCHED!AM82=3,MATCHED!$F82,IF(MATCHED!AM82=6,MATCHED!$G82,IF(MATCHED!AM82=7,MATCHED!$H82,"")))))))&amp;IF(MATCHED!AM82=8,MATCHED!$I82,IF(MATCHED!AM82=9,MATCHED!$J82,IF(MATCHED!AM82=10,MATCHED!$K82,IF(MATCHED!AM82=11,MATCHED!$L82,IF(MATCHED!AM82=12,MATCHED!$M82,IF(MATCHED!AM82=13,MATCHED!$N82,IF(MATCHED!AM82=14,MATCHED!$O82,"")))))))&amp;IF(MATCHED!AM82=15,MATCHED!$P82,IF(MATCHED!AM82=16,MATCHED!$Q82,IF(MATCHED!AM82=17,MATCHED!$R82,IF(MATCHED!AM82=18,MATCHED!$S82,IF(MATCHED!AM82=19,MATCHED!$T82,IF(MATCHED!AM82=20,MATCHED!$U82,IF(MATCHED!AM82=21,MATCHED!$V82,)))))))&amp;IF(MATCHED!AM82=22,MATCHED!$W82,IF(MATCHED!AM82=23,MATCHED!$X82,IF(MATCHED!AM82=24,MATCHED!$Y82,IF(MATCHED!AM82=25,MATCHED!$Z82,IF(MATCHED!AM82=26,MATCHED!$AA82,IF(MATCHED!AM82=27,MATCHED!$AB82,"."))))))</f>
        <v>#N/A</v>
      </c>
      <c r="L82" s="423" t="e">
        <f>IF(MATCHED!AN82=1,MATCHED!$B82,IF(MATCHED!AN82=2,MATCHED!$C82,IF(MATCHED!AN82=3,MATCHED!$D82,IF(MATCHED!AN82=4,MATCHED!$E82,IF(MATCHED!AN82=3,MATCHED!$F82,IF(MATCHED!AN82=6,MATCHED!$G82,IF(MATCHED!AN82=7,MATCHED!$H82,"")))))))&amp;IF(MATCHED!AN82=8,MATCHED!$I82,IF(MATCHED!AN82=9,MATCHED!$J82,IF(MATCHED!AN82=10,MATCHED!$K82,IF(MATCHED!AN82=11,MATCHED!$L82,IF(MATCHED!AN82=12,MATCHED!$M82,IF(MATCHED!AN82=13,MATCHED!$N82,IF(MATCHED!AN82=14,MATCHED!$O82,"")))))))&amp;IF(MATCHED!AN82=15,MATCHED!$P82,IF(MATCHED!AN82=16,MATCHED!$Q82,IF(MATCHED!AN82=17,MATCHED!$R82,IF(MATCHED!AN82=18,MATCHED!$S82,IF(MATCHED!AN82=19,MATCHED!$T82,IF(MATCHED!AN82=20,MATCHED!$U82,IF(MATCHED!AN82=21,MATCHED!$V82,)))))))&amp;IF(MATCHED!AN82=22,MATCHED!$W82,IF(MATCHED!AN82=23,MATCHED!$X82,IF(MATCHED!AN82=24,MATCHED!$Y82,IF(MATCHED!AN82=25,MATCHED!$Z82,IF(MATCHED!AN82=26,MATCHED!$AA82,IF(MATCHED!AN82=27,MATCHED!$AB82,"."))))))</f>
        <v>#N/A</v>
      </c>
      <c r="M82" s="423" t="e">
        <f>IF(MATCHED!AO82=1,MATCHED!$B82,IF(MATCHED!AO82=2,MATCHED!$C82,IF(MATCHED!AO82=3,MATCHED!$D82,IF(MATCHED!AO82=4,MATCHED!$E82,IF(MATCHED!AO82=3,MATCHED!$F82,IF(MATCHED!AO82=6,MATCHED!$G82,IF(MATCHED!AO82=7,MATCHED!$H82,"")))))))&amp;IF(MATCHED!AO82=8,MATCHED!$I82,IF(MATCHED!AO82=9,MATCHED!$J82,IF(MATCHED!AO82=10,MATCHED!$K82,IF(MATCHED!AO82=11,MATCHED!$L82,IF(MATCHED!AO82=12,MATCHED!$M82,IF(MATCHED!AO82=13,MATCHED!$N82,IF(MATCHED!AO82=14,MATCHED!$O82,"")))))))&amp;IF(MATCHED!AO82=15,MATCHED!$P82,IF(MATCHED!AO82=16,MATCHED!$Q82,IF(MATCHED!AO82=17,MATCHED!$R82,IF(MATCHED!AO82=18,MATCHED!$S82,IF(MATCHED!AO82=19,MATCHED!$T82,IF(MATCHED!AO82=20,MATCHED!$U82,IF(MATCHED!AO82=21,MATCHED!$V82,)))))))&amp;IF(MATCHED!AO82=22,MATCHED!$W82,IF(MATCHED!AO82=23,MATCHED!$X82,IF(MATCHED!AO82=24,MATCHED!$Y82,IF(MATCHED!AO82=25,MATCHED!$Z82,IF(MATCHED!AO82=26,MATCHED!$AA82,IF(MATCHED!AO82=27,MATCHED!$AB82,"."))))))</f>
        <v>#N/A</v>
      </c>
      <c r="N82" s="423" t="e">
        <f>IF(MATCHED!AP82=1,MATCHED!$B82,IF(MATCHED!AP82=2,MATCHED!$C82,IF(MATCHED!AP82=3,MATCHED!$D82,IF(MATCHED!AP82=4,MATCHED!$E82,IF(MATCHED!AP82=3,MATCHED!$F82,IF(MATCHED!AP82=6,MATCHED!$G82,IF(MATCHED!AP82=7,MATCHED!$H82,"")))))))&amp;IF(MATCHED!AP82=8,MATCHED!$I82,IF(MATCHED!AP82=9,MATCHED!$J82,IF(MATCHED!AP82=10,MATCHED!$K82,IF(MATCHED!AP82=11,MATCHED!$L82,IF(MATCHED!AP82=12,MATCHED!$M82,IF(MATCHED!AP82=13,MATCHED!$N82,IF(MATCHED!AP82=14,MATCHED!$O82,"")))))))&amp;IF(MATCHED!AP82=15,MATCHED!$P82,IF(MATCHED!AP82=16,MATCHED!$Q82,IF(MATCHED!AP82=17,MATCHED!$R82,IF(MATCHED!AP82=18,MATCHED!$S82,IF(MATCHED!AP82=19,MATCHED!$T82,IF(MATCHED!AP82=20,MATCHED!$U82,IF(MATCHED!AP82=21,MATCHED!$V82,)))))))&amp;IF(MATCHED!AP82=22,MATCHED!$W82,IF(MATCHED!AP82=23,MATCHED!$X82,IF(MATCHED!AP82=24,MATCHED!$Y82,IF(MATCHED!AP82=25,MATCHED!$Z82,IF(MATCHED!AP82=26,MATCHED!$AA82,IF(MATCHED!AP82=27,MATCHED!$AB82,"."))))))</f>
        <v>#N/A</v>
      </c>
      <c r="O82" s="423" t="e">
        <f>IF(MATCHED!AQ82=1,MATCHED!$B82,IF(MATCHED!AQ82=2,MATCHED!$C82,IF(MATCHED!AQ82=3,MATCHED!$D82,IF(MATCHED!AQ82=4,MATCHED!$E82,IF(MATCHED!AQ82=3,MATCHED!$F82,IF(MATCHED!AQ82=6,MATCHED!$G82,IF(MATCHED!AQ82=7,MATCHED!$H82,"")))))))&amp;IF(MATCHED!AQ82=8,MATCHED!$I82,IF(MATCHED!AQ82=9,MATCHED!$J82,IF(MATCHED!AQ82=10,MATCHED!$K82,IF(MATCHED!AQ82=11,MATCHED!$L82,IF(MATCHED!AQ82=12,MATCHED!$M82,IF(MATCHED!AQ82=13,MATCHED!$N82,IF(MATCHED!AQ82=14,MATCHED!$O82,"")))))))&amp;IF(MATCHED!AQ82=15,MATCHED!$P82,IF(MATCHED!AQ82=16,MATCHED!$Q82,IF(MATCHED!AQ82=17,MATCHED!$R82,IF(MATCHED!AQ82=18,MATCHED!$S82,IF(MATCHED!AQ82=19,MATCHED!$T82,IF(MATCHED!AQ82=20,MATCHED!$U82,IF(MATCHED!AQ82=21,MATCHED!$V82,)))))))&amp;IF(MATCHED!AQ82=22,MATCHED!$W82,IF(MATCHED!AQ82=23,MATCHED!$X82,IF(MATCHED!AQ82=24,MATCHED!$Y82,IF(MATCHED!AQ82=25,MATCHED!$Z82,IF(MATCHED!AQ82=26,MATCHED!$AA82,IF(MATCHED!AQ82=27,MATCHED!$AB82,"."))))))</f>
        <v>#N/A</v>
      </c>
      <c r="P82" s="423" t="e">
        <f>IF(MATCHED!AR82=1,MATCHED!$B82,IF(MATCHED!AR82=2,MATCHED!$C82,IF(MATCHED!AR82=3,MATCHED!$D82,IF(MATCHED!AR82=4,MATCHED!$E82,IF(MATCHED!AR82=3,MATCHED!$F82,IF(MATCHED!AR82=6,MATCHED!$G82,IF(MATCHED!AR82=7,MATCHED!$H82,"")))))))&amp;IF(MATCHED!AR82=8,MATCHED!$I82,IF(MATCHED!AR82=9,MATCHED!$J82,IF(MATCHED!AR82=10,MATCHED!$K82,IF(MATCHED!AR82=11,MATCHED!$L82,IF(MATCHED!AR82=12,MATCHED!$M82,IF(MATCHED!AR82=13,MATCHED!$N82,IF(MATCHED!AR82=14,MATCHED!$O82,"")))))))&amp;IF(MATCHED!AR82=15,MATCHED!$P82,IF(MATCHED!AR82=16,MATCHED!$Q82,IF(MATCHED!AR82=17,MATCHED!$R82,IF(MATCHED!AR82=18,MATCHED!$S82,IF(MATCHED!AR82=19,MATCHED!$T82,IF(MATCHED!AR82=20,MATCHED!$U82,IF(MATCHED!AR82=21,MATCHED!$V82,)))))))&amp;IF(MATCHED!AR82=22,MATCHED!$W82,IF(MATCHED!AR82=23,MATCHED!$X82,IF(MATCHED!AR82=24,MATCHED!$Y82,IF(MATCHED!AR82=25,MATCHED!$Z82,IF(MATCHED!AR82=26,MATCHED!$AA82,IF(MATCHED!AR82=27,MATCHED!$AB82,"."))))))</f>
        <v>#N/A</v>
      </c>
      <c r="Q82" s="423" t="e">
        <f>IF(MATCHED!AS82=1,MATCHED!$B82,IF(MATCHED!AS82=2,MATCHED!$C82,IF(MATCHED!AS82=3,MATCHED!$D82,IF(MATCHED!AS82=4,MATCHED!$E82,IF(MATCHED!AS82=3,MATCHED!$F82,IF(MATCHED!AS82=6,MATCHED!$G82,IF(MATCHED!AS82=7,MATCHED!$H82,"")))))))&amp;IF(MATCHED!AS82=8,MATCHED!$I82,IF(MATCHED!AS82=9,MATCHED!$J82,IF(MATCHED!AS82=10,MATCHED!$K82,IF(MATCHED!AS82=11,MATCHED!$L82,IF(MATCHED!AS82=12,MATCHED!$M82,IF(MATCHED!AS82=13,MATCHED!$N82,IF(MATCHED!AS82=14,MATCHED!$O82,"")))))))&amp;IF(MATCHED!AS82=15,MATCHED!$P82,IF(MATCHED!AS82=16,MATCHED!$Q82,IF(MATCHED!AS82=17,MATCHED!$R82,IF(MATCHED!AS82=18,MATCHED!$S82,IF(MATCHED!AS82=19,MATCHED!$T82,IF(MATCHED!AS82=20,MATCHED!$U82,IF(MATCHED!AS82=21,MATCHED!$V82,)))))))&amp;IF(MATCHED!AS82=22,MATCHED!$W82,IF(MATCHED!AS82=23,MATCHED!$X82,IF(MATCHED!AS82=24,MATCHED!$Y82,IF(MATCHED!AS82=25,MATCHED!$Z82,IF(MATCHED!AS82=26,MATCHED!$AA82,IF(MATCHED!AS82=27,MATCHED!$AB82,"."))))))</f>
        <v>#N/A</v>
      </c>
      <c r="R82" s="423" t="e">
        <f>IF(MATCHED!AT82=1,MATCHED!$B82,IF(MATCHED!AT82=2,MATCHED!$C82,IF(MATCHED!AT82=3,MATCHED!$D82,IF(MATCHED!AT82=4,MATCHED!$E82,IF(MATCHED!AT82=3,MATCHED!$F82,IF(MATCHED!AT82=6,MATCHED!$G82,IF(MATCHED!AT82=7,MATCHED!$H82,"")))))))&amp;IF(MATCHED!AT82=8,MATCHED!$I82,IF(MATCHED!AT82=9,MATCHED!$J82,IF(MATCHED!AT82=10,MATCHED!$K82,IF(MATCHED!AT82=11,MATCHED!$L82,IF(MATCHED!AT82=12,MATCHED!$M82,IF(MATCHED!AT82=13,MATCHED!$N82,IF(MATCHED!AT82=14,MATCHED!$O82,"")))))))&amp;IF(MATCHED!AT82=15,MATCHED!$P82,IF(MATCHED!AT82=16,MATCHED!$Q82,IF(MATCHED!AT82=17,MATCHED!$R82,IF(MATCHED!AT82=18,MATCHED!$S82,IF(MATCHED!AT82=19,MATCHED!$T82,IF(MATCHED!AT82=20,MATCHED!$U82,IF(MATCHED!AT82=21,MATCHED!$V82,)))))))&amp;IF(MATCHED!AT82=22,MATCHED!$W82,IF(MATCHED!AT82=23,MATCHED!$X82,IF(MATCHED!AT82=24,MATCHED!$Y82,IF(MATCHED!AT82=25,MATCHED!$Z82,IF(MATCHED!AT82=26,MATCHED!$AA82,IF(MATCHED!AT82=27,MATCHED!$AB82,"."))))))</f>
        <v>#N/A</v>
      </c>
      <c r="S82" s="423" t="e">
        <f>IF(MATCHED!AU82=1,MATCHED!$B82,IF(MATCHED!AU82=2,MATCHED!$C82,IF(MATCHED!AU82=3,MATCHED!$D82,IF(MATCHED!AU82=4,MATCHED!$E82,IF(MATCHED!AU82=3,MATCHED!$F82,IF(MATCHED!AU82=6,MATCHED!$G82,IF(MATCHED!AU82=7,MATCHED!$H82,"")))))))&amp;IF(MATCHED!AU82=8,MATCHED!$I82,IF(MATCHED!AU82=9,MATCHED!$J82,IF(MATCHED!AU82=10,MATCHED!$K82,IF(MATCHED!AU82=11,MATCHED!$L82,IF(MATCHED!AU82=12,MATCHED!$M82,IF(MATCHED!AU82=13,MATCHED!$N82,IF(MATCHED!AU82=14,MATCHED!$O82,"")))))))&amp;IF(MATCHED!AU82=15,MATCHED!$P82,IF(MATCHED!AU82=16,MATCHED!$Q82,IF(MATCHED!AU82=17,MATCHED!$R82,IF(MATCHED!AU82=18,MATCHED!$S82,IF(MATCHED!AU82=19,MATCHED!$T82,IF(MATCHED!AU82=20,MATCHED!$U82,IF(MATCHED!AU82=21,MATCHED!$V82,)))))))&amp;IF(MATCHED!AU82=22,MATCHED!$W82,IF(MATCHED!AU82=23,MATCHED!$X82,IF(MATCHED!AU82=24,MATCHED!$Y82,IF(MATCHED!AU82=25,MATCHED!$Z82,IF(MATCHED!AU82=26,MATCHED!$AA82,IF(MATCHED!AU82=27,MATCHED!$AB82,"."))))))</f>
        <v>#N/A</v>
      </c>
      <c r="T82" s="423" t="e">
        <f>IF(MATCHED!AV82=1,MATCHED!$B82,IF(MATCHED!AV82=2,MATCHED!$C82,IF(MATCHED!AV82=3,MATCHED!$D82,IF(MATCHED!AV82=4,MATCHED!$E82,IF(MATCHED!AV82=3,MATCHED!$F82,IF(MATCHED!AV82=6,MATCHED!$G82,IF(MATCHED!AV82=7,MATCHED!$H82,"")))))))&amp;IF(MATCHED!AV82=8,MATCHED!$I82,IF(MATCHED!AV82=9,MATCHED!$J82,IF(MATCHED!AV82=10,MATCHED!$K82,IF(MATCHED!AV82=11,MATCHED!$L82,IF(MATCHED!AV82=12,MATCHED!$M82,IF(MATCHED!AV82=13,MATCHED!$N82,IF(MATCHED!AV82=14,MATCHED!$O82,"")))))))&amp;IF(MATCHED!AV82=15,MATCHED!$P82,IF(MATCHED!AV82=16,MATCHED!$Q82,IF(MATCHED!AV82=17,MATCHED!$R82,IF(MATCHED!AV82=18,MATCHED!$S82,IF(MATCHED!AV82=19,MATCHED!$T82,IF(MATCHED!AV82=20,MATCHED!$U82,IF(MATCHED!AV82=21,MATCHED!$V82,)))))))&amp;IF(MATCHED!AV82=22,MATCHED!$W82,IF(MATCHED!AV82=23,MATCHED!$X82,IF(MATCHED!AV82=24,MATCHED!$Y82,IF(MATCHED!AV82=25,MATCHED!$Z82,IF(MATCHED!AV82=26,MATCHED!$AA82,IF(MATCHED!AV82=27,MATCHED!$AB82,"."))))))</f>
        <v>#N/A</v>
      </c>
      <c r="U82" s="423" t="e">
        <f>IF(MATCHED!AW82=1,MATCHED!$B82,IF(MATCHED!AW82=2,MATCHED!$C82,IF(MATCHED!AW82=3,MATCHED!$D82,IF(MATCHED!AW82=4,MATCHED!$E82,IF(MATCHED!AW82=3,MATCHED!$F82,IF(MATCHED!AW82=6,MATCHED!$G82,IF(MATCHED!AW82=7,MATCHED!$H82,"")))))))&amp;IF(MATCHED!AW82=8,MATCHED!$I82,IF(MATCHED!AW82=9,MATCHED!$J82,IF(MATCHED!AW82=10,MATCHED!$K82,IF(MATCHED!AW82=11,MATCHED!$L82,IF(MATCHED!AW82=12,MATCHED!$M82,IF(MATCHED!AW82=13,MATCHED!$N82,IF(MATCHED!AW82=14,MATCHED!$O82,"")))))))&amp;IF(MATCHED!AW82=15,MATCHED!$P82,IF(MATCHED!AW82=16,MATCHED!$Q82,IF(MATCHED!AW82=17,MATCHED!$R82,IF(MATCHED!AW82=18,MATCHED!$S82,IF(MATCHED!AW82=19,MATCHED!$T82,IF(MATCHED!AW82=20,MATCHED!$U82,IF(MATCHED!AW82=21,MATCHED!$V82,)))))))&amp;IF(MATCHED!AW82=22,MATCHED!$W82,IF(MATCHED!AW82=23,MATCHED!$X82,IF(MATCHED!AW82=24,MATCHED!$Y82,IF(MATCHED!AW82=25,MATCHED!$Z82,IF(MATCHED!AW82=26,MATCHED!$AA82,IF(MATCHED!AW82=27,MATCHED!$AB82,"."))))))</f>
        <v>#N/A</v>
      </c>
      <c r="V82" s="423" t="e">
        <f>IF(MATCHED!AX82=1,MATCHED!$B82,IF(MATCHED!AX82=2,MATCHED!$C82,IF(MATCHED!AX82=3,MATCHED!$D82,IF(MATCHED!AX82=4,MATCHED!$E82,IF(MATCHED!AX82=3,MATCHED!$F82,IF(MATCHED!AX82=6,MATCHED!$G82,IF(MATCHED!AX82=7,MATCHED!$H82,"")))))))&amp;IF(MATCHED!AX82=8,MATCHED!$I82,IF(MATCHED!AX82=9,MATCHED!$J82,IF(MATCHED!AX82=10,MATCHED!$K82,IF(MATCHED!AX82=11,MATCHED!$L82,IF(MATCHED!AX82=12,MATCHED!$M82,IF(MATCHED!AX82=13,MATCHED!$N82,IF(MATCHED!AX82=14,MATCHED!$O82,"")))))))&amp;IF(MATCHED!AX82=15,MATCHED!$P82,IF(MATCHED!AX82=16,MATCHED!$Q82,IF(MATCHED!AX82=17,MATCHED!$R82,IF(MATCHED!AX82=18,MATCHED!$S82,IF(MATCHED!AX82=19,MATCHED!$T82,IF(MATCHED!AX82=20,MATCHED!$U82,IF(MATCHED!AX82=21,MATCHED!$V82,)))))))&amp;IF(MATCHED!AX82=22,MATCHED!$W82,IF(MATCHED!AX82=23,MATCHED!$X82,IF(MATCHED!AX82=24,MATCHED!$Y82,IF(MATCHED!AX82=25,MATCHED!$Z82,IF(MATCHED!AX82=26,MATCHED!$AA82,IF(MATCHED!AX82=27,MATCHED!$AB82,"."))))))</f>
        <v>#N/A</v>
      </c>
      <c r="W82" s="423" t="e">
        <f>IF(MATCHED!AY82=1,MATCHED!$B82,IF(MATCHED!AY82=2,MATCHED!$C82,IF(MATCHED!AY82=3,MATCHED!$D82,IF(MATCHED!AY82=4,MATCHED!$E82,IF(MATCHED!AY82=3,MATCHED!$F82,IF(MATCHED!AY82=6,MATCHED!$G82,IF(MATCHED!AY82=7,MATCHED!$H82,"")))))))&amp;IF(MATCHED!AY82=8,MATCHED!$I82,IF(MATCHED!AY82=9,MATCHED!$J82,IF(MATCHED!AY82=10,MATCHED!$K82,IF(MATCHED!AY82=11,MATCHED!$L82,IF(MATCHED!AY82=12,MATCHED!$M82,IF(MATCHED!AY82=13,MATCHED!$N82,IF(MATCHED!AY82=14,MATCHED!$O82,"")))))))&amp;IF(MATCHED!AY82=15,MATCHED!$P82,IF(MATCHED!AY82=16,MATCHED!$Q82,IF(MATCHED!AY82=17,MATCHED!$R82,IF(MATCHED!AY82=18,MATCHED!$S82,IF(MATCHED!AY82=19,MATCHED!$T82,IF(MATCHED!AY82=20,MATCHED!$U82,IF(MATCHED!AY82=21,MATCHED!$V82,)))))))&amp;IF(MATCHED!AY82=22,MATCHED!$W82,IF(MATCHED!AY82=23,MATCHED!$X82,IF(MATCHED!AY82=24,MATCHED!$Y82,IF(MATCHED!AY82=25,MATCHED!$Z82,IF(MATCHED!AY82=26,MATCHED!$AA82,IF(MATCHED!AY82=27,MATCHED!$AB82,"."))))))</f>
        <v>#N/A</v>
      </c>
      <c r="X82" s="423" t="e">
        <f>IF(MATCHED!AZ82=1,MATCHED!$B82,IF(MATCHED!AZ82=2,MATCHED!$C82,IF(MATCHED!AZ82=3,MATCHED!$D82,IF(MATCHED!AZ82=4,MATCHED!$E82,IF(MATCHED!AZ82=3,MATCHED!$F82,IF(MATCHED!AZ82=6,MATCHED!$G82,IF(MATCHED!AZ82=7,MATCHED!$H82,"")))))))&amp;IF(MATCHED!AZ82=8,MATCHED!$I82,IF(MATCHED!AZ82=9,MATCHED!$J82,IF(MATCHED!AZ82=10,MATCHED!$K82,IF(MATCHED!AZ82=11,MATCHED!$L82,IF(MATCHED!AZ82=12,MATCHED!$M82,IF(MATCHED!AZ82=13,MATCHED!$N82,IF(MATCHED!AZ82=14,MATCHED!$O82,"")))))))&amp;IF(MATCHED!AZ82=15,MATCHED!$P82,IF(MATCHED!AZ82=16,MATCHED!$Q82,IF(MATCHED!AZ82=17,MATCHED!$R82,IF(MATCHED!AZ82=18,MATCHED!$S82,IF(MATCHED!AZ82=19,MATCHED!$T82,IF(MATCHED!AZ82=20,MATCHED!$U82,IF(MATCHED!AZ82=21,MATCHED!$V82,)))))))&amp;IF(MATCHED!AZ82=22,MATCHED!$W82,IF(MATCHED!AZ82=23,MATCHED!$X82,IF(MATCHED!AZ82=24,MATCHED!$Y82,IF(MATCHED!AZ82=25,MATCHED!$Z82,IF(MATCHED!AZ82=26,MATCHED!$AA82,IF(MATCHED!AZ82=27,MATCHED!$AB82,"."))))))</f>
        <v>#N/A</v>
      </c>
      <c r="Y82" s="423" t="e">
        <f>IF(MATCHED!BA82=1,MATCHED!$B82,IF(MATCHED!BA82=2,MATCHED!$C82,IF(MATCHED!BA82=3,MATCHED!$D82,IF(MATCHED!BA82=4,MATCHED!$E82,IF(MATCHED!BA82=3,MATCHED!$F82,IF(MATCHED!BA82=6,MATCHED!$G82,IF(MATCHED!BA82=7,MATCHED!$H82,"")))))))&amp;IF(MATCHED!BA82=8,MATCHED!$I82,IF(MATCHED!BA82=9,MATCHED!$J82,IF(MATCHED!BA82=10,MATCHED!$K82,IF(MATCHED!BA82=11,MATCHED!$L82,IF(MATCHED!BA82=12,MATCHED!$M82,IF(MATCHED!BA82=13,MATCHED!$N82,IF(MATCHED!BA82=14,MATCHED!$O82,"")))))))&amp;IF(MATCHED!BA82=15,MATCHED!$P82,IF(MATCHED!BA82=16,MATCHED!$Q82,IF(MATCHED!BA82=17,MATCHED!$R82,IF(MATCHED!BA82=18,MATCHED!$S82,IF(MATCHED!BA82=19,MATCHED!$T82,IF(MATCHED!BA82=20,MATCHED!$U82,IF(MATCHED!BA82=21,MATCHED!$V82,)))))))&amp;IF(MATCHED!BA82=22,MATCHED!$W82,IF(MATCHED!BA82=23,MATCHED!$X82,IF(MATCHED!BA82=24,MATCHED!$Y82,IF(MATCHED!BA82=25,MATCHED!$Z82,IF(MATCHED!BA82=26,MATCHED!$AA82,IF(MATCHED!BA82=27,MATCHED!$AB82,"."))))))</f>
        <v>#N/A</v>
      </c>
      <c r="Z82" s="423" t="e">
        <f>IF(MATCHED!BB82=1,MATCHED!$B82,IF(MATCHED!BB82=2,MATCHED!$C82,IF(MATCHED!BB82=3,MATCHED!$D82,IF(MATCHED!BB82=4,MATCHED!$E82,IF(MATCHED!BB82=3,MATCHED!$F82,IF(MATCHED!BB82=6,MATCHED!$G82,IF(MATCHED!BB82=7,MATCHED!$H82,"")))))))&amp;IF(MATCHED!BB82=8,MATCHED!$I82,IF(MATCHED!BB82=9,MATCHED!$J82,IF(MATCHED!BB82=10,MATCHED!$K82,IF(MATCHED!BB82=11,MATCHED!$L82,IF(MATCHED!BB82=12,MATCHED!$M82,IF(MATCHED!BB82=13,MATCHED!$N82,IF(MATCHED!BB82=14,MATCHED!$O82,"")))))))&amp;IF(MATCHED!BB82=15,MATCHED!$P82,IF(MATCHED!BB82=16,MATCHED!$Q82,IF(MATCHED!BB82=17,MATCHED!$R82,IF(MATCHED!BB82=18,MATCHED!$S82,IF(MATCHED!BB82=19,MATCHED!$T82,IF(MATCHED!BB82=20,MATCHED!$U82,IF(MATCHED!BB82=21,MATCHED!$V82,)))))))&amp;IF(MATCHED!BB82=22,MATCHED!$W82,IF(MATCHED!BB82=23,MATCHED!$X82,IF(MATCHED!BB82=24,MATCHED!$Y82,IF(MATCHED!BB82=25,MATCHED!$Z82,IF(MATCHED!BB82=26,MATCHED!$AA82,IF(MATCHED!BB82=27,MATCHED!$AB82,"."))))))</f>
        <v>#N/A</v>
      </c>
      <c r="AA82" s="423" t="e">
        <f>IF(MATCHED!BC82=1,MATCHED!$B82,IF(MATCHED!BC82=2,MATCHED!$C82,IF(MATCHED!BC82=3,MATCHED!$D82,IF(MATCHED!BC82=4,MATCHED!$E82,IF(MATCHED!BC82=3,MATCHED!$F82,IF(MATCHED!BC82=6,MATCHED!$G82,IF(MATCHED!BC82=7,MATCHED!$H82,"")))))))&amp;IF(MATCHED!BC82=8,MATCHED!$I82,IF(MATCHED!BC82=9,MATCHED!$J82,IF(MATCHED!BC82=10,MATCHED!$K82,IF(MATCHED!BC82=11,MATCHED!$L82,IF(MATCHED!BC82=12,MATCHED!$M82,IF(MATCHED!BC82=13,MATCHED!$N82,IF(MATCHED!BC82=14,MATCHED!$O82,"")))))))&amp;IF(MATCHED!BC82=15,MATCHED!$P82,IF(MATCHED!BC82=16,MATCHED!$Q82,IF(MATCHED!BC82=17,MATCHED!$R82,IF(MATCHED!BC82=18,MATCHED!$S82,IF(MATCHED!BC82=19,MATCHED!$T82,IF(MATCHED!BC82=20,MATCHED!$U82,IF(MATCHED!BC82=21,MATCHED!$V82,)))))))&amp;IF(MATCHED!BC82=22,MATCHED!$W82,IF(MATCHED!BC82=23,MATCHED!$X82,IF(MATCHED!BC82=24,MATCHED!$Y82,IF(MATCHED!BC82=25,MATCHED!$Z82,IF(MATCHED!BC82=26,MATCHED!$AA82,IF(MATCHED!BC82=27,MATCHED!$AB82,"."))))))</f>
        <v>#N/A</v>
      </c>
      <c r="AB82" s="423" t="e">
        <f>IF(MATCHED!BD82=1,MATCHED!$B82,IF(MATCHED!BD82=2,MATCHED!$C82,IF(MATCHED!BD82=3,MATCHED!$D82,IF(MATCHED!BD82=4,MATCHED!$E82,IF(MATCHED!BD82=3,MATCHED!$F82,IF(MATCHED!BD82=6,MATCHED!$G82,IF(MATCHED!BD82=7,MATCHED!$H82,"")))))))&amp;IF(MATCHED!BD82=8,MATCHED!$I82,IF(MATCHED!BD82=9,MATCHED!$J82,IF(MATCHED!BD82=10,MATCHED!$K82,IF(MATCHED!BD82=11,MATCHED!$L82,IF(MATCHED!BD82=12,MATCHED!$M82,IF(MATCHED!BD82=13,MATCHED!$N82,IF(MATCHED!BD82=14,MATCHED!$O82,"")))))))&amp;IF(MATCHED!BD82=15,MATCHED!$P82,IF(MATCHED!BD82=16,MATCHED!$Q82,IF(MATCHED!BD82=17,MATCHED!$R82,IF(MATCHED!BD82=18,MATCHED!$S82,IF(MATCHED!BD82=19,MATCHED!$T82,IF(MATCHED!BD82=20,MATCHED!$U82,IF(MATCHED!BD82=21,MATCHED!$V82,)))))))&amp;IF(MATCHED!BD82=22,MATCHED!$W82,IF(MATCHED!BD82=23,MATCHED!$X82,IF(MATCHED!BD82=24,MATCHED!$Y82,IF(MATCHED!BD82=25,MATCHED!$Z82,IF(MATCHED!BD82=26,MATCHED!$AA82,IF(MATCHED!BD82=27,MATCHED!$AB82,"."))))))</f>
        <v>#N/A</v>
      </c>
      <c r="AC82" s="423" t="e">
        <f>IF(MATCHED!BE82=1,MATCHED!$B82,IF(MATCHED!BE82=2,MATCHED!$C82,IF(MATCHED!BE82=3,MATCHED!$D82,IF(MATCHED!BE82=4,MATCHED!$E82,IF(MATCHED!BE82=3,MATCHED!$F82,IF(MATCHED!BE82=6,MATCHED!$G82,IF(MATCHED!BE82=7,MATCHED!$H82,"")))))))&amp;IF(MATCHED!BE82=8,MATCHED!$I82,IF(MATCHED!BE82=9,MATCHED!$J82,IF(MATCHED!BE82=10,MATCHED!$K82,IF(MATCHED!BE82=11,MATCHED!$L82,IF(MATCHED!BE82=12,MATCHED!$M82,IF(MATCHED!BE82=13,MATCHED!$N82,IF(MATCHED!BE82=14,MATCHED!$O82,"")))))))&amp;IF(MATCHED!BE82=15,MATCHED!$P82,IF(MATCHED!BE82=16,MATCHED!$Q82,IF(MATCHED!BE82=17,MATCHED!$R82,IF(MATCHED!BE82=18,MATCHED!$S82,IF(MATCHED!BE82=19,MATCHED!$T82,IF(MATCHED!BE82=20,MATCHED!$U82,IF(MATCHED!BE82=21,MATCHED!$V82,)))))))&amp;IF(MATCHED!BE82=22,MATCHED!$W82,IF(MATCHED!BE82=23,MATCHED!$X82,IF(MATCHED!BE82=24,MATCHED!$Y82,IF(MATCHED!BE82=25,MATCHED!$Z82,IF(MATCHED!BE82=26,MATCHED!$AA82,IF(MATCHED!BE82=27,MATCHED!$AB82,"."))))))</f>
        <v>#N/A</v>
      </c>
      <c r="AD82" s="423" t="e">
        <f>IF(MATCHED!BF82=1,MATCHED!$B82,IF(MATCHED!BF82=2,MATCHED!$C82,IF(MATCHED!BF82=3,MATCHED!$D82,IF(MATCHED!BF82=4,MATCHED!$E82,IF(MATCHED!BF82=3,MATCHED!$F82,IF(MATCHED!BF82=6,MATCHED!$G82,IF(MATCHED!BF82=7,MATCHED!$H82,"")))))))&amp;IF(MATCHED!BF82=8,MATCHED!$I82,IF(MATCHED!BF82=9,MATCHED!$J82,IF(MATCHED!BF82=10,MATCHED!$K82,IF(MATCHED!BF82=11,MATCHED!$L82,IF(MATCHED!BF82=12,MATCHED!$M82,IF(MATCHED!BF82=13,MATCHED!$N82,IF(MATCHED!BF82=14,MATCHED!$O82,"")))))))&amp;IF(MATCHED!BF82=15,MATCHED!$P82,IF(MATCHED!BF82=16,MATCHED!$Q82,IF(MATCHED!BF82=17,MATCHED!$R82,IF(MATCHED!BF82=18,MATCHED!$S82,IF(MATCHED!BF82=19,MATCHED!$T82,IF(MATCHED!BF82=20,MATCHED!$U82,IF(MATCHED!BF82=21,MATCHED!$V82,)))))))&amp;IF(MATCHED!BF82=22,MATCHED!$W82,IF(MATCHED!BF82=23,MATCHED!$X82,IF(MATCHED!BF82=24,MATCHED!$Y82,IF(MATCHED!BF82=25,MATCHED!$Z82,IF(MATCHED!BF82=26,MATCHED!$AA82,IF(MATCHED!BF82=27,MATCHED!$AB82,"."))))))</f>
        <v>#N/A</v>
      </c>
      <c r="AE82" s="423" t="e">
        <f>IF(MATCHED!BG82=1,MATCHED!$B82,IF(MATCHED!BG82=2,MATCHED!$C82,IF(MATCHED!BG82=3,MATCHED!$D82,IF(MATCHED!BG82=4,MATCHED!$E82,IF(MATCHED!BG82=3,MATCHED!$F82,IF(MATCHED!BG82=6,MATCHED!$G82,IF(MATCHED!BG82=7,MATCHED!$H82,"")))))))&amp;IF(MATCHED!BG82=8,MATCHED!$I82,IF(MATCHED!BG82=9,MATCHED!$J82,IF(MATCHED!BG82=10,MATCHED!$K82,IF(MATCHED!BG82=11,MATCHED!$L82,IF(MATCHED!BG82=12,MATCHED!$M82,IF(MATCHED!BG82=13,MATCHED!$N82,IF(MATCHED!BG82=14,MATCHED!$O82,"")))))))&amp;IF(MATCHED!BG82=15,MATCHED!$P82,IF(MATCHED!BG82=16,MATCHED!$Q82,IF(MATCHED!BG82=17,MATCHED!$R82,IF(MATCHED!BG82=18,MATCHED!$S82,IF(MATCHED!BG82=19,MATCHED!$T82,IF(MATCHED!BG82=20,MATCHED!$U82,IF(MATCHED!BG82=21,MATCHED!$V82,)))))))&amp;IF(MATCHED!BG82=22,MATCHED!$W82,IF(MATCHED!BG82=23,MATCHED!$X82,IF(MATCHED!BG82=24,MATCHED!$Y82,IF(MATCHED!BG82=25,MATCHED!$Z82,IF(MATCHED!BG82=26,MATCHED!$AA82,IF(MATCHED!BG82=27,MATCHED!$AB82,"."))))))</f>
        <v>#N/A</v>
      </c>
      <c r="AF82" s="423" t="e">
        <f>IF(MATCHED!BH82=1,MATCHED!$B82,IF(MATCHED!BH82=2,MATCHED!$C82,IF(MATCHED!BH82=3,MATCHED!$D82,IF(MATCHED!BH82=4,MATCHED!$E82,IF(MATCHED!BH82=3,MATCHED!$F82,IF(MATCHED!BH82=6,MATCHED!$G82,IF(MATCHED!BH82=7,MATCHED!$H82,"")))))))&amp;IF(MATCHED!BH82=8,MATCHED!$I82,IF(MATCHED!BH82=9,MATCHED!$J82,IF(MATCHED!BH82=10,MATCHED!$K82,IF(MATCHED!BH82=11,MATCHED!$L82,IF(MATCHED!BH82=12,MATCHED!$M82,IF(MATCHED!BH82=13,MATCHED!$N82,IF(MATCHED!BH82=14,MATCHED!$O82,"")))))))&amp;IF(MATCHED!BH82=15,MATCHED!$P82,IF(MATCHED!BH82=16,MATCHED!$Q82,IF(MATCHED!BH82=17,MATCHED!$R82,IF(MATCHED!BH82=18,MATCHED!$S82,IF(MATCHED!BH82=19,MATCHED!$T82,IF(MATCHED!BH82=20,MATCHED!$U82,IF(MATCHED!BH82=21,MATCHED!$V82,)))))))&amp;IF(MATCHED!BH82=22,MATCHED!$W82,IF(MATCHED!BH82=23,MATCHED!$X82,IF(MATCHED!BH82=24,MATCHED!$Y82,IF(MATCHED!BH82=25,MATCHED!$Z82,IF(MATCHED!BH82=26,MATCHED!$AA82,IF(MATCHED!BH82=27,MATCHED!$AB82,"."))))))</f>
        <v>#N/A</v>
      </c>
      <c r="AG82" s="423" t="e">
        <f>IF(MATCHED!BI82=1,MATCHED!$B82,IF(MATCHED!BI82=2,MATCHED!$C82,IF(MATCHED!BI82=3,MATCHED!$D82,IF(MATCHED!BI82=4,MATCHED!$E82,IF(MATCHED!BI82=3,MATCHED!$F82,IF(MATCHED!BI82=6,MATCHED!$G82,IF(MATCHED!BI82=7,MATCHED!$H82,"")))))))&amp;IF(MATCHED!BI82=8,MATCHED!$I82,IF(MATCHED!BI82=9,MATCHED!$J82,IF(MATCHED!BI82=10,MATCHED!$K82,IF(MATCHED!BI82=11,MATCHED!$L82,IF(MATCHED!BI82=12,MATCHED!$M82,IF(MATCHED!BI82=13,MATCHED!$N82,IF(MATCHED!BI82=14,MATCHED!$O82,"")))))))&amp;IF(MATCHED!BI82=15,MATCHED!$P82,IF(MATCHED!BI82=16,MATCHED!$Q82,IF(MATCHED!BI82=17,MATCHED!$R82,IF(MATCHED!BI82=18,MATCHED!$S82,IF(MATCHED!BI82=19,MATCHED!$T82,IF(MATCHED!BI82=20,MATCHED!$U82,IF(MATCHED!BI82=21,MATCHED!$V82,)))))))&amp;IF(MATCHED!BI82=22,MATCHED!$W82,IF(MATCHED!BI82=23,MATCHED!$X82,IF(MATCHED!BI82=24,MATCHED!$Y82,IF(MATCHED!BI82=25,MATCHED!$Z82,IF(MATCHED!BI82=26,MATCHED!$AA82,IF(MATCHED!BI82=27,MATCHED!$AB82,"."))))))</f>
        <v>#N/A</v>
      </c>
      <c r="AH82" s="423" t="e">
        <f>IF(MATCHED!BJ82=1,MATCHED!$B82,IF(MATCHED!BJ82=2,MATCHED!$C82,IF(MATCHED!BJ82=3,MATCHED!$D82,IF(MATCHED!BJ82=4,MATCHED!$E82,IF(MATCHED!BJ82=3,MATCHED!$F82,IF(MATCHED!BJ82=6,MATCHED!$G82,IF(MATCHED!BJ82=7,MATCHED!$H82,"")))))))&amp;IF(MATCHED!BJ82=8,MATCHED!$I82,IF(MATCHED!BJ82=9,MATCHED!$J82,IF(MATCHED!BJ82=10,MATCHED!$K82,IF(MATCHED!BJ82=11,MATCHED!$L82,IF(MATCHED!BJ82=12,MATCHED!$M82,IF(MATCHED!BJ82=13,MATCHED!$N82,IF(MATCHED!BJ82=14,MATCHED!$O82,"")))))))&amp;IF(MATCHED!BJ82=15,MATCHED!$P82,IF(MATCHED!BJ82=16,MATCHED!$Q82,IF(MATCHED!BJ82=17,MATCHED!$R82,IF(MATCHED!BJ82=18,MATCHED!$S82,IF(MATCHED!BJ82=19,MATCHED!$T82,IF(MATCHED!BJ82=20,MATCHED!$U82,IF(MATCHED!BJ82=21,MATCHED!$V82,)))))))&amp;IF(MATCHED!BJ82=22,MATCHED!$W82,IF(MATCHED!BJ82=23,MATCHED!$X82,IF(MATCHED!BJ82=24,MATCHED!$Y82,IF(MATCHED!BJ82=25,MATCHED!$Z82,IF(MATCHED!BJ82=26,MATCHED!$AA82,IF(MATCHED!BJ82=27,MATCHED!$AB82,"."))))))</f>
        <v>#N/A</v>
      </c>
      <c r="AI82" s="423" t="e">
        <f>IF(MATCHED!BK82=1,MATCHED!$B82,IF(MATCHED!BK82=2,MATCHED!$C82,IF(MATCHED!BK82=3,MATCHED!$D82,IF(MATCHED!BK82=4,MATCHED!$E82,IF(MATCHED!BK82=3,MATCHED!$F82,IF(MATCHED!BK82=6,MATCHED!$G82,IF(MATCHED!BK82=7,MATCHED!$H82,"")))))))&amp;IF(MATCHED!BK82=8,MATCHED!$I82,IF(MATCHED!BK82=9,MATCHED!$J82,IF(MATCHED!BK82=10,MATCHED!$K82,IF(MATCHED!BK82=11,MATCHED!$L82,IF(MATCHED!BK82=12,MATCHED!$M82,IF(MATCHED!BK82=13,MATCHED!$N82,IF(MATCHED!BK82=14,MATCHED!$O82,"")))))))&amp;IF(MATCHED!BK82=15,MATCHED!$P82,IF(MATCHED!BK82=16,MATCHED!$Q82,IF(MATCHED!BK82=17,MATCHED!$R82,IF(MATCHED!BK82=18,MATCHED!$S82,IF(MATCHED!BK82=19,MATCHED!$T82,IF(MATCHED!BK82=20,MATCHED!$U82,IF(MATCHED!BK82=21,MATCHED!$V82,)))))))&amp;IF(MATCHED!BK82=22,MATCHED!$W82,IF(MATCHED!BK82=23,MATCHED!$X82,IF(MATCHED!BK82=24,MATCHED!$Y82,IF(MATCHED!BK82=25,MATCHED!$Z82,IF(MATCHED!BK82=26,MATCHED!$AA82,IF(MATCHED!BK82=27,MATCHED!$AB82,"."))))))</f>
        <v>#N/A</v>
      </c>
      <c r="AJ82" s="542"/>
    </row>
    <row r="83" spans="1:36" s="338" customFormat="1" x14ac:dyDescent="0.25">
      <c r="A83" s="542"/>
      <c r="B83" s="423" t="e">
        <f>IF(MATCHED!AD83=1,MATCHED!$B83,IF(MATCHED!AD83=2,MATCHED!$C83,IF(MATCHED!AD83=3,MATCHED!$D83,IF(MATCHED!AD83=4,MATCHED!$E83,IF(MATCHED!AD83=3,MATCHED!$F83,IF(MATCHED!AD83=6,MATCHED!$G83,IF(MATCHED!AD83=7,MATCHED!$H83,"")))))))&amp;IF(MATCHED!AD83=8,MATCHED!$I83,IF(MATCHED!AD83=9,MATCHED!$J83,IF(MATCHED!AD83=10,MATCHED!$K83,IF(MATCHED!AD83=11,MATCHED!$L83,IF(MATCHED!AD83=12,MATCHED!$M83,IF(MATCHED!AD83=13,MATCHED!$N83,IF(MATCHED!AD83=14,MATCHED!$O83,"")))))))&amp;IF(MATCHED!AD83=15,MATCHED!$P83,IF(MATCHED!AD83=16,MATCHED!$Q83,IF(MATCHED!AD83=17,MATCHED!$R83,IF(MATCHED!AD83=18,MATCHED!$S83,IF(MATCHED!AD83=19,MATCHED!$T83,IF(MATCHED!AD83=20,MATCHED!$U83,IF(MATCHED!AD83=21,MATCHED!$V83,)))))))&amp;IF(MATCHED!AD83=22,MATCHED!$W83,IF(MATCHED!AD83=23,MATCHED!$X83,IF(MATCHED!AD83=24,MATCHED!$Y83,IF(MATCHED!AD83=25,MATCHED!$Z83,IF(MATCHED!AD83=26,MATCHED!$AA83,IF(MATCHED!AD83=27,MATCHED!$AB83,"."))))))</f>
        <v>#N/A</v>
      </c>
      <c r="C83" s="423" t="e">
        <f>IF(MATCHED!AE83=1,MATCHED!$B83,IF(MATCHED!AE83=2,MATCHED!$C83,IF(MATCHED!AE83=3,MATCHED!$D83,IF(MATCHED!AE83=4,MATCHED!$E83,IF(MATCHED!AE83=3,MATCHED!$F83,IF(MATCHED!AE83=6,MATCHED!$G83,IF(MATCHED!AE83=7,MATCHED!$H83,"")))))))&amp;IF(MATCHED!AE83=8,MATCHED!$I83,IF(MATCHED!AE83=9,MATCHED!$J83,IF(MATCHED!AE83=10,MATCHED!$K83,IF(MATCHED!AE83=11,MATCHED!$L83,IF(MATCHED!AE83=12,MATCHED!$M83,IF(MATCHED!AE83=13,MATCHED!$N83,IF(MATCHED!AE83=14,MATCHED!$O83,"")))))))&amp;IF(MATCHED!AE83=15,MATCHED!$P83,IF(MATCHED!AE83=16,MATCHED!$Q83,IF(MATCHED!AE83=17,MATCHED!$R83,IF(MATCHED!AE83=18,MATCHED!$S83,IF(MATCHED!AE83=19,MATCHED!$T83,IF(MATCHED!AE83=20,MATCHED!$U83,IF(MATCHED!AE83=21,MATCHED!$V83,)))))))&amp;IF(MATCHED!AE83=22,MATCHED!$W83,IF(MATCHED!AE83=23,MATCHED!$X83,IF(MATCHED!AE83=24,MATCHED!$Y83,IF(MATCHED!AE83=25,MATCHED!$Z83,IF(MATCHED!AE83=26,MATCHED!$AA83,IF(MATCHED!AE83=27,MATCHED!$AB83,"."))))))</f>
        <v>#N/A</v>
      </c>
      <c r="D83" s="423" t="e">
        <f>IF(MATCHED!AF83=1,MATCHED!$B83,IF(MATCHED!AF83=2,MATCHED!$C83,IF(MATCHED!AF83=3,MATCHED!$D83,IF(MATCHED!AF83=4,MATCHED!$E83,IF(MATCHED!AF83=3,MATCHED!$F83,IF(MATCHED!AF83=6,MATCHED!$G83,IF(MATCHED!AF83=7,MATCHED!$H83,"")))))))&amp;IF(MATCHED!AF83=8,MATCHED!$I83,IF(MATCHED!AF83=9,MATCHED!$J83,IF(MATCHED!AF83=10,MATCHED!$K83,IF(MATCHED!AF83=11,MATCHED!$L83,IF(MATCHED!AF83=12,MATCHED!$M83,IF(MATCHED!AF83=13,MATCHED!$N83,IF(MATCHED!AF83=14,MATCHED!$O83,"")))))))&amp;IF(MATCHED!AF83=15,MATCHED!$P83,IF(MATCHED!AF83=16,MATCHED!$Q83,IF(MATCHED!AF83=17,MATCHED!$R83,IF(MATCHED!AF83=18,MATCHED!$S83,IF(MATCHED!AF83=19,MATCHED!$T83,IF(MATCHED!AF83=20,MATCHED!$U83,IF(MATCHED!AF83=21,MATCHED!$V83,)))))))&amp;IF(MATCHED!AF83=22,MATCHED!$W83,IF(MATCHED!AF83=23,MATCHED!$X83,IF(MATCHED!AF83=24,MATCHED!$Y83,IF(MATCHED!AF83=25,MATCHED!$Z83,IF(MATCHED!AF83=26,MATCHED!$AA83,IF(MATCHED!AF83=27,MATCHED!$AB83,"."))))))</f>
        <v>#N/A</v>
      </c>
      <c r="E83" s="423" t="e">
        <f>IF(MATCHED!AG83=1,MATCHED!$B83,IF(MATCHED!AG83=2,MATCHED!$C83,IF(MATCHED!AG83=3,MATCHED!$D83,IF(MATCHED!AG83=4,MATCHED!$E83,IF(MATCHED!AG83=3,MATCHED!$F83,IF(MATCHED!AG83=6,MATCHED!$G83,IF(MATCHED!AG83=7,MATCHED!$H83,"")))))))&amp;IF(MATCHED!AG83=8,MATCHED!$I83,IF(MATCHED!AG83=9,MATCHED!$J83,IF(MATCHED!AG83=10,MATCHED!$K83,IF(MATCHED!AG83=11,MATCHED!$L83,IF(MATCHED!AG83=12,MATCHED!$M83,IF(MATCHED!AG83=13,MATCHED!$N83,IF(MATCHED!AG83=14,MATCHED!$O83,"")))))))&amp;IF(MATCHED!AG83=15,MATCHED!$P83,IF(MATCHED!AG83=16,MATCHED!$Q83,IF(MATCHED!AG83=17,MATCHED!$R83,IF(MATCHED!AG83=18,MATCHED!$S83,IF(MATCHED!AG83=19,MATCHED!$T83,IF(MATCHED!AG83=20,MATCHED!$U83,IF(MATCHED!AG83=21,MATCHED!$V83,)))))))&amp;IF(MATCHED!AG83=22,MATCHED!$W83,IF(MATCHED!AG83=23,MATCHED!$X83,IF(MATCHED!AG83=24,MATCHED!$Y83,IF(MATCHED!AG83=25,MATCHED!$Z83,IF(MATCHED!AG83=26,MATCHED!$AA83,IF(MATCHED!AG83=27,MATCHED!$AB83,"."))))))</f>
        <v>#N/A</v>
      </c>
      <c r="F83" s="423" t="e">
        <f>IF(MATCHED!AH83=1,MATCHED!$B83,IF(MATCHED!AH83=2,MATCHED!$C83,IF(MATCHED!AH83=3,MATCHED!$D83,IF(MATCHED!AH83=4,MATCHED!$E83,IF(MATCHED!AH83=3,MATCHED!$F83,IF(MATCHED!AH83=6,MATCHED!$G83,IF(MATCHED!AH83=7,MATCHED!$H83,"")))))))&amp;IF(MATCHED!AH83=8,MATCHED!$I83,IF(MATCHED!AH83=9,MATCHED!$J83,IF(MATCHED!AH83=10,MATCHED!$K83,IF(MATCHED!AH83=11,MATCHED!$L83,IF(MATCHED!AH83=12,MATCHED!$M83,IF(MATCHED!AH83=13,MATCHED!$N83,IF(MATCHED!AH83=14,MATCHED!$O83,"")))))))&amp;IF(MATCHED!AH83=15,MATCHED!$P83,IF(MATCHED!AH83=16,MATCHED!$Q83,IF(MATCHED!AH83=17,MATCHED!$R83,IF(MATCHED!AH83=18,MATCHED!$S83,IF(MATCHED!AH83=19,MATCHED!$T83,IF(MATCHED!AH83=20,MATCHED!$U83,IF(MATCHED!AH83=21,MATCHED!$V83,)))))))&amp;IF(MATCHED!AH83=22,MATCHED!$W83,IF(MATCHED!AH83=23,MATCHED!$X83,IF(MATCHED!AH83=24,MATCHED!$Y83,IF(MATCHED!AH83=25,MATCHED!$Z83,IF(MATCHED!AH83=26,MATCHED!$AA83,IF(MATCHED!AH83=27,MATCHED!$AB83,"."))))))</f>
        <v>#N/A</v>
      </c>
      <c r="G83" s="423" t="e">
        <f>IF(MATCHED!AI83=1,MATCHED!$B83,IF(MATCHED!AI83=2,MATCHED!$C83,IF(MATCHED!AI83=3,MATCHED!$D83,IF(MATCHED!AI83=4,MATCHED!$E83,IF(MATCHED!AI83=3,MATCHED!$F83,IF(MATCHED!AI83=6,MATCHED!$G83,IF(MATCHED!AI83=7,MATCHED!$H83,"")))))))&amp;IF(MATCHED!AI83=8,MATCHED!$I83,IF(MATCHED!AI83=9,MATCHED!$J83,IF(MATCHED!AI83=10,MATCHED!$K83,IF(MATCHED!AI83=11,MATCHED!$L83,IF(MATCHED!AI83=12,MATCHED!$M83,IF(MATCHED!AI83=13,MATCHED!$N83,IF(MATCHED!AI83=14,MATCHED!$O83,"")))))))&amp;IF(MATCHED!AI83=15,MATCHED!$P83,IF(MATCHED!AI83=16,MATCHED!$Q83,IF(MATCHED!AI83=17,MATCHED!$R83,IF(MATCHED!AI83=18,MATCHED!$S83,IF(MATCHED!AI83=19,MATCHED!$T83,IF(MATCHED!AI83=20,MATCHED!$U83,IF(MATCHED!AI83=21,MATCHED!$V83,)))))))&amp;IF(MATCHED!AI83=22,MATCHED!$W83,IF(MATCHED!AI83=23,MATCHED!$X83,IF(MATCHED!AI83=24,MATCHED!$Y83,IF(MATCHED!AI83=25,MATCHED!$Z83,IF(MATCHED!AI83=26,MATCHED!$AA83,IF(MATCHED!AI83=27,MATCHED!$AB83,"."))))))</f>
        <v>#N/A</v>
      </c>
      <c r="H83" s="423" t="e">
        <f>IF(MATCHED!AJ83=1,MATCHED!$B83,IF(MATCHED!AJ83=2,MATCHED!$C83,IF(MATCHED!AJ83=3,MATCHED!$D83,IF(MATCHED!AJ83=4,MATCHED!$E83,IF(MATCHED!AJ83=3,MATCHED!$F83,IF(MATCHED!AJ83=6,MATCHED!$G83,IF(MATCHED!AJ83=7,MATCHED!$H83,"")))))))&amp;IF(MATCHED!AJ83=8,MATCHED!$I83,IF(MATCHED!AJ83=9,MATCHED!$J83,IF(MATCHED!AJ83=10,MATCHED!$K83,IF(MATCHED!AJ83=11,MATCHED!$L83,IF(MATCHED!AJ83=12,MATCHED!$M83,IF(MATCHED!AJ83=13,MATCHED!$N83,IF(MATCHED!AJ83=14,MATCHED!$O83,"")))))))&amp;IF(MATCHED!AJ83=15,MATCHED!$P83,IF(MATCHED!AJ83=16,MATCHED!$Q83,IF(MATCHED!AJ83=17,MATCHED!$R83,IF(MATCHED!AJ83=18,MATCHED!$S83,IF(MATCHED!AJ83=19,MATCHED!$T83,IF(MATCHED!AJ83=20,MATCHED!$U83,IF(MATCHED!AJ83=21,MATCHED!$V83,)))))))&amp;IF(MATCHED!AJ83=22,MATCHED!$W83,IF(MATCHED!AJ83=23,MATCHED!$X83,IF(MATCHED!AJ83=24,MATCHED!$Y83,IF(MATCHED!AJ83=25,MATCHED!$Z83,IF(MATCHED!AJ83=26,MATCHED!$AA83,IF(MATCHED!AJ83=27,MATCHED!$AB83,"."))))))</f>
        <v>#N/A</v>
      </c>
      <c r="I83" s="423" t="e">
        <f>IF(MATCHED!AK83=1,MATCHED!$B83,IF(MATCHED!AK83=2,MATCHED!$C83,IF(MATCHED!AK83=3,MATCHED!$D83,IF(MATCHED!AK83=4,MATCHED!$E83,IF(MATCHED!AK83=3,MATCHED!$F83,IF(MATCHED!AK83=6,MATCHED!$G83,IF(MATCHED!AK83=7,MATCHED!$H83,"")))))))&amp;IF(MATCHED!AK83=8,MATCHED!$I83,IF(MATCHED!AK83=9,MATCHED!$J83,IF(MATCHED!AK83=10,MATCHED!$K83,IF(MATCHED!AK83=11,MATCHED!$L83,IF(MATCHED!AK83=12,MATCHED!$M83,IF(MATCHED!AK83=13,MATCHED!$N83,IF(MATCHED!AK83=14,MATCHED!$O83,"")))))))&amp;IF(MATCHED!AK83=15,MATCHED!$P83,IF(MATCHED!AK83=16,MATCHED!$Q83,IF(MATCHED!AK83=17,MATCHED!$R83,IF(MATCHED!AK83=18,MATCHED!$S83,IF(MATCHED!AK83=19,MATCHED!$T83,IF(MATCHED!AK83=20,MATCHED!$U83,IF(MATCHED!AK83=21,MATCHED!$V83,)))))))&amp;IF(MATCHED!AK83=22,MATCHED!$W83,IF(MATCHED!AK83=23,MATCHED!$X83,IF(MATCHED!AK83=24,MATCHED!$Y83,IF(MATCHED!AK83=25,MATCHED!$Z83,IF(MATCHED!AK83=26,MATCHED!$AA83,IF(MATCHED!AK83=27,MATCHED!$AB83,"."))))))</f>
        <v>#N/A</v>
      </c>
      <c r="J83" s="423" t="e">
        <f>IF(MATCHED!AL83=1,MATCHED!$B83,IF(MATCHED!AL83=2,MATCHED!$C83,IF(MATCHED!AL83=3,MATCHED!$D83,IF(MATCHED!AL83=4,MATCHED!$E83,IF(MATCHED!AL83=3,MATCHED!$F83,IF(MATCHED!AL83=6,MATCHED!$G83,IF(MATCHED!AL83=7,MATCHED!$H83,"")))))))&amp;IF(MATCHED!AL83=8,MATCHED!$I83,IF(MATCHED!AL83=9,MATCHED!$J83,IF(MATCHED!AL83=10,MATCHED!$K83,IF(MATCHED!AL83=11,MATCHED!$L83,IF(MATCHED!AL83=12,MATCHED!$M83,IF(MATCHED!AL83=13,MATCHED!$N83,IF(MATCHED!AL83=14,MATCHED!$O83,"")))))))&amp;IF(MATCHED!AL83=15,MATCHED!$P83,IF(MATCHED!AL83=16,MATCHED!$Q83,IF(MATCHED!AL83=17,MATCHED!$R83,IF(MATCHED!AL83=18,MATCHED!$S83,IF(MATCHED!AL83=19,MATCHED!$T83,IF(MATCHED!AL83=20,MATCHED!$U83,IF(MATCHED!AL83=21,MATCHED!$V83,)))))))&amp;IF(MATCHED!AL83=22,MATCHED!$W83,IF(MATCHED!AL83=23,MATCHED!$X83,IF(MATCHED!AL83=24,MATCHED!$Y83,IF(MATCHED!AL83=25,MATCHED!$Z83,IF(MATCHED!AL83=26,MATCHED!$AA83,IF(MATCHED!AL83=27,MATCHED!$AB83,"."))))))</f>
        <v>#N/A</v>
      </c>
      <c r="K83" s="423" t="e">
        <f>IF(MATCHED!AM83=1,MATCHED!$B83,IF(MATCHED!AM83=2,MATCHED!$C83,IF(MATCHED!AM83=3,MATCHED!$D83,IF(MATCHED!AM83=4,MATCHED!$E83,IF(MATCHED!AM83=3,MATCHED!$F83,IF(MATCHED!AM83=6,MATCHED!$G83,IF(MATCHED!AM83=7,MATCHED!$H83,"")))))))&amp;IF(MATCHED!AM83=8,MATCHED!$I83,IF(MATCHED!AM83=9,MATCHED!$J83,IF(MATCHED!AM83=10,MATCHED!$K83,IF(MATCHED!AM83=11,MATCHED!$L83,IF(MATCHED!AM83=12,MATCHED!$M83,IF(MATCHED!AM83=13,MATCHED!$N83,IF(MATCHED!AM83=14,MATCHED!$O83,"")))))))&amp;IF(MATCHED!AM83=15,MATCHED!$P83,IF(MATCHED!AM83=16,MATCHED!$Q83,IF(MATCHED!AM83=17,MATCHED!$R83,IF(MATCHED!AM83=18,MATCHED!$S83,IF(MATCHED!AM83=19,MATCHED!$T83,IF(MATCHED!AM83=20,MATCHED!$U83,IF(MATCHED!AM83=21,MATCHED!$V83,)))))))&amp;IF(MATCHED!AM83=22,MATCHED!$W83,IF(MATCHED!AM83=23,MATCHED!$X83,IF(MATCHED!AM83=24,MATCHED!$Y83,IF(MATCHED!AM83=25,MATCHED!$Z83,IF(MATCHED!AM83=26,MATCHED!$AA83,IF(MATCHED!AM83=27,MATCHED!$AB83,"."))))))</f>
        <v>#N/A</v>
      </c>
      <c r="L83" s="423" t="e">
        <f>IF(MATCHED!AN83=1,MATCHED!$B83,IF(MATCHED!AN83=2,MATCHED!$C83,IF(MATCHED!AN83=3,MATCHED!$D83,IF(MATCHED!AN83=4,MATCHED!$E83,IF(MATCHED!AN83=3,MATCHED!$F83,IF(MATCHED!AN83=6,MATCHED!$G83,IF(MATCHED!AN83=7,MATCHED!$H83,"")))))))&amp;IF(MATCHED!AN83=8,MATCHED!$I83,IF(MATCHED!AN83=9,MATCHED!$J83,IF(MATCHED!AN83=10,MATCHED!$K83,IF(MATCHED!AN83=11,MATCHED!$L83,IF(MATCHED!AN83=12,MATCHED!$M83,IF(MATCHED!AN83=13,MATCHED!$N83,IF(MATCHED!AN83=14,MATCHED!$O83,"")))))))&amp;IF(MATCHED!AN83=15,MATCHED!$P83,IF(MATCHED!AN83=16,MATCHED!$Q83,IF(MATCHED!AN83=17,MATCHED!$R83,IF(MATCHED!AN83=18,MATCHED!$S83,IF(MATCHED!AN83=19,MATCHED!$T83,IF(MATCHED!AN83=20,MATCHED!$U83,IF(MATCHED!AN83=21,MATCHED!$V83,)))))))&amp;IF(MATCHED!AN83=22,MATCHED!$W83,IF(MATCHED!AN83=23,MATCHED!$X83,IF(MATCHED!AN83=24,MATCHED!$Y83,IF(MATCHED!AN83=25,MATCHED!$Z83,IF(MATCHED!AN83=26,MATCHED!$AA83,IF(MATCHED!AN83=27,MATCHED!$AB83,"."))))))</f>
        <v>#N/A</v>
      </c>
      <c r="M83" s="423" t="e">
        <f>IF(MATCHED!AO83=1,MATCHED!$B83,IF(MATCHED!AO83=2,MATCHED!$C83,IF(MATCHED!AO83=3,MATCHED!$D83,IF(MATCHED!AO83=4,MATCHED!$E83,IF(MATCHED!AO83=3,MATCHED!$F83,IF(MATCHED!AO83=6,MATCHED!$G83,IF(MATCHED!AO83=7,MATCHED!$H83,"")))))))&amp;IF(MATCHED!AO83=8,MATCHED!$I83,IF(MATCHED!AO83=9,MATCHED!$J83,IF(MATCHED!AO83=10,MATCHED!$K83,IF(MATCHED!AO83=11,MATCHED!$L83,IF(MATCHED!AO83=12,MATCHED!$M83,IF(MATCHED!AO83=13,MATCHED!$N83,IF(MATCHED!AO83=14,MATCHED!$O83,"")))))))&amp;IF(MATCHED!AO83=15,MATCHED!$P83,IF(MATCHED!AO83=16,MATCHED!$Q83,IF(MATCHED!AO83=17,MATCHED!$R83,IF(MATCHED!AO83=18,MATCHED!$S83,IF(MATCHED!AO83=19,MATCHED!$T83,IF(MATCHED!AO83=20,MATCHED!$U83,IF(MATCHED!AO83=21,MATCHED!$V83,)))))))&amp;IF(MATCHED!AO83=22,MATCHED!$W83,IF(MATCHED!AO83=23,MATCHED!$X83,IF(MATCHED!AO83=24,MATCHED!$Y83,IF(MATCHED!AO83=25,MATCHED!$Z83,IF(MATCHED!AO83=26,MATCHED!$AA83,IF(MATCHED!AO83=27,MATCHED!$AB83,"."))))))</f>
        <v>#N/A</v>
      </c>
      <c r="N83" s="423" t="e">
        <f>IF(MATCHED!AP83=1,MATCHED!$B83,IF(MATCHED!AP83=2,MATCHED!$C83,IF(MATCHED!AP83=3,MATCHED!$D83,IF(MATCHED!AP83=4,MATCHED!$E83,IF(MATCHED!AP83=3,MATCHED!$F83,IF(MATCHED!AP83=6,MATCHED!$G83,IF(MATCHED!AP83=7,MATCHED!$H83,"")))))))&amp;IF(MATCHED!AP83=8,MATCHED!$I83,IF(MATCHED!AP83=9,MATCHED!$J83,IF(MATCHED!AP83=10,MATCHED!$K83,IF(MATCHED!AP83=11,MATCHED!$L83,IF(MATCHED!AP83=12,MATCHED!$M83,IF(MATCHED!AP83=13,MATCHED!$N83,IF(MATCHED!AP83=14,MATCHED!$O83,"")))))))&amp;IF(MATCHED!AP83=15,MATCHED!$P83,IF(MATCHED!AP83=16,MATCHED!$Q83,IF(MATCHED!AP83=17,MATCHED!$R83,IF(MATCHED!AP83=18,MATCHED!$S83,IF(MATCHED!AP83=19,MATCHED!$T83,IF(MATCHED!AP83=20,MATCHED!$U83,IF(MATCHED!AP83=21,MATCHED!$V83,)))))))&amp;IF(MATCHED!AP83=22,MATCHED!$W83,IF(MATCHED!AP83=23,MATCHED!$X83,IF(MATCHED!AP83=24,MATCHED!$Y83,IF(MATCHED!AP83=25,MATCHED!$Z83,IF(MATCHED!AP83=26,MATCHED!$AA83,IF(MATCHED!AP83=27,MATCHED!$AB83,"."))))))</f>
        <v>#N/A</v>
      </c>
      <c r="O83" s="423" t="e">
        <f>IF(MATCHED!AQ83=1,MATCHED!$B83,IF(MATCHED!AQ83=2,MATCHED!$C83,IF(MATCHED!AQ83=3,MATCHED!$D83,IF(MATCHED!AQ83=4,MATCHED!$E83,IF(MATCHED!AQ83=3,MATCHED!$F83,IF(MATCHED!AQ83=6,MATCHED!$G83,IF(MATCHED!AQ83=7,MATCHED!$H83,"")))))))&amp;IF(MATCHED!AQ83=8,MATCHED!$I83,IF(MATCHED!AQ83=9,MATCHED!$J83,IF(MATCHED!AQ83=10,MATCHED!$K83,IF(MATCHED!AQ83=11,MATCHED!$L83,IF(MATCHED!AQ83=12,MATCHED!$M83,IF(MATCHED!AQ83=13,MATCHED!$N83,IF(MATCHED!AQ83=14,MATCHED!$O83,"")))))))&amp;IF(MATCHED!AQ83=15,MATCHED!$P83,IF(MATCHED!AQ83=16,MATCHED!$Q83,IF(MATCHED!AQ83=17,MATCHED!$R83,IF(MATCHED!AQ83=18,MATCHED!$S83,IF(MATCHED!AQ83=19,MATCHED!$T83,IF(MATCHED!AQ83=20,MATCHED!$U83,IF(MATCHED!AQ83=21,MATCHED!$V83,)))))))&amp;IF(MATCHED!AQ83=22,MATCHED!$W83,IF(MATCHED!AQ83=23,MATCHED!$X83,IF(MATCHED!AQ83=24,MATCHED!$Y83,IF(MATCHED!AQ83=25,MATCHED!$Z83,IF(MATCHED!AQ83=26,MATCHED!$AA83,IF(MATCHED!AQ83=27,MATCHED!$AB83,"."))))))</f>
        <v>#N/A</v>
      </c>
      <c r="P83" s="423" t="e">
        <f>IF(MATCHED!AR83=1,MATCHED!$B83,IF(MATCHED!AR83=2,MATCHED!$C83,IF(MATCHED!AR83=3,MATCHED!$D83,IF(MATCHED!AR83=4,MATCHED!$E83,IF(MATCHED!AR83=3,MATCHED!$F83,IF(MATCHED!AR83=6,MATCHED!$G83,IF(MATCHED!AR83=7,MATCHED!$H83,"")))))))&amp;IF(MATCHED!AR83=8,MATCHED!$I83,IF(MATCHED!AR83=9,MATCHED!$J83,IF(MATCHED!AR83=10,MATCHED!$K83,IF(MATCHED!AR83=11,MATCHED!$L83,IF(MATCHED!AR83=12,MATCHED!$M83,IF(MATCHED!AR83=13,MATCHED!$N83,IF(MATCHED!AR83=14,MATCHED!$O83,"")))))))&amp;IF(MATCHED!AR83=15,MATCHED!$P83,IF(MATCHED!AR83=16,MATCHED!$Q83,IF(MATCHED!AR83=17,MATCHED!$R83,IF(MATCHED!AR83=18,MATCHED!$S83,IF(MATCHED!AR83=19,MATCHED!$T83,IF(MATCHED!AR83=20,MATCHED!$U83,IF(MATCHED!AR83=21,MATCHED!$V83,)))))))&amp;IF(MATCHED!AR83=22,MATCHED!$W83,IF(MATCHED!AR83=23,MATCHED!$X83,IF(MATCHED!AR83=24,MATCHED!$Y83,IF(MATCHED!AR83=25,MATCHED!$Z83,IF(MATCHED!AR83=26,MATCHED!$AA83,IF(MATCHED!AR83=27,MATCHED!$AB83,"."))))))</f>
        <v>#N/A</v>
      </c>
      <c r="Q83" s="423" t="e">
        <f>IF(MATCHED!AS83=1,MATCHED!$B83,IF(MATCHED!AS83=2,MATCHED!$C83,IF(MATCHED!AS83=3,MATCHED!$D83,IF(MATCHED!AS83=4,MATCHED!$E83,IF(MATCHED!AS83=3,MATCHED!$F83,IF(MATCHED!AS83=6,MATCHED!$G83,IF(MATCHED!AS83=7,MATCHED!$H83,"")))))))&amp;IF(MATCHED!AS83=8,MATCHED!$I83,IF(MATCHED!AS83=9,MATCHED!$J83,IF(MATCHED!AS83=10,MATCHED!$K83,IF(MATCHED!AS83=11,MATCHED!$L83,IF(MATCHED!AS83=12,MATCHED!$M83,IF(MATCHED!AS83=13,MATCHED!$N83,IF(MATCHED!AS83=14,MATCHED!$O83,"")))))))&amp;IF(MATCHED!AS83=15,MATCHED!$P83,IF(MATCHED!AS83=16,MATCHED!$Q83,IF(MATCHED!AS83=17,MATCHED!$R83,IF(MATCHED!AS83=18,MATCHED!$S83,IF(MATCHED!AS83=19,MATCHED!$T83,IF(MATCHED!AS83=20,MATCHED!$U83,IF(MATCHED!AS83=21,MATCHED!$V83,)))))))&amp;IF(MATCHED!AS83=22,MATCHED!$W83,IF(MATCHED!AS83=23,MATCHED!$X83,IF(MATCHED!AS83=24,MATCHED!$Y83,IF(MATCHED!AS83=25,MATCHED!$Z83,IF(MATCHED!AS83=26,MATCHED!$AA83,IF(MATCHED!AS83=27,MATCHED!$AB83,"."))))))</f>
        <v>#N/A</v>
      </c>
      <c r="R83" s="423" t="e">
        <f>IF(MATCHED!AT83=1,MATCHED!$B83,IF(MATCHED!AT83=2,MATCHED!$C83,IF(MATCHED!AT83=3,MATCHED!$D83,IF(MATCHED!AT83=4,MATCHED!$E83,IF(MATCHED!AT83=3,MATCHED!$F83,IF(MATCHED!AT83=6,MATCHED!$G83,IF(MATCHED!AT83=7,MATCHED!$H83,"")))))))&amp;IF(MATCHED!AT83=8,MATCHED!$I83,IF(MATCHED!AT83=9,MATCHED!$J83,IF(MATCHED!AT83=10,MATCHED!$K83,IF(MATCHED!AT83=11,MATCHED!$L83,IF(MATCHED!AT83=12,MATCHED!$M83,IF(MATCHED!AT83=13,MATCHED!$N83,IF(MATCHED!AT83=14,MATCHED!$O83,"")))))))&amp;IF(MATCHED!AT83=15,MATCHED!$P83,IF(MATCHED!AT83=16,MATCHED!$Q83,IF(MATCHED!AT83=17,MATCHED!$R83,IF(MATCHED!AT83=18,MATCHED!$S83,IF(MATCHED!AT83=19,MATCHED!$T83,IF(MATCHED!AT83=20,MATCHED!$U83,IF(MATCHED!AT83=21,MATCHED!$V83,)))))))&amp;IF(MATCHED!AT83=22,MATCHED!$W83,IF(MATCHED!AT83=23,MATCHED!$X83,IF(MATCHED!AT83=24,MATCHED!$Y83,IF(MATCHED!AT83=25,MATCHED!$Z83,IF(MATCHED!AT83=26,MATCHED!$AA83,IF(MATCHED!AT83=27,MATCHED!$AB83,"."))))))</f>
        <v>#N/A</v>
      </c>
      <c r="S83" s="423" t="e">
        <f>IF(MATCHED!AU83=1,MATCHED!$B83,IF(MATCHED!AU83=2,MATCHED!$C83,IF(MATCHED!AU83=3,MATCHED!$D83,IF(MATCHED!AU83=4,MATCHED!$E83,IF(MATCHED!AU83=3,MATCHED!$F83,IF(MATCHED!AU83=6,MATCHED!$G83,IF(MATCHED!AU83=7,MATCHED!$H83,"")))))))&amp;IF(MATCHED!AU83=8,MATCHED!$I83,IF(MATCHED!AU83=9,MATCHED!$J83,IF(MATCHED!AU83=10,MATCHED!$K83,IF(MATCHED!AU83=11,MATCHED!$L83,IF(MATCHED!AU83=12,MATCHED!$M83,IF(MATCHED!AU83=13,MATCHED!$N83,IF(MATCHED!AU83=14,MATCHED!$O83,"")))))))&amp;IF(MATCHED!AU83=15,MATCHED!$P83,IF(MATCHED!AU83=16,MATCHED!$Q83,IF(MATCHED!AU83=17,MATCHED!$R83,IF(MATCHED!AU83=18,MATCHED!$S83,IF(MATCHED!AU83=19,MATCHED!$T83,IF(MATCHED!AU83=20,MATCHED!$U83,IF(MATCHED!AU83=21,MATCHED!$V83,)))))))&amp;IF(MATCHED!AU83=22,MATCHED!$W83,IF(MATCHED!AU83=23,MATCHED!$X83,IF(MATCHED!AU83=24,MATCHED!$Y83,IF(MATCHED!AU83=25,MATCHED!$Z83,IF(MATCHED!AU83=26,MATCHED!$AA83,IF(MATCHED!AU83=27,MATCHED!$AB83,"."))))))</f>
        <v>#N/A</v>
      </c>
      <c r="T83" s="423" t="e">
        <f>IF(MATCHED!AV83=1,MATCHED!$B83,IF(MATCHED!AV83=2,MATCHED!$C83,IF(MATCHED!AV83=3,MATCHED!$D83,IF(MATCHED!AV83=4,MATCHED!$E83,IF(MATCHED!AV83=3,MATCHED!$F83,IF(MATCHED!AV83=6,MATCHED!$G83,IF(MATCHED!AV83=7,MATCHED!$H83,"")))))))&amp;IF(MATCHED!AV83=8,MATCHED!$I83,IF(MATCHED!AV83=9,MATCHED!$J83,IF(MATCHED!AV83=10,MATCHED!$K83,IF(MATCHED!AV83=11,MATCHED!$L83,IF(MATCHED!AV83=12,MATCHED!$M83,IF(MATCHED!AV83=13,MATCHED!$N83,IF(MATCHED!AV83=14,MATCHED!$O83,"")))))))&amp;IF(MATCHED!AV83=15,MATCHED!$P83,IF(MATCHED!AV83=16,MATCHED!$Q83,IF(MATCHED!AV83=17,MATCHED!$R83,IF(MATCHED!AV83=18,MATCHED!$S83,IF(MATCHED!AV83=19,MATCHED!$T83,IF(MATCHED!AV83=20,MATCHED!$U83,IF(MATCHED!AV83=21,MATCHED!$V83,)))))))&amp;IF(MATCHED!AV83=22,MATCHED!$W83,IF(MATCHED!AV83=23,MATCHED!$X83,IF(MATCHED!AV83=24,MATCHED!$Y83,IF(MATCHED!AV83=25,MATCHED!$Z83,IF(MATCHED!AV83=26,MATCHED!$AA83,IF(MATCHED!AV83=27,MATCHED!$AB83,"."))))))</f>
        <v>#N/A</v>
      </c>
      <c r="U83" s="423" t="e">
        <f>IF(MATCHED!AW83=1,MATCHED!$B83,IF(MATCHED!AW83=2,MATCHED!$C83,IF(MATCHED!AW83=3,MATCHED!$D83,IF(MATCHED!AW83=4,MATCHED!$E83,IF(MATCHED!AW83=3,MATCHED!$F83,IF(MATCHED!AW83=6,MATCHED!$G83,IF(MATCHED!AW83=7,MATCHED!$H83,"")))))))&amp;IF(MATCHED!AW83=8,MATCHED!$I83,IF(MATCHED!AW83=9,MATCHED!$J83,IF(MATCHED!AW83=10,MATCHED!$K83,IF(MATCHED!AW83=11,MATCHED!$L83,IF(MATCHED!AW83=12,MATCHED!$M83,IF(MATCHED!AW83=13,MATCHED!$N83,IF(MATCHED!AW83=14,MATCHED!$O83,"")))))))&amp;IF(MATCHED!AW83=15,MATCHED!$P83,IF(MATCHED!AW83=16,MATCHED!$Q83,IF(MATCHED!AW83=17,MATCHED!$R83,IF(MATCHED!AW83=18,MATCHED!$S83,IF(MATCHED!AW83=19,MATCHED!$T83,IF(MATCHED!AW83=20,MATCHED!$U83,IF(MATCHED!AW83=21,MATCHED!$V83,)))))))&amp;IF(MATCHED!AW83=22,MATCHED!$W83,IF(MATCHED!AW83=23,MATCHED!$X83,IF(MATCHED!AW83=24,MATCHED!$Y83,IF(MATCHED!AW83=25,MATCHED!$Z83,IF(MATCHED!AW83=26,MATCHED!$AA83,IF(MATCHED!AW83=27,MATCHED!$AB83,"."))))))</f>
        <v>#N/A</v>
      </c>
      <c r="V83" s="423" t="e">
        <f>IF(MATCHED!AX83=1,MATCHED!$B83,IF(MATCHED!AX83=2,MATCHED!$C83,IF(MATCHED!AX83=3,MATCHED!$D83,IF(MATCHED!AX83=4,MATCHED!$E83,IF(MATCHED!AX83=3,MATCHED!$F83,IF(MATCHED!AX83=6,MATCHED!$G83,IF(MATCHED!AX83=7,MATCHED!$H83,"")))))))&amp;IF(MATCHED!AX83=8,MATCHED!$I83,IF(MATCHED!AX83=9,MATCHED!$J83,IF(MATCHED!AX83=10,MATCHED!$K83,IF(MATCHED!AX83=11,MATCHED!$L83,IF(MATCHED!AX83=12,MATCHED!$M83,IF(MATCHED!AX83=13,MATCHED!$N83,IF(MATCHED!AX83=14,MATCHED!$O83,"")))))))&amp;IF(MATCHED!AX83=15,MATCHED!$P83,IF(MATCHED!AX83=16,MATCHED!$Q83,IF(MATCHED!AX83=17,MATCHED!$R83,IF(MATCHED!AX83=18,MATCHED!$S83,IF(MATCHED!AX83=19,MATCHED!$T83,IF(MATCHED!AX83=20,MATCHED!$U83,IF(MATCHED!AX83=21,MATCHED!$V83,)))))))&amp;IF(MATCHED!AX83=22,MATCHED!$W83,IF(MATCHED!AX83=23,MATCHED!$X83,IF(MATCHED!AX83=24,MATCHED!$Y83,IF(MATCHED!AX83=25,MATCHED!$Z83,IF(MATCHED!AX83=26,MATCHED!$AA83,IF(MATCHED!AX83=27,MATCHED!$AB83,"."))))))</f>
        <v>#N/A</v>
      </c>
      <c r="W83" s="423" t="e">
        <f>IF(MATCHED!AY83=1,MATCHED!$B83,IF(MATCHED!AY83=2,MATCHED!$C83,IF(MATCHED!AY83=3,MATCHED!$D83,IF(MATCHED!AY83=4,MATCHED!$E83,IF(MATCHED!AY83=3,MATCHED!$F83,IF(MATCHED!AY83=6,MATCHED!$G83,IF(MATCHED!AY83=7,MATCHED!$H83,"")))))))&amp;IF(MATCHED!AY83=8,MATCHED!$I83,IF(MATCHED!AY83=9,MATCHED!$J83,IF(MATCHED!AY83=10,MATCHED!$K83,IF(MATCHED!AY83=11,MATCHED!$L83,IF(MATCHED!AY83=12,MATCHED!$M83,IF(MATCHED!AY83=13,MATCHED!$N83,IF(MATCHED!AY83=14,MATCHED!$O83,"")))))))&amp;IF(MATCHED!AY83=15,MATCHED!$P83,IF(MATCHED!AY83=16,MATCHED!$Q83,IF(MATCHED!AY83=17,MATCHED!$R83,IF(MATCHED!AY83=18,MATCHED!$S83,IF(MATCHED!AY83=19,MATCHED!$T83,IF(MATCHED!AY83=20,MATCHED!$U83,IF(MATCHED!AY83=21,MATCHED!$V83,)))))))&amp;IF(MATCHED!AY83=22,MATCHED!$W83,IF(MATCHED!AY83=23,MATCHED!$X83,IF(MATCHED!AY83=24,MATCHED!$Y83,IF(MATCHED!AY83=25,MATCHED!$Z83,IF(MATCHED!AY83=26,MATCHED!$AA83,IF(MATCHED!AY83=27,MATCHED!$AB83,"."))))))</f>
        <v>#N/A</v>
      </c>
      <c r="X83" s="423" t="e">
        <f>IF(MATCHED!AZ83=1,MATCHED!$B83,IF(MATCHED!AZ83=2,MATCHED!$C83,IF(MATCHED!AZ83=3,MATCHED!$D83,IF(MATCHED!AZ83=4,MATCHED!$E83,IF(MATCHED!AZ83=3,MATCHED!$F83,IF(MATCHED!AZ83=6,MATCHED!$G83,IF(MATCHED!AZ83=7,MATCHED!$H83,"")))))))&amp;IF(MATCHED!AZ83=8,MATCHED!$I83,IF(MATCHED!AZ83=9,MATCHED!$J83,IF(MATCHED!AZ83=10,MATCHED!$K83,IF(MATCHED!AZ83=11,MATCHED!$L83,IF(MATCHED!AZ83=12,MATCHED!$M83,IF(MATCHED!AZ83=13,MATCHED!$N83,IF(MATCHED!AZ83=14,MATCHED!$O83,"")))))))&amp;IF(MATCHED!AZ83=15,MATCHED!$P83,IF(MATCHED!AZ83=16,MATCHED!$Q83,IF(MATCHED!AZ83=17,MATCHED!$R83,IF(MATCHED!AZ83=18,MATCHED!$S83,IF(MATCHED!AZ83=19,MATCHED!$T83,IF(MATCHED!AZ83=20,MATCHED!$U83,IF(MATCHED!AZ83=21,MATCHED!$V83,)))))))&amp;IF(MATCHED!AZ83=22,MATCHED!$W83,IF(MATCHED!AZ83=23,MATCHED!$X83,IF(MATCHED!AZ83=24,MATCHED!$Y83,IF(MATCHED!AZ83=25,MATCHED!$Z83,IF(MATCHED!AZ83=26,MATCHED!$AA83,IF(MATCHED!AZ83=27,MATCHED!$AB83,"."))))))</f>
        <v>#N/A</v>
      </c>
      <c r="Y83" s="423" t="e">
        <f>IF(MATCHED!BA83=1,MATCHED!$B83,IF(MATCHED!BA83=2,MATCHED!$C83,IF(MATCHED!BA83=3,MATCHED!$D83,IF(MATCHED!BA83=4,MATCHED!$E83,IF(MATCHED!BA83=3,MATCHED!$F83,IF(MATCHED!BA83=6,MATCHED!$G83,IF(MATCHED!BA83=7,MATCHED!$H83,"")))))))&amp;IF(MATCHED!BA83=8,MATCHED!$I83,IF(MATCHED!BA83=9,MATCHED!$J83,IF(MATCHED!BA83=10,MATCHED!$K83,IF(MATCHED!BA83=11,MATCHED!$L83,IF(MATCHED!BA83=12,MATCHED!$M83,IF(MATCHED!BA83=13,MATCHED!$N83,IF(MATCHED!BA83=14,MATCHED!$O83,"")))))))&amp;IF(MATCHED!BA83=15,MATCHED!$P83,IF(MATCHED!BA83=16,MATCHED!$Q83,IF(MATCHED!BA83=17,MATCHED!$R83,IF(MATCHED!BA83=18,MATCHED!$S83,IF(MATCHED!BA83=19,MATCHED!$T83,IF(MATCHED!BA83=20,MATCHED!$U83,IF(MATCHED!BA83=21,MATCHED!$V83,)))))))&amp;IF(MATCHED!BA83=22,MATCHED!$W83,IF(MATCHED!BA83=23,MATCHED!$X83,IF(MATCHED!BA83=24,MATCHED!$Y83,IF(MATCHED!BA83=25,MATCHED!$Z83,IF(MATCHED!BA83=26,MATCHED!$AA83,IF(MATCHED!BA83=27,MATCHED!$AB83,"."))))))</f>
        <v>#N/A</v>
      </c>
      <c r="Z83" s="423" t="e">
        <f>IF(MATCHED!BB83=1,MATCHED!$B83,IF(MATCHED!BB83=2,MATCHED!$C83,IF(MATCHED!BB83=3,MATCHED!$D83,IF(MATCHED!BB83=4,MATCHED!$E83,IF(MATCHED!BB83=3,MATCHED!$F83,IF(MATCHED!BB83=6,MATCHED!$G83,IF(MATCHED!BB83=7,MATCHED!$H83,"")))))))&amp;IF(MATCHED!BB83=8,MATCHED!$I83,IF(MATCHED!BB83=9,MATCHED!$J83,IF(MATCHED!BB83=10,MATCHED!$K83,IF(MATCHED!BB83=11,MATCHED!$L83,IF(MATCHED!BB83=12,MATCHED!$M83,IF(MATCHED!BB83=13,MATCHED!$N83,IF(MATCHED!BB83=14,MATCHED!$O83,"")))))))&amp;IF(MATCHED!BB83=15,MATCHED!$P83,IF(MATCHED!BB83=16,MATCHED!$Q83,IF(MATCHED!BB83=17,MATCHED!$R83,IF(MATCHED!BB83=18,MATCHED!$S83,IF(MATCHED!BB83=19,MATCHED!$T83,IF(MATCHED!BB83=20,MATCHED!$U83,IF(MATCHED!BB83=21,MATCHED!$V83,)))))))&amp;IF(MATCHED!BB83=22,MATCHED!$W83,IF(MATCHED!BB83=23,MATCHED!$X83,IF(MATCHED!BB83=24,MATCHED!$Y83,IF(MATCHED!BB83=25,MATCHED!$Z83,IF(MATCHED!BB83=26,MATCHED!$AA83,IF(MATCHED!BB83=27,MATCHED!$AB83,"."))))))</f>
        <v>#N/A</v>
      </c>
      <c r="AA83" s="423" t="e">
        <f>IF(MATCHED!BC83=1,MATCHED!$B83,IF(MATCHED!BC83=2,MATCHED!$C83,IF(MATCHED!BC83=3,MATCHED!$D83,IF(MATCHED!BC83=4,MATCHED!$E83,IF(MATCHED!BC83=3,MATCHED!$F83,IF(MATCHED!BC83=6,MATCHED!$G83,IF(MATCHED!BC83=7,MATCHED!$H83,"")))))))&amp;IF(MATCHED!BC83=8,MATCHED!$I83,IF(MATCHED!BC83=9,MATCHED!$J83,IF(MATCHED!BC83=10,MATCHED!$K83,IF(MATCHED!BC83=11,MATCHED!$L83,IF(MATCHED!BC83=12,MATCHED!$M83,IF(MATCHED!BC83=13,MATCHED!$N83,IF(MATCHED!BC83=14,MATCHED!$O83,"")))))))&amp;IF(MATCHED!BC83=15,MATCHED!$P83,IF(MATCHED!BC83=16,MATCHED!$Q83,IF(MATCHED!BC83=17,MATCHED!$R83,IF(MATCHED!BC83=18,MATCHED!$S83,IF(MATCHED!BC83=19,MATCHED!$T83,IF(MATCHED!BC83=20,MATCHED!$U83,IF(MATCHED!BC83=21,MATCHED!$V83,)))))))&amp;IF(MATCHED!BC83=22,MATCHED!$W83,IF(MATCHED!BC83=23,MATCHED!$X83,IF(MATCHED!BC83=24,MATCHED!$Y83,IF(MATCHED!BC83=25,MATCHED!$Z83,IF(MATCHED!BC83=26,MATCHED!$AA83,IF(MATCHED!BC83=27,MATCHED!$AB83,"."))))))</f>
        <v>#N/A</v>
      </c>
      <c r="AB83" s="423" t="e">
        <f>IF(MATCHED!BD83=1,MATCHED!$B83,IF(MATCHED!BD83=2,MATCHED!$C83,IF(MATCHED!BD83=3,MATCHED!$D83,IF(MATCHED!BD83=4,MATCHED!$E83,IF(MATCHED!BD83=3,MATCHED!$F83,IF(MATCHED!BD83=6,MATCHED!$G83,IF(MATCHED!BD83=7,MATCHED!$H83,"")))))))&amp;IF(MATCHED!BD83=8,MATCHED!$I83,IF(MATCHED!BD83=9,MATCHED!$J83,IF(MATCHED!BD83=10,MATCHED!$K83,IF(MATCHED!BD83=11,MATCHED!$L83,IF(MATCHED!BD83=12,MATCHED!$M83,IF(MATCHED!BD83=13,MATCHED!$N83,IF(MATCHED!BD83=14,MATCHED!$O83,"")))))))&amp;IF(MATCHED!BD83=15,MATCHED!$P83,IF(MATCHED!BD83=16,MATCHED!$Q83,IF(MATCHED!BD83=17,MATCHED!$R83,IF(MATCHED!BD83=18,MATCHED!$S83,IF(MATCHED!BD83=19,MATCHED!$T83,IF(MATCHED!BD83=20,MATCHED!$U83,IF(MATCHED!BD83=21,MATCHED!$V83,)))))))&amp;IF(MATCHED!BD83=22,MATCHED!$W83,IF(MATCHED!BD83=23,MATCHED!$X83,IF(MATCHED!BD83=24,MATCHED!$Y83,IF(MATCHED!BD83=25,MATCHED!$Z83,IF(MATCHED!BD83=26,MATCHED!$AA83,IF(MATCHED!BD83=27,MATCHED!$AB83,"."))))))</f>
        <v>#N/A</v>
      </c>
      <c r="AC83" s="423" t="e">
        <f>IF(MATCHED!BE83=1,MATCHED!$B83,IF(MATCHED!BE83=2,MATCHED!$C83,IF(MATCHED!BE83=3,MATCHED!$D83,IF(MATCHED!BE83=4,MATCHED!$E83,IF(MATCHED!BE83=3,MATCHED!$F83,IF(MATCHED!BE83=6,MATCHED!$G83,IF(MATCHED!BE83=7,MATCHED!$H83,"")))))))&amp;IF(MATCHED!BE83=8,MATCHED!$I83,IF(MATCHED!BE83=9,MATCHED!$J83,IF(MATCHED!BE83=10,MATCHED!$K83,IF(MATCHED!BE83=11,MATCHED!$L83,IF(MATCHED!BE83=12,MATCHED!$M83,IF(MATCHED!BE83=13,MATCHED!$N83,IF(MATCHED!BE83=14,MATCHED!$O83,"")))))))&amp;IF(MATCHED!BE83=15,MATCHED!$P83,IF(MATCHED!BE83=16,MATCHED!$Q83,IF(MATCHED!BE83=17,MATCHED!$R83,IF(MATCHED!BE83=18,MATCHED!$S83,IF(MATCHED!BE83=19,MATCHED!$T83,IF(MATCHED!BE83=20,MATCHED!$U83,IF(MATCHED!BE83=21,MATCHED!$V83,)))))))&amp;IF(MATCHED!BE83=22,MATCHED!$W83,IF(MATCHED!BE83=23,MATCHED!$X83,IF(MATCHED!BE83=24,MATCHED!$Y83,IF(MATCHED!BE83=25,MATCHED!$Z83,IF(MATCHED!BE83=26,MATCHED!$AA83,IF(MATCHED!BE83=27,MATCHED!$AB83,"."))))))</f>
        <v>#N/A</v>
      </c>
      <c r="AD83" s="423" t="e">
        <f>IF(MATCHED!BF83=1,MATCHED!$B83,IF(MATCHED!BF83=2,MATCHED!$C83,IF(MATCHED!BF83=3,MATCHED!$D83,IF(MATCHED!BF83=4,MATCHED!$E83,IF(MATCHED!BF83=3,MATCHED!$F83,IF(MATCHED!BF83=6,MATCHED!$G83,IF(MATCHED!BF83=7,MATCHED!$H83,"")))))))&amp;IF(MATCHED!BF83=8,MATCHED!$I83,IF(MATCHED!BF83=9,MATCHED!$J83,IF(MATCHED!BF83=10,MATCHED!$K83,IF(MATCHED!BF83=11,MATCHED!$L83,IF(MATCHED!BF83=12,MATCHED!$M83,IF(MATCHED!BF83=13,MATCHED!$N83,IF(MATCHED!BF83=14,MATCHED!$O83,"")))))))&amp;IF(MATCHED!BF83=15,MATCHED!$P83,IF(MATCHED!BF83=16,MATCHED!$Q83,IF(MATCHED!BF83=17,MATCHED!$R83,IF(MATCHED!BF83=18,MATCHED!$S83,IF(MATCHED!BF83=19,MATCHED!$T83,IF(MATCHED!BF83=20,MATCHED!$U83,IF(MATCHED!BF83=21,MATCHED!$V83,)))))))&amp;IF(MATCHED!BF83=22,MATCHED!$W83,IF(MATCHED!BF83=23,MATCHED!$X83,IF(MATCHED!BF83=24,MATCHED!$Y83,IF(MATCHED!BF83=25,MATCHED!$Z83,IF(MATCHED!BF83=26,MATCHED!$AA83,IF(MATCHED!BF83=27,MATCHED!$AB83,"."))))))</f>
        <v>#N/A</v>
      </c>
      <c r="AE83" s="423" t="e">
        <f>IF(MATCHED!BG83=1,MATCHED!$B83,IF(MATCHED!BG83=2,MATCHED!$C83,IF(MATCHED!BG83=3,MATCHED!$D83,IF(MATCHED!BG83=4,MATCHED!$E83,IF(MATCHED!BG83=3,MATCHED!$F83,IF(MATCHED!BG83=6,MATCHED!$G83,IF(MATCHED!BG83=7,MATCHED!$H83,"")))))))&amp;IF(MATCHED!BG83=8,MATCHED!$I83,IF(MATCHED!BG83=9,MATCHED!$J83,IF(MATCHED!BG83=10,MATCHED!$K83,IF(MATCHED!BG83=11,MATCHED!$L83,IF(MATCHED!BG83=12,MATCHED!$M83,IF(MATCHED!BG83=13,MATCHED!$N83,IF(MATCHED!BG83=14,MATCHED!$O83,"")))))))&amp;IF(MATCHED!BG83=15,MATCHED!$P83,IF(MATCHED!BG83=16,MATCHED!$Q83,IF(MATCHED!BG83=17,MATCHED!$R83,IF(MATCHED!BG83=18,MATCHED!$S83,IF(MATCHED!BG83=19,MATCHED!$T83,IF(MATCHED!BG83=20,MATCHED!$U83,IF(MATCHED!BG83=21,MATCHED!$V83,)))))))&amp;IF(MATCHED!BG83=22,MATCHED!$W83,IF(MATCHED!BG83=23,MATCHED!$X83,IF(MATCHED!BG83=24,MATCHED!$Y83,IF(MATCHED!BG83=25,MATCHED!$Z83,IF(MATCHED!BG83=26,MATCHED!$AA83,IF(MATCHED!BG83=27,MATCHED!$AB83,"."))))))</f>
        <v>#N/A</v>
      </c>
      <c r="AF83" s="423" t="e">
        <f>IF(MATCHED!BH83=1,MATCHED!$B83,IF(MATCHED!BH83=2,MATCHED!$C83,IF(MATCHED!BH83=3,MATCHED!$D83,IF(MATCHED!BH83=4,MATCHED!$E83,IF(MATCHED!BH83=3,MATCHED!$F83,IF(MATCHED!BH83=6,MATCHED!$G83,IF(MATCHED!BH83=7,MATCHED!$H83,"")))))))&amp;IF(MATCHED!BH83=8,MATCHED!$I83,IF(MATCHED!BH83=9,MATCHED!$J83,IF(MATCHED!BH83=10,MATCHED!$K83,IF(MATCHED!BH83=11,MATCHED!$L83,IF(MATCHED!BH83=12,MATCHED!$M83,IF(MATCHED!BH83=13,MATCHED!$N83,IF(MATCHED!BH83=14,MATCHED!$O83,"")))))))&amp;IF(MATCHED!BH83=15,MATCHED!$P83,IF(MATCHED!BH83=16,MATCHED!$Q83,IF(MATCHED!BH83=17,MATCHED!$R83,IF(MATCHED!BH83=18,MATCHED!$S83,IF(MATCHED!BH83=19,MATCHED!$T83,IF(MATCHED!BH83=20,MATCHED!$U83,IF(MATCHED!BH83=21,MATCHED!$V83,)))))))&amp;IF(MATCHED!BH83=22,MATCHED!$W83,IF(MATCHED!BH83=23,MATCHED!$X83,IF(MATCHED!BH83=24,MATCHED!$Y83,IF(MATCHED!BH83=25,MATCHED!$Z83,IF(MATCHED!BH83=26,MATCHED!$AA83,IF(MATCHED!BH83=27,MATCHED!$AB83,"."))))))</f>
        <v>#N/A</v>
      </c>
      <c r="AG83" s="423" t="e">
        <f>IF(MATCHED!BI83=1,MATCHED!$B83,IF(MATCHED!BI83=2,MATCHED!$C83,IF(MATCHED!BI83=3,MATCHED!$D83,IF(MATCHED!BI83=4,MATCHED!$E83,IF(MATCHED!BI83=3,MATCHED!$F83,IF(MATCHED!BI83=6,MATCHED!$G83,IF(MATCHED!BI83=7,MATCHED!$H83,"")))))))&amp;IF(MATCHED!BI83=8,MATCHED!$I83,IF(MATCHED!BI83=9,MATCHED!$J83,IF(MATCHED!BI83=10,MATCHED!$K83,IF(MATCHED!BI83=11,MATCHED!$L83,IF(MATCHED!BI83=12,MATCHED!$M83,IF(MATCHED!BI83=13,MATCHED!$N83,IF(MATCHED!BI83=14,MATCHED!$O83,"")))))))&amp;IF(MATCHED!BI83=15,MATCHED!$P83,IF(MATCHED!BI83=16,MATCHED!$Q83,IF(MATCHED!BI83=17,MATCHED!$R83,IF(MATCHED!BI83=18,MATCHED!$S83,IF(MATCHED!BI83=19,MATCHED!$T83,IF(MATCHED!BI83=20,MATCHED!$U83,IF(MATCHED!BI83=21,MATCHED!$V83,)))))))&amp;IF(MATCHED!BI83=22,MATCHED!$W83,IF(MATCHED!BI83=23,MATCHED!$X83,IF(MATCHED!BI83=24,MATCHED!$Y83,IF(MATCHED!BI83=25,MATCHED!$Z83,IF(MATCHED!BI83=26,MATCHED!$AA83,IF(MATCHED!BI83=27,MATCHED!$AB83,"."))))))</f>
        <v>#N/A</v>
      </c>
      <c r="AH83" s="423" t="e">
        <f>IF(MATCHED!BJ83=1,MATCHED!$B83,IF(MATCHED!BJ83=2,MATCHED!$C83,IF(MATCHED!BJ83=3,MATCHED!$D83,IF(MATCHED!BJ83=4,MATCHED!$E83,IF(MATCHED!BJ83=3,MATCHED!$F83,IF(MATCHED!BJ83=6,MATCHED!$G83,IF(MATCHED!BJ83=7,MATCHED!$H83,"")))))))&amp;IF(MATCHED!BJ83=8,MATCHED!$I83,IF(MATCHED!BJ83=9,MATCHED!$J83,IF(MATCHED!BJ83=10,MATCHED!$K83,IF(MATCHED!BJ83=11,MATCHED!$L83,IF(MATCHED!BJ83=12,MATCHED!$M83,IF(MATCHED!BJ83=13,MATCHED!$N83,IF(MATCHED!BJ83=14,MATCHED!$O83,"")))))))&amp;IF(MATCHED!BJ83=15,MATCHED!$P83,IF(MATCHED!BJ83=16,MATCHED!$Q83,IF(MATCHED!BJ83=17,MATCHED!$R83,IF(MATCHED!BJ83=18,MATCHED!$S83,IF(MATCHED!BJ83=19,MATCHED!$T83,IF(MATCHED!BJ83=20,MATCHED!$U83,IF(MATCHED!BJ83=21,MATCHED!$V83,)))))))&amp;IF(MATCHED!BJ83=22,MATCHED!$W83,IF(MATCHED!BJ83=23,MATCHED!$X83,IF(MATCHED!BJ83=24,MATCHED!$Y83,IF(MATCHED!BJ83=25,MATCHED!$Z83,IF(MATCHED!BJ83=26,MATCHED!$AA83,IF(MATCHED!BJ83=27,MATCHED!$AB83,"."))))))</f>
        <v>#N/A</v>
      </c>
      <c r="AI83" s="423" t="e">
        <f>IF(MATCHED!BK83=1,MATCHED!$B83,IF(MATCHED!BK83=2,MATCHED!$C83,IF(MATCHED!BK83=3,MATCHED!$D83,IF(MATCHED!BK83=4,MATCHED!$E83,IF(MATCHED!BK83=3,MATCHED!$F83,IF(MATCHED!BK83=6,MATCHED!$G83,IF(MATCHED!BK83=7,MATCHED!$H83,"")))))))&amp;IF(MATCHED!BK83=8,MATCHED!$I83,IF(MATCHED!BK83=9,MATCHED!$J83,IF(MATCHED!BK83=10,MATCHED!$K83,IF(MATCHED!BK83=11,MATCHED!$L83,IF(MATCHED!BK83=12,MATCHED!$M83,IF(MATCHED!BK83=13,MATCHED!$N83,IF(MATCHED!BK83=14,MATCHED!$O83,"")))))))&amp;IF(MATCHED!BK83=15,MATCHED!$P83,IF(MATCHED!BK83=16,MATCHED!$Q83,IF(MATCHED!BK83=17,MATCHED!$R83,IF(MATCHED!BK83=18,MATCHED!$S83,IF(MATCHED!BK83=19,MATCHED!$T83,IF(MATCHED!BK83=20,MATCHED!$U83,IF(MATCHED!BK83=21,MATCHED!$V83,)))))))&amp;IF(MATCHED!BK83=22,MATCHED!$W83,IF(MATCHED!BK83=23,MATCHED!$X83,IF(MATCHED!BK83=24,MATCHED!$Y83,IF(MATCHED!BK83=25,MATCHED!$Z83,IF(MATCHED!BK83=26,MATCHED!$AA83,IF(MATCHED!BK83=27,MATCHED!$AB83,"."))))))</f>
        <v>#N/A</v>
      </c>
      <c r="AJ83" s="542"/>
    </row>
    <row r="84" spans="1:36" s="338" customFormat="1" x14ac:dyDescent="0.25">
      <c r="A84" s="542"/>
      <c r="B84" s="423" t="e">
        <f>IF(MATCHED!AD84=1,MATCHED!$B84,IF(MATCHED!AD84=2,MATCHED!$C84,IF(MATCHED!AD84=3,MATCHED!$D84,IF(MATCHED!AD84=4,MATCHED!$E84,IF(MATCHED!AD84=3,MATCHED!$F84,IF(MATCHED!AD84=6,MATCHED!$G84,IF(MATCHED!AD84=7,MATCHED!$H84,"")))))))&amp;IF(MATCHED!AD84=8,MATCHED!$I84,IF(MATCHED!AD84=9,MATCHED!$J84,IF(MATCHED!AD84=10,MATCHED!$K84,IF(MATCHED!AD84=11,MATCHED!$L84,IF(MATCHED!AD84=12,MATCHED!$M84,IF(MATCHED!AD84=13,MATCHED!$N84,IF(MATCHED!AD84=14,MATCHED!$O84,"")))))))&amp;IF(MATCHED!AD84=15,MATCHED!$P84,IF(MATCHED!AD84=16,MATCHED!$Q84,IF(MATCHED!AD84=17,MATCHED!$R84,IF(MATCHED!AD84=18,MATCHED!$S84,IF(MATCHED!AD84=19,MATCHED!$T84,IF(MATCHED!AD84=20,MATCHED!$U84,IF(MATCHED!AD84=21,MATCHED!$V84,)))))))&amp;IF(MATCHED!AD84=22,MATCHED!$W84,IF(MATCHED!AD84=23,MATCHED!$X84,IF(MATCHED!AD84=24,MATCHED!$Y84,IF(MATCHED!AD84=25,MATCHED!$Z84,IF(MATCHED!AD84=26,MATCHED!$AA84,IF(MATCHED!AD84=27,MATCHED!$AB84,"."))))))</f>
        <v>#N/A</v>
      </c>
      <c r="C84" s="423" t="e">
        <f>IF(MATCHED!AE84=1,MATCHED!$B84,IF(MATCHED!AE84=2,MATCHED!$C84,IF(MATCHED!AE84=3,MATCHED!$D84,IF(MATCHED!AE84=4,MATCHED!$E84,IF(MATCHED!AE84=3,MATCHED!$F84,IF(MATCHED!AE84=6,MATCHED!$G84,IF(MATCHED!AE84=7,MATCHED!$H84,"")))))))&amp;IF(MATCHED!AE84=8,MATCHED!$I84,IF(MATCHED!AE84=9,MATCHED!$J84,IF(MATCHED!AE84=10,MATCHED!$K84,IF(MATCHED!AE84=11,MATCHED!$L84,IF(MATCHED!AE84=12,MATCHED!$M84,IF(MATCHED!AE84=13,MATCHED!$N84,IF(MATCHED!AE84=14,MATCHED!$O84,"")))))))&amp;IF(MATCHED!AE84=15,MATCHED!$P84,IF(MATCHED!AE84=16,MATCHED!$Q84,IF(MATCHED!AE84=17,MATCHED!$R84,IF(MATCHED!AE84=18,MATCHED!$S84,IF(MATCHED!AE84=19,MATCHED!$T84,IF(MATCHED!AE84=20,MATCHED!$U84,IF(MATCHED!AE84=21,MATCHED!$V84,)))))))&amp;IF(MATCHED!AE84=22,MATCHED!$W84,IF(MATCHED!AE84=23,MATCHED!$X84,IF(MATCHED!AE84=24,MATCHED!$Y84,IF(MATCHED!AE84=25,MATCHED!$Z84,IF(MATCHED!AE84=26,MATCHED!$AA84,IF(MATCHED!AE84=27,MATCHED!$AB84,"."))))))</f>
        <v>#N/A</v>
      </c>
      <c r="D84" s="423" t="e">
        <f>IF(MATCHED!AF84=1,MATCHED!$B84,IF(MATCHED!AF84=2,MATCHED!$C84,IF(MATCHED!AF84=3,MATCHED!$D84,IF(MATCHED!AF84=4,MATCHED!$E84,IF(MATCHED!AF84=3,MATCHED!$F84,IF(MATCHED!AF84=6,MATCHED!$G84,IF(MATCHED!AF84=7,MATCHED!$H84,"")))))))&amp;IF(MATCHED!AF84=8,MATCHED!$I84,IF(MATCHED!AF84=9,MATCHED!$J84,IF(MATCHED!AF84=10,MATCHED!$K84,IF(MATCHED!AF84=11,MATCHED!$L84,IF(MATCHED!AF84=12,MATCHED!$M84,IF(MATCHED!AF84=13,MATCHED!$N84,IF(MATCHED!AF84=14,MATCHED!$O84,"")))))))&amp;IF(MATCHED!AF84=15,MATCHED!$P84,IF(MATCHED!AF84=16,MATCHED!$Q84,IF(MATCHED!AF84=17,MATCHED!$R84,IF(MATCHED!AF84=18,MATCHED!$S84,IF(MATCHED!AF84=19,MATCHED!$T84,IF(MATCHED!AF84=20,MATCHED!$U84,IF(MATCHED!AF84=21,MATCHED!$V84,)))))))&amp;IF(MATCHED!AF84=22,MATCHED!$W84,IF(MATCHED!AF84=23,MATCHED!$X84,IF(MATCHED!AF84=24,MATCHED!$Y84,IF(MATCHED!AF84=25,MATCHED!$Z84,IF(MATCHED!AF84=26,MATCHED!$AA84,IF(MATCHED!AF84=27,MATCHED!$AB84,"."))))))</f>
        <v>#N/A</v>
      </c>
      <c r="E84" s="423" t="e">
        <f>IF(MATCHED!AG84=1,MATCHED!$B84,IF(MATCHED!AG84=2,MATCHED!$C84,IF(MATCHED!AG84=3,MATCHED!$D84,IF(MATCHED!AG84=4,MATCHED!$E84,IF(MATCHED!AG84=3,MATCHED!$F84,IF(MATCHED!AG84=6,MATCHED!$G84,IF(MATCHED!AG84=7,MATCHED!$H84,"")))))))&amp;IF(MATCHED!AG84=8,MATCHED!$I84,IF(MATCHED!AG84=9,MATCHED!$J84,IF(MATCHED!AG84=10,MATCHED!$K84,IF(MATCHED!AG84=11,MATCHED!$L84,IF(MATCHED!AG84=12,MATCHED!$M84,IF(MATCHED!AG84=13,MATCHED!$N84,IF(MATCHED!AG84=14,MATCHED!$O84,"")))))))&amp;IF(MATCHED!AG84=15,MATCHED!$P84,IF(MATCHED!AG84=16,MATCHED!$Q84,IF(MATCHED!AG84=17,MATCHED!$R84,IF(MATCHED!AG84=18,MATCHED!$S84,IF(MATCHED!AG84=19,MATCHED!$T84,IF(MATCHED!AG84=20,MATCHED!$U84,IF(MATCHED!AG84=21,MATCHED!$V84,)))))))&amp;IF(MATCHED!AG84=22,MATCHED!$W84,IF(MATCHED!AG84=23,MATCHED!$X84,IF(MATCHED!AG84=24,MATCHED!$Y84,IF(MATCHED!AG84=25,MATCHED!$Z84,IF(MATCHED!AG84=26,MATCHED!$AA84,IF(MATCHED!AG84=27,MATCHED!$AB84,"."))))))</f>
        <v>#N/A</v>
      </c>
      <c r="F84" s="423" t="e">
        <f>IF(MATCHED!AH84=1,MATCHED!$B84,IF(MATCHED!AH84=2,MATCHED!$C84,IF(MATCHED!AH84=3,MATCHED!$D84,IF(MATCHED!AH84=4,MATCHED!$E84,IF(MATCHED!AH84=3,MATCHED!$F84,IF(MATCHED!AH84=6,MATCHED!$G84,IF(MATCHED!AH84=7,MATCHED!$H84,"")))))))&amp;IF(MATCHED!AH84=8,MATCHED!$I84,IF(MATCHED!AH84=9,MATCHED!$J84,IF(MATCHED!AH84=10,MATCHED!$K84,IF(MATCHED!AH84=11,MATCHED!$L84,IF(MATCHED!AH84=12,MATCHED!$M84,IF(MATCHED!AH84=13,MATCHED!$N84,IF(MATCHED!AH84=14,MATCHED!$O84,"")))))))&amp;IF(MATCHED!AH84=15,MATCHED!$P84,IF(MATCHED!AH84=16,MATCHED!$Q84,IF(MATCHED!AH84=17,MATCHED!$R84,IF(MATCHED!AH84=18,MATCHED!$S84,IF(MATCHED!AH84=19,MATCHED!$T84,IF(MATCHED!AH84=20,MATCHED!$U84,IF(MATCHED!AH84=21,MATCHED!$V84,)))))))&amp;IF(MATCHED!AH84=22,MATCHED!$W84,IF(MATCHED!AH84=23,MATCHED!$X84,IF(MATCHED!AH84=24,MATCHED!$Y84,IF(MATCHED!AH84=25,MATCHED!$Z84,IF(MATCHED!AH84=26,MATCHED!$AA84,IF(MATCHED!AH84=27,MATCHED!$AB84,"."))))))</f>
        <v>#N/A</v>
      </c>
      <c r="G84" s="423" t="e">
        <f>IF(MATCHED!AI84=1,MATCHED!$B84,IF(MATCHED!AI84=2,MATCHED!$C84,IF(MATCHED!AI84=3,MATCHED!$D84,IF(MATCHED!AI84=4,MATCHED!$E84,IF(MATCHED!AI84=3,MATCHED!$F84,IF(MATCHED!AI84=6,MATCHED!$G84,IF(MATCHED!AI84=7,MATCHED!$H84,"")))))))&amp;IF(MATCHED!AI84=8,MATCHED!$I84,IF(MATCHED!AI84=9,MATCHED!$J84,IF(MATCHED!AI84=10,MATCHED!$K84,IF(MATCHED!AI84=11,MATCHED!$L84,IF(MATCHED!AI84=12,MATCHED!$M84,IF(MATCHED!AI84=13,MATCHED!$N84,IF(MATCHED!AI84=14,MATCHED!$O84,"")))))))&amp;IF(MATCHED!AI84=15,MATCHED!$P84,IF(MATCHED!AI84=16,MATCHED!$Q84,IF(MATCHED!AI84=17,MATCHED!$R84,IF(MATCHED!AI84=18,MATCHED!$S84,IF(MATCHED!AI84=19,MATCHED!$T84,IF(MATCHED!AI84=20,MATCHED!$U84,IF(MATCHED!AI84=21,MATCHED!$V84,)))))))&amp;IF(MATCHED!AI84=22,MATCHED!$W84,IF(MATCHED!AI84=23,MATCHED!$X84,IF(MATCHED!AI84=24,MATCHED!$Y84,IF(MATCHED!AI84=25,MATCHED!$Z84,IF(MATCHED!AI84=26,MATCHED!$AA84,IF(MATCHED!AI84=27,MATCHED!$AB84,"."))))))</f>
        <v>#N/A</v>
      </c>
      <c r="H84" s="423" t="e">
        <f>IF(MATCHED!AJ84=1,MATCHED!$B84,IF(MATCHED!AJ84=2,MATCHED!$C84,IF(MATCHED!AJ84=3,MATCHED!$D84,IF(MATCHED!AJ84=4,MATCHED!$E84,IF(MATCHED!AJ84=3,MATCHED!$F84,IF(MATCHED!AJ84=6,MATCHED!$G84,IF(MATCHED!AJ84=7,MATCHED!$H84,"")))))))&amp;IF(MATCHED!AJ84=8,MATCHED!$I84,IF(MATCHED!AJ84=9,MATCHED!$J84,IF(MATCHED!AJ84=10,MATCHED!$K84,IF(MATCHED!AJ84=11,MATCHED!$L84,IF(MATCHED!AJ84=12,MATCHED!$M84,IF(MATCHED!AJ84=13,MATCHED!$N84,IF(MATCHED!AJ84=14,MATCHED!$O84,"")))))))&amp;IF(MATCHED!AJ84=15,MATCHED!$P84,IF(MATCHED!AJ84=16,MATCHED!$Q84,IF(MATCHED!AJ84=17,MATCHED!$R84,IF(MATCHED!AJ84=18,MATCHED!$S84,IF(MATCHED!AJ84=19,MATCHED!$T84,IF(MATCHED!AJ84=20,MATCHED!$U84,IF(MATCHED!AJ84=21,MATCHED!$V84,)))))))&amp;IF(MATCHED!AJ84=22,MATCHED!$W84,IF(MATCHED!AJ84=23,MATCHED!$X84,IF(MATCHED!AJ84=24,MATCHED!$Y84,IF(MATCHED!AJ84=25,MATCHED!$Z84,IF(MATCHED!AJ84=26,MATCHED!$AA84,IF(MATCHED!AJ84=27,MATCHED!$AB84,"."))))))</f>
        <v>#N/A</v>
      </c>
      <c r="I84" s="423" t="e">
        <f>IF(MATCHED!AK84=1,MATCHED!$B84,IF(MATCHED!AK84=2,MATCHED!$C84,IF(MATCHED!AK84=3,MATCHED!$D84,IF(MATCHED!AK84=4,MATCHED!$E84,IF(MATCHED!AK84=3,MATCHED!$F84,IF(MATCHED!AK84=6,MATCHED!$G84,IF(MATCHED!AK84=7,MATCHED!$H84,"")))))))&amp;IF(MATCHED!AK84=8,MATCHED!$I84,IF(MATCHED!AK84=9,MATCHED!$J84,IF(MATCHED!AK84=10,MATCHED!$K84,IF(MATCHED!AK84=11,MATCHED!$L84,IF(MATCHED!AK84=12,MATCHED!$M84,IF(MATCHED!AK84=13,MATCHED!$N84,IF(MATCHED!AK84=14,MATCHED!$O84,"")))))))&amp;IF(MATCHED!AK84=15,MATCHED!$P84,IF(MATCHED!AK84=16,MATCHED!$Q84,IF(MATCHED!AK84=17,MATCHED!$R84,IF(MATCHED!AK84=18,MATCHED!$S84,IF(MATCHED!AK84=19,MATCHED!$T84,IF(MATCHED!AK84=20,MATCHED!$U84,IF(MATCHED!AK84=21,MATCHED!$V84,)))))))&amp;IF(MATCHED!AK84=22,MATCHED!$W84,IF(MATCHED!AK84=23,MATCHED!$X84,IF(MATCHED!AK84=24,MATCHED!$Y84,IF(MATCHED!AK84=25,MATCHED!$Z84,IF(MATCHED!AK84=26,MATCHED!$AA84,IF(MATCHED!AK84=27,MATCHED!$AB84,"."))))))</f>
        <v>#N/A</v>
      </c>
      <c r="J84" s="423" t="e">
        <f>IF(MATCHED!AL84=1,MATCHED!$B84,IF(MATCHED!AL84=2,MATCHED!$C84,IF(MATCHED!AL84=3,MATCHED!$D84,IF(MATCHED!AL84=4,MATCHED!$E84,IF(MATCHED!AL84=3,MATCHED!$F84,IF(MATCHED!AL84=6,MATCHED!$G84,IF(MATCHED!AL84=7,MATCHED!$H84,"")))))))&amp;IF(MATCHED!AL84=8,MATCHED!$I84,IF(MATCHED!AL84=9,MATCHED!$J84,IF(MATCHED!AL84=10,MATCHED!$K84,IF(MATCHED!AL84=11,MATCHED!$L84,IF(MATCHED!AL84=12,MATCHED!$M84,IF(MATCHED!AL84=13,MATCHED!$N84,IF(MATCHED!AL84=14,MATCHED!$O84,"")))))))&amp;IF(MATCHED!AL84=15,MATCHED!$P84,IF(MATCHED!AL84=16,MATCHED!$Q84,IF(MATCHED!AL84=17,MATCHED!$R84,IF(MATCHED!AL84=18,MATCHED!$S84,IF(MATCHED!AL84=19,MATCHED!$T84,IF(MATCHED!AL84=20,MATCHED!$U84,IF(MATCHED!AL84=21,MATCHED!$V84,)))))))&amp;IF(MATCHED!AL84=22,MATCHED!$W84,IF(MATCHED!AL84=23,MATCHED!$X84,IF(MATCHED!AL84=24,MATCHED!$Y84,IF(MATCHED!AL84=25,MATCHED!$Z84,IF(MATCHED!AL84=26,MATCHED!$AA84,IF(MATCHED!AL84=27,MATCHED!$AB84,"."))))))</f>
        <v>#N/A</v>
      </c>
      <c r="K84" s="423" t="e">
        <f>IF(MATCHED!AM84=1,MATCHED!$B84,IF(MATCHED!AM84=2,MATCHED!$C84,IF(MATCHED!AM84=3,MATCHED!$D84,IF(MATCHED!AM84=4,MATCHED!$E84,IF(MATCHED!AM84=3,MATCHED!$F84,IF(MATCHED!AM84=6,MATCHED!$G84,IF(MATCHED!AM84=7,MATCHED!$H84,"")))))))&amp;IF(MATCHED!AM84=8,MATCHED!$I84,IF(MATCHED!AM84=9,MATCHED!$J84,IF(MATCHED!AM84=10,MATCHED!$K84,IF(MATCHED!AM84=11,MATCHED!$L84,IF(MATCHED!AM84=12,MATCHED!$M84,IF(MATCHED!AM84=13,MATCHED!$N84,IF(MATCHED!AM84=14,MATCHED!$O84,"")))))))&amp;IF(MATCHED!AM84=15,MATCHED!$P84,IF(MATCHED!AM84=16,MATCHED!$Q84,IF(MATCHED!AM84=17,MATCHED!$R84,IF(MATCHED!AM84=18,MATCHED!$S84,IF(MATCHED!AM84=19,MATCHED!$T84,IF(MATCHED!AM84=20,MATCHED!$U84,IF(MATCHED!AM84=21,MATCHED!$V84,)))))))&amp;IF(MATCHED!AM84=22,MATCHED!$W84,IF(MATCHED!AM84=23,MATCHED!$X84,IF(MATCHED!AM84=24,MATCHED!$Y84,IF(MATCHED!AM84=25,MATCHED!$Z84,IF(MATCHED!AM84=26,MATCHED!$AA84,IF(MATCHED!AM84=27,MATCHED!$AB84,"."))))))</f>
        <v>#N/A</v>
      </c>
      <c r="L84" s="423" t="e">
        <f>IF(MATCHED!AN84=1,MATCHED!$B84,IF(MATCHED!AN84=2,MATCHED!$C84,IF(MATCHED!AN84=3,MATCHED!$D84,IF(MATCHED!AN84=4,MATCHED!$E84,IF(MATCHED!AN84=3,MATCHED!$F84,IF(MATCHED!AN84=6,MATCHED!$G84,IF(MATCHED!AN84=7,MATCHED!$H84,"")))))))&amp;IF(MATCHED!AN84=8,MATCHED!$I84,IF(MATCHED!AN84=9,MATCHED!$J84,IF(MATCHED!AN84=10,MATCHED!$K84,IF(MATCHED!AN84=11,MATCHED!$L84,IF(MATCHED!AN84=12,MATCHED!$M84,IF(MATCHED!AN84=13,MATCHED!$N84,IF(MATCHED!AN84=14,MATCHED!$O84,"")))))))&amp;IF(MATCHED!AN84=15,MATCHED!$P84,IF(MATCHED!AN84=16,MATCHED!$Q84,IF(MATCHED!AN84=17,MATCHED!$R84,IF(MATCHED!AN84=18,MATCHED!$S84,IF(MATCHED!AN84=19,MATCHED!$T84,IF(MATCHED!AN84=20,MATCHED!$U84,IF(MATCHED!AN84=21,MATCHED!$V84,)))))))&amp;IF(MATCHED!AN84=22,MATCHED!$W84,IF(MATCHED!AN84=23,MATCHED!$X84,IF(MATCHED!AN84=24,MATCHED!$Y84,IF(MATCHED!AN84=25,MATCHED!$Z84,IF(MATCHED!AN84=26,MATCHED!$AA84,IF(MATCHED!AN84=27,MATCHED!$AB84,"."))))))</f>
        <v>#N/A</v>
      </c>
      <c r="M84" s="423" t="e">
        <f>IF(MATCHED!AO84=1,MATCHED!$B84,IF(MATCHED!AO84=2,MATCHED!$C84,IF(MATCHED!AO84=3,MATCHED!$D84,IF(MATCHED!AO84=4,MATCHED!$E84,IF(MATCHED!AO84=3,MATCHED!$F84,IF(MATCHED!AO84=6,MATCHED!$G84,IF(MATCHED!AO84=7,MATCHED!$H84,"")))))))&amp;IF(MATCHED!AO84=8,MATCHED!$I84,IF(MATCHED!AO84=9,MATCHED!$J84,IF(MATCHED!AO84=10,MATCHED!$K84,IF(MATCHED!AO84=11,MATCHED!$L84,IF(MATCHED!AO84=12,MATCHED!$M84,IF(MATCHED!AO84=13,MATCHED!$N84,IF(MATCHED!AO84=14,MATCHED!$O84,"")))))))&amp;IF(MATCHED!AO84=15,MATCHED!$P84,IF(MATCHED!AO84=16,MATCHED!$Q84,IF(MATCHED!AO84=17,MATCHED!$R84,IF(MATCHED!AO84=18,MATCHED!$S84,IF(MATCHED!AO84=19,MATCHED!$T84,IF(MATCHED!AO84=20,MATCHED!$U84,IF(MATCHED!AO84=21,MATCHED!$V84,)))))))&amp;IF(MATCHED!AO84=22,MATCHED!$W84,IF(MATCHED!AO84=23,MATCHED!$X84,IF(MATCHED!AO84=24,MATCHED!$Y84,IF(MATCHED!AO84=25,MATCHED!$Z84,IF(MATCHED!AO84=26,MATCHED!$AA84,IF(MATCHED!AO84=27,MATCHED!$AB84,"."))))))</f>
        <v>#N/A</v>
      </c>
      <c r="N84" s="423" t="e">
        <f>IF(MATCHED!AP84=1,MATCHED!$B84,IF(MATCHED!AP84=2,MATCHED!$C84,IF(MATCHED!AP84=3,MATCHED!$D84,IF(MATCHED!AP84=4,MATCHED!$E84,IF(MATCHED!AP84=3,MATCHED!$F84,IF(MATCHED!AP84=6,MATCHED!$G84,IF(MATCHED!AP84=7,MATCHED!$H84,"")))))))&amp;IF(MATCHED!AP84=8,MATCHED!$I84,IF(MATCHED!AP84=9,MATCHED!$J84,IF(MATCHED!AP84=10,MATCHED!$K84,IF(MATCHED!AP84=11,MATCHED!$L84,IF(MATCHED!AP84=12,MATCHED!$M84,IF(MATCHED!AP84=13,MATCHED!$N84,IF(MATCHED!AP84=14,MATCHED!$O84,"")))))))&amp;IF(MATCHED!AP84=15,MATCHED!$P84,IF(MATCHED!AP84=16,MATCHED!$Q84,IF(MATCHED!AP84=17,MATCHED!$R84,IF(MATCHED!AP84=18,MATCHED!$S84,IF(MATCHED!AP84=19,MATCHED!$T84,IF(MATCHED!AP84=20,MATCHED!$U84,IF(MATCHED!AP84=21,MATCHED!$V84,)))))))&amp;IF(MATCHED!AP84=22,MATCHED!$W84,IF(MATCHED!AP84=23,MATCHED!$X84,IF(MATCHED!AP84=24,MATCHED!$Y84,IF(MATCHED!AP84=25,MATCHED!$Z84,IF(MATCHED!AP84=26,MATCHED!$AA84,IF(MATCHED!AP84=27,MATCHED!$AB84,"."))))))</f>
        <v>#N/A</v>
      </c>
      <c r="O84" s="423" t="e">
        <f>IF(MATCHED!AQ84=1,MATCHED!$B84,IF(MATCHED!AQ84=2,MATCHED!$C84,IF(MATCHED!AQ84=3,MATCHED!$D84,IF(MATCHED!AQ84=4,MATCHED!$E84,IF(MATCHED!AQ84=3,MATCHED!$F84,IF(MATCHED!AQ84=6,MATCHED!$G84,IF(MATCHED!AQ84=7,MATCHED!$H84,"")))))))&amp;IF(MATCHED!AQ84=8,MATCHED!$I84,IF(MATCHED!AQ84=9,MATCHED!$J84,IF(MATCHED!AQ84=10,MATCHED!$K84,IF(MATCHED!AQ84=11,MATCHED!$L84,IF(MATCHED!AQ84=12,MATCHED!$M84,IF(MATCHED!AQ84=13,MATCHED!$N84,IF(MATCHED!AQ84=14,MATCHED!$O84,"")))))))&amp;IF(MATCHED!AQ84=15,MATCHED!$P84,IF(MATCHED!AQ84=16,MATCHED!$Q84,IF(MATCHED!AQ84=17,MATCHED!$R84,IF(MATCHED!AQ84=18,MATCHED!$S84,IF(MATCHED!AQ84=19,MATCHED!$T84,IF(MATCHED!AQ84=20,MATCHED!$U84,IF(MATCHED!AQ84=21,MATCHED!$V84,)))))))&amp;IF(MATCHED!AQ84=22,MATCHED!$W84,IF(MATCHED!AQ84=23,MATCHED!$X84,IF(MATCHED!AQ84=24,MATCHED!$Y84,IF(MATCHED!AQ84=25,MATCHED!$Z84,IF(MATCHED!AQ84=26,MATCHED!$AA84,IF(MATCHED!AQ84=27,MATCHED!$AB84,"."))))))</f>
        <v>#N/A</v>
      </c>
      <c r="P84" s="423" t="e">
        <f>IF(MATCHED!AR84=1,MATCHED!$B84,IF(MATCHED!AR84=2,MATCHED!$C84,IF(MATCHED!AR84=3,MATCHED!$D84,IF(MATCHED!AR84=4,MATCHED!$E84,IF(MATCHED!AR84=3,MATCHED!$F84,IF(MATCHED!AR84=6,MATCHED!$G84,IF(MATCHED!AR84=7,MATCHED!$H84,"")))))))&amp;IF(MATCHED!AR84=8,MATCHED!$I84,IF(MATCHED!AR84=9,MATCHED!$J84,IF(MATCHED!AR84=10,MATCHED!$K84,IF(MATCHED!AR84=11,MATCHED!$L84,IF(MATCHED!AR84=12,MATCHED!$M84,IF(MATCHED!AR84=13,MATCHED!$N84,IF(MATCHED!AR84=14,MATCHED!$O84,"")))))))&amp;IF(MATCHED!AR84=15,MATCHED!$P84,IF(MATCHED!AR84=16,MATCHED!$Q84,IF(MATCHED!AR84=17,MATCHED!$R84,IF(MATCHED!AR84=18,MATCHED!$S84,IF(MATCHED!AR84=19,MATCHED!$T84,IF(MATCHED!AR84=20,MATCHED!$U84,IF(MATCHED!AR84=21,MATCHED!$V84,)))))))&amp;IF(MATCHED!AR84=22,MATCHED!$W84,IF(MATCHED!AR84=23,MATCHED!$X84,IF(MATCHED!AR84=24,MATCHED!$Y84,IF(MATCHED!AR84=25,MATCHED!$Z84,IF(MATCHED!AR84=26,MATCHED!$AA84,IF(MATCHED!AR84=27,MATCHED!$AB84,"."))))))</f>
        <v>#N/A</v>
      </c>
      <c r="Q84" s="423" t="e">
        <f>IF(MATCHED!AS84=1,MATCHED!$B84,IF(MATCHED!AS84=2,MATCHED!$C84,IF(MATCHED!AS84=3,MATCHED!$D84,IF(MATCHED!AS84=4,MATCHED!$E84,IF(MATCHED!AS84=3,MATCHED!$F84,IF(MATCHED!AS84=6,MATCHED!$G84,IF(MATCHED!AS84=7,MATCHED!$H84,"")))))))&amp;IF(MATCHED!AS84=8,MATCHED!$I84,IF(MATCHED!AS84=9,MATCHED!$J84,IF(MATCHED!AS84=10,MATCHED!$K84,IF(MATCHED!AS84=11,MATCHED!$L84,IF(MATCHED!AS84=12,MATCHED!$M84,IF(MATCHED!AS84=13,MATCHED!$N84,IF(MATCHED!AS84=14,MATCHED!$O84,"")))))))&amp;IF(MATCHED!AS84=15,MATCHED!$P84,IF(MATCHED!AS84=16,MATCHED!$Q84,IF(MATCHED!AS84=17,MATCHED!$R84,IF(MATCHED!AS84=18,MATCHED!$S84,IF(MATCHED!AS84=19,MATCHED!$T84,IF(MATCHED!AS84=20,MATCHED!$U84,IF(MATCHED!AS84=21,MATCHED!$V84,)))))))&amp;IF(MATCHED!AS84=22,MATCHED!$W84,IF(MATCHED!AS84=23,MATCHED!$X84,IF(MATCHED!AS84=24,MATCHED!$Y84,IF(MATCHED!AS84=25,MATCHED!$Z84,IF(MATCHED!AS84=26,MATCHED!$AA84,IF(MATCHED!AS84=27,MATCHED!$AB84,"."))))))</f>
        <v>#N/A</v>
      </c>
      <c r="R84" s="423" t="e">
        <f>IF(MATCHED!AT84=1,MATCHED!$B84,IF(MATCHED!AT84=2,MATCHED!$C84,IF(MATCHED!AT84=3,MATCHED!$D84,IF(MATCHED!AT84=4,MATCHED!$E84,IF(MATCHED!AT84=3,MATCHED!$F84,IF(MATCHED!AT84=6,MATCHED!$G84,IF(MATCHED!AT84=7,MATCHED!$H84,"")))))))&amp;IF(MATCHED!AT84=8,MATCHED!$I84,IF(MATCHED!AT84=9,MATCHED!$J84,IF(MATCHED!AT84=10,MATCHED!$K84,IF(MATCHED!AT84=11,MATCHED!$L84,IF(MATCHED!AT84=12,MATCHED!$M84,IF(MATCHED!AT84=13,MATCHED!$N84,IF(MATCHED!AT84=14,MATCHED!$O84,"")))))))&amp;IF(MATCHED!AT84=15,MATCHED!$P84,IF(MATCHED!AT84=16,MATCHED!$Q84,IF(MATCHED!AT84=17,MATCHED!$R84,IF(MATCHED!AT84=18,MATCHED!$S84,IF(MATCHED!AT84=19,MATCHED!$T84,IF(MATCHED!AT84=20,MATCHED!$U84,IF(MATCHED!AT84=21,MATCHED!$V84,)))))))&amp;IF(MATCHED!AT84=22,MATCHED!$W84,IF(MATCHED!AT84=23,MATCHED!$X84,IF(MATCHED!AT84=24,MATCHED!$Y84,IF(MATCHED!AT84=25,MATCHED!$Z84,IF(MATCHED!AT84=26,MATCHED!$AA84,IF(MATCHED!AT84=27,MATCHED!$AB84,"."))))))</f>
        <v>#N/A</v>
      </c>
      <c r="S84" s="423" t="e">
        <f>IF(MATCHED!AU84=1,MATCHED!$B84,IF(MATCHED!AU84=2,MATCHED!$C84,IF(MATCHED!AU84=3,MATCHED!$D84,IF(MATCHED!AU84=4,MATCHED!$E84,IF(MATCHED!AU84=3,MATCHED!$F84,IF(MATCHED!AU84=6,MATCHED!$G84,IF(MATCHED!AU84=7,MATCHED!$H84,"")))))))&amp;IF(MATCHED!AU84=8,MATCHED!$I84,IF(MATCHED!AU84=9,MATCHED!$J84,IF(MATCHED!AU84=10,MATCHED!$K84,IF(MATCHED!AU84=11,MATCHED!$L84,IF(MATCHED!AU84=12,MATCHED!$M84,IF(MATCHED!AU84=13,MATCHED!$N84,IF(MATCHED!AU84=14,MATCHED!$O84,"")))))))&amp;IF(MATCHED!AU84=15,MATCHED!$P84,IF(MATCHED!AU84=16,MATCHED!$Q84,IF(MATCHED!AU84=17,MATCHED!$R84,IF(MATCHED!AU84=18,MATCHED!$S84,IF(MATCHED!AU84=19,MATCHED!$T84,IF(MATCHED!AU84=20,MATCHED!$U84,IF(MATCHED!AU84=21,MATCHED!$V84,)))))))&amp;IF(MATCHED!AU84=22,MATCHED!$W84,IF(MATCHED!AU84=23,MATCHED!$X84,IF(MATCHED!AU84=24,MATCHED!$Y84,IF(MATCHED!AU84=25,MATCHED!$Z84,IF(MATCHED!AU84=26,MATCHED!$AA84,IF(MATCHED!AU84=27,MATCHED!$AB84,"."))))))</f>
        <v>#N/A</v>
      </c>
      <c r="T84" s="423" t="e">
        <f>IF(MATCHED!AV84=1,MATCHED!$B84,IF(MATCHED!AV84=2,MATCHED!$C84,IF(MATCHED!AV84=3,MATCHED!$D84,IF(MATCHED!AV84=4,MATCHED!$E84,IF(MATCHED!AV84=3,MATCHED!$F84,IF(MATCHED!AV84=6,MATCHED!$G84,IF(MATCHED!AV84=7,MATCHED!$H84,"")))))))&amp;IF(MATCHED!AV84=8,MATCHED!$I84,IF(MATCHED!AV84=9,MATCHED!$J84,IF(MATCHED!AV84=10,MATCHED!$K84,IF(MATCHED!AV84=11,MATCHED!$L84,IF(MATCHED!AV84=12,MATCHED!$M84,IF(MATCHED!AV84=13,MATCHED!$N84,IF(MATCHED!AV84=14,MATCHED!$O84,"")))))))&amp;IF(MATCHED!AV84=15,MATCHED!$P84,IF(MATCHED!AV84=16,MATCHED!$Q84,IF(MATCHED!AV84=17,MATCHED!$R84,IF(MATCHED!AV84=18,MATCHED!$S84,IF(MATCHED!AV84=19,MATCHED!$T84,IF(MATCHED!AV84=20,MATCHED!$U84,IF(MATCHED!AV84=21,MATCHED!$V84,)))))))&amp;IF(MATCHED!AV84=22,MATCHED!$W84,IF(MATCHED!AV84=23,MATCHED!$X84,IF(MATCHED!AV84=24,MATCHED!$Y84,IF(MATCHED!AV84=25,MATCHED!$Z84,IF(MATCHED!AV84=26,MATCHED!$AA84,IF(MATCHED!AV84=27,MATCHED!$AB84,"."))))))</f>
        <v>#N/A</v>
      </c>
      <c r="U84" s="423" t="e">
        <f>IF(MATCHED!AW84=1,MATCHED!$B84,IF(MATCHED!AW84=2,MATCHED!$C84,IF(MATCHED!AW84=3,MATCHED!$D84,IF(MATCHED!AW84=4,MATCHED!$E84,IF(MATCHED!AW84=3,MATCHED!$F84,IF(MATCHED!AW84=6,MATCHED!$G84,IF(MATCHED!AW84=7,MATCHED!$H84,"")))))))&amp;IF(MATCHED!AW84=8,MATCHED!$I84,IF(MATCHED!AW84=9,MATCHED!$J84,IF(MATCHED!AW84=10,MATCHED!$K84,IF(MATCHED!AW84=11,MATCHED!$L84,IF(MATCHED!AW84=12,MATCHED!$M84,IF(MATCHED!AW84=13,MATCHED!$N84,IF(MATCHED!AW84=14,MATCHED!$O84,"")))))))&amp;IF(MATCHED!AW84=15,MATCHED!$P84,IF(MATCHED!AW84=16,MATCHED!$Q84,IF(MATCHED!AW84=17,MATCHED!$R84,IF(MATCHED!AW84=18,MATCHED!$S84,IF(MATCHED!AW84=19,MATCHED!$T84,IF(MATCHED!AW84=20,MATCHED!$U84,IF(MATCHED!AW84=21,MATCHED!$V84,)))))))&amp;IF(MATCHED!AW84=22,MATCHED!$W84,IF(MATCHED!AW84=23,MATCHED!$X84,IF(MATCHED!AW84=24,MATCHED!$Y84,IF(MATCHED!AW84=25,MATCHED!$Z84,IF(MATCHED!AW84=26,MATCHED!$AA84,IF(MATCHED!AW84=27,MATCHED!$AB84,"."))))))</f>
        <v>#N/A</v>
      </c>
      <c r="V84" s="423" t="e">
        <f>IF(MATCHED!AX84=1,MATCHED!$B84,IF(MATCHED!AX84=2,MATCHED!$C84,IF(MATCHED!AX84=3,MATCHED!$D84,IF(MATCHED!AX84=4,MATCHED!$E84,IF(MATCHED!AX84=3,MATCHED!$F84,IF(MATCHED!AX84=6,MATCHED!$G84,IF(MATCHED!AX84=7,MATCHED!$H84,"")))))))&amp;IF(MATCHED!AX84=8,MATCHED!$I84,IF(MATCHED!AX84=9,MATCHED!$J84,IF(MATCHED!AX84=10,MATCHED!$K84,IF(MATCHED!AX84=11,MATCHED!$L84,IF(MATCHED!AX84=12,MATCHED!$M84,IF(MATCHED!AX84=13,MATCHED!$N84,IF(MATCHED!AX84=14,MATCHED!$O84,"")))))))&amp;IF(MATCHED!AX84=15,MATCHED!$P84,IF(MATCHED!AX84=16,MATCHED!$Q84,IF(MATCHED!AX84=17,MATCHED!$R84,IF(MATCHED!AX84=18,MATCHED!$S84,IF(MATCHED!AX84=19,MATCHED!$T84,IF(MATCHED!AX84=20,MATCHED!$U84,IF(MATCHED!AX84=21,MATCHED!$V84,)))))))&amp;IF(MATCHED!AX84=22,MATCHED!$W84,IF(MATCHED!AX84=23,MATCHED!$X84,IF(MATCHED!AX84=24,MATCHED!$Y84,IF(MATCHED!AX84=25,MATCHED!$Z84,IF(MATCHED!AX84=26,MATCHED!$AA84,IF(MATCHED!AX84=27,MATCHED!$AB84,"."))))))</f>
        <v>#N/A</v>
      </c>
      <c r="W84" s="423" t="e">
        <f>IF(MATCHED!AY84=1,MATCHED!$B84,IF(MATCHED!AY84=2,MATCHED!$C84,IF(MATCHED!AY84=3,MATCHED!$D84,IF(MATCHED!AY84=4,MATCHED!$E84,IF(MATCHED!AY84=3,MATCHED!$F84,IF(MATCHED!AY84=6,MATCHED!$G84,IF(MATCHED!AY84=7,MATCHED!$H84,"")))))))&amp;IF(MATCHED!AY84=8,MATCHED!$I84,IF(MATCHED!AY84=9,MATCHED!$J84,IF(MATCHED!AY84=10,MATCHED!$K84,IF(MATCHED!AY84=11,MATCHED!$L84,IF(MATCHED!AY84=12,MATCHED!$M84,IF(MATCHED!AY84=13,MATCHED!$N84,IF(MATCHED!AY84=14,MATCHED!$O84,"")))))))&amp;IF(MATCHED!AY84=15,MATCHED!$P84,IF(MATCHED!AY84=16,MATCHED!$Q84,IF(MATCHED!AY84=17,MATCHED!$R84,IF(MATCHED!AY84=18,MATCHED!$S84,IF(MATCHED!AY84=19,MATCHED!$T84,IF(MATCHED!AY84=20,MATCHED!$U84,IF(MATCHED!AY84=21,MATCHED!$V84,)))))))&amp;IF(MATCHED!AY84=22,MATCHED!$W84,IF(MATCHED!AY84=23,MATCHED!$X84,IF(MATCHED!AY84=24,MATCHED!$Y84,IF(MATCHED!AY84=25,MATCHED!$Z84,IF(MATCHED!AY84=26,MATCHED!$AA84,IF(MATCHED!AY84=27,MATCHED!$AB84,"."))))))</f>
        <v>#N/A</v>
      </c>
      <c r="X84" s="423" t="e">
        <f>IF(MATCHED!AZ84=1,MATCHED!$B84,IF(MATCHED!AZ84=2,MATCHED!$C84,IF(MATCHED!AZ84=3,MATCHED!$D84,IF(MATCHED!AZ84=4,MATCHED!$E84,IF(MATCHED!AZ84=3,MATCHED!$F84,IF(MATCHED!AZ84=6,MATCHED!$G84,IF(MATCHED!AZ84=7,MATCHED!$H84,"")))))))&amp;IF(MATCHED!AZ84=8,MATCHED!$I84,IF(MATCHED!AZ84=9,MATCHED!$J84,IF(MATCHED!AZ84=10,MATCHED!$K84,IF(MATCHED!AZ84=11,MATCHED!$L84,IF(MATCHED!AZ84=12,MATCHED!$M84,IF(MATCHED!AZ84=13,MATCHED!$N84,IF(MATCHED!AZ84=14,MATCHED!$O84,"")))))))&amp;IF(MATCHED!AZ84=15,MATCHED!$P84,IF(MATCHED!AZ84=16,MATCHED!$Q84,IF(MATCHED!AZ84=17,MATCHED!$R84,IF(MATCHED!AZ84=18,MATCHED!$S84,IF(MATCHED!AZ84=19,MATCHED!$T84,IF(MATCHED!AZ84=20,MATCHED!$U84,IF(MATCHED!AZ84=21,MATCHED!$V84,)))))))&amp;IF(MATCHED!AZ84=22,MATCHED!$W84,IF(MATCHED!AZ84=23,MATCHED!$X84,IF(MATCHED!AZ84=24,MATCHED!$Y84,IF(MATCHED!AZ84=25,MATCHED!$Z84,IF(MATCHED!AZ84=26,MATCHED!$AA84,IF(MATCHED!AZ84=27,MATCHED!$AB84,"."))))))</f>
        <v>#N/A</v>
      </c>
      <c r="Y84" s="423" t="e">
        <f>IF(MATCHED!BA84=1,MATCHED!$B84,IF(MATCHED!BA84=2,MATCHED!$C84,IF(MATCHED!BA84=3,MATCHED!$D84,IF(MATCHED!BA84=4,MATCHED!$E84,IF(MATCHED!BA84=3,MATCHED!$F84,IF(MATCHED!BA84=6,MATCHED!$G84,IF(MATCHED!BA84=7,MATCHED!$H84,"")))))))&amp;IF(MATCHED!BA84=8,MATCHED!$I84,IF(MATCHED!BA84=9,MATCHED!$J84,IF(MATCHED!BA84=10,MATCHED!$K84,IF(MATCHED!BA84=11,MATCHED!$L84,IF(MATCHED!BA84=12,MATCHED!$M84,IF(MATCHED!BA84=13,MATCHED!$N84,IF(MATCHED!BA84=14,MATCHED!$O84,"")))))))&amp;IF(MATCHED!BA84=15,MATCHED!$P84,IF(MATCHED!BA84=16,MATCHED!$Q84,IF(MATCHED!BA84=17,MATCHED!$R84,IF(MATCHED!BA84=18,MATCHED!$S84,IF(MATCHED!BA84=19,MATCHED!$T84,IF(MATCHED!BA84=20,MATCHED!$U84,IF(MATCHED!BA84=21,MATCHED!$V84,)))))))&amp;IF(MATCHED!BA84=22,MATCHED!$W84,IF(MATCHED!BA84=23,MATCHED!$X84,IF(MATCHED!BA84=24,MATCHED!$Y84,IF(MATCHED!BA84=25,MATCHED!$Z84,IF(MATCHED!BA84=26,MATCHED!$AA84,IF(MATCHED!BA84=27,MATCHED!$AB84,"."))))))</f>
        <v>#N/A</v>
      </c>
      <c r="Z84" s="423" t="e">
        <f>IF(MATCHED!BB84=1,MATCHED!$B84,IF(MATCHED!BB84=2,MATCHED!$C84,IF(MATCHED!BB84=3,MATCHED!$D84,IF(MATCHED!BB84=4,MATCHED!$E84,IF(MATCHED!BB84=3,MATCHED!$F84,IF(MATCHED!BB84=6,MATCHED!$G84,IF(MATCHED!BB84=7,MATCHED!$H84,"")))))))&amp;IF(MATCHED!BB84=8,MATCHED!$I84,IF(MATCHED!BB84=9,MATCHED!$J84,IF(MATCHED!BB84=10,MATCHED!$K84,IF(MATCHED!BB84=11,MATCHED!$L84,IF(MATCHED!BB84=12,MATCHED!$M84,IF(MATCHED!BB84=13,MATCHED!$N84,IF(MATCHED!BB84=14,MATCHED!$O84,"")))))))&amp;IF(MATCHED!BB84=15,MATCHED!$P84,IF(MATCHED!BB84=16,MATCHED!$Q84,IF(MATCHED!BB84=17,MATCHED!$R84,IF(MATCHED!BB84=18,MATCHED!$S84,IF(MATCHED!BB84=19,MATCHED!$T84,IF(MATCHED!BB84=20,MATCHED!$U84,IF(MATCHED!BB84=21,MATCHED!$V84,)))))))&amp;IF(MATCHED!BB84=22,MATCHED!$W84,IF(MATCHED!BB84=23,MATCHED!$X84,IF(MATCHED!BB84=24,MATCHED!$Y84,IF(MATCHED!BB84=25,MATCHED!$Z84,IF(MATCHED!BB84=26,MATCHED!$AA84,IF(MATCHED!BB84=27,MATCHED!$AB84,"."))))))</f>
        <v>#N/A</v>
      </c>
      <c r="AA84" s="423" t="e">
        <f>IF(MATCHED!BC84=1,MATCHED!$B84,IF(MATCHED!BC84=2,MATCHED!$C84,IF(MATCHED!BC84=3,MATCHED!$D84,IF(MATCHED!BC84=4,MATCHED!$E84,IF(MATCHED!BC84=3,MATCHED!$F84,IF(MATCHED!BC84=6,MATCHED!$G84,IF(MATCHED!BC84=7,MATCHED!$H84,"")))))))&amp;IF(MATCHED!BC84=8,MATCHED!$I84,IF(MATCHED!BC84=9,MATCHED!$J84,IF(MATCHED!BC84=10,MATCHED!$K84,IF(MATCHED!BC84=11,MATCHED!$L84,IF(MATCHED!BC84=12,MATCHED!$M84,IF(MATCHED!BC84=13,MATCHED!$N84,IF(MATCHED!BC84=14,MATCHED!$O84,"")))))))&amp;IF(MATCHED!BC84=15,MATCHED!$P84,IF(MATCHED!BC84=16,MATCHED!$Q84,IF(MATCHED!BC84=17,MATCHED!$R84,IF(MATCHED!BC84=18,MATCHED!$S84,IF(MATCHED!BC84=19,MATCHED!$T84,IF(MATCHED!BC84=20,MATCHED!$U84,IF(MATCHED!BC84=21,MATCHED!$V84,)))))))&amp;IF(MATCHED!BC84=22,MATCHED!$W84,IF(MATCHED!BC84=23,MATCHED!$X84,IF(MATCHED!BC84=24,MATCHED!$Y84,IF(MATCHED!BC84=25,MATCHED!$Z84,IF(MATCHED!BC84=26,MATCHED!$AA84,IF(MATCHED!BC84=27,MATCHED!$AB84,"."))))))</f>
        <v>#N/A</v>
      </c>
      <c r="AB84" s="423" t="e">
        <f>IF(MATCHED!BD84=1,MATCHED!$B84,IF(MATCHED!BD84=2,MATCHED!$C84,IF(MATCHED!BD84=3,MATCHED!$D84,IF(MATCHED!BD84=4,MATCHED!$E84,IF(MATCHED!BD84=3,MATCHED!$F84,IF(MATCHED!BD84=6,MATCHED!$G84,IF(MATCHED!BD84=7,MATCHED!$H84,"")))))))&amp;IF(MATCHED!BD84=8,MATCHED!$I84,IF(MATCHED!BD84=9,MATCHED!$J84,IF(MATCHED!BD84=10,MATCHED!$K84,IF(MATCHED!BD84=11,MATCHED!$L84,IF(MATCHED!BD84=12,MATCHED!$M84,IF(MATCHED!BD84=13,MATCHED!$N84,IF(MATCHED!BD84=14,MATCHED!$O84,"")))))))&amp;IF(MATCHED!BD84=15,MATCHED!$P84,IF(MATCHED!BD84=16,MATCHED!$Q84,IF(MATCHED!BD84=17,MATCHED!$R84,IF(MATCHED!BD84=18,MATCHED!$S84,IF(MATCHED!BD84=19,MATCHED!$T84,IF(MATCHED!BD84=20,MATCHED!$U84,IF(MATCHED!BD84=21,MATCHED!$V84,)))))))&amp;IF(MATCHED!BD84=22,MATCHED!$W84,IF(MATCHED!BD84=23,MATCHED!$X84,IF(MATCHED!BD84=24,MATCHED!$Y84,IF(MATCHED!BD84=25,MATCHED!$Z84,IF(MATCHED!BD84=26,MATCHED!$AA84,IF(MATCHED!BD84=27,MATCHED!$AB84,"."))))))</f>
        <v>#N/A</v>
      </c>
      <c r="AC84" s="423" t="e">
        <f>IF(MATCHED!BE84=1,MATCHED!$B84,IF(MATCHED!BE84=2,MATCHED!$C84,IF(MATCHED!BE84=3,MATCHED!$D84,IF(MATCHED!BE84=4,MATCHED!$E84,IF(MATCHED!BE84=3,MATCHED!$F84,IF(MATCHED!BE84=6,MATCHED!$G84,IF(MATCHED!BE84=7,MATCHED!$H84,"")))))))&amp;IF(MATCHED!BE84=8,MATCHED!$I84,IF(MATCHED!BE84=9,MATCHED!$J84,IF(MATCHED!BE84=10,MATCHED!$K84,IF(MATCHED!BE84=11,MATCHED!$L84,IF(MATCHED!BE84=12,MATCHED!$M84,IF(MATCHED!BE84=13,MATCHED!$N84,IF(MATCHED!BE84=14,MATCHED!$O84,"")))))))&amp;IF(MATCHED!BE84=15,MATCHED!$P84,IF(MATCHED!BE84=16,MATCHED!$Q84,IF(MATCHED!BE84=17,MATCHED!$R84,IF(MATCHED!BE84=18,MATCHED!$S84,IF(MATCHED!BE84=19,MATCHED!$T84,IF(MATCHED!BE84=20,MATCHED!$U84,IF(MATCHED!BE84=21,MATCHED!$V84,)))))))&amp;IF(MATCHED!BE84=22,MATCHED!$W84,IF(MATCHED!BE84=23,MATCHED!$X84,IF(MATCHED!BE84=24,MATCHED!$Y84,IF(MATCHED!BE84=25,MATCHED!$Z84,IF(MATCHED!BE84=26,MATCHED!$AA84,IF(MATCHED!BE84=27,MATCHED!$AB84,"."))))))</f>
        <v>#N/A</v>
      </c>
      <c r="AD84" s="423" t="e">
        <f>IF(MATCHED!BF84=1,MATCHED!$B84,IF(MATCHED!BF84=2,MATCHED!$C84,IF(MATCHED!BF84=3,MATCHED!$D84,IF(MATCHED!BF84=4,MATCHED!$E84,IF(MATCHED!BF84=3,MATCHED!$F84,IF(MATCHED!BF84=6,MATCHED!$G84,IF(MATCHED!BF84=7,MATCHED!$H84,"")))))))&amp;IF(MATCHED!BF84=8,MATCHED!$I84,IF(MATCHED!BF84=9,MATCHED!$J84,IF(MATCHED!BF84=10,MATCHED!$K84,IF(MATCHED!BF84=11,MATCHED!$L84,IF(MATCHED!BF84=12,MATCHED!$M84,IF(MATCHED!BF84=13,MATCHED!$N84,IF(MATCHED!BF84=14,MATCHED!$O84,"")))))))&amp;IF(MATCHED!BF84=15,MATCHED!$P84,IF(MATCHED!BF84=16,MATCHED!$Q84,IF(MATCHED!BF84=17,MATCHED!$R84,IF(MATCHED!BF84=18,MATCHED!$S84,IF(MATCHED!BF84=19,MATCHED!$T84,IF(MATCHED!BF84=20,MATCHED!$U84,IF(MATCHED!BF84=21,MATCHED!$V84,)))))))&amp;IF(MATCHED!BF84=22,MATCHED!$W84,IF(MATCHED!BF84=23,MATCHED!$X84,IF(MATCHED!BF84=24,MATCHED!$Y84,IF(MATCHED!BF84=25,MATCHED!$Z84,IF(MATCHED!BF84=26,MATCHED!$AA84,IF(MATCHED!BF84=27,MATCHED!$AB84,"."))))))</f>
        <v>#N/A</v>
      </c>
      <c r="AE84" s="423" t="e">
        <f>IF(MATCHED!BG84=1,MATCHED!$B84,IF(MATCHED!BG84=2,MATCHED!$C84,IF(MATCHED!BG84=3,MATCHED!$D84,IF(MATCHED!BG84=4,MATCHED!$E84,IF(MATCHED!BG84=3,MATCHED!$F84,IF(MATCHED!BG84=6,MATCHED!$G84,IF(MATCHED!BG84=7,MATCHED!$H84,"")))))))&amp;IF(MATCHED!BG84=8,MATCHED!$I84,IF(MATCHED!BG84=9,MATCHED!$J84,IF(MATCHED!BG84=10,MATCHED!$K84,IF(MATCHED!BG84=11,MATCHED!$L84,IF(MATCHED!BG84=12,MATCHED!$M84,IF(MATCHED!BG84=13,MATCHED!$N84,IF(MATCHED!BG84=14,MATCHED!$O84,"")))))))&amp;IF(MATCHED!BG84=15,MATCHED!$P84,IF(MATCHED!BG84=16,MATCHED!$Q84,IF(MATCHED!BG84=17,MATCHED!$R84,IF(MATCHED!BG84=18,MATCHED!$S84,IF(MATCHED!BG84=19,MATCHED!$T84,IF(MATCHED!BG84=20,MATCHED!$U84,IF(MATCHED!BG84=21,MATCHED!$V84,)))))))&amp;IF(MATCHED!BG84=22,MATCHED!$W84,IF(MATCHED!BG84=23,MATCHED!$X84,IF(MATCHED!BG84=24,MATCHED!$Y84,IF(MATCHED!BG84=25,MATCHED!$Z84,IF(MATCHED!BG84=26,MATCHED!$AA84,IF(MATCHED!BG84=27,MATCHED!$AB84,"."))))))</f>
        <v>#N/A</v>
      </c>
      <c r="AF84" s="423" t="e">
        <f>IF(MATCHED!BH84=1,MATCHED!$B84,IF(MATCHED!BH84=2,MATCHED!$C84,IF(MATCHED!BH84=3,MATCHED!$D84,IF(MATCHED!BH84=4,MATCHED!$E84,IF(MATCHED!BH84=3,MATCHED!$F84,IF(MATCHED!BH84=6,MATCHED!$G84,IF(MATCHED!BH84=7,MATCHED!$H84,"")))))))&amp;IF(MATCHED!BH84=8,MATCHED!$I84,IF(MATCHED!BH84=9,MATCHED!$J84,IF(MATCHED!BH84=10,MATCHED!$K84,IF(MATCHED!BH84=11,MATCHED!$L84,IF(MATCHED!BH84=12,MATCHED!$M84,IF(MATCHED!BH84=13,MATCHED!$N84,IF(MATCHED!BH84=14,MATCHED!$O84,"")))))))&amp;IF(MATCHED!BH84=15,MATCHED!$P84,IF(MATCHED!BH84=16,MATCHED!$Q84,IF(MATCHED!BH84=17,MATCHED!$R84,IF(MATCHED!BH84=18,MATCHED!$S84,IF(MATCHED!BH84=19,MATCHED!$T84,IF(MATCHED!BH84=20,MATCHED!$U84,IF(MATCHED!BH84=21,MATCHED!$V84,)))))))&amp;IF(MATCHED!BH84=22,MATCHED!$W84,IF(MATCHED!BH84=23,MATCHED!$X84,IF(MATCHED!BH84=24,MATCHED!$Y84,IF(MATCHED!BH84=25,MATCHED!$Z84,IF(MATCHED!BH84=26,MATCHED!$AA84,IF(MATCHED!BH84=27,MATCHED!$AB84,"."))))))</f>
        <v>#N/A</v>
      </c>
      <c r="AG84" s="423" t="e">
        <f>IF(MATCHED!BI84=1,MATCHED!$B84,IF(MATCHED!BI84=2,MATCHED!$C84,IF(MATCHED!BI84=3,MATCHED!$D84,IF(MATCHED!BI84=4,MATCHED!$E84,IF(MATCHED!BI84=3,MATCHED!$F84,IF(MATCHED!BI84=6,MATCHED!$G84,IF(MATCHED!BI84=7,MATCHED!$H84,"")))))))&amp;IF(MATCHED!BI84=8,MATCHED!$I84,IF(MATCHED!BI84=9,MATCHED!$J84,IF(MATCHED!BI84=10,MATCHED!$K84,IF(MATCHED!BI84=11,MATCHED!$L84,IF(MATCHED!BI84=12,MATCHED!$M84,IF(MATCHED!BI84=13,MATCHED!$N84,IF(MATCHED!BI84=14,MATCHED!$O84,"")))))))&amp;IF(MATCHED!BI84=15,MATCHED!$P84,IF(MATCHED!BI84=16,MATCHED!$Q84,IF(MATCHED!BI84=17,MATCHED!$R84,IF(MATCHED!BI84=18,MATCHED!$S84,IF(MATCHED!BI84=19,MATCHED!$T84,IF(MATCHED!BI84=20,MATCHED!$U84,IF(MATCHED!BI84=21,MATCHED!$V84,)))))))&amp;IF(MATCHED!BI84=22,MATCHED!$W84,IF(MATCHED!BI84=23,MATCHED!$X84,IF(MATCHED!BI84=24,MATCHED!$Y84,IF(MATCHED!BI84=25,MATCHED!$Z84,IF(MATCHED!BI84=26,MATCHED!$AA84,IF(MATCHED!BI84=27,MATCHED!$AB84,"."))))))</f>
        <v>#N/A</v>
      </c>
      <c r="AH84" s="423" t="e">
        <f>IF(MATCHED!BJ84=1,MATCHED!$B84,IF(MATCHED!BJ84=2,MATCHED!$C84,IF(MATCHED!BJ84=3,MATCHED!$D84,IF(MATCHED!BJ84=4,MATCHED!$E84,IF(MATCHED!BJ84=3,MATCHED!$F84,IF(MATCHED!BJ84=6,MATCHED!$G84,IF(MATCHED!BJ84=7,MATCHED!$H84,"")))))))&amp;IF(MATCHED!BJ84=8,MATCHED!$I84,IF(MATCHED!BJ84=9,MATCHED!$J84,IF(MATCHED!BJ84=10,MATCHED!$K84,IF(MATCHED!BJ84=11,MATCHED!$L84,IF(MATCHED!BJ84=12,MATCHED!$M84,IF(MATCHED!BJ84=13,MATCHED!$N84,IF(MATCHED!BJ84=14,MATCHED!$O84,"")))))))&amp;IF(MATCHED!BJ84=15,MATCHED!$P84,IF(MATCHED!BJ84=16,MATCHED!$Q84,IF(MATCHED!BJ84=17,MATCHED!$R84,IF(MATCHED!BJ84=18,MATCHED!$S84,IF(MATCHED!BJ84=19,MATCHED!$T84,IF(MATCHED!BJ84=20,MATCHED!$U84,IF(MATCHED!BJ84=21,MATCHED!$V84,)))))))&amp;IF(MATCHED!BJ84=22,MATCHED!$W84,IF(MATCHED!BJ84=23,MATCHED!$X84,IF(MATCHED!BJ84=24,MATCHED!$Y84,IF(MATCHED!BJ84=25,MATCHED!$Z84,IF(MATCHED!BJ84=26,MATCHED!$AA84,IF(MATCHED!BJ84=27,MATCHED!$AB84,"."))))))</f>
        <v>#N/A</v>
      </c>
      <c r="AI84" s="423" t="e">
        <f>IF(MATCHED!BK84=1,MATCHED!$B84,IF(MATCHED!BK84=2,MATCHED!$C84,IF(MATCHED!BK84=3,MATCHED!$D84,IF(MATCHED!BK84=4,MATCHED!$E84,IF(MATCHED!BK84=3,MATCHED!$F84,IF(MATCHED!BK84=6,MATCHED!$G84,IF(MATCHED!BK84=7,MATCHED!$H84,"")))))))&amp;IF(MATCHED!BK84=8,MATCHED!$I84,IF(MATCHED!BK84=9,MATCHED!$J84,IF(MATCHED!BK84=10,MATCHED!$K84,IF(MATCHED!BK84=11,MATCHED!$L84,IF(MATCHED!BK84=12,MATCHED!$M84,IF(MATCHED!BK84=13,MATCHED!$N84,IF(MATCHED!BK84=14,MATCHED!$O84,"")))))))&amp;IF(MATCHED!BK84=15,MATCHED!$P84,IF(MATCHED!BK84=16,MATCHED!$Q84,IF(MATCHED!BK84=17,MATCHED!$R84,IF(MATCHED!BK84=18,MATCHED!$S84,IF(MATCHED!BK84=19,MATCHED!$T84,IF(MATCHED!BK84=20,MATCHED!$U84,IF(MATCHED!BK84=21,MATCHED!$V84,)))))))&amp;IF(MATCHED!BK84=22,MATCHED!$W84,IF(MATCHED!BK84=23,MATCHED!$X84,IF(MATCHED!BK84=24,MATCHED!$Y84,IF(MATCHED!BK84=25,MATCHED!$Z84,IF(MATCHED!BK84=26,MATCHED!$AA84,IF(MATCHED!BK84=27,MATCHED!$AB84,"."))))))</f>
        <v>#N/A</v>
      </c>
      <c r="AJ84" s="542"/>
    </row>
    <row r="85" spans="1:36" s="338" customFormat="1" x14ac:dyDescent="0.25">
      <c r="A85" s="542"/>
      <c r="B85" s="423" t="e">
        <f>IF(MATCHED!AD85=1,MATCHED!$B85,IF(MATCHED!AD85=2,MATCHED!$C85,IF(MATCHED!AD85=3,MATCHED!$D85,IF(MATCHED!AD85=4,MATCHED!$E85,IF(MATCHED!AD85=3,MATCHED!$F85,IF(MATCHED!AD85=6,MATCHED!$G85,IF(MATCHED!AD85=7,MATCHED!$H85,"")))))))&amp;IF(MATCHED!AD85=8,MATCHED!$I85,IF(MATCHED!AD85=9,MATCHED!$J85,IF(MATCHED!AD85=10,MATCHED!$K85,IF(MATCHED!AD85=11,MATCHED!$L85,IF(MATCHED!AD85=12,MATCHED!$M85,IF(MATCHED!AD85=13,MATCHED!$N85,IF(MATCHED!AD85=14,MATCHED!$O85,"")))))))&amp;IF(MATCHED!AD85=15,MATCHED!$P85,IF(MATCHED!AD85=16,MATCHED!$Q85,IF(MATCHED!AD85=17,MATCHED!$R85,IF(MATCHED!AD85=18,MATCHED!$S85,IF(MATCHED!AD85=19,MATCHED!$T85,IF(MATCHED!AD85=20,MATCHED!$U85,IF(MATCHED!AD85=21,MATCHED!$V85,)))))))&amp;IF(MATCHED!AD85=22,MATCHED!$W85,IF(MATCHED!AD85=23,MATCHED!$X85,IF(MATCHED!AD85=24,MATCHED!$Y85,IF(MATCHED!AD85=25,MATCHED!$Z85,IF(MATCHED!AD85=26,MATCHED!$AA85,IF(MATCHED!AD85=27,MATCHED!$AB85,"."))))))</f>
        <v>#N/A</v>
      </c>
      <c r="C85" s="423" t="e">
        <f>IF(MATCHED!AE85=1,MATCHED!$B85,IF(MATCHED!AE85=2,MATCHED!$C85,IF(MATCHED!AE85=3,MATCHED!$D85,IF(MATCHED!AE85=4,MATCHED!$E85,IF(MATCHED!AE85=3,MATCHED!$F85,IF(MATCHED!AE85=6,MATCHED!$G85,IF(MATCHED!AE85=7,MATCHED!$H85,"")))))))&amp;IF(MATCHED!AE85=8,MATCHED!$I85,IF(MATCHED!AE85=9,MATCHED!$J85,IF(MATCHED!AE85=10,MATCHED!$K85,IF(MATCHED!AE85=11,MATCHED!$L85,IF(MATCHED!AE85=12,MATCHED!$M85,IF(MATCHED!AE85=13,MATCHED!$N85,IF(MATCHED!AE85=14,MATCHED!$O85,"")))))))&amp;IF(MATCHED!AE85=15,MATCHED!$P85,IF(MATCHED!AE85=16,MATCHED!$Q85,IF(MATCHED!AE85=17,MATCHED!$R85,IF(MATCHED!AE85=18,MATCHED!$S85,IF(MATCHED!AE85=19,MATCHED!$T85,IF(MATCHED!AE85=20,MATCHED!$U85,IF(MATCHED!AE85=21,MATCHED!$V85,)))))))&amp;IF(MATCHED!AE85=22,MATCHED!$W85,IF(MATCHED!AE85=23,MATCHED!$X85,IF(MATCHED!AE85=24,MATCHED!$Y85,IF(MATCHED!AE85=25,MATCHED!$Z85,IF(MATCHED!AE85=26,MATCHED!$AA85,IF(MATCHED!AE85=27,MATCHED!$AB85,"."))))))</f>
        <v>#N/A</v>
      </c>
      <c r="D85" s="423" t="e">
        <f>IF(MATCHED!AF85=1,MATCHED!$B85,IF(MATCHED!AF85=2,MATCHED!$C85,IF(MATCHED!AF85=3,MATCHED!$D85,IF(MATCHED!AF85=4,MATCHED!$E85,IF(MATCHED!AF85=3,MATCHED!$F85,IF(MATCHED!AF85=6,MATCHED!$G85,IF(MATCHED!AF85=7,MATCHED!$H85,"")))))))&amp;IF(MATCHED!AF85=8,MATCHED!$I85,IF(MATCHED!AF85=9,MATCHED!$J85,IF(MATCHED!AF85=10,MATCHED!$K85,IF(MATCHED!AF85=11,MATCHED!$L85,IF(MATCHED!AF85=12,MATCHED!$M85,IF(MATCHED!AF85=13,MATCHED!$N85,IF(MATCHED!AF85=14,MATCHED!$O85,"")))))))&amp;IF(MATCHED!AF85=15,MATCHED!$P85,IF(MATCHED!AF85=16,MATCHED!$Q85,IF(MATCHED!AF85=17,MATCHED!$R85,IF(MATCHED!AF85=18,MATCHED!$S85,IF(MATCHED!AF85=19,MATCHED!$T85,IF(MATCHED!AF85=20,MATCHED!$U85,IF(MATCHED!AF85=21,MATCHED!$V85,)))))))&amp;IF(MATCHED!AF85=22,MATCHED!$W85,IF(MATCHED!AF85=23,MATCHED!$X85,IF(MATCHED!AF85=24,MATCHED!$Y85,IF(MATCHED!AF85=25,MATCHED!$Z85,IF(MATCHED!AF85=26,MATCHED!$AA85,IF(MATCHED!AF85=27,MATCHED!$AB85,"."))))))</f>
        <v>#N/A</v>
      </c>
      <c r="E85" s="423" t="e">
        <f>IF(MATCHED!AG85=1,MATCHED!$B85,IF(MATCHED!AG85=2,MATCHED!$C85,IF(MATCHED!AG85=3,MATCHED!$D85,IF(MATCHED!AG85=4,MATCHED!$E85,IF(MATCHED!AG85=3,MATCHED!$F85,IF(MATCHED!AG85=6,MATCHED!$G85,IF(MATCHED!AG85=7,MATCHED!$H85,"")))))))&amp;IF(MATCHED!AG85=8,MATCHED!$I85,IF(MATCHED!AG85=9,MATCHED!$J85,IF(MATCHED!AG85=10,MATCHED!$K85,IF(MATCHED!AG85=11,MATCHED!$L85,IF(MATCHED!AG85=12,MATCHED!$M85,IF(MATCHED!AG85=13,MATCHED!$N85,IF(MATCHED!AG85=14,MATCHED!$O85,"")))))))&amp;IF(MATCHED!AG85=15,MATCHED!$P85,IF(MATCHED!AG85=16,MATCHED!$Q85,IF(MATCHED!AG85=17,MATCHED!$R85,IF(MATCHED!AG85=18,MATCHED!$S85,IF(MATCHED!AG85=19,MATCHED!$T85,IF(MATCHED!AG85=20,MATCHED!$U85,IF(MATCHED!AG85=21,MATCHED!$V85,)))))))&amp;IF(MATCHED!AG85=22,MATCHED!$W85,IF(MATCHED!AG85=23,MATCHED!$X85,IF(MATCHED!AG85=24,MATCHED!$Y85,IF(MATCHED!AG85=25,MATCHED!$Z85,IF(MATCHED!AG85=26,MATCHED!$AA85,IF(MATCHED!AG85=27,MATCHED!$AB85,"."))))))</f>
        <v>#N/A</v>
      </c>
      <c r="F85" s="423" t="e">
        <f>IF(MATCHED!AH85=1,MATCHED!$B85,IF(MATCHED!AH85=2,MATCHED!$C85,IF(MATCHED!AH85=3,MATCHED!$D85,IF(MATCHED!AH85=4,MATCHED!$E85,IF(MATCHED!AH85=3,MATCHED!$F85,IF(MATCHED!AH85=6,MATCHED!$G85,IF(MATCHED!AH85=7,MATCHED!$H85,"")))))))&amp;IF(MATCHED!AH85=8,MATCHED!$I85,IF(MATCHED!AH85=9,MATCHED!$J85,IF(MATCHED!AH85=10,MATCHED!$K85,IF(MATCHED!AH85=11,MATCHED!$L85,IF(MATCHED!AH85=12,MATCHED!$M85,IF(MATCHED!AH85=13,MATCHED!$N85,IF(MATCHED!AH85=14,MATCHED!$O85,"")))))))&amp;IF(MATCHED!AH85=15,MATCHED!$P85,IF(MATCHED!AH85=16,MATCHED!$Q85,IF(MATCHED!AH85=17,MATCHED!$R85,IF(MATCHED!AH85=18,MATCHED!$S85,IF(MATCHED!AH85=19,MATCHED!$T85,IF(MATCHED!AH85=20,MATCHED!$U85,IF(MATCHED!AH85=21,MATCHED!$V85,)))))))&amp;IF(MATCHED!AH85=22,MATCHED!$W85,IF(MATCHED!AH85=23,MATCHED!$X85,IF(MATCHED!AH85=24,MATCHED!$Y85,IF(MATCHED!AH85=25,MATCHED!$Z85,IF(MATCHED!AH85=26,MATCHED!$AA85,IF(MATCHED!AH85=27,MATCHED!$AB85,"."))))))</f>
        <v>#N/A</v>
      </c>
      <c r="G85" s="423" t="e">
        <f>IF(MATCHED!AI85=1,MATCHED!$B85,IF(MATCHED!AI85=2,MATCHED!$C85,IF(MATCHED!AI85=3,MATCHED!$D85,IF(MATCHED!AI85=4,MATCHED!$E85,IF(MATCHED!AI85=3,MATCHED!$F85,IF(MATCHED!AI85=6,MATCHED!$G85,IF(MATCHED!AI85=7,MATCHED!$H85,"")))))))&amp;IF(MATCHED!AI85=8,MATCHED!$I85,IF(MATCHED!AI85=9,MATCHED!$J85,IF(MATCHED!AI85=10,MATCHED!$K85,IF(MATCHED!AI85=11,MATCHED!$L85,IF(MATCHED!AI85=12,MATCHED!$M85,IF(MATCHED!AI85=13,MATCHED!$N85,IF(MATCHED!AI85=14,MATCHED!$O85,"")))))))&amp;IF(MATCHED!AI85=15,MATCHED!$P85,IF(MATCHED!AI85=16,MATCHED!$Q85,IF(MATCHED!AI85=17,MATCHED!$R85,IF(MATCHED!AI85=18,MATCHED!$S85,IF(MATCHED!AI85=19,MATCHED!$T85,IF(MATCHED!AI85=20,MATCHED!$U85,IF(MATCHED!AI85=21,MATCHED!$V85,)))))))&amp;IF(MATCHED!AI85=22,MATCHED!$W85,IF(MATCHED!AI85=23,MATCHED!$X85,IF(MATCHED!AI85=24,MATCHED!$Y85,IF(MATCHED!AI85=25,MATCHED!$Z85,IF(MATCHED!AI85=26,MATCHED!$AA85,IF(MATCHED!AI85=27,MATCHED!$AB85,"."))))))</f>
        <v>#N/A</v>
      </c>
      <c r="H85" s="423" t="e">
        <f>IF(MATCHED!AJ85=1,MATCHED!$B85,IF(MATCHED!AJ85=2,MATCHED!$C85,IF(MATCHED!AJ85=3,MATCHED!$D85,IF(MATCHED!AJ85=4,MATCHED!$E85,IF(MATCHED!AJ85=3,MATCHED!$F85,IF(MATCHED!AJ85=6,MATCHED!$G85,IF(MATCHED!AJ85=7,MATCHED!$H85,"")))))))&amp;IF(MATCHED!AJ85=8,MATCHED!$I85,IF(MATCHED!AJ85=9,MATCHED!$J85,IF(MATCHED!AJ85=10,MATCHED!$K85,IF(MATCHED!AJ85=11,MATCHED!$L85,IF(MATCHED!AJ85=12,MATCHED!$M85,IF(MATCHED!AJ85=13,MATCHED!$N85,IF(MATCHED!AJ85=14,MATCHED!$O85,"")))))))&amp;IF(MATCHED!AJ85=15,MATCHED!$P85,IF(MATCHED!AJ85=16,MATCHED!$Q85,IF(MATCHED!AJ85=17,MATCHED!$R85,IF(MATCHED!AJ85=18,MATCHED!$S85,IF(MATCHED!AJ85=19,MATCHED!$T85,IF(MATCHED!AJ85=20,MATCHED!$U85,IF(MATCHED!AJ85=21,MATCHED!$V85,)))))))&amp;IF(MATCHED!AJ85=22,MATCHED!$W85,IF(MATCHED!AJ85=23,MATCHED!$X85,IF(MATCHED!AJ85=24,MATCHED!$Y85,IF(MATCHED!AJ85=25,MATCHED!$Z85,IF(MATCHED!AJ85=26,MATCHED!$AA85,IF(MATCHED!AJ85=27,MATCHED!$AB85,"."))))))</f>
        <v>#N/A</v>
      </c>
      <c r="I85" s="423" t="e">
        <f>IF(MATCHED!AK85=1,MATCHED!$B85,IF(MATCHED!AK85=2,MATCHED!$C85,IF(MATCHED!AK85=3,MATCHED!$D85,IF(MATCHED!AK85=4,MATCHED!$E85,IF(MATCHED!AK85=3,MATCHED!$F85,IF(MATCHED!AK85=6,MATCHED!$G85,IF(MATCHED!AK85=7,MATCHED!$H85,"")))))))&amp;IF(MATCHED!AK85=8,MATCHED!$I85,IF(MATCHED!AK85=9,MATCHED!$J85,IF(MATCHED!AK85=10,MATCHED!$K85,IF(MATCHED!AK85=11,MATCHED!$L85,IF(MATCHED!AK85=12,MATCHED!$M85,IF(MATCHED!AK85=13,MATCHED!$N85,IF(MATCHED!AK85=14,MATCHED!$O85,"")))))))&amp;IF(MATCHED!AK85=15,MATCHED!$P85,IF(MATCHED!AK85=16,MATCHED!$Q85,IF(MATCHED!AK85=17,MATCHED!$R85,IF(MATCHED!AK85=18,MATCHED!$S85,IF(MATCHED!AK85=19,MATCHED!$T85,IF(MATCHED!AK85=20,MATCHED!$U85,IF(MATCHED!AK85=21,MATCHED!$V85,)))))))&amp;IF(MATCHED!AK85=22,MATCHED!$W85,IF(MATCHED!AK85=23,MATCHED!$X85,IF(MATCHED!AK85=24,MATCHED!$Y85,IF(MATCHED!AK85=25,MATCHED!$Z85,IF(MATCHED!AK85=26,MATCHED!$AA85,IF(MATCHED!AK85=27,MATCHED!$AB85,"."))))))</f>
        <v>#N/A</v>
      </c>
      <c r="J85" s="423" t="e">
        <f>IF(MATCHED!AL85=1,MATCHED!$B85,IF(MATCHED!AL85=2,MATCHED!$C85,IF(MATCHED!AL85=3,MATCHED!$D85,IF(MATCHED!AL85=4,MATCHED!$E85,IF(MATCHED!AL85=3,MATCHED!$F85,IF(MATCHED!AL85=6,MATCHED!$G85,IF(MATCHED!AL85=7,MATCHED!$H85,"")))))))&amp;IF(MATCHED!AL85=8,MATCHED!$I85,IF(MATCHED!AL85=9,MATCHED!$J85,IF(MATCHED!AL85=10,MATCHED!$K85,IF(MATCHED!AL85=11,MATCHED!$L85,IF(MATCHED!AL85=12,MATCHED!$M85,IF(MATCHED!AL85=13,MATCHED!$N85,IF(MATCHED!AL85=14,MATCHED!$O85,"")))))))&amp;IF(MATCHED!AL85=15,MATCHED!$P85,IF(MATCHED!AL85=16,MATCHED!$Q85,IF(MATCHED!AL85=17,MATCHED!$R85,IF(MATCHED!AL85=18,MATCHED!$S85,IF(MATCHED!AL85=19,MATCHED!$T85,IF(MATCHED!AL85=20,MATCHED!$U85,IF(MATCHED!AL85=21,MATCHED!$V85,)))))))&amp;IF(MATCHED!AL85=22,MATCHED!$W85,IF(MATCHED!AL85=23,MATCHED!$X85,IF(MATCHED!AL85=24,MATCHED!$Y85,IF(MATCHED!AL85=25,MATCHED!$Z85,IF(MATCHED!AL85=26,MATCHED!$AA85,IF(MATCHED!AL85=27,MATCHED!$AB85,"."))))))</f>
        <v>#N/A</v>
      </c>
      <c r="K85" s="423" t="e">
        <f>IF(MATCHED!AM85=1,MATCHED!$B85,IF(MATCHED!AM85=2,MATCHED!$C85,IF(MATCHED!AM85=3,MATCHED!$D85,IF(MATCHED!AM85=4,MATCHED!$E85,IF(MATCHED!AM85=3,MATCHED!$F85,IF(MATCHED!AM85=6,MATCHED!$G85,IF(MATCHED!AM85=7,MATCHED!$H85,"")))))))&amp;IF(MATCHED!AM85=8,MATCHED!$I85,IF(MATCHED!AM85=9,MATCHED!$J85,IF(MATCHED!AM85=10,MATCHED!$K85,IF(MATCHED!AM85=11,MATCHED!$L85,IF(MATCHED!AM85=12,MATCHED!$M85,IF(MATCHED!AM85=13,MATCHED!$N85,IF(MATCHED!AM85=14,MATCHED!$O85,"")))))))&amp;IF(MATCHED!AM85=15,MATCHED!$P85,IF(MATCHED!AM85=16,MATCHED!$Q85,IF(MATCHED!AM85=17,MATCHED!$R85,IF(MATCHED!AM85=18,MATCHED!$S85,IF(MATCHED!AM85=19,MATCHED!$T85,IF(MATCHED!AM85=20,MATCHED!$U85,IF(MATCHED!AM85=21,MATCHED!$V85,)))))))&amp;IF(MATCHED!AM85=22,MATCHED!$W85,IF(MATCHED!AM85=23,MATCHED!$X85,IF(MATCHED!AM85=24,MATCHED!$Y85,IF(MATCHED!AM85=25,MATCHED!$Z85,IF(MATCHED!AM85=26,MATCHED!$AA85,IF(MATCHED!AM85=27,MATCHED!$AB85,"."))))))</f>
        <v>#N/A</v>
      </c>
      <c r="L85" s="423" t="e">
        <f>IF(MATCHED!AN85=1,MATCHED!$B85,IF(MATCHED!AN85=2,MATCHED!$C85,IF(MATCHED!AN85=3,MATCHED!$D85,IF(MATCHED!AN85=4,MATCHED!$E85,IF(MATCHED!AN85=3,MATCHED!$F85,IF(MATCHED!AN85=6,MATCHED!$G85,IF(MATCHED!AN85=7,MATCHED!$H85,"")))))))&amp;IF(MATCHED!AN85=8,MATCHED!$I85,IF(MATCHED!AN85=9,MATCHED!$J85,IF(MATCHED!AN85=10,MATCHED!$K85,IF(MATCHED!AN85=11,MATCHED!$L85,IF(MATCHED!AN85=12,MATCHED!$M85,IF(MATCHED!AN85=13,MATCHED!$N85,IF(MATCHED!AN85=14,MATCHED!$O85,"")))))))&amp;IF(MATCHED!AN85=15,MATCHED!$P85,IF(MATCHED!AN85=16,MATCHED!$Q85,IF(MATCHED!AN85=17,MATCHED!$R85,IF(MATCHED!AN85=18,MATCHED!$S85,IF(MATCHED!AN85=19,MATCHED!$T85,IF(MATCHED!AN85=20,MATCHED!$U85,IF(MATCHED!AN85=21,MATCHED!$V85,)))))))&amp;IF(MATCHED!AN85=22,MATCHED!$W85,IF(MATCHED!AN85=23,MATCHED!$X85,IF(MATCHED!AN85=24,MATCHED!$Y85,IF(MATCHED!AN85=25,MATCHED!$Z85,IF(MATCHED!AN85=26,MATCHED!$AA85,IF(MATCHED!AN85=27,MATCHED!$AB85,"."))))))</f>
        <v>#N/A</v>
      </c>
      <c r="M85" s="423" t="e">
        <f>IF(MATCHED!AO85=1,MATCHED!$B85,IF(MATCHED!AO85=2,MATCHED!$C85,IF(MATCHED!AO85=3,MATCHED!$D85,IF(MATCHED!AO85=4,MATCHED!$E85,IF(MATCHED!AO85=3,MATCHED!$F85,IF(MATCHED!AO85=6,MATCHED!$G85,IF(MATCHED!AO85=7,MATCHED!$H85,"")))))))&amp;IF(MATCHED!AO85=8,MATCHED!$I85,IF(MATCHED!AO85=9,MATCHED!$J85,IF(MATCHED!AO85=10,MATCHED!$K85,IF(MATCHED!AO85=11,MATCHED!$L85,IF(MATCHED!AO85=12,MATCHED!$M85,IF(MATCHED!AO85=13,MATCHED!$N85,IF(MATCHED!AO85=14,MATCHED!$O85,"")))))))&amp;IF(MATCHED!AO85=15,MATCHED!$P85,IF(MATCHED!AO85=16,MATCHED!$Q85,IF(MATCHED!AO85=17,MATCHED!$R85,IF(MATCHED!AO85=18,MATCHED!$S85,IF(MATCHED!AO85=19,MATCHED!$T85,IF(MATCHED!AO85=20,MATCHED!$U85,IF(MATCHED!AO85=21,MATCHED!$V85,)))))))&amp;IF(MATCHED!AO85=22,MATCHED!$W85,IF(MATCHED!AO85=23,MATCHED!$X85,IF(MATCHED!AO85=24,MATCHED!$Y85,IF(MATCHED!AO85=25,MATCHED!$Z85,IF(MATCHED!AO85=26,MATCHED!$AA85,IF(MATCHED!AO85=27,MATCHED!$AB85,"."))))))</f>
        <v>#N/A</v>
      </c>
      <c r="N85" s="423" t="e">
        <f>IF(MATCHED!AP85=1,MATCHED!$B85,IF(MATCHED!AP85=2,MATCHED!$C85,IF(MATCHED!AP85=3,MATCHED!$D85,IF(MATCHED!AP85=4,MATCHED!$E85,IF(MATCHED!AP85=3,MATCHED!$F85,IF(MATCHED!AP85=6,MATCHED!$G85,IF(MATCHED!AP85=7,MATCHED!$H85,"")))))))&amp;IF(MATCHED!AP85=8,MATCHED!$I85,IF(MATCHED!AP85=9,MATCHED!$J85,IF(MATCHED!AP85=10,MATCHED!$K85,IF(MATCHED!AP85=11,MATCHED!$L85,IF(MATCHED!AP85=12,MATCHED!$M85,IF(MATCHED!AP85=13,MATCHED!$N85,IF(MATCHED!AP85=14,MATCHED!$O85,"")))))))&amp;IF(MATCHED!AP85=15,MATCHED!$P85,IF(MATCHED!AP85=16,MATCHED!$Q85,IF(MATCHED!AP85=17,MATCHED!$R85,IF(MATCHED!AP85=18,MATCHED!$S85,IF(MATCHED!AP85=19,MATCHED!$T85,IF(MATCHED!AP85=20,MATCHED!$U85,IF(MATCHED!AP85=21,MATCHED!$V85,)))))))&amp;IF(MATCHED!AP85=22,MATCHED!$W85,IF(MATCHED!AP85=23,MATCHED!$X85,IF(MATCHED!AP85=24,MATCHED!$Y85,IF(MATCHED!AP85=25,MATCHED!$Z85,IF(MATCHED!AP85=26,MATCHED!$AA85,IF(MATCHED!AP85=27,MATCHED!$AB85,"."))))))</f>
        <v>#N/A</v>
      </c>
      <c r="O85" s="423" t="e">
        <f>IF(MATCHED!AQ85=1,MATCHED!$B85,IF(MATCHED!AQ85=2,MATCHED!$C85,IF(MATCHED!AQ85=3,MATCHED!$D85,IF(MATCHED!AQ85=4,MATCHED!$E85,IF(MATCHED!AQ85=3,MATCHED!$F85,IF(MATCHED!AQ85=6,MATCHED!$G85,IF(MATCHED!AQ85=7,MATCHED!$H85,"")))))))&amp;IF(MATCHED!AQ85=8,MATCHED!$I85,IF(MATCHED!AQ85=9,MATCHED!$J85,IF(MATCHED!AQ85=10,MATCHED!$K85,IF(MATCHED!AQ85=11,MATCHED!$L85,IF(MATCHED!AQ85=12,MATCHED!$M85,IF(MATCHED!AQ85=13,MATCHED!$N85,IF(MATCHED!AQ85=14,MATCHED!$O85,"")))))))&amp;IF(MATCHED!AQ85=15,MATCHED!$P85,IF(MATCHED!AQ85=16,MATCHED!$Q85,IF(MATCHED!AQ85=17,MATCHED!$R85,IF(MATCHED!AQ85=18,MATCHED!$S85,IF(MATCHED!AQ85=19,MATCHED!$T85,IF(MATCHED!AQ85=20,MATCHED!$U85,IF(MATCHED!AQ85=21,MATCHED!$V85,)))))))&amp;IF(MATCHED!AQ85=22,MATCHED!$W85,IF(MATCHED!AQ85=23,MATCHED!$X85,IF(MATCHED!AQ85=24,MATCHED!$Y85,IF(MATCHED!AQ85=25,MATCHED!$Z85,IF(MATCHED!AQ85=26,MATCHED!$AA85,IF(MATCHED!AQ85=27,MATCHED!$AB85,"."))))))</f>
        <v>#N/A</v>
      </c>
      <c r="P85" s="423" t="e">
        <f>IF(MATCHED!AR85=1,MATCHED!$B85,IF(MATCHED!AR85=2,MATCHED!$C85,IF(MATCHED!AR85=3,MATCHED!$D85,IF(MATCHED!AR85=4,MATCHED!$E85,IF(MATCHED!AR85=3,MATCHED!$F85,IF(MATCHED!AR85=6,MATCHED!$G85,IF(MATCHED!AR85=7,MATCHED!$H85,"")))))))&amp;IF(MATCHED!AR85=8,MATCHED!$I85,IF(MATCHED!AR85=9,MATCHED!$J85,IF(MATCHED!AR85=10,MATCHED!$K85,IF(MATCHED!AR85=11,MATCHED!$L85,IF(MATCHED!AR85=12,MATCHED!$M85,IF(MATCHED!AR85=13,MATCHED!$N85,IF(MATCHED!AR85=14,MATCHED!$O85,"")))))))&amp;IF(MATCHED!AR85=15,MATCHED!$P85,IF(MATCHED!AR85=16,MATCHED!$Q85,IF(MATCHED!AR85=17,MATCHED!$R85,IF(MATCHED!AR85=18,MATCHED!$S85,IF(MATCHED!AR85=19,MATCHED!$T85,IF(MATCHED!AR85=20,MATCHED!$U85,IF(MATCHED!AR85=21,MATCHED!$V85,)))))))&amp;IF(MATCHED!AR85=22,MATCHED!$W85,IF(MATCHED!AR85=23,MATCHED!$X85,IF(MATCHED!AR85=24,MATCHED!$Y85,IF(MATCHED!AR85=25,MATCHED!$Z85,IF(MATCHED!AR85=26,MATCHED!$AA85,IF(MATCHED!AR85=27,MATCHED!$AB85,"."))))))</f>
        <v>#N/A</v>
      </c>
      <c r="Q85" s="423" t="e">
        <f>IF(MATCHED!AS85=1,MATCHED!$B85,IF(MATCHED!AS85=2,MATCHED!$C85,IF(MATCHED!AS85=3,MATCHED!$D85,IF(MATCHED!AS85=4,MATCHED!$E85,IF(MATCHED!AS85=3,MATCHED!$F85,IF(MATCHED!AS85=6,MATCHED!$G85,IF(MATCHED!AS85=7,MATCHED!$H85,"")))))))&amp;IF(MATCHED!AS85=8,MATCHED!$I85,IF(MATCHED!AS85=9,MATCHED!$J85,IF(MATCHED!AS85=10,MATCHED!$K85,IF(MATCHED!AS85=11,MATCHED!$L85,IF(MATCHED!AS85=12,MATCHED!$M85,IF(MATCHED!AS85=13,MATCHED!$N85,IF(MATCHED!AS85=14,MATCHED!$O85,"")))))))&amp;IF(MATCHED!AS85=15,MATCHED!$P85,IF(MATCHED!AS85=16,MATCHED!$Q85,IF(MATCHED!AS85=17,MATCHED!$R85,IF(MATCHED!AS85=18,MATCHED!$S85,IF(MATCHED!AS85=19,MATCHED!$T85,IF(MATCHED!AS85=20,MATCHED!$U85,IF(MATCHED!AS85=21,MATCHED!$V85,)))))))&amp;IF(MATCHED!AS85=22,MATCHED!$W85,IF(MATCHED!AS85=23,MATCHED!$X85,IF(MATCHED!AS85=24,MATCHED!$Y85,IF(MATCHED!AS85=25,MATCHED!$Z85,IF(MATCHED!AS85=26,MATCHED!$AA85,IF(MATCHED!AS85=27,MATCHED!$AB85,"."))))))</f>
        <v>#N/A</v>
      </c>
      <c r="R85" s="423" t="e">
        <f>IF(MATCHED!AT85=1,MATCHED!$B85,IF(MATCHED!AT85=2,MATCHED!$C85,IF(MATCHED!AT85=3,MATCHED!$D85,IF(MATCHED!AT85=4,MATCHED!$E85,IF(MATCHED!AT85=3,MATCHED!$F85,IF(MATCHED!AT85=6,MATCHED!$G85,IF(MATCHED!AT85=7,MATCHED!$H85,"")))))))&amp;IF(MATCHED!AT85=8,MATCHED!$I85,IF(MATCHED!AT85=9,MATCHED!$J85,IF(MATCHED!AT85=10,MATCHED!$K85,IF(MATCHED!AT85=11,MATCHED!$L85,IF(MATCHED!AT85=12,MATCHED!$M85,IF(MATCHED!AT85=13,MATCHED!$N85,IF(MATCHED!AT85=14,MATCHED!$O85,"")))))))&amp;IF(MATCHED!AT85=15,MATCHED!$P85,IF(MATCHED!AT85=16,MATCHED!$Q85,IF(MATCHED!AT85=17,MATCHED!$R85,IF(MATCHED!AT85=18,MATCHED!$S85,IF(MATCHED!AT85=19,MATCHED!$T85,IF(MATCHED!AT85=20,MATCHED!$U85,IF(MATCHED!AT85=21,MATCHED!$V85,)))))))&amp;IF(MATCHED!AT85=22,MATCHED!$W85,IF(MATCHED!AT85=23,MATCHED!$X85,IF(MATCHED!AT85=24,MATCHED!$Y85,IF(MATCHED!AT85=25,MATCHED!$Z85,IF(MATCHED!AT85=26,MATCHED!$AA85,IF(MATCHED!AT85=27,MATCHED!$AB85,"."))))))</f>
        <v>#N/A</v>
      </c>
      <c r="S85" s="423" t="e">
        <f>IF(MATCHED!AU85=1,MATCHED!$B85,IF(MATCHED!AU85=2,MATCHED!$C85,IF(MATCHED!AU85=3,MATCHED!$D85,IF(MATCHED!AU85=4,MATCHED!$E85,IF(MATCHED!AU85=3,MATCHED!$F85,IF(MATCHED!AU85=6,MATCHED!$G85,IF(MATCHED!AU85=7,MATCHED!$H85,"")))))))&amp;IF(MATCHED!AU85=8,MATCHED!$I85,IF(MATCHED!AU85=9,MATCHED!$J85,IF(MATCHED!AU85=10,MATCHED!$K85,IF(MATCHED!AU85=11,MATCHED!$L85,IF(MATCHED!AU85=12,MATCHED!$M85,IF(MATCHED!AU85=13,MATCHED!$N85,IF(MATCHED!AU85=14,MATCHED!$O85,"")))))))&amp;IF(MATCHED!AU85=15,MATCHED!$P85,IF(MATCHED!AU85=16,MATCHED!$Q85,IF(MATCHED!AU85=17,MATCHED!$R85,IF(MATCHED!AU85=18,MATCHED!$S85,IF(MATCHED!AU85=19,MATCHED!$T85,IF(MATCHED!AU85=20,MATCHED!$U85,IF(MATCHED!AU85=21,MATCHED!$V85,)))))))&amp;IF(MATCHED!AU85=22,MATCHED!$W85,IF(MATCHED!AU85=23,MATCHED!$X85,IF(MATCHED!AU85=24,MATCHED!$Y85,IF(MATCHED!AU85=25,MATCHED!$Z85,IF(MATCHED!AU85=26,MATCHED!$AA85,IF(MATCHED!AU85=27,MATCHED!$AB85,"."))))))</f>
        <v>#N/A</v>
      </c>
      <c r="T85" s="423" t="e">
        <f>IF(MATCHED!AV85=1,MATCHED!$B85,IF(MATCHED!AV85=2,MATCHED!$C85,IF(MATCHED!AV85=3,MATCHED!$D85,IF(MATCHED!AV85=4,MATCHED!$E85,IF(MATCHED!AV85=3,MATCHED!$F85,IF(MATCHED!AV85=6,MATCHED!$G85,IF(MATCHED!AV85=7,MATCHED!$H85,"")))))))&amp;IF(MATCHED!AV85=8,MATCHED!$I85,IF(MATCHED!AV85=9,MATCHED!$J85,IF(MATCHED!AV85=10,MATCHED!$K85,IF(MATCHED!AV85=11,MATCHED!$L85,IF(MATCHED!AV85=12,MATCHED!$M85,IF(MATCHED!AV85=13,MATCHED!$N85,IF(MATCHED!AV85=14,MATCHED!$O85,"")))))))&amp;IF(MATCHED!AV85=15,MATCHED!$P85,IF(MATCHED!AV85=16,MATCHED!$Q85,IF(MATCHED!AV85=17,MATCHED!$R85,IF(MATCHED!AV85=18,MATCHED!$S85,IF(MATCHED!AV85=19,MATCHED!$T85,IF(MATCHED!AV85=20,MATCHED!$U85,IF(MATCHED!AV85=21,MATCHED!$V85,)))))))&amp;IF(MATCHED!AV85=22,MATCHED!$W85,IF(MATCHED!AV85=23,MATCHED!$X85,IF(MATCHED!AV85=24,MATCHED!$Y85,IF(MATCHED!AV85=25,MATCHED!$Z85,IF(MATCHED!AV85=26,MATCHED!$AA85,IF(MATCHED!AV85=27,MATCHED!$AB85,"."))))))</f>
        <v>#N/A</v>
      </c>
      <c r="U85" s="423" t="e">
        <f>IF(MATCHED!AW85=1,MATCHED!$B85,IF(MATCHED!AW85=2,MATCHED!$C85,IF(MATCHED!AW85=3,MATCHED!$D85,IF(MATCHED!AW85=4,MATCHED!$E85,IF(MATCHED!AW85=3,MATCHED!$F85,IF(MATCHED!AW85=6,MATCHED!$G85,IF(MATCHED!AW85=7,MATCHED!$H85,"")))))))&amp;IF(MATCHED!AW85=8,MATCHED!$I85,IF(MATCHED!AW85=9,MATCHED!$J85,IF(MATCHED!AW85=10,MATCHED!$K85,IF(MATCHED!AW85=11,MATCHED!$L85,IF(MATCHED!AW85=12,MATCHED!$M85,IF(MATCHED!AW85=13,MATCHED!$N85,IF(MATCHED!AW85=14,MATCHED!$O85,"")))))))&amp;IF(MATCHED!AW85=15,MATCHED!$P85,IF(MATCHED!AW85=16,MATCHED!$Q85,IF(MATCHED!AW85=17,MATCHED!$R85,IF(MATCHED!AW85=18,MATCHED!$S85,IF(MATCHED!AW85=19,MATCHED!$T85,IF(MATCHED!AW85=20,MATCHED!$U85,IF(MATCHED!AW85=21,MATCHED!$V85,)))))))&amp;IF(MATCHED!AW85=22,MATCHED!$W85,IF(MATCHED!AW85=23,MATCHED!$X85,IF(MATCHED!AW85=24,MATCHED!$Y85,IF(MATCHED!AW85=25,MATCHED!$Z85,IF(MATCHED!AW85=26,MATCHED!$AA85,IF(MATCHED!AW85=27,MATCHED!$AB85,"."))))))</f>
        <v>#N/A</v>
      </c>
      <c r="V85" s="423" t="e">
        <f>IF(MATCHED!AX85=1,MATCHED!$B85,IF(MATCHED!AX85=2,MATCHED!$C85,IF(MATCHED!AX85=3,MATCHED!$D85,IF(MATCHED!AX85=4,MATCHED!$E85,IF(MATCHED!AX85=3,MATCHED!$F85,IF(MATCHED!AX85=6,MATCHED!$G85,IF(MATCHED!AX85=7,MATCHED!$H85,"")))))))&amp;IF(MATCHED!AX85=8,MATCHED!$I85,IF(MATCHED!AX85=9,MATCHED!$J85,IF(MATCHED!AX85=10,MATCHED!$K85,IF(MATCHED!AX85=11,MATCHED!$L85,IF(MATCHED!AX85=12,MATCHED!$M85,IF(MATCHED!AX85=13,MATCHED!$N85,IF(MATCHED!AX85=14,MATCHED!$O85,"")))))))&amp;IF(MATCHED!AX85=15,MATCHED!$P85,IF(MATCHED!AX85=16,MATCHED!$Q85,IF(MATCHED!AX85=17,MATCHED!$R85,IF(MATCHED!AX85=18,MATCHED!$S85,IF(MATCHED!AX85=19,MATCHED!$T85,IF(MATCHED!AX85=20,MATCHED!$U85,IF(MATCHED!AX85=21,MATCHED!$V85,)))))))&amp;IF(MATCHED!AX85=22,MATCHED!$W85,IF(MATCHED!AX85=23,MATCHED!$X85,IF(MATCHED!AX85=24,MATCHED!$Y85,IF(MATCHED!AX85=25,MATCHED!$Z85,IF(MATCHED!AX85=26,MATCHED!$AA85,IF(MATCHED!AX85=27,MATCHED!$AB85,"."))))))</f>
        <v>#N/A</v>
      </c>
      <c r="W85" s="423" t="e">
        <f>IF(MATCHED!AY85=1,MATCHED!$B85,IF(MATCHED!AY85=2,MATCHED!$C85,IF(MATCHED!AY85=3,MATCHED!$D85,IF(MATCHED!AY85=4,MATCHED!$E85,IF(MATCHED!AY85=3,MATCHED!$F85,IF(MATCHED!AY85=6,MATCHED!$G85,IF(MATCHED!AY85=7,MATCHED!$H85,"")))))))&amp;IF(MATCHED!AY85=8,MATCHED!$I85,IF(MATCHED!AY85=9,MATCHED!$J85,IF(MATCHED!AY85=10,MATCHED!$K85,IF(MATCHED!AY85=11,MATCHED!$L85,IF(MATCHED!AY85=12,MATCHED!$M85,IF(MATCHED!AY85=13,MATCHED!$N85,IF(MATCHED!AY85=14,MATCHED!$O85,"")))))))&amp;IF(MATCHED!AY85=15,MATCHED!$P85,IF(MATCHED!AY85=16,MATCHED!$Q85,IF(MATCHED!AY85=17,MATCHED!$R85,IF(MATCHED!AY85=18,MATCHED!$S85,IF(MATCHED!AY85=19,MATCHED!$T85,IF(MATCHED!AY85=20,MATCHED!$U85,IF(MATCHED!AY85=21,MATCHED!$V85,)))))))&amp;IF(MATCHED!AY85=22,MATCHED!$W85,IF(MATCHED!AY85=23,MATCHED!$X85,IF(MATCHED!AY85=24,MATCHED!$Y85,IF(MATCHED!AY85=25,MATCHED!$Z85,IF(MATCHED!AY85=26,MATCHED!$AA85,IF(MATCHED!AY85=27,MATCHED!$AB85,"."))))))</f>
        <v>#N/A</v>
      </c>
      <c r="X85" s="423" t="e">
        <f>IF(MATCHED!AZ85=1,MATCHED!$B85,IF(MATCHED!AZ85=2,MATCHED!$C85,IF(MATCHED!AZ85=3,MATCHED!$D85,IF(MATCHED!AZ85=4,MATCHED!$E85,IF(MATCHED!AZ85=3,MATCHED!$F85,IF(MATCHED!AZ85=6,MATCHED!$G85,IF(MATCHED!AZ85=7,MATCHED!$H85,"")))))))&amp;IF(MATCHED!AZ85=8,MATCHED!$I85,IF(MATCHED!AZ85=9,MATCHED!$J85,IF(MATCHED!AZ85=10,MATCHED!$K85,IF(MATCHED!AZ85=11,MATCHED!$L85,IF(MATCHED!AZ85=12,MATCHED!$M85,IF(MATCHED!AZ85=13,MATCHED!$N85,IF(MATCHED!AZ85=14,MATCHED!$O85,"")))))))&amp;IF(MATCHED!AZ85=15,MATCHED!$P85,IF(MATCHED!AZ85=16,MATCHED!$Q85,IF(MATCHED!AZ85=17,MATCHED!$R85,IF(MATCHED!AZ85=18,MATCHED!$S85,IF(MATCHED!AZ85=19,MATCHED!$T85,IF(MATCHED!AZ85=20,MATCHED!$U85,IF(MATCHED!AZ85=21,MATCHED!$V85,)))))))&amp;IF(MATCHED!AZ85=22,MATCHED!$W85,IF(MATCHED!AZ85=23,MATCHED!$X85,IF(MATCHED!AZ85=24,MATCHED!$Y85,IF(MATCHED!AZ85=25,MATCHED!$Z85,IF(MATCHED!AZ85=26,MATCHED!$AA85,IF(MATCHED!AZ85=27,MATCHED!$AB85,"."))))))</f>
        <v>#N/A</v>
      </c>
      <c r="Y85" s="423" t="e">
        <f>IF(MATCHED!BA85=1,MATCHED!$B85,IF(MATCHED!BA85=2,MATCHED!$C85,IF(MATCHED!BA85=3,MATCHED!$D85,IF(MATCHED!BA85=4,MATCHED!$E85,IF(MATCHED!BA85=3,MATCHED!$F85,IF(MATCHED!BA85=6,MATCHED!$G85,IF(MATCHED!BA85=7,MATCHED!$H85,"")))))))&amp;IF(MATCHED!BA85=8,MATCHED!$I85,IF(MATCHED!BA85=9,MATCHED!$J85,IF(MATCHED!BA85=10,MATCHED!$K85,IF(MATCHED!BA85=11,MATCHED!$L85,IF(MATCHED!BA85=12,MATCHED!$M85,IF(MATCHED!BA85=13,MATCHED!$N85,IF(MATCHED!BA85=14,MATCHED!$O85,"")))))))&amp;IF(MATCHED!BA85=15,MATCHED!$P85,IF(MATCHED!BA85=16,MATCHED!$Q85,IF(MATCHED!BA85=17,MATCHED!$R85,IF(MATCHED!BA85=18,MATCHED!$S85,IF(MATCHED!BA85=19,MATCHED!$T85,IF(MATCHED!BA85=20,MATCHED!$U85,IF(MATCHED!BA85=21,MATCHED!$V85,)))))))&amp;IF(MATCHED!BA85=22,MATCHED!$W85,IF(MATCHED!BA85=23,MATCHED!$X85,IF(MATCHED!BA85=24,MATCHED!$Y85,IF(MATCHED!BA85=25,MATCHED!$Z85,IF(MATCHED!BA85=26,MATCHED!$AA85,IF(MATCHED!BA85=27,MATCHED!$AB85,"."))))))</f>
        <v>#N/A</v>
      </c>
      <c r="Z85" s="423" t="e">
        <f>IF(MATCHED!BB85=1,MATCHED!$B85,IF(MATCHED!BB85=2,MATCHED!$C85,IF(MATCHED!BB85=3,MATCHED!$D85,IF(MATCHED!BB85=4,MATCHED!$E85,IF(MATCHED!BB85=3,MATCHED!$F85,IF(MATCHED!BB85=6,MATCHED!$G85,IF(MATCHED!BB85=7,MATCHED!$H85,"")))))))&amp;IF(MATCHED!BB85=8,MATCHED!$I85,IF(MATCHED!BB85=9,MATCHED!$J85,IF(MATCHED!BB85=10,MATCHED!$K85,IF(MATCHED!BB85=11,MATCHED!$L85,IF(MATCHED!BB85=12,MATCHED!$M85,IF(MATCHED!BB85=13,MATCHED!$N85,IF(MATCHED!BB85=14,MATCHED!$O85,"")))))))&amp;IF(MATCHED!BB85=15,MATCHED!$P85,IF(MATCHED!BB85=16,MATCHED!$Q85,IF(MATCHED!BB85=17,MATCHED!$R85,IF(MATCHED!BB85=18,MATCHED!$S85,IF(MATCHED!BB85=19,MATCHED!$T85,IF(MATCHED!BB85=20,MATCHED!$U85,IF(MATCHED!BB85=21,MATCHED!$V85,)))))))&amp;IF(MATCHED!BB85=22,MATCHED!$W85,IF(MATCHED!BB85=23,MATCHED!$X85,IF(MATCHED!BB85=24,MATCHED!$Y85,IF(MATCHED!BB85=25,MATCHED!$Z85,IF(MATCHED!BB85=26,MATCHED!$AA85,IF(MATCHED!BB85=27,MATCHED!$AB85,"."))))))</f>
        <v>#N/A</v>
      </c>
      <c r="AA85" s="423" t="e">
        <f>IF(MATCHED!BC85=1,MATCHED!$B85,IF(MATCHED!BC85=2,MATCHED!$C85,IF(MATCHED!BC85=3,MATCHED!$D85,IF(MATCHED!BC85=4,MATCHED!$E85,IF(MATCHED!BC85=3,MATCHED!$F85,IF(MATCHED!BC85=6,MATCHED!$G85,IF(MATCHED!BC85=7,MATCHED!$H85,"")))))))&amp;IF(MATCHED!BC85=8,MATCHED!$I85,IF(MATCHED!BC85=9,MATCHED!$J85,IF(MATCHED!BC85=10,MATCHED!$K85,IF(MATCHED!BC85=11,MATCHED!$L85,IF(MATCHED!BC85=12,MATCHED!$M85,IF(MATCHED!BC85=13,MATCHED!$N85,IF(MATCHED!BC85=14,MATCHED!$O85,"")))))))&amp;IF(MATCHED!BC85=15,MATCHED!$P85,IF(MATCHED!BC85=16,MATCHED!$Q85,IF(MATCHED!BC85=17,MATCHED!$R85,IF(MATCHED!BC85=18,MATCHED!$S85,IF(MATCHED!BC85=19,MATCHED!$T85,IF(MATCHED!BC85=20,MATCHED!$U85,IF(MATCHED!BC85=21,MATCHED!$V85,)))))))&amp;IF(MATCHED!BC85=22,MATCHED!$W85,IF(MATCHED!BC85=23,MATCHED!$X85,IF(MATCHED!BC85=24,MATCHED!$Y85,IF(MATCHED!BC85=25,MATCHED!$Z85,IF(MATCHED!BC85=26,MATCHED!$AA85,IF(MATCHED!BC85=27,MATCHED!$AB85,"."))))))</f>
        <v>#N/A</v>
      </c>
      <c r="AB85" s="423" t="e">
        <f>IF(MATCHED!BD85=1,MATCHED!$B85,IF(MATCHED!BD85=2,MATCHED!$C85,IF(MATCHED!BD85=3,MATCHED!$D85,IF(MATCHED!BD85=4,MATCHED!$E85,IF(MATCHED!BD85=3,MATCHED!$F85,IF(MATCHED!BD85=6,MATCHED!$G85,IF(MATCHED!BD85=7,MATCHED!$H85,"")))))))&amp;IF(MATCHED!BD85=8,MATCHED!$I85,IF(MATCHED!BD85=9,MATCHED!$J85,IF(MATCHED!BD85=10,MATCHED!$K85,IF(MATCHED!BD85=11,MATCHED!$L85,IF(MATCHED!BD85=12,MATCHED!$M85,IF(MATCHED!BD85=13,MATCHED!$N85,IF(MATCHED!BD85=14,MATCHED!$O85,"")))))))&amp;IF(MATCHED!BD85=15,MATCHED!$P85,IF(MATCHED!BD85=16,MATCHED!$Q85,IF(MATCHED!BD85=17,MATCHED!$R85,IF(MATCHED!BD85=18,MATCHED!$S85,IF(MATCHED!BD85=19,MATCHED!$T85,IF(MATCHED!BD85=20,MATCHED!$U85,IF(MATCHED!BD85=21,MATCHED!$V85,)))))))&amp;IF(MATCHED!BD85=22,MATCHED!$W85,IF(MATCHED!BD85=23,MATCHED!$X85,IF(MATCHED!BD85=24,MATCHED!$Y85,IF(MATCHED!BD85=25,MATCHED!$Z85,IF(MATCHED!BD85=26,MATCHED!$AA85,IF(MATCHED!BD85=27,MATCHED!$AB85,"."))))))</f>
        <v>#N/A</v>
      </c>
      <c r="AC85" s="423" t="e">
        <f>IF(MATCHED!BE85=1,MATCHED!$B85,IF(MATCHED!BE85=2,MATCHED!$C85,IF(MATCHED!BE85=3,MATCHED!$D85,IF(MATCHED!BE85=4,MATCHED!$E85,IF(MATCHED!BE85=3,MATCHED!$F85,IF(MATCHED!BE85=6,MATCHED!$G85,IF(MATCHED!BE85=7,MATCHED!$H85,"")))))))&amp;IF(MATCHED!BE85=8,MATCHED!$I85,IF(MATCHED!BE85=9,MATCHED!$J85,IF(MATCHED!BE85=10,MATCHED!$K85,IF(MATCHED!BE85=11,MATCHED!$L85,IF(MATCHED!BE85=12,MATCHED!$M85,IF(MATCHED!BE85=13,MATCHED!$N85,IF(MATCHED!BE85=14,MATCHED!$O85,"")))))))&amp;IF(MATCHED!BE85=15,MATCHED!$P85,IF(MATCHED!BE85=16,MATCHED!$Q85,IF(MATCHED!BE85=17,MATCHED!$R85,IF(MATCHED!BE85=18,MATCHED!$S85,IF(MATCHED!BE85=19,MATCHED!$T85,IF(MATCHED!BE85=20,MATCHED!$U85,IF(MATCHED!BE85=21,MATCHED!$V85,)))))))&amp;IF(MATCHED!BE85=22,MATCHED!$W85,IF(MATCHED!BE85=23,MATCHED!$X85,IF(MATCHED!BE85=24,MATCHED!$Y85,IF(MATCHED!BE85=25,MATCHED!$Z85,IF(MATCHED!BE85=26,MATCHED!$AA85,IF(MATCHED!BE85=27,MATCHED!$AB85,"."))))))</f>
        <v>#N/A</v>
      </c>
      <c r="AD85" s="423" t="e">
        <f>IF(MATCHED!BF85=1,MATCHED!$B85,IF(MATCHED!BF85=2,MATCHED!$C85,IF(MATCHED!BF85=3,MATCHED!$D85,IF(MATCHED!BF85=4,MATCHED!$E85,IF(MATCHED!BF85=3,MATCHED!$F85,IF(MATCHED!BF85=6,MATCHED!$G85,IF(MATCHED!BF85=7,MATCHED!$H85,"")))))))&amp;IF(MATCHED!BF85=8,MATCHED!$I85,IF(MATCHED!BF85=9,MATCHED!$J85,IF(MATCHED!BF85=10,MATCHED!$K85,IF(MATCHED!BF85=11,MATCHED!$L85,IF(MATCHED!BF85=12,MATCHED!$M85,IF(MATCHED!BF85=13,MATCHED!$N85,IF(MATCHED!BF85=14,MATCHED!$O85,"")))))))&amp;IF(MATCHED!BF85=15,MATCHED!$P85,IF(MATCHED!BF85=16,MATCHED!$Q85,IF(MATCHED!BF85=17,MATCHED!$R85,IF(MATCHED!BF85=18,MATCHED!$S85,IF(MATCHED!BF85=19,MATCHED!$T85,IF(MATCHED!BF85=20,MATCHED!$U85,IF(MATCHED!BF85=21,MATCHED!$V85,)))))))&amp;IF(MATCHED!BF85=22,MATCHED!$W85,IF(MATCHED!BF85=23,MATCHED!$X85,IF(MATCHED!BF85=24,MATCHED!$Y85,IF(MATCHED!BF85=25,MATCHED!$Z85,IF(MATCHED!BF85=26,MATCHED!$AA85,IF(MATCHED!BF85=27,MATCHED!$AB85,"."))))))</f>
        <v>#N/A</v>
      </c>
      <c r="AE85" s="423" t="e">
        <f>IF(MATCHED!BG85=1,MATCHED!$B85,IF(MATCHED!BG85=2,MATCHED!$C85,IF(MATCHED!BG85=3,MATCHED!$D85,IF(MATCHED!BG85=4,MATCHED!$E85,IF(MATCHED!BG85=3,MATCHED!$F85,IF(MATCHED!BG85=6,MATCHED!$G85,IF(MATCHED!BG85=7,MATCHED!$H85,"")))))))&amp;IF(MATCHED!BG85=8,MATCHED!$I85,IF(MATCHED!BG85=9,MATCHED!$J85,IF(MATCHED!BG85=10,MATCHED!$K85,IF(MATCHED!BG85=11,MATCHED!$L85,IF(MATCHED!BG85=12,MATCHED!$M85,IF(MATCHED!BG85=13,MATCHED!$N85,IF(MATCHED!BG85=14,MATCHED!$O85,"")))))))&amp;IF(MATCHED!BG85=15,MATCHED!$P85,IF(MATCHED!BG85=16,MATCHED!$Q85,IF(MATCHED!BG85=17,MATCHED!$R85,IF(MATCHED!BG85=18,MATCHED!$S85,IF(MATCHED!BG85=19,MATCHED!$T85,IF(MATCHED!BG85=20,MATCHED!$U85,IF(MATCHED!BG85=21,MATCHED!$V85,)))))))&amp;IF(MATCHED!BG85=22,MATCHED!$W85,IF(MATCHED!BG85=23,MATCHED!$X85,IF(MATCHED!BG85=24,MATCHED!$Y85,IF(MATCHED!BG85=25,MATCHED!$Z85,IF(MATCHED!BG85=26,MATCHED!$AA85,IF(MATCHED!BG85=27,MATCHED!$AB85,"."))))))</f>
        <v>#N/A</v>
      </c>
      <c r="AF85" s="423" t="e">
        <f>IF(MATCHED!BH85=1,MATCHED!$B85,IF(MATCHED!BH85=2,MATCHED!$C85,IF(MATCHED!BH85=3,MATCHED!$D85,IF(MATCHED!BH85=4,MATCHED!$E85,IF(MATCHED!BH85=3,MATCHED!$F85,IF(MATCHED!BH85=6,MATCHED!$G85,IF(MATCHED!BH85=7,MATCHED!$H85,"")))))))&amp;IF(MATCHED!BH85=8,MATCHED!$I85,IF(MATCHED!BH85=9,MATCHED!$J85,IF(MATCHED!BH85=10,MATCHED!$K85,IF(MATCHED!BH85=11,MATCHED!$L85,IF(MATCHED!BH85=12,MATCHED!$M85,IF(MATCHED!BH85=13,MATCHED!$N85,IF(MATCHED!BH85=14,MATCHED!$O85,"")))))))&amp;IF(MATCHED!BH85=15,MATCHED!$P85,IF(MATCHED!BH85=16,MATCHED!$Q85,IF(MATCHED!BH85=17,MATCHED!$R85,IF(MATCHED!BH85=18,MATCHED!$S85,IF(MATCHED!BH85=19,MATCHED!$T85,IF(MATCHED!BH85=20,MATCHED!$U85,IF(MATCHED!BH85=21,MATCHED!$V85,)))))))&amp;IF(MATCHED!BH85=22,MATCHED!$W85,IF(MATCHED!BH85=23,MATCHED!$X85,IF(MATCHED!BH85=24,MATCHED!$Y85,IF(MATCHED!BH85=25,MATCHED!$Z85,IF(MATCHED!BH85=26,MATCHED!$AA85,IF(MATCHED!BH85=27,MATCHED!$AB85,"."))))))</f>
        <v>#N/A</v>
      </c>
      <c r="AG85" s="423" t="e">
        <f>IF(MATCHED!BI85=1,MATCHED!$B85,IF(MATCHED!BI85=2,MATCHED!$C85,IF(MATCHED!BI85=3,MATCHED!$D85,IF(MATCHED!BI85=4,MATCHED!$E85,IF(MATCHED!BI85=3,MATCHED!$F85,IF(MATCHED!BI85=6,MATCHED!$G85,IF(MATCHED!BI85=7,MATCHED!$H85,"")))))))&amp;IF(MATCHED!BI85=8,MATCHED!$I85,IF(MATCHED!BI85=9,MATCHED!$J85,IF(MATCHED!BI85=10,MATCHED!$K85,IF(MATCHED!BI85=11,MATCHED!$L85,IF(MATCHED!BI85=12,MATCHED!$M85,IF(MATCHED!BI85=13,MATCHED!$N85,IF(MATCHED!BI85=14,MATCHED!$O85,"")))))))&amp;IF(MATCHED!BI85=15,MATCHED!$P85,IF(MATCHED!BI85=16,MATCHED!$Q85,IF(MATCHED!BI85=17,MATCHED!$R85,IF(MATCHED!BI85=18,MATCHED!$S85,IF(MATCHED!BI85=19,MATCHED!$T85,IF(MATCHED!BI85=20,MATCHED!$U85,IF(MATCHED!BI85=21,MATCHED!$V85,)))))))&amp;IF(MATCHED!BI85=22,MATCHED!$W85,IF(MATCHED!BI85=23,MATCHED!$X85,IF(MATCHED!BI85=24,MATCHED!$Y85,IF(MATCHED!BI85=25,MATCHED!$Z85,IF(MATCHED!BI85=26,MATCHED!$AA85,IF(MATCHED!BI85=27,MATCHED!$AB85,"."))))))</f>
        <v>#N/A</v>
      </c>
      <c r="AH85" s="423" t="e">
        <f>IF(MATCHED!BJ85=1,MATCHED!$B85,IF(MATCHED!BJ85=2,MATCHED!$C85,IF(MATCHED!BJ85=3,MATCHED!$D85,IF(MATCHED!BJ85=4,MATCHED!$E85,IF(MATCHED!BJ85=3,MATCHED!$F85,IF(MATCHED!BJ85=6,MATCHED!$G85,IF(MATCHED!BJ85=7,MATCHED!$H85,"")))))))&amp;IF(MATCHED!BJ85=8,MATCHED!$I85,IF(MATCHED!BJ85=9,MATCHED!$J85,IF(MATCHED!BJ85=10,MATCHED!$K85,IF(MATCHED!BJ85=11,MATCHED!$L85,IF(MATCHED!BJ85=12,MATCHED!$M85,IF(MATCHED!BJ85=13,MATCHED!$N85,IF(MATCHED!BJ85=14,MATCHED!$O85,"")))))))&amp;IF(MATCHED!BJ85=15,MATCHED!$P85,IF(MATCHED!BJ85=16,MATCHED!$Q85,IF(MATCHED!BJ85=17,MATCHED!$R85,IF(MATCHED!BJ85=18,MATCHED!$S85,IF(MATCHED!BJ85=19,MATCHED!$T85,IF(MATCHED!BJ85=20,MATCHED!$U85,IF(MATCHED!BJ85=21,MATCHED!$V85,)))))))&amp;IF(MATCHED!BJ85=22,MATCHED!$W85,IF(MATCHED!BJ85=23,MATCHED!$X85,IF(MATCHED!BJ85=24,MATCHED!$Y85,IF(MATCHED!BJ85=25,MATCHED!$Z85,IF(MATCHED!BJ85=26,MATCHED!$AA85,IF(MATCHED!BJ85=27,MATCHED!$AB85,"."))))))</f>
        <v>#N/A</v>
      </c>
      <c r="AI85" s="423" t="e">
        <f>IF(MATCHED!BK85=1,MATCHED!$B85,IF(MATCHED!BK85=2,MATCHED!$C85,IF(MATCHED!BK85=3,MATCHED!$D85,IF(MATCHED!BK85=4,MATCHED!$E85,IF(MATCHED!BK85=3,MATCHED!$F85,IF(MATCHED!BK85=6,MATCHED!$G85,IF(MATCHED!BK85=7,MATCHED!$H85,"")))))))&amp;IF(MATCHED!BK85=8,MATCHED!$I85,IF(MATCHED!BK85=9,MATCHED!$J85,IF(MATCHED!BK85=10,MATCHED!$K85,IF(MATCHED!BK85=11,MATCHED!$L85,IF(MATCHED!BK85=12,MATCHED!$M85,IF(MATCHED!BK85=13,MATCHED!$N85,IF(MATCHED!BK85=14,MATCHED!$O85,"")))))))&amp;IF(MATCHED!BK85=15,MATCHED!$P85,IF(MATCHED!BK85=16,MATCHED!$Q85,IF(MATCHED!BK85=17,MATCHED!$R85,IF(MATCHED!BK85=18,MATCHED!$S85,IF(MATCHED!BK85=19,MATCHED!$T85,IF(MATCHED!BK85=20,MATCHED!$U85,IF(MATCHED!BK85=21,MATCHED!$V85,)))))))&amp;IF(MATCHED!BK85=22,MATCHED!$W85,IF(MATCHED!BK85=23,MATCHED!$X85,IF(MATCHED!BK85=24,MATCHED!$Y85,IF(MATCHED!BK85=25,MATCHED!$Z85,IF(MATCHED!BK85=26,MATCHED!$AA85,IF(MATCHED!BK85=27,MATCHED!$AB85,"."))))))</f>
        <v>#N/A</v>
      </c>
      <c r="AJ85" s="542"/>
    </row>
    <row r="86" spans="1:36" s="338" customFormat="1" ht="15.6" thickBot="1" x14ac:dyDescent="0.3">
      <c r="A86" s="543"/>
      <c r="B86" s="423" t="e">
        <f>IF(MATCHED!AD86=1,MATCHED!$B86,IF(MATCHED!AD86=2,MATCHED!$C86,IF(MATCHED!AD86=3,MATCHED!$D86,IF(MATCHED!AD86=4,MATCHED!$E86,IF(MATCHED!AD86=3,MATCHED!$F86,IF(MATCHED!AD86=6,MATCHED!$G86,IF(MATCHED!AD86=7,MATCHED!$H86,"")))))))&amp;IF(MATCHED!AD86=8,MATCHED!$I86,IF(MATCHED!AD86=9,MATCHED!$J86,IF(MATCHED!AD86=10,MATCHED!$K86,IF(MATCHED!AD86=11,MATCHED!$L86,IF(MATCHED!AD86=12,MATCHED!$M86,IF(MATCHED!AD86=13,MATCHED!$N86,IF(MATCHED!AD86=14,MATCHED!$O86,"")))))))&amp;IF(MATCHED!AD86=15,MATCHED!$P86,IF(MATCHED!AD86=16,MATCHED!$Q86,IF(MATCHED!AD86=17,MATCHED!$R86,IF(MATCHED!AD86=18,MATCHED!$S86,IF(MATCHED!AD86=19,MATCHED!$T86,IF(MATCHED!AD86=20,MATCHED!$U86,IF(MATCHED!AD86=21,MATCHED!$V86,)))))))&amp;IF(MATCHED!AD86=22,MATCHED!$W86,IF(MATCHED!AD86=23,MATCHED!$X86,IF(MATCHED!AD86=24,MATCHED!$Y86,IF(MATCHED!AD86=25,MATCHED!$Z86,IF(MATCHED!AD86=26,MATCHED!$AA86,IF(MATCHED!AD86=27,MATCHED!$AB86,"."))))))</f>
        <v>#N/A</v>
      </c>
      <c r="C86" s="423" t="e">
        <f>IF(MATCHED!AE86=1,MATCHED!$B86,IF(MATCHED!AE86=2,MATCHED!$C86,IF(MATCHED!AE86=3,MATCHED!$D86,IF(MATCHED!AE86=4,MATCHED!$E86,IF(MATCHED!AE86=3,MATCHED!$F86,IF(MATCHED!AE86=6,MATCHED!$G86,IF(MATCHED!AE86=7,MATCHED!$H86,"")))))))&amp;IF(MATCHED!AE86=8,MATCHED!$I86,IF(MATCHED!AE86=9,MATCHED!$J86,IF(MATCHED!AE86=10,MATCHED!$K86,IF(MATCHED!AE86=11,MATCHED!$L86,IF(MATCHED!AE86=12,MATCHED!$M86,IF(MATCHED!AE86=13,MATCHED!$N86,IF(MATCHED!AE86=14,MATCHED!$O86,"")))))))&amp;IF(MATCHED!AE86=15,MATCHED!$P86,IF(MATCHED!AE86=16,MATCHED!$Q86,IF(MATCHED!AE86=17,MATCHED!$R86,IF(MATCHED!AE86=18,MATCHED!$S86,IF(MATCHED!AE86=19,MATCHED!$T86,IF(MATCHED!AE86=20,MATCHED!$U86,IF(MATCHED!AE86=21,MATCHED!$V86,)))))))&amp;IF(MATCHED!AE86=22,MATCHED!$W86,IF(MATCHED!AE86=23,MATCHED!$X86,IF(MATCHED!AE86=24,MATCHED!$Y86,IF(MATCHED!AE86=25,MATCHED!$Z86,IF(MATCHED!AE86=26,MATCHED!$AA86,IF(MATCHED!AE86=27,MATCHED!$AB86,"."))))))</f>
        <v>#N/A</v>
      </c>
      <c r="D86" s="423" t="e">
        <f>IF(MATCHED!AF86=1,MATCHED!$B86,IF(MATCHED!AF86=2,MATCHED!$C86,IF(MATCHED!AF86=3,MATCHED!$D86,IF(MATCHED!AF86=4,MATCHED!$E86,IF(MATCHED!AF86=3,MATCHED!$F86,IF(MATCHED!AF86=6,MATCHED!$G86,IF(MATCHED!AF86=7,MATCHED!$H86,"")))))))&amp;IF(MATCHED!AF86=8,MATCHED!$I86,IF(MATCHED!AF86=9,MATCHED!$J86,IF(MATCHED!AF86=10,MATCHED!$K86,IF(MATCHED!AF86=11,MATCHED!$L86,IF(MATCHED!AF86=12,MATCHED!$M86,IF(MATCHED!AF86=13,MATCHED!$N86,IF(MATCHED!AF86=14,MATCHED!$O86,"")))))))&amp;IF(MATCHED!AF86=15,MATCHED!$P86,IF(MATCHED!AF86=16,MATCHED!$Q86,IF(MATCHED!AF86=17,MATCHED!$R86,IF(MATCHED!AF86=18,MATCHED!$S86,IF(MATCHED!AF86=19,MATCHED!$T86,IF(MATCHED!AF86=20,MATCHED!$U86,IF(MATCHED!AF86=21,MATCHED!$V86,)))))))&amp;IF(MATCHED!AF86=22,MATCHED!$W86,IF(MATCHED!AF86=23,MATCHED!$X86,IF(MATCHED!AF86=24,MATCHED!$Y86,IF(MATCHED!AF86=25,MATCHED!$Z86,IF(MATCHED!AF86=26,MATCHED!$AA86,IF(MATCHED!AF86=27,MATCHED!$AB86,"."))))))</f>
        <v>#N/A</v>
      </c>
      <c r="E86" s="423" t="e">
        <f>IF(MATCHED!AG86=1,MATCHED!$B86,IF(MATCHED!AG86=2,MATCHED!$C86,IF(MATCHED!AG86=3,MATCHED!$D86,IF(MATCHED!AG86=4,MATCHED!$E86,IF(MATCHED!AG86=3,MATCHED!$F86,IF(MATCHED!AG86=6,MATCHED!$G86,IF(MATCHED!AG86=7,MATCHED!$H86,"")))))))&amp;IF(MATCHED!AG86=8,MATCHED!$I86,IF(MATCHED!AG86=9,MATCHED!$J86,IF(MATCHED!AG86=10,MATCHED!$K86,IF(MATCHED!AG86=11,MATCHED!$L86,IF(MATCHED!AG86=12,MATCHED!$M86,IF(MATCHED!AG86=13,MATCHED!$N86,IF(MATCHED!AG86=14,MATCHED!$O86,"")))))))&amp;IF(MATCHED!AG86=15,MATCHED!$P86,IF(MATCHED!AG86=16,MATCHED!$Q86,IF(MATCHED!AG86=17,MATCHED!$R86,IF(MATCHED!AG86=18,MATCHED!$S86,IF(MATCHED!AG86=19,MATCHED!$T86,IF(MATCHED!AG86=20,MATCHED!$U86,IF(MATCHED!AG86=21,MATCHED!$V86,)))))))&amp;IF(MATCHED!AG86=22,MATCHED!$W86,IF(MATCHED!AG86=23,MATCHED!$X86,IF(MATCHED!AG86=24,MATCHED!$Y86,IF(MATCHED!AG86=25,MATCHED!$Z86,IF(MATCHED!AG86=26,MATCHED!$AA86,IF(MATCHED!AG86=27,MATCHED!$AB86,"."))))))</f>
        <v>#N/A</v>
      </c>
      <c r="F86" s="423" t="e">
        <f>IF(MATCHED!AH86=1,MATCHED!$B86,IF(MATCHED!AH86=2,MATCHED!$C86,IF(MATCHED!AH86=3,MATCHED!$D86,IF(MATCHED!AH86=4,MATCHED!$E86,IF(MATCHED!AH86=3,MATCHED!$F86,IF(MATCHED!AH86=6,MATCHED!$G86,IF(MATCHED!AH86=7,MATCHED!$H86,"")))))))&amp;IF(MATCHED!AH86=8,MATCHED!$I86,IF(MATCHED!AH86=9,MATCHED!$J86,IF(MATCHED!AH86=10,MATCHED!$K86,IF(MATCHED!AH86=11,MATCHED!$L86,IF(MATCHED!AH86=12,MATCHED!$M86,IF(MATCHED!AH86=13,MATCHED!$N86,IF(MATCHED!AH86=14,MATCHED!$O86,"")))))))&amp;IF(MATCHED!AH86=15,MATCHED!$P86,IF(MATCHED!AH86=16,MATCHED!$Q86,IF(MATCHED!AH86=17,MATCHED!$R86,IF(MATCHED!AH86=18,MATCHED!$S86,IF(MATCHED!AH86=19,MATCHED!$T86,IF(MATCHED!AH86=20,MATCHED!$U86,IF(MATCHED!AH86=21,MATCHED!$V86,)))))))&amp;IF(MATCHED!AH86=22,MATCHED!$W86,IF(MATCHED!AH86=23,MATCHED!$X86,IF(MATCHED!AH86=24,MATCHED!$Y86,IF(MATCHED!AH86=25,MATCHED!$Z86,IF(MATCHED!AH86=26,MATCHED!$AA86,IF(MATCHED!AH86=27,MATCHED!$AB86,"."))))))</f>
        <v>#N/A</v>
      </c>
      <c r="G86" s="423" t="e">
        <f>IF(MATCHED!AI86=1,MATCHED!$B86,IF(MATCHED!AI86=2,MATCHED!$C86,IF(MATCHED!AI86=3,MATCHED!$D86,IF(MATCHED!AI86=4,MATCHED!$E86,IF(MATCHED!AI86=3,MATCHED!$F86,IF(MATCHED!AI86=6,MATCHED!$G86,IF(MATCHED!AI86=7,MATCHED!$H86,"")))))))&amp;IF(MATCHED!AI86=8,MATCHED!$I86,IF(MATCHED!AI86=9,MATCHED!$J86,IF(MATCHED!AI86=10,MATCHED!$K86,IF(MATCHED!AI86=11,MATCHED!$L86,IF(MATCHED!AI86=12,MATCHED!$M86,IF(MATCHED!AI86=13,MATCHED!$N86,IF(MATCHED!AI86=14,MATCHED!$O86,"")))))))&amp;IF(MATCHED!AI86=15,MATCHED!$P86,IF(MATCHED!AI86=16,MATCHED!$Q86,IF(MATCHED!AI86=17,MATCHED!$R86,IF(MATCHED!AI86=18,MATCHED!$S86,IF(MATCHED!AI86=19,MATCHED!$T86,IF(MATCHED!AI86=20,MATCHED!$U86,IF(MATCHED!AI86=21,MATCHED!$V86,)))))))&amp;IF(MATCHED!AI86=22,MATCHED!$W86,IF(MATCHED!AI86=23,MATCHED!$X86,IF(MATCHED!AI86=24,MATCHED!$Y86,IF(MATCHED!AI86=25,MATCHED!$Z86,IF(MATCHED!AI86=26,MATCHED!$AA86,IF(MATCHED!AI86=27,MATCHED!$AB86,"."))))))</f>
        <v>#N/A</v>
      </c>
      <c r="H86" s="423" t="e">
        <f>IF(MATCHED!AJ86=1,MATCHED!$B86,IF(MATCHED!AJ86=2,MATCHED!$C86,IF(MATCHED!AJ86=3,MATCHED!$D86,IF(MATCHED!AJ86=4,MATCHED!$E86,IF(MATCHED!AJ86=3,MATCHED!$F86,IF(MATCHED!AJ86=6,MATCHED!$G86,IF(MATCHED!AJ86=7,MATCHED!$H86,"")))))))&amp;IF(MATCHED!AJ86=8,MATCHED!$I86,IF(MATCHED!AJ86=9,MATCHED!$J86,IF(MATCHED!AJ86=10,MATCHED!$K86,IF(MATCHED!AJ86=11,MATCHED!$L86,IF(MATCHED!AJ86=12,MATCHED!$M86,IF(MATCHED!AJ86=13,MATCHED!$N86,IF(MATCHED!AJ86=14,MATCHED!$O86,"")))))))&amp;IF(MATCHED!AJ86=15,MATCHED!$P86,IF(MATCHED!AJ86=16,MATCHED!$Q86,IF(MATCHED!AJ86=17,MATCHED!$R86,IF(MATCHED!AJ86=18,MATCHED!$S86,IF(MATCHED!AJ86=19,MATCHED!$T86,IF(MATCHED!AJ86=20,MATCHED!$U86,IF(MATCHED!AJ86=21,MATCHED!$V86,)))))))&amp;IF(MATCHED!AJ86=22,MATCHED!$W86,IF(MATCHED!AJ86=23,MATCHED!$X86,IF(MATCHED!AJ86=24,MATCHED!$Y86,IF(MATCHED!AJ86=25,MATCHED!$Z86,IF(MATCHED!AJ86=26,MATCHED!$AA86,IF(MATCHED!AJ86=27,MATCHED!$AB86,"."))))))</f>
        <v>#N/A</v>
      </c>
      <c r="I86" s="423" t="e">
        <f>IF(MATCHED!AK86=1,MATCHED!$B86,IF(MATCHED!AK86=2,MATCHED!$C86,IF(MATCHED!AK86=3,MATCHED!$D86,IF(MATCHED!AK86=4,MATCHED!$E86,IF(MATCHED!AK86=3,MATCHED!$F86,IF(MATCHED!AK86=6,MATCHED!$G86,IF(MATCHED!AK86=7,MATCHED!$H86,"")))))))&amp;IF(MATCHED!AK86=8,MATCHED!$I86,IF(MATCHED!AK86=9,MATCHED!$J86,IF(MATCHED!AK86=10,MATCHED!$K86,IF(MATCHED!AK86=11,MATCHED!$L86,IF(MATCHED!AK86=12,MATCHED!$M86,IF(MATCHED!AK86=13,MATCHED!$N86,IF(MATCHED!AK86=14,MATCHED!$O86,"")))))))&amp;IF(MATCHED!AK86=15,MATCHED!$P86,IF(MATCHED!AK86=16,MATCHED!$Q86,IF(MATCHED!AK86=17,MATCHED!$R86,IF(MATCHED!AK86=18,MATCHED!$S86,IF(MATCHED!AK86=19,MATCHED!$T86,IF(MATCHED!AK86=20,MATCHED!$U86,IF(MATCHED!AK86=21,MATCHED!$V86,)))))))&amp;IF(MATCHED!AK86=22,MATCHED!$W86,IF(MATCHED!AK86=23,MATCHED!$X86,IF(MATCHED!AK86=24,MATCHED!$Y86,IF(MATCHED!AK86=25,MATCHED!$Z86,IF(MATCHED!AK86=26,MATCHED!$AA86,IF(MATCHED!AK86=27,MATCHED!$AB86,"."))))))</f>
        <v>#N/A</v>
      </c>
      <c r="J86" s="423" t="e">
        <f>IF(MATCHED!AL86=1,MATCHED!$B86,IF(MATCHED!AL86=2,MATCHED!$C86,IF(MATCHED!AL86=3,MATCHED!$D86,IF(MATCHED!AL86=4,MATCHED!$E86,IF(MATCHED!AL86=3,MATCHED!$F86,IF(MATCHED!AL86=6,MATCHED!$G86,IF(MATCHED!AL86=7,MATCHED!$H86,"")))))))&amp;IF(MATCHED!AL86=8,MATCHED!$I86,IF(MATCHED!AL86=9,MATCHED!$J86,IF(MATCHED!AL86=10,MATCHED!$K86,IF(MATCHED!AL86=11,MATCHED!$L86,IF(MATCHED!AL86=12,MATCHED!$M86,IF(MATCHED!AL86=13,MATCHED!$N86,IF(MATCHED!AL86=14,MATCHED!$O86,"")))))))&amp;IF(MATCHED!AL86=15,MATCHED!$P86,IF(MATCHED!AL86=16,MATCHED!$Q86,IF(MATCHED!AL86=17,MATCHED!$R86,IF(MATCHED!AL86=18,MATCHED!$S86,IF(MATCHED!AL86=19,MATCHED!$T86,IF(MATCHED!AL86=20,MATCHED!$U86,IF(MATCHED!AL86=21,MATCHED!$V86,)))))))&amp;IF(MATCHED!AL86=22,MATCHED!$W86,IF(MATCHED!AL86=23,MATCHED!$X86,IF(MATCHED!AL86=24,MATCHED!$Y86,IF(MATCHED!AL86=25,MATCHED!$Z86,IF(MATCHED!AL86=26,MATCHED!$AA86,IF(MATCHED!AL86=27,MATCHED!$AB86,"."))))))</f>
        <v>#N/A</v>
      </c>
      <c r="K86" s="423" t="e">
        <f>IF(MATCHED!AM86=1,MATCHED!$B86,IF(MATCHED!AM86=2,MATCHED!$C86,IF(MATCHED!AM86=3,MATCHED!$D86,IF(MATCHED!AM86=4,MATCHED!$E86,IF(MATCHED!AM86=3,MATCHED!$F86,IF(MATCHED!AM86=6,MATCHED!$G86,IF(MATCHED!AM86=7,MATCHED!$H86,"")))))))&amp;IF(MATCHED!AM86=8,MATCHED!$I86,IF(MATCHED!AM86=9,MATCHED!$J86,IF(MATCHED!AM86=10,MATCHED!$K86,IF(MATCHED!AM86=11,MATCHED!$L86,IF(MATCHED!AM86=12,MATCHED!$M86,IF(MATCHED!AM86=13,MATCHED!$N86,IF(MATCHED!AM86=14,MATCHED!$O86,"")))))))&amp;IF(MATCHED!AM86=15,MATCHED!$P86,IF(MATCHED!AM86=16,MATCHED!$Q86,IF(MATCHED!AM86=17,MATCHED!$R86,IF(MATCHED!AM86=18,MATCHED!$S86,IF(MATCHED!AM86=19,MATCHED!$T86,IF(MATCHED!AM86=20,MATCHED!$U86,IF(MATCHED!AM86=21,MATCHED!$V86,)))))))&amp;IF(MATCHED!AM86=22,MATCHED!$W86,IF(MATCHED!AM86=23,MATCHED!$X86,IF(MATCHED!AM86=24,MATCHED!$Y86,IF(MATCHED!AM86=25,MATCHED!$Z86,IF(MATCHED!AM86=26,MATCHED!$AA86,IF(MATCHED!AM86=27,MATCHED!$AB86,"."))))))</f>
        <v>#N/A</v>
      </c>
      <c r="L86" s="423" t="e">
        <f>IF(MATCHED!AN86=1,MATCHED!$B86,IF(MATCHED!AN86=2,MATCHED!$C86,IF(MATCHED!AN86=3,MATCHED!$D86,IF(MATCHED!AN86=4,MATCHED!$E86,IF(MATCHED!AN86=3,MATCHED!$F86,IF(MATCHED!AN86=6,MATCHED!$G86,IF(MATCHED!AN86=7,MATCHED!$H86,"")))))))&amp;IF(MATCHED!AN86=8,MATCHED!$I86,IF(MATCHED!AN86=9,MATCHED!$J86,IF(MATCHED!AN86=10,MATCHED!$K86,IF(MATCHED!AN86=11,MATCHED!$L86,IF(MATCHED!AN86=12,MATCHED!$M86,IF(MATCHED!AN86=13,MATCHED!$N86,IF(MATCHED!AN86=14,MATCHED!$O86,"")))))))&amp;IF(MATCHED!AN86=15,MATCHED!$P86,IF(MATCHED!AN86=16,MATCHED!$Q86,IF(MATCHED!AN86=17,MATCHED!$R86,IF(MATCHED!AN86=18,MATCHED!$S86,IF(MATCHED!AN86=19,MATCHED!$T86,IF(MATCHED!AN86=20,MATCHED!$U86,IF(MATCHED!AN86=21,MATCHED!$V86,)))))))&amp;IF(MATCHED!AN86=22,MATCHED!$W86,IF(MATCHED!AN86=23,MATCHED!$X86,IF(MATCHED!AN86=24,MATCHED!$Y86,IF(MATCHED!AN86=25,MATCHED!$Z86,IF(MATCHED!AN86=26,MATCHED!$AA86,IF(MATCHED!AN86=27,MATCHED!$AB86,"."))))))</f>
        <v>#N/A</v>
      </c>
      <c r="M86" s="423" t="e">
        <f>IF(MATCHED!AO86=1,MATCHED!$B86,IF(MATCHED!AO86=2,MATCHED!$C86,IF(MATCHED!AO86=3,MATCHED!$D86,IF(MATCHED!AO86=4,MATCHED!$E86,IF(MATCHED!AO86=3,MATCHED!$F86,IF(MATCHED!AO86=6,MATCHED!$G86,IF(MATCHED!AO86=7,MATCHED!$H86,"")))))))&amp;IF(MATCHED!AO86=8,MATCHED!$I86,IF(MATCHED!AO86=9,MATCHED!$J86,IF(MATCHED!AO86=10,MATCHED!$K86,IF(MATCHED!AO86=11,MATCHED!$L86,IF(MATCHED!AO86=12,MATCHED!$M86,IF(MATCHED!AO86=13,MATCHED!$N86,IF(MATCHED!AO86=14,MATCHED!$O86,"")))))))&amp;IF(MATCHED!AO86=15,MATCHED!$P86,IF(MATCHED!AO86=16,MATCHED!$Q86,IF(MATCHED!AO86=17,MATCHED!$R86,IF(MATCHED!AO86=18,MATCHED!$S86,IF(MATCHED!AO86=19,MATCHED!$T86,IF(MATCHED!AO86=20,MATCHED!$U86,IF(MATCHED!AO86=21,MATCHED!$V86,)))))))&amp;IF(MATCHED!AO86=22,MATCHED!$W86,IF(MATCHED!AO86=23,MATCHED!$X86,IF(MATCHED!AO86=24,MATCHED!$Y86,IF(MATCHED!AO86=25,MATCHED!$Z86,IF(MATCHED!AO86=26,MATCHED!$AA86,IF(MATCHED!AO86=27,MATCHED!$AB86,"."))))))</f>
        <v>#N/A</v>
      </c>
      <c r="N86" s="423" t="e">
        <f>IF(MATCHED!AP86=1,MATCHED!$B86,IF(MATCHED!AP86=2,MATCHED!$C86,IF(MATCHED!AP86=3,MATCHED!$D86,IF(MATCHED!AP86=4,MATCHED!$E86,IF(MATCHED!AP86=3,MATCHED!$F86,IF(MATCHED!AP86=6,MATCHED!$G86,IF(MATCHED!AP86=7,MATCHED!$H86,"")))))))&amp;IF(MATCHED!AP86=8,MATCHED!$I86,IF(MATCHED!AP86=9,MATCHED!$J86,IF(MATCHED!AP86=10,MATCHED!$K86,IF(MATCHED!AP86=11,MATCHED!$L86,IF(MATCHED!AP86=12,MATCHED!$M86,IF(MATCHED!AP86=13,MATCHED!$N86,IF(MATCHED!AP86=14,MATCHED!$O86,"")))))))&amp;IF(MATCHED!AP86=15,MATCHED!$P86,IF(MATCHED!AP86=16,MATCHED!$Q86,IF(MATCHED!AP86=17,MATCHED!$R86,IF(MATCHED!AP86=18,MATCHED!$S86,IF(MATCHED!AP86=19,MATCHED!$T86,IF(MATCHED!AP86=20,MATCHED!$U86,IF(MATCHED!AP86=21,MATCHED!$V86,)))))))&amp;IF(MATCHED!AP86=22,MATCHED!$W86,IF(MATCHED!AP86=23,MATCHED!$X86,IF(MATCHED!AP86=24,MATCHED!$Y86,IF(MATCHED!AP86=25,MATCHED!$Z86,IF(MATCHED!AP86=26,MATCHED!$AA86,IF(MATCHED!AP86=27,MATCHED!$AB86,"."))))))</f>
        <v>#N/A</v>
      </c>
      <c r="O86" s="423" t="e">
        <f>IF(MATCHED!AQ86=1,MATCHED!$B86,IF(MATCHED!AQ86=2,MATCHED!$C86,IF(MATCHED!AQ86=3,MATCHED!$D86,IF(MATCHED!AQ86=4,MATCHED!$E86,IF(MATCHED!AQ86=3,MATCHED!$F86,IF(MATCHED!AQ86=6,MATCHED!$G86,IF(MATCHED!AQ86=7,MATCHED!$H86,"")))))))&amp;IF(MATCHED!AQ86=8,MATCHED!$I86,IF(MATCHED!AQ86=9,MATCHED!$J86,IF(MATCHED!AQ86=10,MATCHED!$K86,IF(MATCHED!AQ86=11,MATCHED!$L86,IF(MATCHED!AQ86=12,MATCHED!$M86,IF(MATCHED!AQ86=13,MATCHED!$N86,IF(MATCHED!AQ86=14,MATCHED!$O86,"")))))))&amp;IF(MATCHED!AQ86=15,MATCHED!$P86,IF(MATCHED!AQ86=16,MATCHED!$Q86,IF(MATCHED!AQ86=17,MATCHED!$R86,IF(MATCHED!AQ86=18,MATCHED!$S86,IF(MATCHED!AQ86=19,MATCHED!$T86,IF(MATCHED!AQ86=20,MATCHED!$U86,IF(MATCHED!AQ86=21,MATCHED!$V86,)))))))&amp;IF(MATCHED!AQ86=22,MATCHED!$W86,IF(MATCHED!AQ86=23,MATCHED!$X86,IF(MATCHED!AQ86=24,MATCHED!$Y86,IF(MATCHED!AQ86=25,MATCHED!$Z86,IF(MATCHED!AQ86=26,MATCHED!$AA86,IF(MATCHED!AQ86=27,MATCHED!$AB86,"."))))))</f>
        <v>#N/A</v>
      </c>
      <c r="P86" s="423" t="e">
        <f>IF(MATCHED!AR86=1,MATCHED!$B86,IF(MATCHED!AR86=2,MATCHED!$C86,IF(MATCHED!AR86=3,MATCHED!$D86,IF(MATCHED!AR86=4,MATCHED!$E86,IF(MATCHED!AR86=3,MATCHED!$F86,IF(MATCHED!AR86=6,MATCHED!$G86,IF(MATCHED!AR86=7,MATCHED!$H86,"")))))))&amp;IF(MATCHED!AR86=8,MATCHED!$I86,IF(MATCHED!AR86=9,MATCHED!$J86,IF(MATCHED!AR86=10,MATCHED!$K86,IF(MATCHED!AR86=11,MATCHED!$L86,IF(MATCHED!AR86=12,MATCHED!$M86,IF(MATCHED!AR86=13,MATCHED!$N86,IF(MATCHED!AR86=14,MATCHED!$O86,"")))))))&amp;IF(MATCHED!AR86=15,MATCHED!$P86,IF(MATCHED!AR86=16,MATCHED!$Q86,IF(MATCHED!AR86=17,MATCHED!$R86,IF(MATCHED!AR86=18,MATCHED!$S86,IF(MATCHED!AR86=19,MATCHED!$T86,IF(MATCHED!AR86=20,MATCHED!$U86,IF(MATCHED!AR86=21,MATCHED!$V86,)))))))&amp;IF(MATCHED!AR86=22,MATCHED!$W86,IF(MATCHED!AR86=23,MATCHED!$X86,IF(MATCHED!AR86=24,MATCHED!$Y86,IF(MATCHED!AR86=25,MATCHED!$Z86,IF(MATCHED!AR86=26,MATCHED!$AA86,IF(MATCHED!AR86=27,MATCHED!$AB86,"."))))))</f>
        <v>#N/A</v>
      </c>
      <c r="Q86" s="423" t="e">
        <f>IF(MATCHED!AS86=1,MATCHED!$B86,IF(MATCHED!AS86=2,MATCHED!$C86,IF(MATCHED!AS86=3,MATCHED!$D86,IF(MATCHED!AS86=4,MATCHED!$E86,IF(MATCHED!AS86=3,MATCHED!$F86,IF(MATCHED!AS86=6,MATCHED!$G86,IF(MATCHED!AS86=7,MATCHED!$H86,"")))))))&amp;IF(MATCHED!AS86=8,MATCHED!$I86,IF(MATCHED!AS86=9,MATCHED!$J86,IF(MATCHED!AS86=10,MATCHED!$K86,IF(MATCHED!AS86=11,MATCHED!$L86,IF(MATCHED!AS86=12,MATCHED!$M86,IF(MATCHED!AS86=13,MATCHED!$N86,IF(MATCHED!AS86=14,MATCHED!$O86,"")))))))&amp;IF(MATCHED!AS86=15,MATCHED!$P86,IF(MATCHED!AS86=16,MATCHED!$Q86,IF(MATCHED!AS86=17,MATCHED!$R86,IF(MATCHED!AS86=18,MATCHED!$S86,IF(MATCHED!AS86=19,MATCHED!$T86,IF(MATCHED!AS86=20,MATCHED!$U86,IF(MATCHED!AS86=21,MATCHED!$V86,)))))))&amp;IF(MATCHED!AS86=22,MATCHED!$W86,IF(MATCHED!AS86=23,MATCHED!$X86,IF(MATCHED!AS86=24,MATCHED!$Y86,IF(MATCHED!AS86=25,MATCHED!$Z86,IF(MATCHED!AS86=26,MATCHED!$AA86,IF(MATCHED!AS86=27,MATCHED!$AB86,"."))))))</f>
        <v>#N/A</v>
      </c>
      <c r="R86" s="423" t="e">
        <f>IF(MATCHED!AT86=1,MATCHED!$B86,IF(MATCHED!AT86=2,MATCHED!$C86,IF(MATCHED!AT86=3,MATCHED!$D86,IF(MATCHED!AT86=4,MATCHED!$E86,IF(MATCHED!AT86=3,MATCHED!$F86,IF(MATCHED!AT86=6,MATCHED!$G86,IF(MATCHED!AT86=7,MATCHED!$H86,"")))))))&amp;IF(MATCHED!AT86=8,MATCHED!$I86,IF(MATCHED!AT86=9,MATCHED!$J86,IF(MATCHED!AT86=10,MATCHED!$K86,IF(MATCHED!AT86=11,MATCHED!$L86,IF(MATCHED!AT86=12,MATCHED!$M86,IF(MATCHED!AT86=13,MATCHED!$N86,IF(MATCHED!AT86=14,MATCHED!$O86,"")))))))&amp;IF(MATCHED!AT86=15,MATCHED!$P86,IF(MATCHED!AT86=16,MATCHED!$Q86,IF(MATCHED!AT86=17,MATCHED!$R86,IF(MATCHED!AT86=18,MATCHED!$S86,IF(MATCHED!AT86=19,MATCHED!$T86,IF(MATCHED!AT86=20,MATCHED!$U86,IF(MATCHED!AT86=21,MATCHED!$V86,)))))))&amp;IF(MATCHED!AT86=22,MATCHED!$W86,IF(MATCHED!AT86=23,MATCHED!$X86,IF(MATCHED!AT86=24,MATCHED!$Y86,IF(MATCHED!AT86=25,MATCHED!$Z86,IF(MATCHED!AT86=26,MATCHED!$AA86,IF(MATCHED!AT86=27,MATCHED!$AB86,"."))))))</f>
        <v>#N/A</v>
      </c>
      <c r="S86" s="423" t="e">
        <f>IF(MATCHED!AU86=1,MATCHED!$B86,IF(MATCHED!AU86=2,MATCHED!$C86,IF(MATCHED!AU86=3,MATCHED!$D86,IF(MATCHED!AU86=4,MATCHED!$E86,IF(MATCHED!AU86=3,MATCHED!$F86,IF(MATCHED!AU86=6,MATCHED!$G86,IF(MATCHED!AU86=7,MATCHED!$H86,"")))))))&amp;IF(MATCHED!AU86=8,MATCHED!$I86,IF(MATCHED!AU86=9,MATCHED!$J86,IF(MATCHED!AU86=10,MATCHED!$K86,IF(MATCHED!AU86=11,MATCHED!$L86,IF(MATCHED!AU86=12,MATCHED!$M86,IF(MATCHED!AU86=13,MATCHED!$N86,IF(MATCHED!AU86=14,MATCHED!$O86,"")))))))&amp;IF(MATCHED!AU86=15,MATCHED!$P86,IF(MATCHED!AU86=16,MATCHED!$Q86,IF(MATCHED!AU86=17,MATCHED!$R86,IF(MATCHED!AU86=18,MATCHED!$S86,IF(MATCHED!AU86=19,MATCHED!$T86,IF(MATCHED!AU86=20,MATCHED!$U86,IF(MATCHED!AU86=21,MATCHED!$V86,)))))))&amp;IF(MATCHED!AU86=22,MATCHED!$W86,IF(MATCHED!AU86=23,MATCHED!$X86,IF(MATCHED!AU86=24,MATCHED!$Y86,IF(MATCHED!AU86=25,MATCHED!$Z86,IF(MATCHED!AU86=26,MATCHED!$AA86,IF(MATCHED!AU86=27,MATCHED!$AB86,"."))))))</f>
        <v>#N/A</v>
      </c>
      <c r="T86" s="423" t="e">
        <f>IF(MATCHED!AV86=1,MATCHED!$B86,IF(MATCHED!AV86=2,MATCHED!$C86,IF(MATCHED!AV86=3,MATCHED!$D86,IF(MATCHED!AV86=4,MATCHED!$E86,IF(MATCHED!AV86=3,MATCHED!$F86,IF(MATCHED!AV86=6,MATCHED!$G86,IF(MATCHED!AV86=7,MATCHED!$H86,"")))))))&amp;IF(MATCHED!AV86=8,MATCHED!$I86,IF(MATCHED!AV86=9,MATCHED!$J86,IF(MATCHED!AV86=10,MATCHED!$K86,IF(MATCHED!AV86=11,MATCHED!$L86,IF(MATCHED!AV86=12,MATCHED!$M86,IF(MATCHED!AV86=13,MATCHED!$N86,IF(MATCHED!AV86=14,MATCHED!$O86,"")))))))&amp;IF(MATCHED!AV86=15,MATCHED!$P86,IF(MATCHED!AV86=16,MATCHED!$Q86,IF(MATCHED!AV86=17,MATCHED!$R86,IF(MATCHED!AV86=18,MATCHED!$S86,IF(MATCHED!AV86=19,MATCHED!$T86,IF(MATCHED!AV86=20,MATCHED!$U86,IF(MATCHED!AV86=21,MATCHED!$V86,)))))))&amp;IF(MATCHED!AV86=22,MATCHED!$W86,IF(MATCHED!AV86=23,MATCHED!$X86,IF(MATCHED!AV86=24,MATCHED!$Y86,IF(MATCHED!AV86=25,MATCHED!$Z86,IF(MATCHED!AV86=26,MATCHED!$AA86,IF(MATCHED!AV86=27,MATCHED!$AB86,"."))))))</f>
        <v>#N/A</v>
      </c>
      <c r="U86" s="423" t="e">
        <f>IF(MATCHED!AW86=1,MATCHED!$B86,IF(MATCHED!AW86=2,MATCHED!$C86,IF(MATCHED!AW86=3,MATCHED!$D86,IF(MATCHED!AW86=4,MATCHED!$E86,IF(MATCHED!AW86=3,MATCHED!$F86,IF(MATCHED!AW86=6,MATCHED!$G86,IF(MATCHED!AW86=7,MATCHED!$H86,"")))))))&amp;IF(MATCHED!AW86=8,MATCHED!$I86,IF(MATCHED!AW86=9,MATCHED!$J86,IF(MATCHED!AW86=10,MATCHED!$K86,IF(MATCHED!AW86=11,MATCHED!$L86,IF(MATCHED!AW86=12,MATCHED!$M86,IF(MATCHED!AW86=13,MATCHED!$N86,IF(MATCHED!AW86=14,MATCHED!$O86,"")))))))&amp;IF(MATCHED!AW86=15,MATCHED!$P86,IF(MATCHED!AW86=16,MATCHED!$Q86,IF(MATCHED!AW86=17,MATCHED!$R86,IF(MATCHED!AW86=18,MATCHED!$S86,IF(MATCHED!AW86=19,MATCHED!$T86,IF(MATCHED!AW86=20,MATCHED!$U86,IF(MATCHED!AW86=21,MATCHED!$V86,)))))))&amp;IF(MATCHED!AW86=22,MATCHED!$W86,IF(MATCHED!AW86=23,MATCHED!$X86,IF(MATCHED!AW86=24,MATCHED!$Y86,IF(MATCHED!AW86=25,MATCHED!$Z86,IF(MATCHED!AW86=26,MATCHED!$AA86,IF(MATCHED!AW86=27,MATCHED!$AB86,"."))))))</f>
        <v>#N/A</v>
      </c>
      <c r="V86" s="423" t="e">
        <f>IF(MATCHED!AX86=1,MATCHED!$B86,IF(MATCHED!AX86=2,MATCHED!$C86,IF(MATCHED!AX86=3,MATCHED!$D86,IF(MATCHED!AX86=4,MATCHED!$E86,IF(MATCHED!AX86=3,MATCHED!$F86,IF(MATCHED!AX86=6,MATCHED!$G86,IF(MATCHED!AX86=7,MATCHED!$H86,"")))))))&amp;IF(MATCHED!AX86=8,MATCHED!$I86,IF(MATCHED!AX86=9,MATCHED!$J86,IF(MATCHED!AX86=10,MATCHED!$K86,IF(MATCHED!AX86=11,MATCHED!$L86,IF(MATCHED!AX86=12,MATCHED!$M86,IF(MATCHED!AX86=13,MATCHED!$N86,IF(MATCHED!AX86=14,MATCHED!$O86,"")))))))&amp;IF(MATCHED!AX86=15,MATCHED!$P86,IF(MATCHED!AX86=16,MATCHED!$Q86,IF(MATCHED!AX86=17,MATCHED!$R86,IF(MATCHED!AX86=18,MATCHED!$S86,IF(MATCHED!AX86=19,MATCHED!$T86,IF(MATCHED!AX86=20,MATCHED!$U86,IF(MATCHED!AX86=21,MATCHED!$V86,)))))))&amp;IF(MATCHED!AX86=22,MATCHED!$W86,IF(MATCHED!AX86=23,MATCHED!$X86,IF(MATCHED!AX86=24,MATCHED!$Y86,IF(MATCHED!AX86=25,MATCHED!$Z86,IF(MATCHED!AX86=26,MATCHED!$AA86,IF(MATCHED!AX86=27,MATCHED!$AB86,"."))))))</f>
        <v>#N/A</v>
      </c>
      <c r="W86" s="423" t="e">
        <f>IF(MATCHED!AY86=1,MATCHED!$B86,IF(MATCHED!AY86=2,MATCHED!$C86,IF(MATCHED!AY86=3,MATCHED!$D86,IF(MATCHED!AY86=4,MATCHED!$E86,IF(MATCHED!AY86=3,MATCHED!$F86,IF(MATCHED!AY86=6,MATCHED!$G86,IF(MATCHED!AY86=7,MATCHED!$H86,"")))))))&amp;IF(MATCHED!AY86=8,MATCHED!$I86,IF(MATCHED!AY86=9,MATCHED!$J86,IF(MATCHED!AY86=10,MATCHED!$K86,IF(MATCHED!AY86=11,MATCHED!$L86,IF(MATCHED!AY86=12,MATCHED!$M86,IF(MATCHED!AY86=13,MATCHED!$N86,IF(MATCHED!AY86=14,MATCHED!$O86,"")))))))&amp;IF(MATCHED!AY86=15,MATCHED!$P86,IF(MATCHED!AY86=16,MATCHED!$Q86,IF(MATCHED!AY86=17,MATCHED!$R86,IF(MATCHED!AY86=18,MATCHED!$S86,IF(MATCHED!AY86=19,MATCHED!$T86,IF(MATCHED!AY86=20,MATCHED!$U86,IF(MATCHED!AY86=21,MATCHED!$V86,)))))))&amp;IF(MATCHED!AY86=22,MATCHED!$W86,IF(MATCHED!AY86=23,MATCHED!$X86,IF(MATCHED!AY86=24,MATCHED!$Y86,IF(MATCHED!AY86=25,MATCHED!$Z86,IF(MATCHED!AY86=26,MATCHED!$AA86,IF(MATCHED!AY86=27,MATCHED!$AB86,"."))))))</f>
        <v>#N/A</v>
      </c>
      <c r="X86" s="423" t="e">
        <f>IF(MATCHED!AZ86=1,MATCHED!$B86,IF(MATCHED!AZ86=2,MATCHED!$C86,IF(MATCHED!AZ86=3,MATCHED!$D86,IF(MATCHED!AZ86=4,MATCHED!$E86,IF(MATCHED!AZ86=3,MATCHED!$F86,IF(MATCHED!AZ86=6,MATCHED!$G86,IF(MATCHED!AZ86=7,MATCHED!$H86,"")))))))&amp;IF(MATCHED!AZ86=8,MATCHED!$I86,IF(MATCHED!AZ86=9,MATCHED!$J86,IF(MATCHED!AZ86=10,MATCHED!$K86,IF(MATCHED!AZ86=11,MATCHED!$L86,IF(MATCHED!AZ86=12,MATCHED!$M86,IF(MATCHED!AZ86=13,MATCHED!$N86,IF(MATCHED!AZ86=14,MATCHED!$O86,"")))))))&amp;IF(MATCHED!AZ86=15,MATCHED!$P86,IF(MATCHED!AZ86=16,MATCHED!$Q86,IF(MATCHED!AZ86=17,MATCHED!$R86,IF(MATCHED!AZ86=18,MATCHED!$S86,IF(MATCHED!AZ86=19,MATCHED!$T86,IF(MATCHED!AZ86=20,MATCHED!$U86,IF(MATCHED!AZ86=21,MATCHED!$V86,)))))))&amp;IF(MATCHED!AZ86=22,MATCHED!$W86,IF(MATCHED!AZ86=23,MATCHED!$X86,IF(MATCHED!AZ86=24,MATCHED!$Y86,IF(MATCHED!AZ86=25,MATCHED!$Z86,IF(MATCHED!AZ86=26,MATCHED!$AA86,IF(MATCHED!AZ86=27,MATCHED!$AB86,"."))))))</f>
        <v>#N/A</v>
      </c>
      <c r="Y86" s="423" t="e">
        <f>IF(MATCHED!BA86=1,MATCHED!$B86,IF(MATCHED!BA86=2,MATCHED!$C86,IF(MATCHED!BA86=3,MATCHED!$D86,IF(MATCHED!BA86=4,MATCHED!$E86,IF(MATCHED!BA86=3,MATCHED!$F86,IF(MATCHED!BA86=6,MATCHED!$G86,IF(MATCHED!BA86=7,MATCHED!$H86,"")))))))&amp;IF(MATCHED!BA86=8,MATCHED!$I86,IF(MATCHED!BA86=9,MATCHED!$J86,IF(MATCHED!BA86=10,MATCHED!$K86,IF(MATCHED!BA86=11,MATCHED!$L86,IF(MATCHED!BA86=12,MATCHED!$M86,IF(MATCHED!BA86=13,MATCHED!$N86,IF(MATCHED!BA86=14,MATCHED!$O86,"")))))))&amp;IF(MATCHED!BA86=15,MATCHED!$P86,IF(MATCHED!BA86=16,MATCHED!$Q86,IF(MATCHED!BA86=17,MATCHED!$R86,IF(MATCHED!BA86=18,MATCHED!$S86,IF(MATCHED!BA86=19,MATCHED!$T86,IF(MATCHED!BA86=20,MATCHED!$U86,IF(MATCHED!BA86=21,MATCHED!$V86,)))))))&amp;IF(MATCHED!BA86=22,MATCHED!$W86,IF(MATCHED!BA86=23,MATCHED!$X86,IF(MATCHED!BA86=24,MATCHED!$Y86,IF(MATCHED!BA86=25,MATCHED!$Z86,IF(MATCHED!BA86=26,MATCHED!$AA86,IF(MATCHED!BA86=27,MATCHED!$AB86,"."))))))</f>
        <v>#N/A</v>
      </c>
      <c r="Z86" s="423" t="e">
        <f>IF(MATCHED!BB86=1,MATCHED!$B86,IF(MATCHED!BB86=2,MATCHED!$C86,IF(MATCHED!BB86=3,MATCHED!$D86,IF(MATCHED!BB86=4,MATCHED!$E86,IF(MATCHED!BB86=3,MATCHED!$F86,IF(MATCHED!BB86=6,MATCHED!$G86,IF(MATCHED!BB86=7,MATCHED!$H86,"")))))))&amp;IF(MATCHED!BB86=8,MATCHED!$I86,IF(MATCHED!BB86=9,MATCHED!$J86,IF(MATCHED!BB86=10,MATCHED!$K86,IF(MATCHED!BB86=11,MATCHED!$L86,IF(MATCHED!BB86=12,MATCHED!$M86,IF(MATCHED!BB86=13,MATCHED!$N86,IF(MATCHED!BB86=14,MATCHED!$O86,"")))))))&amp;IF(MATCHED!BB86=15,MATCHED!$P86,IF(MATCHED!BB86=16,MATCHED!$Q86,IF(MATCHED!BB86=17,MATCHED!$R86,IF(MATCHED!BB86=18,MATCHED!$S86,IF(MATCHED!BB86=19,MATCHED!$T86,IF(MATCHED!BB86=20,MATCHED!$U86,IF(MATCHED!BB86=21,MATCHED!$V86,)))))))&amp;IF(MATCHED!BB86=22,MATCHED!$W86,IF(MATCHED!BB86=23,MATCHED!$X86,IF(MATCHED!BB86=24,MATCHED!$Y86,IF(MATCHED!BB86=25,MATCHED!$Z86,IF(MATCHED!BB86=26,MATCHED!$AA86,IF(MATCHED!BB86=27,MATCHED!$AB86,"."))))))</f>
        <v>#N/A</v>
      </c>
      <c r="AA86" s="423" t="e">
        <f>IF(MATCHED!BC86=1,MATCHED!$B86,IF(MATCHED!BC86=2,MATCHED!$C86,IF(MATCHED!BC86=3,MATCHED!$D86,IF(MATCHED!BC86=4,MATCHED!$E86,IF(MATCHED!BC86=3,MATCHED!$F86,IF(MATCHED!BC86=6,MATCHED!$G86,IF(MATCHED!BC86=7,MATCHED!$H86,"")))))))&amp;IF(MATCHED!BC86=8,MATCHED!$I86,IF(MATCHED!BC86=9,MATCHED!$J86,IF(MATCHED!BC86=10,MATCHED!$K86,IF(MATCHED!BC86=11,MATCHED!$L86,IF(MATCHED!BC86=12,MATCHED!$M86,IF(MATCHED!BC86=13,MATCHED!$N86,IF(MATCHED!BC86=14,MATCHED!$O86,"")))))))&amp;IF(MATCHED!BC86=15,MATCHED!$P86,IF(MATCHED!BC86=16,MATCHED!$Q86,IF(MATCHED!BC86=17,MATCHED!$R86,IF(MATCHED!BC86=18,MATCHED!$S86,IF(MATCHED!BC86=19,MATCHED!$T86,IF(MATCHED!BC86=20,MATCHED!$U86,IF(MATCHED!BC86=21,MATCHED!$V86,)))))))&amp;IF(MATCHED!BC86=22,MATCHED!$W86,IF(MATCHED!BC86=23,MATCHED!$X86,IF(MATCHED!BC86=24,MATCHED!$Y86,IF(MATCHED!BC86=25,MATCHED!$Z86,IF(MATCHED!BC86=26,MATCHED!$AA86,IF(MATCHED!BC86=27,MATCHED!$AB86,"."))))))</f>
        <v>#N/A</v>
      </c>
      <c r="AB86" s="423" t="e">
        <f>IF(MATCHED!BD86=1,MATCHED!$B86,IF(MATCHED!BD86=2,MATCHED!$C86,IF(MATCHED!BD86=3,MATCHED!$D86,IF(MATCHED!BD86=4,MATCHED!$E86,IF(MATCHED!BD86=3,MATCHED!$F86,IF(MATCHED!BD86=6,MATCHED!$G86,IF(MATCHED!BD86=7,MATCHED!$H86,"")))))))&amp;IF(MATCHED!BD86=8,MATCHED!$I86,IF(MATCHED!BD86=9,MATCHED!$J86,IF(MATCHED!BD86=10,MATCHED!$K86,IF(MATCHED!BD86=11,MATCHED!$L86,IF(MATCHED!BD86=12,MATCHED!$M86,IF(MATCHED!BD86=13,MATCHED!$N86,IF(MATCHED!BD86=14,MATCHED!$O86,"")))))))&amp;IF(MATCHED!BD86=15,MATCHED!$P86,IF(MATCHED!BD86=16,MATCHED!$Q86,IF(MATCHED!BD86=17,MATCHED!$R86,IF(MATCHED!BD86=18,MATCHED!$S86,IF(MATCHED!BD86=19,MATCHED!$T86,IF(MATCHED!BD86=20,MATCHED!$U86,IF(MATCHED!BD86=21,MATCHED!$V86,)))))))&amp;IF(MATCHED!BD86=22,MATCHED!$W86,IF(MATCHED!BD86=23,MATCHED!$X86,IF(MATCHED!BD86=24,MATCHED!$Y86,IF(MATCHED!BD86=25,MATCHED!$Z86,IF(MATCHED!BD86=26,MATCHED!$AA86,IF(MATCHED!BD86=27,MATCHED!$AB86,"."))))))</f>
        <v>#N/A</v>
      </c>
      <c r="AC86" s="423" t="e">
        <f>IF(MATCHED!BE86=1,MATCHED!$B86,IF(MATCHED!BE86=2,MATCHED!$C86,IF(MATCHED!BE86=3,MATCHED!$D86,IF(MATCHED!BE86=4,MATCHED!$E86,IF(MATCHED!BE86=3,MATCHED!$F86,IF(MATCHED!BE86=6,MATCHED!$G86,IF(MATCHED!BE86=7,MATCHED!$H86,"")))))))&amp;IF(MATCHED!BE86=8,MATCHED!$I86,IF(MATCHED!BE86=9,MATCHED!$J86,IF(MATCHED!BE86=10,MATCHED!$K86,IF(MATCHED!BE86=11,MATCHED!$L86,IF(MATCHED!BE86=12,MATCHED!$M86,IF(MATCHED!BE86=13,MATCHED!$N86,IF(MATCHED!BE86=14,MATCHED!$O86,"")))))))&amp;IF(MATCHED!BE86=15,MATCHED!$P86,IF(MATCHED!BE86=16,MATCHED!$Q86,IF(MATCHED!BE86=17,MATCHED!$R86,IF(MATCHED!BE86=18,MATCHED!$S86,IF(MATCHED!BE86=19,MATCHED!$T86,IF(MATCHED!BE86=20,MATCHED!$U86,IF(MATCHED!BE86=21,MATCHED!$V86,)))))))&amp;IF(MATCHED!BE86=22,MATCHED!$W86,IF(MATCHED!BE86=23,MATCHED!$X86,IF(MATCHED!BE86=24,MATCHED!$Y86,IF(MATCHED!BE86=25,MATCHED!$Z86,IF(MATCHED!BE86=26,MATCHED!$AA86,IF(MATCHED!BE86=27,MATCHED!$AB86,"."))))))</f>
        <v>#N/A</v>
      </c>
      <c r="AD86" s="423" t="e">
        <f>IF(MATCHED!BF86=1,MATCHED!$B86,IF(MATCHED!BF86=2,MATCHED!$C86,IF(MATCHED!BF86=3,MATCHED!$D86,IF(MATCHED!BF86=4,MATCHED!$E86,IF(MATCHED!BF86=3,MATCHED!$F86,IF(MATCHED!BF86=6,MATCHED!$G86,IF(MATCHED!BF86=7,MATCHED!$H86,"")))))))&amp;IF(MATCHED!BF86=8,MATCHED!$I86,IF(MATCHED!BF86=9,MATCHED!$J86,IF(MATCHED!BF86=10,MATCHED!$K86,IF(MATCHED!BF86=11,MATCHED!$L86,IF(MATCHED!BF86=12,MATCHED!$M86,IF(MATCHED!BF86=13,MATCHED!$N86,IF(MATCHED!BF86=14,MATCHED!$O86,"")))))))&amp;IF(MATCHED!BF86=15,MATCHED!$P86,IF(MATCHED!BF86=16,MATCHED!$Q86,IF(MATCHED!BF86=17,MATCHED!$R86,IF(MATCHED!BF86=18,MATCHED!$S86,IF(MATCHED!BF86=19,MATCHED!$T86,IF(MATCHED!BF86=20,MATCHED!$U86,IF(MATCHED!BF86=21,MATCHED!$V86,)))))))&amp;IF(MATCHED!BF86=22,MATCHED!$W86,IF(MATCHED!BF86=23,MATCHED!$X86,IF(MATCHED!BF86=24,MATCHED!$Y86,IF(MATCHED!BF86=25,MATCHED!$Z86,IF(MATCHED!BF86=26,MATCHED!$AA86,IF(MATCHED!BF86=27,MATCHED!$AB86,"."))))))</f>
        <v>#N/A</v>
      </c>
      <c r="AE86" s="423" t="e">
        <f>IF(MATCHED!BG86=1,MATCHED!$B86,IF(MATCHED!BG86=2,MATCHED!$C86,IF(MATCHED!BG86=3,MATCHED!$D86,IF(MATCHED!BG86=4,MATCHED!$E86,IF(MATCHED!BG86=3,MATCHED!$F86,IF(MATCHED!BG86=6,MATCHED!$G86,IF(MATCHED!BG86=7,MATCHED!$H86,"")))))))&amp;IF(MATCHED!BG86=8,MATCHED!$I86,IF(MATCHED!BG86=9,MATCHED!$J86,IF(MATCHED!BG86=10,MATCHED!$K86,IF(MATCHED!BG86=11,MATCHED!$L86,IF(MATCHED!BG86=12,MATCHED!$M86,IF(MATCHED!BG86=13,MATCHED!$N86,IF(MATCHED!BG86=14,MATCHED!$O86,"")))))))&amp;IF(MATCHED!BG86=15,MATCHED!$P86,IF(MATCHED!BG86=16,MATCHED!$Q86,IF(MATCHED!BG86=17,MATCHED!$R86,IF(MATCHED!BG86=18,MATCHED!$S86,IF(MATCHED!BG86=19,MATCHED!$T86,IF(MATCHED!BG86=20,MATCHED!$U86,IF(MATCHED!BG86=21,MATCHED!$V86,)))))))&amp;IF(MATCHED!BG86=22,MATCHED!$W86,IF(MATCHED!BG86=23,MATCHED!$X86,IF(MATCHED!BG86=24,MATCHED!$Y86,IF(MATCHED!BG86=25,MATCHED!$Z86,IF(MATCHED!BG86=26,MATCHED!$AA86,IF(MATCHED!BG86=27,MATCHED!$AB86,"."))))))</f>
        <v>#N/A</v>
      </c>
      <c r="AF86" s="423" t="e">
        <f>IF(MATCHED!BH86=1,MATCHED!$B86,IF(MATCHED!BH86=2,MATCHED!$C86,IF(MATCHED!BH86=3,MATCHED!$D86,IF(MATCHED!BH86=4,MATCHED!$E86,IF(MATCHED!BH86=3,MATCHED!$F86,IF(MATCHED!BH86=6,MATCHED!$G86,IF(MATCHED!BH86=7,MATCHED!$H86,"")))))))&amp;IF(MATCHED!BH86=8,MATCHED!$I86,IF(MATCHED!BH86=9,MATCHED!$J86,IF(MATCHED!BH86=10,MATCHED!$K86,IF(MATCHED!BH86=11,MATCHED!$L86,IF(MATCHED!BH86=12,MATCHED!$M86,IF(MATCHED!BH86=13,MATCHED!$N86,IF(MATCHED!BH86=14,MATCHED!$O86,"")))))))&amp;IF(MATCHED!BH86=15,MATCHED!$P86,IF(MATCHED!BH86=16,MATCHED!$Q86,IF(MATCHED!BH86=17,MATCHED!$R86,IF(MATCHED!BH86=18,MATCHED!$S86,IF(MATCHED!BH86=19,MATCHED!$T86,IF(MATCHED!BH86=20,MATCHED!$U86,IF(MATCHED!BH86=21,MATCHED!$V86,)))))))&amp;IF(MATCHED!BH86=22,MATCHED!$W86,IF(MATCHED!BH86=23,MATCHED!$X86,IF(MATCHED!BH86=24,MATCHED!$Y86,IF(MATCHED!BH86=25,MATCHED!$Z86,IF(MATCHED!BH86=26,MATCHED!$AA86,IF(MATCHED!BH86=27,MATCHED!$AB86,"."))))))</f>
        <v>#N/A</v>
      </c>
      <c r="AG86" s="423" t="e">
        <f>IF(MATCHED!BI86=1,MATCHED!$B86,IF(MATCHED!BI86=2,MATCHED!$C86,IF(MATCHED!BI86=3,MATCHED!$D86,IF(MATCHED!BI86=4,MATCHED!$E86,IF(MATCHED!BI86=3,MATCHED!$F86,IF(MATCHED!BI86=6,MATCHED!$G86,IF(MATCHED!BI86=7,MATCHED!$H86,"")))))))&amp;IF(MATCHED!BI86=8,MATCHED!$I86,IF(MATCHED!BI86=9,MATCHED!$J86,IF(MATCHED!BI86=10,MATCHED!$K86,IF(MATCHED!BI86=11,MATCHED!$L86,IF(MATCHED!BI86=12,MATCHED!$M86,IF(MATCHED!BI86=13,MATCHED!$N86,IF(MATCHED!BI86=14,MATCHED!$O86,"")))))))&amp;IF(MATCHED!BI86=15,MATCHED!$P86,IF(MATCHED!BI86=16,MATCHED!$Q86,IF(MATCHED!BI86=17,MATCHED!$R86,IF(MATCHED!BI86=18,MATCHED!$S86,IF(MATCHED!BI86=19,MATCHED!$T86,IF(MATCHED!BI86=20,MATCHED!$U86,IF(MATCHED!BI86=21,MATCHED!$V86,)))))))&amp;IF(MATCHED!BI86=22,MATCHED!$W86,IF(MATCHED!BI86=23,MATCHED!$X86,IF(MATCHED!BI86=24,MATCHED!$Y86,IF(MATCHED!BI86=25,MATCHED!$Z86,IF(MATCHED!BI86=26,MATCHED!$AA86,IF(MATCHED!BI86=27,MATCHED!$AB86,"."))))))</f>
        <v>#N/A</v>
      </c>
      <c r="AH86" s="423" t="e">
        <f>IF(MATCHED!BJ86=1,MATCHED!$B86,IF(MATCHED!BJ86=2,MATCHED!$C86,IF(MATCHED!BJ86=3,MATCHED!$D86,IF(MATCHED!BJ86=4,MATCHED!$E86,IF(MATCHED!BJ86=3,MATCHED!$F86,IF(MATCHED!BJ86=6,MATCHED!$G86,IF(MATCHED!BJ86=7,MATCHED!$H86,"")))))))&amp;IF(MATCHED!BJ86=8,MATCHED!$I86,IF(MATCHED!BJ86=9,MATCHED!$J86,IF(MATCHED!BJ86=10,MATCHED!$K86,IF(MATCHED!BJ86=11,MATCHED!$L86,IF(MATCHED!BJ86=12,MATCHED!$M86,IF(MATCHED!BJ86=13,MATCHED!$N86,IF(MATCHED!BJ86=14,MATCHED!$O86,"")))))))&amp;IF(MATCHED!BJ86=15,MATCHED!$P86,IF(MATCHED!BJ86=16,MATCHED!$Q86,IF(MATCHED!BJ86=17,MATCHED!$R86,IF(MATCHED!BJ86=18,MATCHED!$S86,IF(MATCHED!BJ86=19,MATCHED!$T86,IF(MATCHED!BJ86=20,MATCHED!$U86,IF(MATCHED!BJ86=21,MATCHED!$V86,)))))))&amp;IF(MATCHED!BJ86=22,MATCHED!$W86,IF(MATCHED!BJ86=23,MATCHED!$X86,IF(MATCHED!BJ86=24,MATCHED!$Y86,IF(MATCHED!BJ86=25,MATCHED!$Z86,IF(MATCHED!BJ86=26,MATCHED!$AA86,IF(MATCHED!BJ86=27,MATCHED!$AB86,"."))))))</f>
        <v>#N/A</v>
      </c>
      <c r="AI86" s="423" t="e">
        <f>IF(MATCHED!BK86=1,MATCHED!$B86,IF(MATCHED!BK86=2,MATCHED!$C86,IF(MATCHED!BK86=3,MATCHED!$D86,IF(MATCHED!BK86=4,MATCHED!$E86,IF(MATCHED!BK86=3,MATCHED!$F86,IF(MATCHED!BK86=6,MATCHED!$G86,IF(MATCHED!BK86=7,MATCHED!$H86,"")))))))&amp;IF(MATCHED!BK86=8,MATCHED!$I86,IF(MATCHED!BK86=9,MATCHED!$J86,IF(MATCHED!BK86=10,MATCHED!$K86,IF(MATCHED!BK86=11,MATCHED!$L86,IF(MATCHED!BK86=12,MATCHED!$M86,IF(MATCHED!BK86=13,MATCHED!$N86,IF(MATCHED!BK86=14,MATCHED!$O86,"")))))))&amp;IF(MATCHED!BK86=15,MATCHED!$P86,IF(MATCHED!BK86=16,MATCHED!$Q86,IF(MATCHED!BK86=17,MATCHED!$R86,IF(MATCHED!BK86=18,MATCHED!$S86,IF(MATCHED!BK86=19,MATCHED!$T86,IF(MATCHED!BK86=20,MATCHED!$U86,IF(MATCHED!BK86=21,MATCHED!$V86,)))))))&amp;IF(MATCHED!BK86=22,MATCHED!$W86,IF(MATCHED!BK86=23,MATCHED!$X86,IF(MATCHED!BK86=24,MATCHED!$Y86,IF(MATCHED!BK86=25,MATCHED!$Z86,IF(MATCHED!BK86=26,MATCHED!$AA86,IF(MATCHED!BK86=27,MATCHED!$AB86,"."))))))</f>
        <v>#N/A</v>
      </c>
      <c r="AJ86" s="543"/>
    </row>
    <row r="87" spans="1:36" s="351" customFormat="1" ht="15.6" thickBot="1" x14ac:dyDescent="0.3">
      <c r="A87" s="388"/>
      <c r="B87" s="423" t="e">
        <f>IF(MATCHED!AD87=1,MATCHED!$B87,IF(MATCHED!AD87=2,MATCHED!$C87,IF(MATCHED!AD87=3,MATCHED!$D87,IF(MATCHED!AD87=4,MATCHED!$E87,IF(MATCHED!AD87=3,MATCHED!$F87,IF(MATCHED!AD87=6,MATCHED!$G87,IF(MATCHED!AD87=7,MATCHED!$H87,"")))))))&amp;IF(MATCHED!AD87=8,MATCHED!$I87,IF(MATCHED!AD87=9,MATCHED!$J87,IF(MATCHED!AD87=10,MATCHED!$K87,IF(MATCHED!AD87=11,MATCHED!$L87,IF(MATCHED!AD87=12,MATCHED!$M87,IF(MATCHED!AD87=13,MATCHED!$N87,IF(MATCHED!AD87=14,MATCHED!$O87,"")))))))&amp;IF(MATCHED!AD87=15,MATCHED!$P87,IF(MATCHED!AD87=16,MATCHED!$Q87,IF(MATCHED!AD87=17,MATCHED!$R87,IF(MATCHED!AD87=18,MATCHED!$S87,IF(MATCHED!AD87=19,MATCHED!$T87,IF(MATCHED!AD87=20,MATCHED!$U87,IF(MATCHED!AD87=21,MATCHED!$V87,)))))))&amp;IF(MATCHED!AD87=22,MATCHED!$W87,IF(MATCHED!AD87=23,MATCHED!$X87,IF(MATCHED!AD87=24,MATCHED!$Y87,IF(MATCHED!AD87=25,MATCHED!$Z87,IF(MATCHED!AD87=26,MATCHED!$AA87,IF(MATCHED!AD87=27,MATCHED!$AB87,"."))))))</f>
        <v>#N/A</v>
      </c>
      <c r="C87" s="423" t="e">
        <f>IF(MATCHED!AE87=1,MATCHED!$B87,IF(MATCHED!AE87=2,MATCHED!$C87,IF(MATCHED!AE87=3,MATCHED!$D87,IF(MATCHED!AE87=4,MATCHED!$E87,IF(MATCHED!AE87=3,MATCHED!$F87,IF(MATCHED!AE87=6,MATCHED!$G87,IF(MATCHED!AE87=7,MATCHED!$H87,"")))))))&amp;IF(MATCHED!AE87=8,MATCHED!$I87,IF(MATCHED!AE87=9,MATCHED!$J87,IF(MATCHED!AE87=10,MATCHED!$K87,IF(MATCHED!AE87=11,MATCHED!$L87,IF(MATCHED!AE87=12,MATCHED!$M87,IF(MATCHED!AE87=13,MATCHED!$N87,IF(MATCHED!AE87=14,MATCHED!$O87,"")))))))&amp;IF(MATCHED!AE87=15,MATCHED!$P87,IF(MATCHED!AE87=16,MATCHED!$Q87,IF(MATCHED!AE87=17,MATCHED!$R87,IF(MATCHED!AE87=18,MATCHED!$S87,IF(MATCHED!AE87=19,MATCHED!$T87,IF(MATCHED!AE87=20,MATCHED!$U87,IF(MATCHED!AE87=21,MATCHED!$V87,)))))))&amp;IF(MATCHED!AE87=22,MATCHED!$W87,IF(MATCHED!AE87=23,MATCHED!$X87,IF(MATCHED!AE87=24,MATCHED!$Y87,IF(MATCHED!AE87=25,MATCHED!$Z87,IF(MATCHED!AE87=26,MATCHED!$AA87,IF(MATCHED!AE87=27,MATCHED!$AB87,"."))))))</f>
        <v>#N/A</v>
      </c>
      <c r="D87" s="423" t="e">
        <f>IF(MATCHED!AF87=1,MATCHED!$B87,IF(MATCHED!AF87=2,MATCHED!$C87,IF(MATCHED!AF87=3,MATCHED!$D87,IF(MATCHED!AF87=4,MATCHED!$E87,IF(MATCHED!AF87=3,MATCHED!$F87,IF(MATCHED!AF87=6,MATCHED!$G87,IF(MATCHED!AF87=7,MATCHED!$H87,"")))))))&amp;IF(MATCHED!AF87=8,MATCHED!$I87,IF(MATCHED!AF87=9,MATCHED!$J87,IF(MATCHED!AF87=10,MATCHED!$K87,IF(MATCHED!AF87=11,MATCHED!$L87,IF(MATCHED!AF87=12,MATCHED!$M87,IF(MATCHED!AF87=13,MATCHED!$N87,IF(MATCHED!AF87=14,MATCHED!$O87,"")))))))&amp;IF(MATCHED!AF87=15,MATCHED!$P87,IF(MATCHED!AF87=16,MATCHED!$Q87,IF(MATCHED!AF87=17,MATCHED!$R87,IF(MATCHED!AF87=18,MATCHED!$S87,IF(MATCHED!AF87=19,MATCHED!$T87,IF(MATCHED!AF87=20,MATCHED!$U87,IF(MATCHED!AF87=21,MATCHED!$V87,)))))))&amp;IF(MATCHED!AF87=22,MATCHED!$W87,IF(MATCHED!AF87=23,MATCHED!$X87,IF(MATCHED!AF87=24,MATCHED!$Y87,IF(MATCHED!AF87=25,MATCHED!$Z87,IF(MATCHED!AF87=26,MATCHED!$AA87,IF(MATCHED!AF87=27,MATCHED!$AB87,"."))))))</f>
        <v>#N/A</v>
      </c>
      <c r="E87" s="423" t="e">
        <f>IF(MATCHED!AG87=1,MATCHED!$B87,IF(MATCHED!AG87=2,MATCHED!$C87,IF(MATCHED!AG87=3,MATCHED!$D87,IF(MATCHED!AG87=4,MATCHED!$E87,IF(MATCHED!AG87=3,MATCHED!$F87,IF(MATCHED!AG87=6,MATCHED!$G87,IF(MATCHED!AG87=7,MATCHED!$H87,"")))))))&amp;IF(MATCHED!AG87=8,MATCHED!$I87,IF(MATCHED!AG87=9,MATCHED!$J87,IF(MATCHED!AG87=10,MATCHED!$K87,IF(MATCHED!AG87=11,MATCHED!$L87,IF(MATCHED!AG87=12,MATCHED!$M87,IF(MATCHED!AG87=13,MATCHED!$N87,IF(MATCHED!AG87=14,MATCHED!$O87,"")))))))&amp;IF(MATCHED!AG87=15,MATCHED!$P87,IF(MATCHED!AG87=16,MATCHED!$Q87,IF(MATCHED!AG87=17,MATCHED!$R87,IF(MATCHED!AG87=18,MATCHED!$S87,IF(MATCHED!AG87=19,MATCHED!$T87,IF(MATCHED!AG87=20,MATCHED!$U87,IF(MATCHED!AG87=21,MATCHED!$V87,)))))))&amp;IF(MATCHED!AG87=22,MATCHED!$W87,IF(MATCHED!AG87=23,MATCHED!$X87,IF(MATCHED!AG87=24,MATCHED!$Y87,IF(MATCHED!AG87=25,MATCHED!$Z87,IF(MATCHED!AG87=26,MATCHED!$AA87,IF(MATCHED!AG87=27,MATCHED!$AB87,"."))))))</f>
        <v>#N/A</v>
      </c>
      <c r="F87" s="423" t="e">
        <f>IF(MATCHED!AH87=1,MATCHED!$B87,IF(MATCHED!AH87=2,MATCHED!$C87,IF(MATCHED!AH87=3,MATCHED!$D87,IF(MATCHED!AH87=4,MATCHED!$E87,IF(MATCHED!AH87=3,MATCHED!$F87,IF(MATCHED!AH87=6,MATCHED!$G87,IF(MATCHED!AH87=7,MATCHED!$H87,"")))))))&amp;IF(MATCHED!AH87=8,MATCHED!$I87,IF(MATCHED!AH87=9,MATCHED!$J87,IF(MATCHED!AH87=10,MATCHED!$K87,IF(MATCHED!AH87=11,MATCHED!$L87,IF(MATCHED!AH87=12,MATCHED!$M87,IF(MATCHED!AH87=13,MATCHED!$N87,IF(MATCHED!AH87=14,MATCHED!$O87,"")))))))&amp;IF(MATCHED!AH87=15,MATCHED!$P87,IF(MATCHED!AH87=16,MATCHED!$Q87,IF(MATCHED!AH87=17,MATCHED!$R87,IF(MATCHED!AH87=18,MATCHED!$S87,IF(MATCHED!AH87=19,MATCHED!$T87,IF(MATCHED!AH87=20,MATCHED!$U87,IF(MATCHED!AH87=21,MATCHED!$V87,)))))))&amp;IF(MATCHED!AH87=22,MATCHED!$W87,IF(MATCHED!AH87=23,MATCHED!$X87,IF(MATCHED!AH87=24,MATCHED!$Y87,IF(MATCHED!AH87=25,MATCHED!$Z87,IF(MATCHED!AH87=26,MATCHED!$AA87,IF(MATCHED!AH87=27,MATCHED!$AB87,"."))))))</f>
        <v>#N/A</v>
      </c>
      <c r="G87" s="423" t="e">
        <f>IF(MATCHED!AI87=1,MATCHED!$B87,IF(MATCHED!AI87=2,MATCHED!$C87,IF(MATCHED!AI87=3,MATCHED!$D87,IF(MATCHED!AI87=4,MATCHED!$E87,IF(MATCHED!AI87=3,MATCHED!$F87,IF(MATCHED!AI87=6,MATCHED!$G87,IF(MATCHED!AI87=7,MATCHED!$H87,"")))))))&amp;IF(MATCHED!AI87=8,MATCHED!$I87,IF(MATCHED!AI87=9,MATCHED!$J87,IF(MATCHED!AI87=10,MATCHED!$K87,IF(MATCHED!AI87=11,MATCHED!$L87,IF(MATCHED!AI87=12,MATCHED!$M87,IF(MATCHED!AI87=13,MATCHED!$N87,IF(MATCHED!AI87=14,MATCHED!$O87,"")))))))&amp;IF(MATCHED!AI87=15,MATCHED!$P87,IF(MATCHED!AI87=16,MATCHED!$Q87,IF(MATCHED!AI87=17,MATCHED!$R87,IF(MATCHED!AI87=18,MATCHED!$S87,IF(MATCHED!AI87=19,MATCHED!$T87,IF(MATCHED!AI87=20,MATCHED!$U87,IF(MATCHED!AI87=21,MATCHED!$V87,)))))))&amp;IF(MATCHED!AI87=22,MATCHED!$W87,IF(MATCHED!AI87=23,MATCHED!$X87,IF(MATCHED!AI87=24,MATCHED!$Y87,IF(MATCHED!AI87=25,MATCHED!$Z87,IF(MATCHED!AI87=26,MATCHED!$AA87,IF(MATCHED!AI87=27,MATCHED!$AB87,"."))))))</f>
        <v>#N/A</v>
      </c>
      <c r="H87" s="423" t="e">
        <f>IF(MATCHED!AJ87=1,MATCHED!$B87,IF(MATCHED!AJ87=2,MATCHED!$C87,IF(MATCHED!AJ87=3,MATCHED!$D87,IF(MATCHED!AJ87=4,MATCHED!$E87,IF(MATCHED!AJ87=3,MATCHED!$F87,IF(MATCHED!AJ87=6,MATCHED!$G87,IF(MATCHED!AJ87=7,MATCHED!$H87,"")))))))&amp;IF(MATCHED!AJ87=8,MATCHED!$I87,IF(MATCHED!AJ87=9,MATCHED!$J87,IF(MATCHED!AJ87=10,MATCHED!$K87,IF(MATCHED!AJ87=11,MATCHED!$L87,IF(MATCHED!AJ87=12,MATCHED!$M87,IF(MATCHED!AJ87=13,MATCHED!$N87,IF(MATCHED!AJ87=14,MATCHED!$O87,"")))))))&amp;IF(MATCHED!AJ87=15,MATCHED!$P87,IF(MATCHED!AJ87=16,MATCHED!$Q87,IF(MATCHED!AJ87=17,MATCHED!$R87,IF(MATCHED!AJ87=18,MATCHED!$S87,IF(MATCHED!AJ87=19,MATCHED!$T87,IF(MATCHED!AJ87=20,MATCHED!$U87,IF(MATCHED!AJ87=21,MATCHED!$V87,)))))))&amp;IF(MATCHED!AJ87=22,MATCHED!$W87,IF(MATCHED!AJ87=23,MATCHED!$X87,IF(MATCHED!AJ87=24,MATCHED!$Y87,IF(MATCHED!AJ87=25,MATCHED!$Z87,IF(MATCHED!AJ87=26,MATCHED!$AA87,IF(MATCHED!AJ87=27,MATCHED!$AB87,"."))))))</f>
        <v>#N/A</v>
      </c>
      <c r="I87" s="423" t="e">
        <f>IF(MATCHED!AK87=1,MATCHED!$B87,IF(MATCHED!AK87=2,MATCHED!$C87,IF(MATCHED!AK87=3,MATCHED!$D87,IF(MATCHED!AK87=4,MATCHED!$E87,IF(MATCHED!AK87=3,MATCHED!$F87,IF(MATCHED!AK87=6,MATCHED!$G87,IF(MATCHED!AK87=7,MATCHED!$H87,"")))))))&amp;IF(MATCHED!AK87=8,MATCHED!$I87,IF(MATCHED!AK87=9,MATCHED!$J87,IF(MATCHED!AK87=10,MATCHED!$K87,IF(MATCHED!AK87=11,MATCHED!$L87,IF(MATCHED!AK87=12,MATCHED!$M87,IF(MATCHED!AK87=13,MATCHED!$N87,IF(MATCHED!AK87=14,MATCHED!$O87,"")))))))&amp;IF(MATCHED!AK87=15,MATCHED!$P87,IF(MATCHED!AK87=16,MATCHED!$Q87,IF(MATCHED!AK87=17,MATCHED!$R87,IF(MATCHED!AK87=18,MATCHED!$S87,IF(MATCHED!AK87=19,MATCHED!$T87,IF(MATCHED!AK87=20,MATCHED!$U87,IF(MATCHED!AK87=21,MATCHED!$V87,)))))))&amp;IF(MATCHED!AK87=22,MATCHED!$W87,IF(MATCHED!AK87=23,MATCHED!$X87,IF(MATCHED!AK87=24,MATCHED!$Y87,IF(MATCHED!AK87=25,MATCHED!$Z87,IF(MATCHED!AK87=26,MATCHED!$AA87,IF(MATCHED!AK87=27,MATCHED!$AB87,"."))))))</f>
        <v>#N/A</v>
      </c>
      <c r="J87" s="423" t="e">
        <f>IF(MATCHED!AL87=1,MATCHED!$B87,IF(MATCHED!AL87=2,MATCHED!$C87,IF(MATCHED!AL87=3,MATCHED!$D87,IF(MATCHED!AL87=4,MATCHED!$E87,IF(MATCHED!AL87=3,MATCHED!$F87,IF(MATCHED!AL87=6,MATCHED!$G87,IF(MATCHED!AL87=7,MATCHED!$H87,"")))))))&amp;IF(MATCHED!AL87=8,MATCHED!$I87,IF(MATCHED!AL87=9,MATCHED!$J87,IF(MATCHED!AL87=10,MATCHED!$K87,IF(MATCHED!AL87=11,MATCHED!$L87,IF(MATCHED!AL87=12,MATCHED!$M87,IF(MATCHED!AL87=13,MATCHED!$N87,IF(MATCHED!AL87=14,MATCHED!$O87,"")))))))&amp;IF(MATCHED!AL87=15,MATCHED!$P87,IF(MATCHED!AL87=16,MATCHED!$Q87,IF(MATCHED!AL87=17,MATCHED!$R87,IF(MATCHED!AL87=18,MATCHED!$S87,IF(MATCHED!AL87=19,MATCHED!$T87,IF(MATCHED!AL87=20,MATCHED!$U87,IF(MATCHED!AL87=21,MATCHED!$V87,)))))))&amp;IF(MATCHED!AL87=22,MATCHED!$W87,IF(MATCHED!AL87=23,MATCHED!$X87,IF(MATCHED!AL87=24,MATCHED!$Y87,IF(MATCHED!AL87=25,MATCHED!$Z87,IF(MATCHED!AL87=26,MATCHED!$AA87,IF(MATCHED!AL87=27,MATCHED!$AB87,"."))))))</f>
        <v>#N/A</v>
      </c>
      <c r="K87" s="423" t="e">
        <f>IF(MATCHED!AM87=1,MATCHED!$B87,IF(MATCHED!AM87=2,MATCHED!$C87,IF(MATCHED!AM87=3,MATCHED!$D87,IF(MATCHED!AM87=4,MATCHED!$E87,IF(MATCHED!AM87=3,MATCHED!$F87,IF(MATCHED!AM87=6,MATCHED!$G87,IF(MATCHED!AM87=7,MATCHED!$H87,"")))))))&amp;IF(MATCHED!AM87=8,MATCHED!$I87,IF(MATCHED!AM87=9,MATCHED!$J87,IF(MATCHED!AM87=10,MATCHED!$K87,IF(MATCHED!AM87=11,MATCHED!$L87,IF(MATCHED!AM87=12,MATCHED!$M87,IF(MATCHED!AM87=13,MATCHED!$N87,IF(MATCHED!AM87=14,MATCHED!$O87,"")))))))&amp;IF(MATCHED!AM87=15,MATCHED!$P87,IF(MATCHED!AM87=16,MATCHED!$Q87,IF(MATCHED!AM87=17,MATCHED!$R87,IF(MATCHED!AM87=18,MATCHED!$S87,IF(MATCHED!AM87=19,MATCHED!$T87,IF(MATCHED!AM87=20,MATCHED!$U87,IF(MATCHED!AM87=21,MATCHED!$V87,)))))))&amp;IF(MATCHED!AM87=22,MATCHED!$W87,IF(MATCHED!AM87=23,MATCHED!$X87,IF(MATCHED!AM87=24,MATCHED!$Y87,IF(MATCHED!AM87=25,MATCHED!$Z87,IF(MATCHED!AM87=26,MATCHED!$AA87,IF(MATCHED!AM87=27,MATCHED!$AB87,"."))))))</f>
        <v>#N/A</v>
      </c>
      <c r="L87" s="423" t="e">
        <f>IF(MATCHED!AN87=1,MATCHED!$B87,IF(MATCHED!AN87=2,MATCHED!$C87,IF(MATCHED!AN87=3,MATCHED!$D87,IF(MATCHED!AN87=4,MATCHED!$E87,IF(MATCHED!AN87=3,MATCHED!$F87,IF(MATCHED!AN87=6,MATCHED!$G87,IF(MATCHED!AN87=7,MATCHED!$H87,"")))))))&amp;IF(MATCHED!AN87=8,MATCHED!$I87,IF(MATCHED!AN87=9,MATCHED!$J87,IF(MATCHED!AN87=10,MATCHED!$K87,IF(MATCHED!AN87=11,MATCHED!$L87,IF(MATCHED!AN87=12,MATCHED!$M87,IF(MATCHED!AN87=13,MATCHED!$N87,IF(MATCHED!AN87=14,MATCHED!$O87,"")))))))&amp;IF(MATCHED!AN87=15,MATCHED!$P87,IF(MATCHED!AN87=16,MATCHED!$Q87,IF(MATCHED!AN87=17,MATCHED!$R87,IF(MATCHED!AN87=18,MATCHED!$S87,IF(MATCHED!AN87=19,MATCHED!$T87,IF(MATCHED!AN87=20,MATCHED!$U87,IF(MATCHED!AN87=21,MATCHED!$V87,)))))))&amp;IF(MATCHED!AN87=22,MATCHED!$W87,IF(MATCHED!AN87=23,MATCHED!$X87,IF(MATCHED!AN87=24,MATCHED!$Y87,IF(MATCHED!AN87=25,MATCHED!$Z87,IF(MATCHED!AN87=26,MATCHED!$AA87,IF(MATCHED!AN87=27,MATCHED!$AB87,"."))))))</f>
        <v>#N/A</v>
      </c>
      <c r="M87" s="423" t="e">
        <f>IF(MATCHED!AO87=1,MATCHED!$B87,IF(MATCHED!AO87=2,MATCHED!$C87,IF(MATCHED!AO87=3,MATCHED!$D87,IF(MATCHED!AO87=4,MATCHED!$E87,IF(MATCHED!AO87=3,MATCHED!$F87,IF(MATCHED!AO87=6,MATCHED!$G87,IF(MATCHED!AO87=7,MATCHED!$H87,"")))))))&amp;IF(MATCHED!AO87=8,MATCHED!$I87,IF(MATCHED!AO87=9,MATCHED!$J87,IF(MATCHED!AO87=10,MATCHED!$K87,IF(MATCHED!AO87=11,MATCHED!$L87,IF(MATCHED!AO87=12,MATCHED!$M87,IF(MATCHED!AO87=13,MATCHED!$N87,IF(MATCHED!AO87=14,MATCHED!$O87,"")))))))&amp;IF(MATCHED!AO87=15,MATCHED!$P87,IF(MATCHED!AO87=16,MATCHED!$Q87,IF(MATCHED!AO87=17,MATCHED!$R87,IF(MATCHED!AO87=18,MATCHED!$S87,IF(MATCHED!AO87=19,MATCHED!$T87,IF(MATCHED!AO87=20,MATCHED!$U87,IF(MATCHED!AO87=21,MATCHED!$V87,)))))))&amp;IF(MATCHED!AO87=22,MATCHED!$W87,IF(MATCHED!AO87=23,MATCHED!$X87,IF(MATCHED!AO87=24,MATCHED!$Y87,IF(MATCHED!AO87=25,MATCHED!$Z87,IF(MATCHED!AO87=26,MATCHED!$AA87,IF(MATCHED!AO87=27,MATCHED!$AB87,"."))))))</f>
        <v>#N/A</v>
      </c>
      <c r="N87" s="423" t="e">
        <f>IF(MATCHED!AP87=1,MATCHED!$B87,IF(MATCHED!AP87=2,MATCHED!$C87,IF(MATCHED!AP87=3,MATCHED!$D87,IF(MATCHED!AP87=4,MATCHED!$E87,IF(MATCHED!AP87=3,MATCHED!$F87,IF(MATCHED!AP87=6,MATCHED!$G87,IF(MATCHED!AP87=7,MATCHED!$H87,"")))))))&amp;IF(MATCHED!AP87=8,MATCHED!$I87,IF(MATCHED!AP87=9,MATCHED!$J87,IF(MATCHED!AP87=10,MATCHED!$K87,IF(MATCHED!AP87=11,MATCHED!$L87,IF(MATCHED!AP87=12,MATCHED!$M87,IF(MATCHED!AP87=13,MATCHED!$N87,IF(MATCHED!AP87=14,MATCHED!$O87,"")))))))&amp;IF(MATCHED!AP87=15,MATCHED!$P87,IF(MATCHED!AP87=16,MATCHED!$Q87,IF(MATCHED!AP87=17,MATCHED!$R87,IF(MATCHED!AP87=18,MATCHED!$S87,IF(MATCHED!AP87=19,MATCHED!$T87,IF(MATCHED!AP87=20,MATCHED!$U87,IF(MATCHED!AP87=21,MATCHED!$V87,)))))))&amp;IF(MATCHED!AP87=22,MATCHED!$W87,IF(MATCHED!AP87=23,MATCHED!$X87,IF(MATCHED!AP87=24,MATCHED!$Y87,IF(MATCHED!AP87=25,MATCHED!$Z87,IF(MATCHED!AP87=26,MATCHED!$AA87,IF(MATCHED!AP87=27,MATCHED!$AB87,"."))))))</f>
        <v>#N/A</v>
      </c>
      <c r="O87" s="423" t="e">
        <f>IF(MATCHED!AQ87=1,MATCHED!$B87,IF(MATCHED!AQ87=2,MATCHED!$C87,IF(MATCHED!AQ87=3,MATCHED!$D87,IF(MATCHED!AQ87=4,MATCHED!$E87,IF(MATCHED!AQ87=3,MATCHED!$F87,IF(MATCHED!AQ87=6,MATCHED!$G87,IF(MATCHED!AQ87=7,MATCHED!$H87,"")))))))&amp;IF(MATCHED!AQ87=8,MATCHED!$I87,IF(MATCHED!AQ87=9,MATCHED!$J87,IF(MATCHED!AQ87=10,MATCHED!$K87,IF(MATCHED!AQ87=11,MATCHED!$L87,IF(MATCHED!AQ87=12,MATCHED!$M87,IF(MATCHED!AQ87=13,MATCHED!$N87,IF(MATCHED!AQ87=14,MATCHED!$O87,"")))))))&amp;IF(MATCHED!AQ87=15,MATCHED!$P87,IF(MATCHED!AQ87=16,MATCHED!$Q87,IF(MATCHED!AQ87=17,MATCHED!$R87,IF(MATCHED!AQ87=18,MATCHED!$S87,IF(MATCHED!AQ87=19,MATCHED!$T87,IF(MATCHED!AQ87=20,MATCHED!$U87,IF(MATCHED!AQ87=21,MATCHED!$V87,)))))))&amp;IF(MATCHED!AQ87=22,MATCHED!$W87,IF(MATCHED!AQ87=23,MATCHED!$X87,IF(MATCHED!AQ87=24,MATCHED!$Y87,IF(MATCHED!AQ87=25,MATCHED!$Z87,IF(MATCHED!AQ87=26,MATCHED!$AA87,IF(MATCHED!AQ87=27,MATCHED!$AB87,"."))))))</f>
        <v>#N/A</v>
      </c>
      <c r="P87" s="423" t="e">
        <f>IF(MATCHED!AR87=1,MATCHED!$B87,IF(MATCHED!AR87=2,MATCHED!$C87,IF(MATCHED!AR87=3,MATCHED!$D87,IF(MATCHED!AR87=4,MATCHED!$E87,IF(MATCHED!AR87=3,MATCHED!$F87,IF(MATCHED!AR87=6,MATCHED!$G87,IF(MATCHED!AR87=7,MATCHED!$H87,"")))))))&amp;IF(MATCHED!AR87=8,MATCHED!$I87,IF(MATCHED!AR87=9,MATCHED!$J87,IF(MATCHED!AR87=10,MATCHED!$K87,IF(MATCHED!AR87=11,MATCHED!$L87,IF(MATCHED!AR87=12,MATCHED!$M87,IF(MATCHED!AR87=13,MATCHED!$N87,IF(MATCHED!AR87=14,MATCHED!$O87,"")))))))&amp;IF(MATCHED!AR87=15,MATCHED!$P87,IF(MATCHED!AR87=16,MATCHED!$Q87,IF(MATCHED!AR87=17,MATCHED!$R87,IF(MATCHED!AR87=18,MATCHED!$S87,IF(MATCHED!AR87=19,MATCHED!$T87,IF(MATCHED!AR87=20,MATCHED!$U87,IF(MATCHED!AR87=21,MATCHED!$V87,)))))))&amp;IF(MATCHED!AR87=22,MATCHED!$W87,IF(MATCHED!AR87=23,MATCHED!$X87,IF(MATCHED!AR87=24,MATCHED!$Y87,IF(MATCHED!AR87=25,MATCHED!$Z87,IF(MATCHED!AR87=26,MATCHED!$AA87,IF(MATCHED!AR87=27,MATCHED!$AB87,"."))))))</f>
        <v>#N/A</v>
      </c>
      <c r="Q87" s="423" t="e">
        <f>IF(MATCHED!AS87=1,MATCHED!$B87,IF(MATCHED!AS87=2,MATCHED!$C87,IF(MATCHED!AS87=3,MATCHED!$D87,IF(MATCHED!AS87=4,MATCHED!$E87,IF(MATCHED!AS87=3,MATCHED!$F87,IF(MATCHED!AS87=6,MATCHED!$G87,IF(MATCHED!AS87=7,MATCHED!$H87,"")))))))&amp;IF(MATCHED!AS87=8,MATCHED!$I87,IF(MATCHED!AS87=9,MATCHED!$J87,IF(MATCHED!AS87=10,MATCHED!$K87,IF(MATCHED!AS87=11,MATCHED!$L87,IF(MATCHED!AS87=12,MATCHED!$M87,IF(MATCHED!AS87=13,MATCHED!$N87,IF(MATCHED!AS87=14,MATCHED!$O87,"")))))))&amp;IF(MATCHED!AS87=15,MATCHED!$P87,IF(MATCHED!AS87=16,MATCHED!$Q87,IF(MATCHED!AS87=17,MATCHED!$R87,IF(MATCHED!AS87=18,MATCHED!$S87,IF(MATCHED!AS87=19,MATCHED!$T87,IF(MATCHED!AS87=20,MATCHED!$U87,IF(MATCHED!AS87=21,MATCHED!$V87,)))))))&amp;IF(MATCHED!AS87=22,MATCHED!$W87,IF(MATCHED!AS87=23,MATCHED!$X87,IF(MATCHED!AS87=24,MATCHED!$Y87,IF(MATCHED!AS87=25,MATCHED!$Z87,IF(MATCHED!AS87=26,MATCHED!$AA87,IF(MATCHED!AS87=27,MATCHED!$AB87,"."))))))</f>
        <v>#N/A</v>
      </c>
      <c r="R87" s="423" t="e">
        <f>IF(MATCHED!AT87=1,MATCHED!$B87,IF(MATCHED!AT87=2,MATCHED!$C87,IF(MATCHED!AT87=3,MATCHED!$D87,IF(MATCHED!AT87=4,MATCHED!$E87,IF(MATCHED!AT87=3,MATCHED!$F87,IF(MATCHED!AT87=6,MATCHED!$G87,IF(MATCHED!AT87=7,MATCHED!$H87,"")))))))&amp;IF(MATCHED!AT87=8,MATCHED!$I87,IF(MATCHED!AT87=9,MATCHED!$J87,IF(MATCHED!AT87=10,MATCHED!$K87,IF(MATCHED!AT87=11,MATCHED!$L87,IF(MATCHED!AT87=12,MATCHED!$M87,IF(MATCHED!AT87=13,MATCHED!$N87,IF(MATCHED!AT87=14,MATCHED!$O87,"")))))))&amp;IF(MATCHED!AT87=15,MATCHED!$P87,IF(MATCHED!AT87=16,MATCHED!$Q87,IF(MATCHED!AT87=17,MATCHED!$R87,IF(MATCHED!AT87=18,MATCHED!$S87,IF(MATCHED!AT87=19,MATCHED!$T87,IF(MATCHED!AT87=20,MATCHED!$U87,IF(MATCHED!AT87=21,MATCHED!$V87,)))))))&amp;IF(MATCHED!AT87=22,MATCHED!$W87,IF(MATCHED!AT87=23,MATCHED!$X87,IF(MATCHED!AT87=24,MATCHED!$Y87,IF(MATCHED!AT87=25,MATCHED!$Z87,IF(MATCHED!AT87=26,MATCHED!$AA87,IF(MATCHED!AT87=27,MATCHED!$AB87,"."))))))</f>
        <v>#N/A</v>
      </c>
      <c r="S87" s="423" t="e">
        <f>IF(MATCHED!AU87=1,MATCHED!$B87,IF(MATCHED!AU87=2,MATCHED!$C87,IF(MATCHED!AU87=3,MATCHED!$D87,IF(MATCHED!AU87=4,MATCHED!$E87,IF(MATCHED!AU87=3,MATCHED!$F87,IF(MATCHED!AU87=6,MATCHED!$G87,IF(MATCHED!AU87=7,MATCHED!$H87,"")))))))&amp;IF(MATCHED!AU87=8,MATCHED!$I87,IF(MATCHED!AU87=9,MATCHED!$J87,IF(MATCHED!AU87=10,MATCHED!$K87,IF(MATCHED!AU87=11,MATCHED!$L87,IF(MATCHED!AU87=12,MATCHED!$M87,IF(MATCHED!AU87=13,MATCHED!$N87,IF(MATCHED!AU87=14,MATCHED!$O87,"")))))))&amp;IF(MATCHED!AU87=15,MATCHED!$P87,IF(MATCHED!AU87=16,MATCHED!$Q87,IF(MATCHED!AU87=17,MATCHED!$R87,IF(MATCHED!AU87=18,MATCHED!$S87,IF(MATCHED!AU87=19,MATCHED!$T87,IF(MATCHED!AU87=20,MATCHED!$U87,IF(MATCHED!AU87=21,MATCHED!$V87,)))))))&amp;IF(MATCHED!AU87=22,MATCHED!$W87,IF(MATCHED!AU87=23,MATCHED!$X87,IF(MATCHED!AU87=24,MATCHED!$Y87,IF(MATCHED!AU87=25,MATCHED!$Z87,IF(MATCHED!AU87=26,MATCHED!$AA87,IF(MATCHED!AU87=27,MATCHED!$AB87,"."))))))</f>
        <v>#N/A</v>
      </c>
      <c r="T87" s="423" t="e">
        <f>IF(MATCHED!AV87=1,MATCHED!$B87,IF(MATCHED!AV87=2,MATCHED!$C87,IF(MATCHED!AV87=3,MATCHED!$D87,IF(MATCHED!AV87=4,MATCHED!$E87,IF(MATCHED!AV87=3,MATCHED!$F87,IF(MATCHED!AV87=6,MATCHED!$G87,IF(MATCHED!AV87=7,MATCHED!$H87,"")))))))&amp;IF(MATCHED!AV87=8,MATCHED!$I87,IF(MATCHED!AV87=9,MATCHED!$J87,IF(MATCHED!AV87=10,MATCHED!$K87,IF(MATCHED!AV87=11,MATCHED!$L87,IF(MATCHED!AV87=12,MATCHED!$M87,IF(MATCHED!AV87=13,MATCHED!$N87,IF(MATCHED!AV87=14,MATCHED!$O87,"")))))))&amp;IF(MATCHED!AV87=15,MATCHED!$P87,IF(MATCHED!AV87=16,MATCHED!$Q87,IF(MATCHED!AV87=17,MATCHED!$R87,IF(MATCHED!AV87=18,MATCHED!$S87,IF(MATCHED!AV87=19,MATCHED!$T87,IF(MATCHED!AV87=20,MATCHED!$U87,IF(MATCHED!AV87=21,MATCHED!$V87,)))))))&amp;IF(MATCHED!AV87=22,MATCHED!$W87,IF(MATCHED!AV87=23,MATCHED!$X87,IF(MATCHED!AV87=24,MATCHED!$Y87,IF(MATCHED!AV87=25,MATCHED!$Z87,IF(MATCHED!AV87=26,MATCHED!$AA87,IF(MATCHED!AV87=27,MATCHED!$AB87,"."))))))</f>
        <v>#N/A</v>
      </c>
      <c r="U87" s="423" t="e">
        <f>IF(MATCHED!AW87=1,MATCHED!$B87,IF(MATCHED!AW87=2,MATCHED!$C87,IF(MATCHED!AW87=3,MATCHED!$D87,IF(MATCHED!AW87=4,MATCHED!$E87,IF(MATCHED!AW87=3,MATCHED!$F87,IF(MATCHED!AW87=6,MATCHED!$G87,IF(MATCHED!AW87=7,MATCHED!$H87,"")))))))&amp;IF(MATCHED!AW87=8,MATCHED!$I87,IF(MATCHED!AW87=9,MATCHED!$J87,IF(MATCHED!AW87=10,MATCHED!$K87,IF(MATCHED!AW87=11,MATCHED!$L87,IF(MATCHED!AW87=12,MATCHED!$M87,IF(MATCHED!AW87=13,MATCHED!$N87,IF(MATCHED!AW87=14,MATCHED!$O87,"")))))))&amp;IF(MATCHED!AW87=15,MATCHED!$P87,IF(MATCHED!AW87=16,MATCHED!$Q87,IF(MATCHED!AW87=17,MATCHED!$R87,IF(MATCHED!AW87=18,MATCHED!$S87,IF(MATCHED!AW87=19,MATCHED!$T87,IF(MATCHED!AW87=20,MATCHED!$U87,IF(MATCHED!AW87=21,MATCHED!$V87,)))))))&amp;IF(MATCHED!AW87=22,MATCHED!$W87,IF(MATCHED!AW87=23,MATCHED!$X87,IF(MATCHED!AW87=24,MATCHED!$Y87,IF(MATCHED!AW87=25,MATCHED!$Z87,IF(MATCHED!AW87=26,MATCHED!$AA87,IF(MATCHED!AW87=27,MATCHED!$AB87,"."))))))</f>
        <v>#N/A</v>
      </c>
      <c r="V87" s="423" t="e">
        <f>IF(MATCHED!AX87=1,MATCHED!$B87,IF(MATCHED!AX87=2,MATCHED!$C87,IF(MATCHED!AX87=3,MATCHED!$D87,IF(MATCHED!AX87=4,MATCHED!$E87,IF(MATCHED!AX87=3,MATCHED!$F87,IF(MATCHED!AX87=6,MATCHED!$G87,IF(MATCHED!AX87=7,MATCHED!$H87,"")))))))&amp;IF(MATCHED!AX87=8,MATCHED!$I87,IF(MATCHED!AX87=9,MATCHED!$J87,IF(MATCHED!AX87=10,MATCHED!$K87,IF(MATCHED!AX87=11,MATCHED!$L87,IF(MATCHED!AX87=12,MATCHED!$M87,IF(MATCHED!AX87=13,MATCHED!$N87,IF(MATCHED!AX87=14,MATCHED!$O87,"")))))))&amp;IF(MATCHED!AX87=15,MATCHED!$P87,IF(MATCHED!AX87=16,MATCHED!$Q87,IF(MATCHED!AX87=17,MATCHED!$R87,IF(MATCHED!AX87=18,MATCHED!$S87,IF(MATCHED!AX87=19,MATCHED!$T87,IF(MATCHED!AX87=20,MATCHED!$U87,IF(MATCHED!AX87=21,MATCHED!$V87,)))))))&amp;IF(MATCHED!AX87=22,MATCHED!$W87,IF(MATCHED!AX87=23,MATCHED!$X87,IF(MATCHED!AX87=24,MATCHED!$Y87,IF(MATCHED!AX87=25,MATCHED!$Z87,IF(MATCHED!AX87=26,MATCHED!$AA87,IF(MATCHED!AX87=27,MATCHED!$AB87,"."))))))</f>
        <v>#N/A</v>
      </c>
      <c r="W87" s="423" t="e">
        <f>IF(MATCHED!AY87=1,MATCHED!$B87,IF(MATCHED!AY87=2,MATCHED!$C87,IF(MATCHED!AY87=3,MATCHED!$D87,IF(MATCHED!AY87=4,MATCHED!$E87,IF(MATCHED!AY87=3,MATCHED!$F87,IF(MATCHED!AY87=6,MATCHED!$G87,IF(MATCHED!AY87=7,MATCHED!$H87,"")))))))&amp;IF(MATCHED!AY87=8,MATCHED!$I87,IF(MATCHED!AY87=9,MATCHED!$J87,IF(MATCHED!AY87=10,MATCHED!$K87,IF(MATCHED!AY87=11,MATCHED!$L87,IF(MATCHED!AY87=12,MATCHED!$M87,IF(MATCHED!AY87=13,MATCHED!$N87,IF(MATCHED!AY87=14,MATCHED!$O87,"")))))))&amp;IF(MATCHED!AY87=15,MATCHED!$P87,IF(MATCHED!AY87=16,MATCHED!$Q87,IF(MATCHED!AY87=17,MATCHED!$R87,IF(MATCHED!AY87=18,MATCHED!$S87,IF(MATCHED!AY87=19,MATCHED!$T87,IF(MATCHED!AY87=20,MATCHED!$U87,IF(MATCHED!AY87=21,MATCHED!$V87,)))))))&amp;IF(MATCHED!AY87=22,MATCHED!$W87,IF(MATCHED!AY87=23,MATCHED!$X87,IF(MATCHED!AY87=24,MATCHED!$Y87,IF(MATCHED!AY87=25,MATCHED!$Z87,IF(MATCHED!AY87=26,MATCHED!$AA87,IF(MATCHED!AY87=27,MATCHED!$AB87,"."))))))</f>
        <v>#N/A</v>
      </c>
      <c r="X87" s="423" t="e">
        <f>IF(MATCHED!AZ87=1,MATCHED!$B87,IF(MATCHED!AZ87=2,MATCHED!$C87,IF(MATCHED!AZ87=3,MATCHED!$D87,IF(MATCHED!AZ87=4,MATCHED!$E87,IF(MATCHED!AZ87=3,MATCHED!$F87,IF(MATCHED!AZ87=6,MATCHED!$G87,IF(MATCHED!AZ87=7,MATCHED!$H87,"")))))))&amp;IF(MATCHED!AZ87=8,MATCHED!$I87,IF(MATCHED!AZ87=9,MATCHED!$J87,IF(MATCHED!AZ87=10,MATCHED!$K87,IF(MATCHED!AZ87=11,MATCHED!$L87,IF(MATCHED!AZ87=12,MATCHED!$M87,IF(MATCHED!AZ87=13,MATCHED!$N87,IF(MATCHED!AZ87=14,MATCHED!$O87,"")))))))&amp;IF(MATCHED!AZ87=15,MATCHED!$P87,IF(MATCHED!AZ87=16,MATCHED!$Q87,IF(MATCHED!AZ87=17,MATCHED!$R87,IF(MATCHED!AZ87=18,MATCHED!$S87,IF(MATCHED!AZ87=19,MATCHED!$T87,IF(MATCHED!AZ87=20,MATCHED!$U87,IF(MATCHED!AZ87=21,MATCHED!$V87,)))))))&amp;IF(MATCHED!AZ87=22,MATCHED!$W87,IF(MATCHED!AZ87=23,MATCHED!$X87,IF(MATCHED!AZ87=24,MATCHED!$Y87,IF(MATCHED!AZ87=25,MATCHED!$Z87,IF(MATCHED!AZ87=26,MATCHED!$AA87,IF(MATCHED!AZ87=27,MATCHED!$AB87,"."))))))</f>
        <v>#N/A</v>
      </c>
      <c r="Y87" s="423" t="e">
        <f>IF(MATCHED!BA87=1,MATCHED!$B87,IF(MATCHED!BA87=2,MATCHED!$C87,IF(MATCHED!BA87=3,MATCHED!$D87,IF(MATCHED!BA87=4,MATCHED!$E87,IF(MATCHED!BA87=3,MATCHED!$F87,IF(MATCHED!BA87=6,MATCHED!$G87,IF(MATCHED!BA87=7,MATCHED!$H87,"")))))))&amp;IF(MATCHED!BA87=8,MATCHED!$I87,IF(MATCHED!BA87=9,MATCHED!$J87,IF(MATCHED!BA87=10,MATCHED!$K87,IF(MATCHED!BA87=11,MATCHED!$L87,IF(MATCHED!BA87=12,MATCHED!$M87,IF(MATCHED!BA87=13,MATCHED!$N87,IF(MATCHED!BA87=14,MATCHED!$O87,"")))))))&amp;IF(MATCHED!BA87=15,MATCHED!$P87,IF(MATCHED!BA87=16,MATCHED!$Q87,IF(MATCHED!BA87=17,MATCHED!$R87,IF(MATCHED!BA87=18,MATCHED!$S87,IF(MATCHED!BA87=19,MATCHED!$T87,IF(MATCHED!BA87=20,MATCHED!$U87,IF(MATCHED!BA87=21,MATCHED!$V87,)))))))&amp;IF(MATCHED!BA87=22,MATCHED!$W87,IF(MATCHED!BA87=23,MATCHED!$X87,IF(MATCHED!BA87=24,MATCHED!$Y87,IF(MATCHED!BA87=25,MATCHED!$Z87,IF(MATCHED!BA87=26,MATCHED!$AA87,IF(MATCHED!BA87=27,MATCHED!$AB87,"."))))))</f>
        <v>#N/A</v>
      </c>
      <c r="Z87" s="423" t="e">
        <f>IF(MATCHED!BB87=1,MATCHED!$B87,IF(MATCHED!BB87=2,MATCHED!$C87,IF(MATCHED!BB87=3,MATCHED!$D87,IF(MATCHED!BB87=4,MATCHED!$E87,IF(MATCHED!BB87=3,MATCHED!$F87,IF(MATCHED!BB87=6,MATCHED!$G87,IF(MATCHED!BB87=7,MATCHED!$H87,"")))))))&amp;IF(MATCHED!BB87=8,MATCHED!$I87,IF(MATCHED!BB87=9,MATCHED!$J87,IF(MATCHED!BB87=10,MATCHED!$K87,IF(MATCHED!BB87=11,MATCHED!$L87,IF(MATCHED!BB87=12,MATCHED!$M87,IF(MATCHED!BB87=13,MATCHED!$N87,IF(MATCHED!BB87=14,MATCHED!$O87,"")))))))&amp;IF(MATCHED!BB87=15,MATCHED!$P87,IF(MATCHED!BB87=16,MATCHED!$Q87,IF(MATCHED!BB87=17,MATCHED!$R87,IF(MATCHED!BB87=18,MATCHED!$S87,IF(MATCHED!BB87=19,MATCHED!$T87,IF(MATCHED!BB87=20,MATCHED!$U87,IF(MATCHED!BB87=21,MATCHED!$V87,)))))))&amp;IF(MATCHED!BB87=22,MATCHED!$W87,IF(MATCHED!BB87=23,MATCHED!$X87,IF(MATCHED!BB87=24,MATCHED!$Y87,IF(MATCHED!BB87=25,MATCHED!$Z87,IF(MATCHED!BB87=26,MATCHED!$AA87,IF(MATCHED!BB87=27,MATCHED!$AB87,"."))))))</f>
        <v>#N/A</v>
      </c>
      <c r="AA87" s="423" t="e">
        <f>IF(MATCHED!BC87=1,MATCHED!$B87,IF(MATCHED!BC87=2,MATCHED!$C87,IF(MATCHED!BC87=3,MATCHED!$D87,IF(MATCHED!BC87=4,MATCHED!$E87,IF(MATCHED!BC87=3,MATCHED!$F87,IF(MATCHED!BC87=6,MATCHED!$G87,IF(MATCHED!BC87=7,MATCHED!$H87,"")))))))&amp;IF(MATCHED!BC87=8,MATCHED!$I87,IF(MATCHED!BC87=9,MATCHED!$J87,IF(MATCHED!BC87=10,MATCHED!$K87,IF(MATCHED!BC87=11,MATCHED!$L87,IF(MATCHED!BC87=12,MATCHED!$M87,IF(MATCHED!BC87=13,MATCHED!$N87,IF(MATCHED!BC87=14,MATCHED!$O87,"")))))))&amp;IF(MATCHED!BC87=15,MATCHED!$P87,IF(MATCHED!BC87=16,MATCHED!$Q87,IF(MATCHED!BC87=17,MATCHED!$R87,IF(MATCHED!BC87=18,MATCHED!$S87,IF(MATCHED!BC87=19,MATCHED!$T87,IF(MATCHED!BC87=20,MATCHED!$U87,IF(MATCHED!BC87=21,MATCHED!$V87,)))))))&amp;IF(MATCHED!BC87=22,MATCHED!$W87,IF(MATCHED!BC87=23,MATCHED!$X87,IF(MATCHED!BC87=24,MATCHED!$Y87,IF(MATCHED!BC87=25,MATCHED!$Z87,IF(MATCHED!BC87=26,MATCHED!$AA87,IF(MATCHED!BC87=27,MATCHED!$AB87,"."))))))</f>
        <v>#N/A</v>
      </c>
      <c r="AB87" s="423" t="e">
        <f>IF(MATCHED!BD87=1,MATCHED!$B87,IF(MATCHED!BD87=2,MATCHED!$C87,IF(MATCHED!BD87=3,MATCHED!$D87,IF(MATCHED!BD87=4,MATCHED!$E87,IF(MATCHED!BD87=3,MATCHED!$F87,IF(MATCHED!BD87=6,MATCHED!$G87,IF(MATCHED!BD87=7,MATCHED!$H87,"")))))))&amp;IF(MATCHED!BD87=8,MATCHED!$I87,IF(MATCHED!BD87=9,MATCHED!$J87,IF(MATCHED!BD87=10,MATCHED!$K87,IF(MATCHED!BD87=11,MATCHED!$L87,IF(MATCHED!BD87=12,MATCHED!$M87,IF(MATCHED!BD87=13,MATCHED!$N87,IF(MATCHED!BD87=14,MATCHED!$O87,"")))))))&amp;IF(MATCHED!BD87=15,MATCHED!$P87,IF(MATCHED!BD87=16,MATCHED!$Q87,IF(MATCHED!BD87=17,MATCHED!$R87,IF(MATCHED!BD87=18,MATCHED!$S87,IF(MATCHED!BD87=19,MATCHED!$T87,IF(MATCHED!BD87=20,MATCHED!$U87,IF(MATCHED!BD87=21,MATCHED!$V87,)))))))&amp;IF(MATCHED!BD87=22,MATCHED!$W87,IF(MATCHED!BD87=23,MATCHED!$X87,IF(MATCHED!BD87=24,MATCHED!$Y87,IF(MATCHED!BD87=25,MATCHED!$Z87,IF(MATCHED!BD87=26,MATCHED!$AA87,IF(MATCHED!BD87=27,MATCHED!$AB87,"."))))))</f>
        <v>#N/A</v>
      </c>
      <c r="AC87" s="423" t="e">
        <f>IF(MATCHED!BE87=1,MATCHED!$B87,IF(MATCHED!BE87=2,MATCHED!$C87,IF(MATCHED!BE87=3,MATCHED!$D87,IF(MATCHED!BE87=4,MATCHED!$E87,IF(MATCHED!BE87=3,MATCHED!$F87,IF(MATCHED!BE87=6,MATCHED!$G87,IF(MATCHED!BE87=7,MATCHED!$H87,"")))))))&amp;IF(MATCHED!BE87=8,MATCHED!$I87,IF(MATCHED!BE87=9,MATCHED!$J87,IF(MATCHED!BE87=10,MATCHED!$K87,IF(MATCHED!BE87=11,MATCHED!$L87,IF(MATCHED!BE87=12,MATCHED!$M87,IF(MATCHED!BE87=13,MATCHED!$N87,IF(MATCHED!BE87=14,MATCHED!$O87,"")))))))&amp;IF(MATCHED!BE87=15,MATCHED!$P87,IF(MATCHED!BE87=16,MATCHED!$Q87,IF(MATCHED!BE87=17,MATCHED!$R87,IF(MATCHED!BE87=18,MATCHED!$S87,IF(MATCHED!BE87=19,MATCHED!$T87,IF(MATCHED!BE87=20,MATCHED!$U87,IF(MATCHED!BE87=21,MATCHED!$V87,)))))))&amp;IF(MATCHED!BE87=22,MATCHED!$W87,IF(MATCHED!BE87=23,MATCHED!$X87,IF(MATCHED!BE87=24,MATCHED!$Y87,IF(MATCHED!BE87=25,MATCHED!$Z87,IF(MATCHED!BE87=26,MATCHED!$AA87,IF(MATCHED!BE87=27,MATCHED!$AB87,"."))))))</f>
        <v>#N/A</v>
      </c>
      <c r="AD87" s="423" t="e">
        <f>IF(MATCHED!BF87=1,MATCHED!$B87,IF(MATCHED!BF87=2,MATCHED!$C87,IF(MATCHED!BF87=3,MATCHED!$D87,IF(MATCHED!BF87=4,MATCHED!$E87,IF(MATCHED!BF87=3,MATCHED!$F87,IF(MATCHED!BF87=6,MATCHED!$G87,IF(MATCHED!BF87=7,MATCHED!$H87,"")))))))&amp;IF(MATCHED!BF87=8,MATCHED!$I87,IF(MATCHED!BF87=9,MATCHED!$J87,IF(MATCHED!BF87=10,MATCHED!$K87,IF(MATCHED!BF87=11,MATCHED!$L87,IF(MATCHED!BF87=12,MATCHED!$M87,IF(MATCHED!BF87=13,MATCHED!$N87,IF(MATCHED!BF87=14,MATCHED!$O87,"")))))))&amp;IF(MATCHED!BF87=15,MATCHED!$P87,IF(MATCHED!BF87=16,MATCHED!$Q87,IF(MATCHED!BF87=17,MATCHED!$R87,IF(MATCHED!BF87=18,MATCHED!$S87,IF(MATCHED!BF87=19,MATCHED!$T87,IF(MATCHED!BF87=20,MATCHED!$U87,IF(MATCHED!BF87=21,MATCHED!$V87,)))))))&amp;IF(MATCHED!BF87=22,MATCHED!$W87,IF(MATCHED!BF87=23,MATCHED!$X87,IF(MATCHED!BF87=24,MATCHED!$Y87,IF(MATCHED!BF87=25,MATCHED!$Z87,IF(MATCHED!BF87=26,MATCHED!$AA87,IF(MATCHED!BF87=27,MATCHED!$AB87,"."))))))</f>
        <v>#N/A</v>
      </c>
      <c r="AE87" s="423" t="e">
        <f>IF(MATCHED!BG87=1,MATCHED!$B87,IF(MATCHED!BG87=2,MATCHED!$C87,IF(MATCHED!BG87=3,MATCHED!$D87,IF(MATCHED!BG87=4,MATCHED!$E87,IF(MATCHED!BG87=3,MATCHED!$F87,IF(MATCHED!BG87=6,MATCHED!$G87,IF(MATCHED!BG87=7,MATCHED!$H87,"")))))))&amp;IF(MATCHED!BG87=8,MATCHED!$I87,IF(MATCHED!BG87=9,MATCHED!$J87,IF(MATCHED!BG87=10,MATCHED!$K87,IF(MATCHED!BG87=11,MATCHED!$L87,IF(MATCHED!BG87=12,MATCHED!$M87,IF(MATCHED!BG87=13,MATCHED!$N87,IF(MATCHED!BG87=14,MATCHED!$O87,"")))))))&amp;IF(MATCHED!BG87=15,MATCHED!$P87,IF(MATCHED!BG87=16,MATCHED!$Q87,IF(MATCHED!BG87=17,MATCHED!$R87,IF(MATCHED!BG87=18,MATCHED!$S87,IF(MATCHED!BG87=19,MATCHED!$T87,IF(MATCHED!BG87=20,MATCHED!$U87,IF(MATCHED!BG87=21,MATCHED!$V87,)))))))&amp;IF(MATCHED!BG87=22,MATCHED!$W87,IF(MATCHED!BG87=23,MATCHED!$X87,IF(MATCHED!BG87=24,MATCHED!$Y87,IF(MATCHED!BG87=25,MATCHED!$Z87,IF(MATCHED!BG87=26,MATCHED!$AA87,IF(MATCHED!BG87=27,MATCHED!$AB87,"."))))))</f>
        <v>#N/A</v>
      </c>
      <c r="AF87" s="423" t="e">
        <f>IF(MATCHED!BH87=1,MATCHED!$B87,IF(MATCHED!BH87=2,MATCHED!$C87,IF(MATCHED!BH87=3,MATCHED!$D87,IF(MATCHED!BH87=4,MATCHED!$E87,IF(MATCHED!BH87=3,MATCHED!$F87,IF(MATCHED!BH87=6,MATCHED!$G87,IF(MATCHED!BH87=7,MATCHED!$H87,"")))))))&amp;IF(MATCHED!BH87=8,MATCHED!$I87,IF(MATCHED!BH87=9,MATCHED!$J87,IF(MATCHED!BH87=10,MATCHED!$K87,IF(MATCHED!BH87=11,MATCHED!$L87,IF(MATCHED!BH87=12,MATCHED!$M87,IF(MATCHED!BH87=13,MATCHED!$N87,IF(MATCHED!BH87=14,MATCHED!$O87,"")))))))&amp;IF(MATCHED!BH87=15,MATCHED!$P87,IF(MATCHED!BH87=16,MATCHED!$Q87,IF(MATCHED!BH87=17,MATCHED!$R87,IF(MATCHED!BH87=18,MATCHED!$S87,IF(MATCHED!BH87=19,MATCHED!$T87,IF(MATCHED!BH87=20,MATCHED!$U87,IF(MATCHED!BH87=21,MATCHED!$V87,)))))))&amp;IF(MATCHED!BH87=22,MATCHED!$W87,IF(MATCHED!BH87=23,MATCHED!$X87,IF(MATCHED!BH87=24,MATCHED!$Y87,IF(MATCHED!BH87=25,MATCHED!$Z87,IF(MATCHED!BH87=26,MATCHED!$AA87,IF(MATCHED!BH87=27,MATCHED!$AB87,"."))))))</f>
        <v>#N/A</v>
      </c>
      <c r="AG87" s="423" t="e">
        <f>IF(MATCHED!BI87=1,MATCHED!$B87,IF(MATCHED!BI87=2,MATCHED!$C87,IF(MATCHED!BI87=3,MATCHED!$D87,IF(MATCHED!BI87=4,MATCHED!$E87,IF(MATCHED!BI87=3,MATCHED!$F87,IF(MATCHED!BI87=6,MATCHED!$G87,IF(MATCHED!BI87=7,MATCHED!$H87,"")))))))&amp;IF(MATCHED!BI87=8,MATCHED!$I87,IF(MATCHED!BI87=9,MATCHED!$J87,IF(MATCHED!BI87=10,MATCHED!$K87,IF(MATCHED!BI87=11,MATCHED!$L87,IF(MATCHED!BI87=12,MATCHED!$M87,IF(MATCHED!BI87=13,MATCHED!$N87,IF(MATCHED!BI87=14,MATCHED!$O87,"")))))))&amp;IF(MATCHED!BI87=15,MATCHED!$P87,IF(MATCHED!BI87=16,MATCHED!$Q87,IF(MATCHED!BI87=17,MATCHED!$R87,IF(MATCHED!BI87=18,MATCHED!$S87,IF(MATCHED!BI87=19,MATCHED!$T87,IF(MATCHED!BI87=20,MATCHED!$U87,IF(MATCHED!BI87=21,MATCHED!$V87,)))))))&amp;IF(MATCHED!BI87=22,MATCHED!$W87,IF(MATCHED!BI87=23,MATCHED!$X87,IF(MATCHED!BI87=24,MATCHED!$Y87,IF(MATCHED!BI87=25,MATCHED!$Z87,IF(MATCHED!BI87=26,MATCHED!$AA87,IF(MATCHED!BI87=27,MATCHED!$AB87,"."))))))</f>
        <v>#N/A</v>
      </c>
      <c r="AH87" s="423" t="e">
        <f>IF(MATCHED!BJ87=1,MATCHED!$B87,IF(MATCHED!BJ87=2,MATCHED!$C87,IF(MATCHED!BJ87=3,MATCHED!$D87,IF(MATCHED!BJ87=4,MATCHED!$E87,IF(MATCHED!BJ87=3,MATCHED!$F87,IF(MATCHED!BJ87=6,MATCHED!$G87,IF(MATCHED!BJ87=7,MATCHED!$H87,"")))))))&amp;IF(MATCHED!BJ87=8,MATCHED!$I87,IF(MATCHED!BJ87=9,MATCHED!$J87,IF(MATCHED!BJ87=10,MATCHED!$K87,IF(MATCHED!BJ87=11,MATCHED!$L87,IF(MATCHED!BJ87=12,MATCHED!$M87,IF(MATCHED!BJ87=13,MATCHED!$N87,IF(MATCHED!BJ87=14,MATCHED!$O87,"")))))))&amp;IF(MATCHED!BJ87=15,MATCHED!$P87,IF(MATCHED!BJ87=16,MATCHED!$Q87,IF(MATCHED!BJ87=17,MATCHED!$R87,IF(MATCHED!BJ87=18,MATCHED!$S87,IF(MATCHED!BJ87=19,MATCHED!$T87,IF(MATCHED!BJ87=20,MATCHED!$U87,IF(MATCHED!BJ87=21,MATCHED!$V87,)))))))&amp;IF(MATCHED!BJ87=22,MATCHED!$W87,IF(MATCHED!BJ87=23,MATCHED!$X87,IF(MATCHED!BJ87=24,MATCHED!$Y87,IF(MATCHED!BJ87=25,MATCHED!$Z87,IF(MATCHED!BJ87=26,MATCHED!$AA87,IF(MATCHED!BJ87=27,MATCHED!$AB87,"."))))))</f>
        <v>#N/A</v>
      </c>
      <c r="AI87" s="423" t="e">
        <f>IF(MATCHED!BK87=1,MATCHED!$B87,IF(MATCHED!BK87=2,MATCHED!$C87,IF(MATCHED!BK87=3,MATCHED!$D87,IF(MATCHED!BK87=4,MATCHED!$E87,IF(MATCHED!BK87=3,MATCHED!$F87,IF(MATCHED!BK87=6,MATCHED!$G87,IF(MATCHED!BK87=7,MATCHED!$H87,"")))))))&amp;IF(MATCHED!BK87=8,MATCHED!$I87,IF(MATCHED!BK87=9,MATCHED!$J87,IF(MATCHED!BK87=10,MATCHED!$K87,IF(MATCHED!BK87=11,MATCHED!$L87,IF(MATCHED!BK87=12,MATCHED!$M87,IF(MATCHED!BK87=13,MATCHED!$N87,IF(MATCHED!BK87=14,MATCHED!$O87,"")))))))&amp;IF(MATCHED!BK87=15,MATCHED!$P87,IF(MATCHED!BK87=16,MATCHED!$Q87,IF(MATCHED!BK87=17,MATCHED!$R87,IF(MATCHED!BK87=18,MATCHED!$S87,IF(MATCHED!BK87=19,MATCHED!$T87,IF(MATCHED!BK87=20,MATCHED!$U87,IF(MATCHED!BK87=21,MATCHED!$V87,)))))))&amp;IF(MATCHED!BK87=22,MATCHED!$W87,IF(MATCHED!BK87=23,MATCHED!$X87,IF(MATCHED!BK87=24,MATCHED!$Y87,IF(MATCHED!BK87=25,MATCHED!$Z87,IF(MATCHED!BK87=26,MATCHED!$AA87,IF(MATCHED!BK87=27,MATCHED!$AB87,"."))))))</f>
        <v>#N/A</v>
      </c>
      <c r="AJ87" s="388"/>
    </row>
    <row r="88" spans="1:36" s="325" customFormat="1" x14ac:dyDescent="0.25">
      <c r="A88" s="319"/>
      <c r="B88" s="423" t="e">
        <f>IF(MATCHED!AD88=1,MATCHED!$B88,IF(MATCHED!AD88=2,MATCHED!$C88,IF(MATCHED!AD88=3,MATCHED!$D88,IF(MATCHED!AD88=4,MATCHED!$E88,IF(MATCHED!AD88=3,MATCHED!$F88,IF(MATCHED!AD88=6,MATCHED!$G88,IF(MATCHED!AD88=7,MATCHED!$H88,"")))))))&amp;IF(MATCHED!AD88=8,MATCHED!$I88,IF(MATCHED!AD88=9,MATCHED!$J88,IF(MATCHED!AD88=10,MATCHED!$K88,IF(MATCHED!AD88=11,MATCHED!$L88,IF(MATCHED!AD88=12,MATCHED!$M88,IF(MATCHED!AD88=13,MATCHED!$N88,IF(MATCHED!AD88=14,MATCHED!$O88,"")))))))&amp;IF(MATCHED!AD88=15,MATCHED!$P88,IF(MATCHED!AD88=16,MATCHED!$Q88,IF(MATCHED!AD88=17,MATCHED!$R88,IF(MATCHED!AD88=18,MATCHED!$S88,IF(MATCHED!AD88=19,MATCHED!$T88,IF(MATCHED!AD88=20,MATCHED!$U88,IF(MATCHED!AD88=21,MATCHED!$V88,)))))))&amp;IF(MATCHED!AD88=22,MATCHED!$W88,IF(MATCHED!AD88=23,MATCHED!$X88,IF(MATCHED!AD88=24,MATCHED!$Y88,IF(MATCHED!AD88=25,MATCHED!$Z88,IF(MATCHED!AD88=26,MATCHED!$AA88,IF(MATCHED!AD88=27,MATCHED!$AB88,"."))))))</f>
        <v>#N/A</v>
      </c>
      <c r="C88" s="423" t="e">
        <f>IF(MATCHED!AE88=1,MATCHED!$B88,IF(MATCHED!AE88=2,MATCHED!$C88,IF(MATCHED!AE88=3,MATCHED!$D88,IF(MATCHED!AE88=4,MATCHED!$E88,IF(MATCHED!AE88=3,MATCHED!$F88,IF(MATCHED!AE88=6,MATCHED!$G88,IF(MATCHED!AE88=7,MATCHED!$H88,"")))))))&amp;IF(MATCHED!AE88=8,MATCHED!$I88,IF(MATCHED!AE88=9,MATCHED!$J88,IF(MATCHED!AE88=10,MATCHED!$K88,IF(MATCHED!AE88=11,MATCHED!$L88,IF(MATCHED!AE88=12,MATCHED!$M88,IF(MATCHED!AE88=13,MATCHED!$N88,IF(MATCHED!AE88=14,MATCHED!$O88,"")))))))&amp;IF(MATCHED!AE88=15,MATCHED!$P88,IF(MATCHED!AE88=16,MATCHED!$Q88,IF(MATCHED!AE88=17,MATCHED!$R88,IF(MATCHED!AE88=18,MATCHED!$S88,IF(MATCHED!AE88=19,MATCHED!$T88,IF(MATCHED!AE88=20,MATCHED!$U88,IF(MATCHED!AE88=21,MATCHED!$V88,)))))))&amp;IF(MATCHED!AE88=22,MATCHED!$W88,IF(MATCHED!AE88=23,MATCHED!$X88,IF(MATCHED!AE88=24,MATCHED!$Y88,IF(MATCHED!AE88=25,MATCHED!$Z88,IF(MATCHED!AE88=26,MATCHED!$AA88,IF(MATCHED!AE88=27,MATCHED!$AB88,"."))))))</f>
        <v>#N/A</v>
      </c>
      <c r="D88" s="423" t="e">
        <f>IF(MATCHED!AF88=1,MATCHED!$B88,IF(MATCHED!AF88=2,MATCHED!$C88,IF(MATCHED!AF88=3,MATCHED!$D88,IF(MATCHED!AF88=4,MATCHED!$E88,IF(MATCHED!AF88=3,MATCHED!$F88,IF(MATCHED!AF88=6,MATCHED!$G88,IF(MATCHED!AF88=7,MATCHED!$H88,"")))))))&amp;IF(MATCHED!AF88=8,MATCHED!$I88,IF(MATCHED!AF88=9,MATCHED!$J88,IF(MATCHED!AF88=10,MATCHED!$K88,IF(MATCHED!AF88=11,MATCHED!$L88,IF(MATCHED!AF88=12,MATCHED!$M88,IF(MATCHED!AF88=13,MATCHED!$N88,IF(MATCHED!AF88=14,MATCHED!$O88,"")))))))&amp;IF(MATCHED!AF88=15,MATCHED!$P88,IF(MATCHED!AF88=16,MATCHED!$Q88,IF(MATCHED!AF88=17,MATCHED!$R88,IF(MATCHED!AF88=18,MATCHED!$S88,IF(MATCHED!AF88=19,MATCHED!$T88,IF(MATCHED!AF88=20,MATCHED!$U88,IF(MATCHED!AF88=21,MATCHED!$V88,)))))))&amp;IF(MATCHED!AF88=22,MATCHED!$W88,IF(MATCHED!AF88=23,MATCHED!$X88,IF(MATCHED!AF88=24,MATCHED!$Y88,IF(MATCHED!AF88=25,MATCHED!$Z88,IF(MATCHED!AF88=26,MATCHED!$AA88,IF(MATCHED!AF88=27,MATCHED!$AB88,"."))))))</f>
        <v>#N/A</v>
      </c>
      <c r="E88" s="423" t="e">
        <f>IF(MATCHED!AG88=1,MATCHED!$B88,IF(MATCHED!AG88=2,MATCHED!$C88,IF(MATCHED!AG88=3,MATCHED!$D88,IF(MATCHED!AG88=4,MATCHED!$E88,IF(MATCHED!AG88=3,MATCHED!$F88,IF(MATCHED!AG88=6,MATCHED!$G88,IF(MATCHED!AG88=7,MATCHED!$H88,"")))))))&amp;IF(MATCHED!AG88=8,MATCHED!$I88,IF(MATCHED!AG88=9,MATCHED!$J88,IF(MATCHED!AG88=10,MATCHED!$K88,IF(MATCHED!AG88=11,MATCHED!$L88,IF(MATCHED!AG88=12,MATCHED!$M88,IF(MATCHED!AG88=13,MATCHED!$N88,IF(MATCHED!AG88=14,MATCHED!$O88,"")))))))&amp;IF(MATCHED!AG88=15,MATCHED!$P88,IF(MATCHED!AG88=16,MATCHED!$Q88,IF(MATCHED!AG88=17,MATCHED!$R88,IF(MATCHED!AG88=18,MATCHED!$S88,IF(MATCHED!AG88=19,MATCHED!$T88,IF(MATCHED!AG88=20,MATCHED!$U88,IF(MATCHED!AG88=21,MATCHED!$V88,)))))))&amp;IF(MATCHED!AG88=22,MATCHED!$W88,IF(MATCHED!AG88=23,MATCHED!$X88,IF(MATCHED!AG88=24,MATCHED!$Y88,IF(MATCHED!AG88=25,MATCHED!$Z88,IF(MATCHED!AG88=26,MATCHED!$AA88,IF(MATCHED!AG88=27,MATCHED!$AB88,"."))))))</f>
        <v>#N/A</v>
      </c>
      <c r="F88" s="423" t="e">
        <f>IF(MATCHED!AH88=1,MATCHED!$B88,IF(MATCHED!AH88=2,MATCHED!$C88,IF(MATCHED!AH88=3,MATCHED!$D88,IF(MATCHED!AH88=4,MATCHED!$E88,IF(MATCHED!AH88=3,MATCHED!$F88,IF(MATCHED!AH88=6,MATCHED!$G88,IF(MATCHED!AH88=7,MATCHED!$H88,"")))))))&amp;IF(MATCHED!AH88=8,MATCHED!$I88,IF(MATCHED!AH88=9,MATCHED!$J88,IF(MATCHED!AH88=10,MATCHED!$K88,IF(MATCHED!AH88=11,MATCHED!$L88,IF(MATCHED!AH88=12,MATCHED!$M88,IF(MATCHED!AH88=13,MATCHED!$N88,IF(MATCHED!AH88=14,MATCHED!$O88,"")))))))&amp;IF(MATCHED!AH88=15,MATCHED!$P88,IF(MATCHED!AH88=16,MATCHED!$Q88,IF(MATCHED!AH88=17,MATCHED!$R88,IF(MATCHED!AH88=18,MATCHED!$S88,IF(MATCHED!AH88=19,MATCHED!$T88,IF(MATCHED!AH88=20,MATCHED!$U88,IF(MATCHED!AH88=21,MATCHED!$V88,)))))))&amp;IF(MATCHED!AH88=22,MATCHED!$W88,IF(MATCHED!AH88=23,MATCHED!$X88,IF(MATCHED!AH88=24,MATCHED!$Y88,IF(MATCHED!AH88=25,MATCHED!$Z88,IF(MATCHED!AH88=26,MATCHED!$AA88,IF(MATCHED!AH88=27,MATCHED!$AB88,"."))))))</f>
        <v>#N/A</v>
      </c>
      <c r="G88" s="423" t="e">
        <f>IF(MATCHED!AI88=1,MATCHED!$B88,IF(MATCHED!AI88=2,MATCHED!$C88,IF(MATCHED!AI88=3,MATCHED!$D88,IF(MATCHED!AI88=4,MATCHED!$E88,IF(MATCHED!AI88=3,MATCHED!$F88,IF(MATCHED!AI88=6,MATCHED!$G88,IF(MATCHED!AI88=7,MATCHED!$H88,"")))))))&amp;IF(MATCHED!AI88=8,MATCHED!$I88,IF(MATCHED!AI88=9,MATCHED!$J88,IF(MATCHED!AI88=10,MATCHED!$K88,IF(MATCHED!AI88=11,MATCHED!$L88,IF(MATCHED!AI88=12,MATCHED!$M88,IF(MATCHED!AI88=13,MATCHED!$N88,IF(MATCHED!AI88=14,MATCHED!$O88,"")))))))&amp;IF(MATCHED!AI88=15,MATCHED!$P88,IF(MATCHED!AI88=16,MATCHED!$Q88,IF(MATCHED!AI88=17,MATCHED!$R88,IF(MATCHED!AI88=18,MATCHED!$S88,IF(MATCHED!AI88=19,MATCHED!$T88,IF(MATCHED!AI88=20,MATCHED!$U88,IF(MATCHED!AI88=21,MATCHED!$V88,)))))))&amp;IF(MATCHED!AI88=22,MATCHED!$W88,IF(MATCHED!AI88=23,MATCHED!$X88,IF(MATCHED!AI88=24,MATCHED!$Y88,IF(MATCHED!AI88=25,MATCHED!$Z88,IF(MATCHED!AI88=26,MATCHED!$AA88,IF(MATCHED!AI88=27,MATCHED!$AB88,"."))))))</f>
        <v>#N/A</v>
      </c>
      <c r="H88" s="423" t="e">
        <f>IF(MATCHED!AJ88=1,MATCHED!$B88,IF(MATCHED!AJ88=2,MATCHED!$C88,IF(MATCHED!AJ88=3,MATCHED!$D88,IF(MATCHED!AJ88=4,MATCHED!$E88,IF(MATCHED!AJ88=3,MATCHED!$F88,IF(MATCHED!AJ88=6,MATCHED!$G88,IF(MATCHED!AJ88=7,MATCHED!$H88,"")))))))&amp;IF(MATCHED!AJ88=8,MATCHED!$I88,IF(MATCHED!AJ88=9,MATCHED!$J88,IF(MATCHED!AJ88=10,MATCHED!$K88,IF(MATCHED!AJ88=11,MATCHED!$L88,IF(MATCHED!AJ88=12,MATCHED!$M88,IF(MATCHED!AJ88=13,MATCHED!$N88,IF(MATCHED!AJ88=14,MATCHED!$O88,"")))))))&amp;IF(MATCHED!AJ88=15,MATCHED!$P88,IF(MATCHED!AJ88=16,MATCHED!$Q88,IF(MATCHED!AJ88=17,MATCHED!$R88,IF(MATCHED!AJ88=18,MATCHED!$S88,IF(MATCHED!AJ88=19,MATCHED!$T88,IF(MATCHED!AJ88=20,MATCHED!$U88,IF(MATCHED!AJ88=21,MATCHED!$V88,)))))))&amp;IF(MATCHED!AJ88=22,MATCHED!$W88,IF(MATCHED!AJ88=23,MATCHED!$X88,IF(MATCHED!AJ88=24,MATCHED!$Y88,IF(MATCHED!AJ88=25,MATCHED!$Z88,IF(MATCHED!AJ88=26,MATCHED!$AA88,IF(MATCHED!AJ88=27,MATCHED!$AB88,"."))))))</f>
        <v>#N/A</v>
      </c>
      <c r="I88" s="423" t="e">
        <f>IF(MATCHED!AK88=1,MATCHED!$B88,IF(MATCHED!AK88=2,MATCHED!$C88,IF(MATCHED!AK88=3,MATCHED!$D88,IF(MATCHED!AK88=4,MATCHED!$E88,IF(MATCHED!AK88=3,MATCHED!$F88,IF(MATCHED!AK88=6,MATCHED!$G88,IF(MATCHED!AK88=7,MATCHED!$H88,"")))))))&amp;IF(MATCHED!AK88=8,MATCHED!$I88,IF(MATCHED!AK88=9,MATCHED!$J88,IF(MATCHED!AK88=10,MATCHED!$K88,IF(MATCHED!AK88=11,MATCHED!$L88,IF(MATCHED!AK88=12,MATCHED!$M88,IF(MATCHED!AK88=13,MATCHED!$N88,IF(MATCHED!AK88=14,MATCHED!$O88,"")))))))&amp;IF(MATCHED!AK88=15,MATCHED!$P88,IF(MATCHED!AK88=16,MATCHED!$Q88,IF(MATCHED!AK88=17,MATCHED!$R88,IF(MATCHED!AK88=18,MATCHED!$S88,IF(MATCHED!AK88=19,MATCHED!$T88,IF(MATCHED!AK88=20,MATCHED!$U88,IF(MATCHED!AK88=21,MATCHED!$V88,)))))))&amp;IF(MATCHED!AK88=22,MATCHED!$W88,IF(MATCHED!AK88=23,MATCHED!$X88,IF(MATCHED!AK88=24,MATCHED!$Y88,IF(MATCHED!AK88=25,MATCHED!$Z88,IF(MATCHED!AK88=26,MATCHED!$AA88,IF(MATCHED!AK88=27,MATCHED!$AB88,"."))))))</f>
        <v>#N/A</v>
      </c>
      <c r="J88" s="423" t="e">
        <f>IF(MATCHED!AL88=1,MATCHED!$B88,IF(MATCHED!AL88=2,MATCHED!$C88,IF(MATCHED!AL88=3,MATCHED!$D88,IF(MATCHED!AL88=4,MATCHED!$E88,IF(MATCHED!AL88=3,MATCHED!$F88,IF(MATCHED!AL88=6,MATCHED!$G88,IF(MATCHED!AL88=7,MATCHED!$H88,"")))))))&amp;IF(MATCHED!AL88=8,MATCHED!$I88,IF(MATCHED!AL88=9,MATCHED!$J88,IF(MATCHED!AL88=10,MATCHED!$K88,IF(MATCHED!AL88=11,MATCHED!$L88,IF(MATCHED!AL88=12,MATCHED!$M88,IF(MATCHED!AL88=13,MATCHED!$N88,IF(MATCHED!AL88=14,MATCHED!$O88,"")))))))&amp;IF(MATCHED!AL88=15,MATCHED!$P88,IF(MATCHED!AL88=16,MATCHED!$Q88,IF(MATCHED!AL88=17,MATCHED!$R88,IF(MATCHED!AL88=18,MATCHED!$S88,IF(MATCHED!AL88=19,MATCHED!$T88,IF(MATCHED!AL88=20,MATCHED!$U88,IF(MATCHED!AL88=21,MATCHED!$V88,)))))))&amp;IF(MATCHED!AL88=22,MATCHED!$W88,IF(MATCHED!AL88=23,MATCHED!$X88,IF(MATCHED!AL88=24,MATCHED!$Y88,IF(MATCHED!AL88=25,MATCHED!$Z88,IF(MATCHED!AL88=26,MATCHED!$AA88,IF(MATCHED!AL88=27,MATCHED!$AB88,"."))))))</f>
        <v>#N/A</v>
      </c>
      <c r="K88" s="423" t="e">
        <f>IF(MATCHED!AM88=1,MATCHED!$B88,IF(MATCHED!AM88=2,MATCHED!$C88,IF(MATCHED!AM88=3,MATCHED!$D88,IF(MATCHED!AM88=4,MATCHED!$E88,IF(MATCHED!AM88=3,MATCHED!$F88,IF(MATCHED!AM88=6,MATCHED!$G88,IF(MATCHED!AM88=7,MATCHED!$H88,"")))))))&amp;IF(MATCHED!AM88=8,MATCHED!$I88,IF(MATCHED!AM88=9,MATCHED!$J88,IF(MATCHED!AM88=10,MATCHED!$K88,IF(MATCHED!AM88=11,MATCHED!$L88,IF(MATCHED!AM88=12,MATCHED!$M88,IF(MATCHED!AM88=13,MATCHED!$N88,IF(MATCHED!AM88=14,MATCHED!$O88,"")))))))&amp;IF(MATCHED!AM88=15,MATCHED!$P88,IF(MATCHED!AM88=16,MATCHED!$Q88,IF(MATCHED!AM88=17,MATCHED!$R88,IF(MATCHED!AM88=18,MATCHED!$S88,IF(MATCHED!AM88=19,MATCHED!$T88,IF(MATCHED!AM88=20,MATCHED!$U88,IF(MATCHED!AM88=21,MATCHED!$V88,)))))))&amp;IF(MATCHED!AM88=22,MATCHED!$W88,IF(MATCHED!AM88=23,MATCHED!$X88,IF(MATCHED!AM88=24,MATCHED!$Y88,IF(MATCHED!AM88=25,MATCHED!$Z88,IF(MATCHED!AM88=26,MATCHED!$AA88,IF(MATCHED!AM88=27,MATCHED!$AB88,"."))))))</f>
        <v>#N/A</v>
      </c>
      <c r="L88" s="423" t="e">
        <f>IF(MATCHED!AN88=1,MATCHED!$B88,IF(MATCHED!AN88=2,MATCHED!$C88,IF(MATCHED!AN88=3,MATCHED!$D88,IF(MATCHED!AN88=4,MATCHED!$E88,IF(MATCHED!AN88=3,MATCHED!$F88,IF(MATCHED!AN88=6,MATCHED!$G88,IF(MATCHED!AN88=7,MATCHED!$H88,"")))))))&amp;IF(MATCHED!AN88=8,MATCHED!$I88,IF(MATCHED!AN88=9,MATCHED!$J88,IF(MATCHED!AN88=10,MATCHED!$K88,IF(MATCHED!AN88=11,MATCHED!$L88,IF(MATCHED!AN88=12,MATCHED!$M88,IF(MATCHED!AN88=13,MATCHED!$N88,IF(MATCHED!AN88=14,MATCHED!$O88,"")))))))&amp;IF(MATCHED!AN88=15,MATCHED!$P88,IF(MATCHED!AN88=16,MATCHED!$Q88,IF(MATCHED!AN88=17,MATCHED!$R88,IF(MATCHED!AN88=18,MATCHED!$S88,IF(MATCHED!AN88=19,MATCHED!$T88,IF(MATCHED!AN88=20,MATCHED!$U88,IF(MATCHED!AN88=21,MATCHED!$V88,)))))))&amp;IF(MATCHED!AN88=22,MATCHED!$W88,IF(MATCHED!AN88=23,MATCHED!$X88,IF(MATCHED!AN88=24,MATCHED!$Y88,IF(MATCHED!AN88=25,MATCHED!$Z88,IF(MATCHED!AN88=26,MATCHED!$AA88,IF(MATCHED!AN88=27,MATCHED!$AB88,"."))))))</f>
        <v>#N/A</v>
      </c>
      <c r="M88" s="423" t="e">
        <f>IF(MATCHED!AO88=1,MATCHED!$B88,IF(MATCHED!AO88=2,MATCHED!$C88,IF(MATCHED!AO88=3,MATCHED!$D88,IF(MATCHED!AO88=4,MATCHED!$E88,IF(MATCHED!AO88=3,MATCHED!$F88,IF(MATCHED!AO88=6,MATCHED!$G88,IF(MATCHED!AO88=7,MATCHED!$H88,"")))))))&amp;IF(MATCHED!AO88=8,MATCHED!$I88,IF(MATCHED!AO88=9,MATCHED!$J88,IF(MATCHED!AO88=10,MATCHED!$K88,IF(MATCHED!AO88=11,MATCHED!$L88,IF(MATCHED!AO88=12,MATCHED!$M88,IF(MATCHED!AO88=13,MATCHED!$N88,IF(MATCHED!AO88=14,MATCHED!$O88,"")))))))&amp;IF(MATCHED!AO88=15,MATCHED!$P88,IF(MATCHED!AO88=16,MATCHED!$Q88,IF(MATCHED!AO88=17,MATCHED!$R88,IF(MATCHED!AO88=18,MATCHED!$S88,IF(MATCHED!AO88=19,MATCHED!$T88,IF(MATCHED!AO88=20,MATCHED!$U88,IF(MATCHED!AO88=21,MATCHED!$V88,)))))))&amp;IF(MATCHED!AO88=22,MATCHED!$W88,IF(MATCHED!AO88=23,MATCHED!$X88,IF(MATCHED!AO88=24,MATCHED!$Y88,IF(MATCHED!AO88=25,MATCHED!$Z88,IF(MATCHED!AO88=26,MATCHED!$AA88,IF(MATCHED!AO88=27,MATCHED!$AB88,"."))))))</f>
        <v>#N/A</v>
      </c>
      <c r="N88" s="423" t="e">
        <f>IF(MATCHED!AP88=1,MATCHED!$B88,IF(MATCHED!AP88=2,MATCHED!$C88,IF(MATCHED!AP88=3,MATCHED!$D88,IF(MATCHED!AP88=4,MATCHED!$E88,IF(MATCHED!AP88=3,MATCHED!$F88,IF(MATCHED!AP88=6,MATCHED!$G88,IF(MATCHED!AP88=7,MATCHED!$H88,"")))))))&amp;IF(MATCHED!AP88=8,MATCHED!$I88,IF(MATCHED!AP88=9,MATCHED!$J88,IF(MATCHED!AP88=10,MATCHED!$K88,IF(MATCHED!AP88=11,MATCHED!$L88,IF(MATCHED!AP88=12,MATCHED!$M88,IF(MATCHED!AP88=13,MATCHED!$N88,IF(MATCHED!AP88=14,MATCHED!$O88,"")))))))&amp;IF(MATCHED!AP88=15,MATCHED!$P88,IF(MATCHED!AP88=16,MATCHED!$Q88,IF(MATCHED!AP88=17,MATCHED!$R88,IF(MATCHED!AP88=18,MATCHED!$S88,IF(MATCHED!AP88=19,MATCHED!$T88,IF(MATCHED!AP88=20,MATCHED!$U88,IF(MATCHED!AP88=21,MATCHED!$V88,)))))))&amp;IF(MATCHED!AP88=22,MATCHED!$W88,IF(MATCHED!AP88=23,MATCHED!$X88,IF(MATCHED!AP88=24,MATCHED!$Y88,IF(MATCHED!AP88=25,MATCHED!$Z88,IF(MATCHED!AP88=26,MATCHED!$AA88,IF(MATCHED!AP88=27,MATCHED!$AB88,"."))))))</f>
        <v>#N/A</v>
      </c>
      <c r="O88" s="423" t="e">
        <f>IF(MATCHED!AQ88=1,MATCHED!$B88,IF(MATCHED!AQ88=2,MATCHED!$C88,IF(MATCHED!AQ88=3,MATCHED!$D88,IF(MATCHED!AQ88=4,MATCHED!$E88,IF(MATCHED!AQ88=3,MATCHED!$F88,IF(MATCHED!AQ88=6,MATCHED!$G88,IF(MATCHED!AQ88=7,MATCHED!$H88,"")))))))&amp;IF(MATCHED!AQ88=8,MATCHED!$I88,IF(MATCHED!AQ88=9,MATCHED!$J88,IF(MATCHED!AQ88=10,MATCHED!$K88,IF(MATCHED!AQ88=11,MATCHED!$L88,IF(MATCHED!AQ88=12,MATCHED!$M88,IF(MATCHED!AQ88=13,MATCHED!$N88,IF(MATCHED!AQ88=14,MATCHED!$O88,"")))))))&amp;IF(MATCHED!AQ88=15,MATCHED!$P88,IF(MATCHED!AQ88=16,MATCHED!$Q88,IF(MATCHED!AQ88=17,MATCHED!$R88,IF(MATCHED!AQ88=18,MATCHED!$S88,IF(MATCHED!AQ88=19,MATCHED!$T88,IF(MATCHED!AQ88=20,MATCHED!$U88,IF(MATCHED!AQ88=21,MATCHED!$V88,)))))))&amp;IF(MATCHED!AQ88=22,MATCHED!$W88,IF(MATCHED!AQ88=23,MATCHED!$X88,IF(MATCHED!AQ88=24,MATCHED!$Y88,IF(MATCHED!AQ88=25,MATCHED!$Z88,IF(MATCHED!AQ88=26,MATCHED!$AA88,IF(MATCHED!AQ88=27,MATCHED!$AB88,"."))))))</f>
        <v>#N/A</v>
      </c>
      <c r="P88" s="423" t="e">
        <f>IF(MATCHED!AR88=1,MATCHED!$B88,IF(MATCHED!AR88=2,MATCHED!$C88,IF(MATCHED!AR88=3,MATCHED!$D88,IF(MATCHED!AR88=4,MATCHED!$E88,IF(MATCHED!AR88=3,MATCHED!$F88,IF(MATCHED!AR88=6,MATCHED!$G88,IF(MATCHED!AR88=7,MATCHED!$H88,"")))))))&amp;IF(MATCHED!AR88=8,MATCHED!$I88,IF(MATCHED!AR88=9,MATCHED!$J88,IF(MATCHED!AR88=10,MATCHED!$K88,IF(MATCHED!AR88=11,MATCHED!$L88,IF(MATCHED!AR88=12,MATCHED!$M88,IF(MATCHED!AR88=13,MATCHED!$N88,IF(MATCHED!AR88=14,MATCHED!$O88,"")))))))&amp;IF(MATCHED!AR88=15,MATCHED!$P88,IF(MATCHED!AR88=16,MATCHED!$Q88,IF(MATCHED!AR88=17,MATCHED!$R88,IF(MATCHED!AR88=18,MATCHED!$S88,IF(MATCHED!AR88=19,MATCHED!$T88,IF(MATCHED!AR88=20,MATCHED!$U88,IF(MATCHED!AR88=21,MATCHED!$V88,)))))))&amp;IF(MATCHED!AR88=22,MATCHED!$W88,IF(MATCHED!AR88=23,MATCHED!$X88,IF(MATCHED!AR88=24,MATCHED!$Y88,IF(MATCHED!AR88=25,MATCHED!$Z88,IF(MATCHED!AR88=26,MATCHED!$AA88,IF(MATCHED!AR88=27,MATCHED!$AB88,"."))))))</f>
        <v>#N/A</v>
      </c>
      <c r="Q88" s="423" t="e">
        <f>IF(MATCHED!AS88=1,MATCHED!$B88,IF(MATCHED!AS88=2,MATCHED!$C88,IF(MATCHED!AS88=3,MATCHED!$D88,IF(MATCHED!AS88=4,MATCHED!$E88,IF(MATCHED!AS88=3,MATCHED!$F88,IF(MATCHED!AS88=6,MATCHED!$G88,IF(MATCHED!AS88=7,MATCHED!$H88,"")))))))&amp;IF(MATCHED!AS88=8,MATCHED!$I88,IF(MATCHED!AS88=9,MATCHED!$J88,IF(MATCHED!AS88=10,MATCHED!$K88,IF(MATCHED!AS88=11,MATCHED!$L88,IF(MATCHED!AS88=12,MATCHED!$M88,IF(MATCHED!AS88=13,MATCHED!$N88,IF(MATCHED!AS88=14,MATCHED!$O88,"")))))))&amp;IF(MATCHED!AS88=15,MATCHED!$P88,IF(MATCHED!AS88=16,MATCHED!$Q88,IF(MATCHED!AS88=17,MATCHED!$R88,IF(MATCHED!AS88=18,MATCHED!$S88,IF(MATCHED!AS88=19,MATCHED!$T88,IF(MATCHED!AS88=20,MATCHED!$U88,IF(MATCHED!AS88=21,MATCHED!$V88,)))))))&amp;IF(MATCHED!AS88=22,MATCHED!$W88,IF(MATCHED!AS88=23,MATCHED!$X88,IF(MATCHED!AS88=24,MATCHED!$Y88,IF(MATCHED!AS88=25,MATCHED!$Z88,IF(MATCHED!AS88=26,MATCHED!$AA88,IF(MATCHED!AS88=27,MATCHED!$AB88,"."))))))</f>
        <v>#N/A</v>
      </c>
      <c r="R88" s="423" t="e">
        <f>IF(MATCHED!AT88=1,MATCHED!$B88,IF(MATCHED!AT88=2,MATCHED!$C88,IF(MATCHED!AT88=3,MATCHED!$D88,IF(MATCHED!AT88=4,MATCHED!$E88,IF(MATCHED!AT88=3,MATCHED!$F88,IF(MATCHED!AT88=6,MATCHED!$G88,IF(MATCHED!AT88=7,MATCHED!$H88,"")))))))&amp;IF(MATCHED!AT88=8,MATCHED!$I88,IF(MATCHED!AT88=9,MATCHED!$J88,IF(MATCHED!AT88=10,MATCHED!$K88,IF(MATCHED!AT88=11,MATCHED!$L88,IF(MATCHED!AT88=12,MATCHED!$M88,IF(MATCHED!AT88=13,MATCHED!$N88,IF(MATCHED!AT88=14,MATCHED!$O88,"")))))))&amp;IF(MATCHED!AT88=15,MATCHED!$P88,IF(MATCHED!AT88=16,MATCHED!$Q88,IF(MATCHED!AT88=17,MATCHED!$R88,IF(MATCHED!AT88=18,MATCHED!$S88,IF(MATCHED!AT88=19,MATCHED!$T88,IF(MATCHED!AT88=20,MATCHED!$U88,IF(MATCHED!AT88=21,MATCHED!$V88,)))))))&amp;IF(MATCHED!AT88=22,MATCHED!$W88,IF(MATCHED!AT88=23,MATCHED!$X88,IF(MATCHED!AT88=24,MATCHED!$Y88,IF(MATCHED!AT88=25,MATCHED!$Z88,IF(MATCHED!AT88=26,MATCHED!$AA88,IF(MATCHED!AT88=27,MATCHED!$AB88,"."))))))</f>
        <v>#N/A</v>
      </c>
      <c r="S88" s="423" t="e">
        <f>IF(MATCHED!AU88=1,MATCHED!$B88,IF(MATCHED!AU88=2,MATCHED!$C88,IF(MATCHED!AU88=3,MATCHED!$D88,IF(MATCHED!AU88=4,MATCHED!$E88,IF(MATCHED!AU88=3,MATCHED!$F88,IF(MATCHED!AU88=6,MATCHED!$G88,IF(MATCHED!AU88=7,MATCHED!$H88,"")))))))&amp;IF(MATCHED!AU88=8,MATCHED!$I88,IF(MATCHED!AU88=9,MATCHED!$J88,IF(MATCHED!AU88=10,MATCHED!$K88,IF(MATCHED!AU88=11,MATCHED!$L88,IF(MATCHED!AU88=12,MATCHED!$M88,IF(MATCHED!AU88=13,MATCHED!$N88,IF(MATCHED!AU88=14,MATCHED!$O88,"")))))))&amp;IF(MATCHED!AU88=15,MATCHED!$P88,IF(MATCHED!AU88=16,MATCHED!$Q88,IF(MATCHED!AU88=17,MATCHED!$R88,IF(MATCHED!AU88=18,MATCHED!$S88,IF(MATCHED!AU88=19,MATCHED!$T88,IF(MATCHED!AU88=20,MATCHED!$U88,IF(MATCHED!AU88=21,MATCHED!$V88,)))))))&amp;IF(MATCHED!AU88=22,MATCHED!$W88,IF(MATCHED!AU88=23,MATCHED!$X88,IF(MATCHED!AU88=24,MATCHED!$Y88,IF(MATCHED!AU88=25,MATCHED!$Z88,IF(MATCHED!AU88=26,MATCHED!$AA88,IF(MATCHED!AU88=27,MATCHED!$AB88,"."))))))</f>
        <v>#N/A</v>
      </c>
      <c r="T88" s="423" t="e">
        <f>IF(MATCHED!AV88=1,MATCHED!$B88,IF(MATCHED!AV88=2,MATCHED!$C88,IF(MATCHED!AV88=3,MATCHED!$D88,IF(MATCHED!AV88=4,MATCHED!$E88,IF(MATCHED!AV88=3,MATCHED!$F88,IF(MATCHED!AV88=6,MATCHED!$G88,IF(MATCHED!AV88=7,MATCHED!$H88,"")))))))&amp;IF(MATCHED!AV88=8,MATCHED!$I88,IF(MATCHED!AV88=9,MATCHED!$J88,IF(MATCHED!AV88=10,MATCHED!$K88,IF(MATCHED!AV88=11,MATCHED!$L88,IF(MATCHED!AV88=12,MATCHED!$M88,IF(MATCHED!AV88=13,MATCHED!$N88,IF(MATCHED!AV88=14,MATCHED!$O88,"")))))))&amp;IF(MATCHED!AV88=15,MATCHED!$P88,IF(MATCHED!AV88=16,MATCHED!$Q88,IF(MATCHED!AV88=17,MATCHED!$R88,IF(MATCHED!AV88=18,MATCHED!$S88,IF(MATCHED!AV88=19,MATCHED!$T88,IF(MATCHED!AV88=20,MATCHED!$U88,IF(MATCHED!AV88=21,MATCHED!$V88,)))))))&amp;IF(MATCHED!AV88=22,MATCHED!$W88,IF(MATCHED!AV88=23,MATCHED!$X88,IF(MATCHED!AV88=24,MATCHED!$Y88,IF(MATCHED!AV88=25,MATCHED!$Z88,IF(MATCHED!AV88=26,MATCHED!$AA88,IF(MATCHED!AV88=27,MATCHED!$AB88,"."))))))</f>
        <v>#N/A</v>
      </c>
      <c r="U88" s="423" t="e">
        <f>IF(MATCHED!AW88=1,MATCHED!$B88,IF(MATCHED!AW88=2,MATCHED!$C88,IF(MATCHED!AW88=3,MATCHED!$D88,IF(MATCHED!AW88=4,MATCHED!$E88,IF(MATCHED!AW88=3,MATCHED!$F88,IF(MATCHED!AW88=6,MATCHED!$G88,IF(MATCHED!AW88=7,MATCHED!$H88,"")))))))&amp;IF(MATCHED!AW88=8,MATCHED!$I88,IF(MATCHED!AW88=9,MATCHED!$J88,IF(MATCHED!AW88=10,MATCHED!$K88,IF(MATCHED!AW88=11,MATCHED!$L88,IF(MATCHED!AW88=12,MATCHED!$M88,IF(MATCHED!AW88=13,MATCHED!$N88,IF(MATCHED!AW88=14,MATCHED!$O88,"")))))))&amp;IF(MATCHED!AW88=15,MATCHED!$P88,IF(MATCHED!AW88=16,MATCHED!$Q88,IF(MATCHED!AW88=17,MATCHED!$R88,IF(MATCHED!AW88=18,MATCHED!$S88,IF(MATCHED!AW88=19,MATCHED!$T88,IF(MATCHED!AW88=20,MATCHED!$U88,IF(MATCHED!AW88=21,MATCHED!$V88,)))))))&amp;IF(MATCHED!AW88=22,MATCHED!$W88,IF(MATCHED!AW88=23,MATCHED!$X88,IF(MATCHED!AW88=24,MATCHED!$Y88,IF(MATCHED!AW88=25,MATCHED!$Z88,IF(MATCHED!AW88=26,MATCHED!$AA88,IF(MATCHED!AW88=27,MATCHED!$AB88,"."))))))</f>
        <v>#N/A</v>
      </c>
      <c r="V88" s="423" t="e">
        <f>IF(MATCHED!AX88=1,MATCHED!$B88,IF(MATCHED!AX88=2,MATCHED!$C88,IF(MATCHED!AX88=3,MATCHED!$D88,IF(MATCHED!AX88=4,MATCHED!$E88,IF(MATCHED!AX88=3,MATCHED!$F88,IF(MATCHED!AX88=6,MATCHED!$G88,IF(MATCHED!AX88=7,MATCHED!$H88,"")))))))&amp;IF(MATCHED!AX88=8,MATCHED!$I88,IF(MATCHED!AX88=9,MATCHED!$J88,IF(MATCHED!AX88=10,MATCHED!$K88,IF(MATCHED!AX88=11,MATCHED!$L88,IF(MATCHED!AX88=12,MATCHED!$M88,IF(MATCHED!AX88=13,MATCHED!$N88,IF(MATCHED!AX88=14,MATCHED!$O88,"")))))))&amp;IF(MATCHED!AX88=15,MATCHED!$P88,IF(MATCHED!AX88=16,MATCHED!$Q88,IF(MATCHED!AX88=17,MATCHED!$R88,IF(MATCHED!AX88=18,MATCHED!$S88,IF(MATCHED!AX88=19,MATCHED!$T88,IF(MATCHED!AX88=20,MATCHED!$U88,IF(MATCHED!AX88=21,MATCHED!$V88,)))))))&amp;IF(MATCHED!AX88=22,MATCHED!$W88,IF(MATCHED!AX88=23,MATCHED!$X88,IF(MATCHED!AX88=24,MATCHED!$Y88,IF(MATCHED!AX88=25,MATCHED!$Z88,IF(MATCHED!AX88=26,MATCHED!$AA88,IF(MATCHED!AX88=27,MATCHED!$AB88,"."))))))</f>
        <v>#N/A</v>
      </c>
      <c r="W88" s="423" t="e">
        <f>IF(MATCHED!AY88=1,MATCHED!$B88,IF(MATCHED!AY88=2,MATCHED!$C88,IF(MATCHED!AY88=3,MATCHED!$D88,IF(MATCHED!AY88=4,MATCHED!$E88,IF(MATCHED!AY88=3,MATCHED!$F88,IF(MATCHED!AY88=6,MATCHED!$G88,IF(MATCHED!AY88=7,MATCHED!$H88,"")))))))&amp;IF(MATCHED!AY88=8,MATCHED!$I88,IF(MATCHED!AY88=9,MATCHED!$J88,IF(MATCHED!AY88=10,MATCHED!$K88,IF(MATCHED!AY88=11,MATCHED!$L88,IF(MATCHED!AY88=12,MATCHED!$M88,IF(MATCHED!AY88=13,MATCHED!$N88,IF(MATCHED!AY88=14,MATCHED!$O88,"")))))))&amp;IF(MATCHED!AY88=15,MATCHED!$P88,IF(MATCHED!AY88=16,MATCHED!$Q88,IF(MATCHED!AY88=17,MATCHED!$R88,IF(MATCHED!AY88=18,MATCHED!$S88,IF(MATCHED!AY88=19,MATCHED!$T88,IF(MATCHED!AY88=20,MATCHED!$U88,IF(MATCHED!AY88=21,MATCHED!$V88,)))))))&amp;IF(MATCHED!AY88=22,MATCHED!$W88,IF(MATCHED!AY88=23,MATCHED!$X88,IF(MATCHED!AY88=24,MATCHED!$Y88,IF(MATCHED!AY88=25,MATCHED!$Z88,IF(MATCHED!AY88=26,MATCHED!$AA88,IF(MATCHED!AY88=27,MATCHED!$AB88,"."))))))</f>
        <v>#N/A</v>
      </c>
      <c r="X88" s="423" t="e">
        <f>IF(MATCHED!AZ88=1,MATCHED!$B88,IF(MATCHED!AZ88=2,MATCHED!$C88,IF(MATCHED!AZ88=3,MATCHED!$D88,IF(MATCHED!AZ88=4,MATCHED!$E88,IF(MATCHED!AZ88=3,MATCHED!$F88,IF(MATCHED!AZ88=6,MATCHED!$G88,IF(MATCHED!AZ88=7,MATCHED!$H88,"")))))))&amp;IF(MATCHED!AZ88=8,MATCHED!$I88,IF(MATCHED!AZ88=9,MATCHED!$J88,IF(MATCHED!AZ88=10,MATCHED!$K88,IF(MATCHED!AZ88=11,MATCHED!$L88,IF(MATCHED!AZ88=12,MATCHED!$M88,IF(MATCHED!AZ88=13,MATCHED!$N88,IF(MATCHED!AZ88=14,MATCHED!$O88,"")))))))&amp;IF(MATCHED!AZ88=15,MATCHED!$P88,IF(MATCHED!AZ88=16,MATCHED!$Q88,IF(MATCHED!AZ88=17,MATCHED!$R88,IF(MATCHED!AZ88=18,MATCHED!$S88,IF(MATCHED!AZ88=19,MATCHED!$T88,IF(MATCHED!AZ88=20,MATCHED!$U88,IF(MATCHED!AZ88=21,MATCHED!$V88,)))))))&amp;IF(MATCHED!AZ88=22,MATCHED!$W88,IF(MATCHED!AZ88=23,MATCHED!$X88,IF(MATCHED!AZ88=24,MATCHED!$Y88,IF(MATCHED!AZ88=25,MATCHED!$Z88,IF(MATCHED!AZ88=26,MATCHED!$AA88,IF(MATCHED!AZ88=27,MATCHED!$AB88,"."))))))</f>
        <v>#N/A</v>
      </c>
      <c r="Y88" s="423" t="e">
        <f>IF(MATCHED!BA88=1,MATCHED!$B88,IF(MATCHED!BA88=2,MATCHED!$C88,IF(MATCHED!BA88=3,MATCHED!$D88,IF(MATCHED!BA88=4,MATCHED!$E88,IF(MATCHED!BA88=3,MATCHED!$F88,IF(MATCHED!BA88=6,MATCHED!$G88,IF(MATCHED!BA88=7,MATCHED!$H88,"")))))))&amp;IF(MATCHED!BA88=8,MATCHED!$I88,IF(MATCHED!BA88=9,MATCHED!$J88,IF(MATCHED!BA88=10,MATCHED!$K88,IF(MATCHED!BA88=11,MATCHED!$L88,IF(MATCHED!BA88=12,MATCHED!$M88,IF(MATCHED!BA88=13,MATCHED!$N88,IF(MATCHED!BA88=14,MATCHED!$O88,"")))))))&amp;IF(MATCHED!BA88=15,MATCHED!$P88,IF(MATCHED!BA88=16,MATCHED!$Q88,IF(MATCHED!BA88=17,MATCHED!$R88,IF(MATCHED!BA88=18,MATCHED!$S88,IF(MATCHED!BA88=19,MATCHED!$T88,IF(MATCHED!BA88=20,MATCHED!$U88,IF(MATCHED!BA88=21,MATCHED!$V88,)))))))&amp;IF(MATCHED!BA88=22,MATCHED!$W88,IF(MATCHED!BA88=23,MATCHED!$X88,IF(MATCHED!BA88=24,MATCHED!$Y88,IF(MATCHED!BA88=25,MATCHED!$Z88,IF(MATCHED!BA88=26,MATCHED!$AA88,IF(MATCHED!BA88=27,MATCHED!$AB88,"."))))))</f>
        <v>#N/A</v>
      </c>
      <c r="Z88" s="423" t="e">
        <f>IF(MATCHED!BB88=1,MATCHED!$B88,IF(MATCHED!BB88=2,MATCHED!$C88,IF(MATCHED!BB88=3,MATCHED!$D88,IF(MATCHED!BB88=4,MATCHED!$E88,IF(MATCHED!BB88=3,MATCHED!$F88,IF(MATCHED!BB88=6,MATCHED!$G88,IF(MATCHED!BB88=7,MATCHED!$H88,"")))))))&amp;IF(MATCHED!BB88=8,MATCHED!$I88,IF(MATCHED!BB88=9,MATCHED!$J88,IF(MATCHED!BB88=10,MATCHED!$K88,IF(MATCHED!BB88=11,MATCHED!$L88,IF(MATCHED!BB88=12,MATCHED!$M88,IF(MATCHED!BB88=13,MATCHED!$N88,IF(MATCHED!BB88=14,MATCHED!$O88,"")))))))&amp;IF(MATCHED!BB88=15,MATCHED!$P88,IF(MATCHED!BB88=16,MATCHED!$Q88,IF(MATCHED!BB88=17,MATCHED!$R88,IF(MATCHED!BB88=18,MATCHED!$S88,IF(MATCHED!BB88=19,MATCHED!$T88,IF(MATCHED!BB88=20,MATCHED!$U88,IF(MATCHED!BB88=21,MATCHED!$V88,)))))))&amp;IF(MATCHED!BB88=22,MATCHED!$W88,IF(MATCHED!BB88=23,MATCHED!$X88,IF(MATCHED!BB88=24,MATCHED!$Y88,IF(MATCHED!BB88=25,MATCHED!$Z88,IF(MATCHED!BB88=26,MATCHED!$AA88,IF(MATCHED!BB88=27,MATCHED!$AB88,"."))))))</f>
        <v>#N/A</v>
      </c>
      <c r="AA88" s="423" t="e">
        <f>IF(MATCHED!BC88=1,MATCHED!$B88,IF(MATCHED!BC88=2,MATCHED!$C88,IF(MATCHED!BC88=3,MATCHED!$D88,IF(MATCHED!BC88=4,MATCHED!$E88,IF(MATCHED!BC88=3,MATCHED!$F88,IF(MATCHED!BC88=6,MATCHED!$G88,IF(MATCHED!BC88=7,MATCHED!$H88,"")))))))&amp;IF(MATCHED!BC88=8,MATCHED!$I88,IF(MATCHED!BC88=9,MATCHED!$J88,IF(MATCHED!BC88=10,MATCHED!$K88,IF(MATCHED!BC88=11,MATCHED!$L88,IF(MATCHED!BC88=12,MATCHED!$M88,IF(MATCHED!BC88=13,MATCHED!$N88,IF(MATCHED!BC88=14,MATCHED!$O88,"")))))))&amp;IF(MATCHED!BC88=15,MATCHED!$P88,IF(MATCHED!BC88=16,MATCHED!$Q88,IF(MATCHED!BC88=17,MATCHED!$R88,IF(MATCHED!BC88=18,MATCHED!$S88,IF(MATCHED!BC88=19,MATCHED!$T88,IF(MATCHED!BC88=20,MATCHED!$U88,IF(MATCHED!BC88=21,MATCHED!$V88,)))))))&amp;IF(MATCHED!BC88=22,MATCHED!$W88,IF(MATCHED!BC88=23,MATCHED!$X88,IF(MATCHED!BC88=24,MATCHED!$Y88,IF(MATCHED!BC88=25,MATCHED!$Z88,IF(MATCHED!BC88=26,MATCHED!$AA88,IF(MATCHED!BC88=27,MATCHED!$AB88,"."))))))</f>
        <v>#N/A</v>
      </c>
      <c r="AB88" s="423" t="e">
        <f>IF(MATCHED!BD88=1,MATCHED!$B88,IF(MATCHED!BD88=2,MATCHED!$C88,IF(MATCHED!BD88=3,MATCHED!$D88,IF(MATCHED!BD88=4,MATCHED!$E88,IF(MATCHED!BD88=3,MATCHED!$F88,IF(MATCHED!BD88=6,MATCHED!$G88,IF(MATCHED!BD88=7,MATCHED!$H88,"")))))))&amp;IF(MATCHED!BD88=8,MATCHED!$I88,IF(MATCHED!BD88=9,MATCHED!$J88,IF(MATCHED!BD88=10,MATCHED!$K88,IF(MATCHED!BD88=11,MATCHED!$L88,IF(MATCHED!BD88=12,MATCHED!$M88,IF(MATCHED!BD88=13,MATCHED!$N88,IF(MATCHED!BD88=14,MATCHED!$O88,"")))))))&amp;IF(MATCHED!BD88=15,MATCHED!$P88,IF(MATCHED!BD88=16,MATCHED!$Q88,IF(MATCHED!BD88=17,MATCHED!$R88,IF(MATCHED!BD88=18,MATCHED!$S88,IF(MATCHED!BD88=19,MATCHED!$T88,IF(MATCHED!BD88=20,MATCHED!$U88,IF(MATCHED!BD88=21,MATCHED!$V88,)))))))&amp;IF(MATCHED!BD88=22,MATCHED!$W88,IF(MATCHED!BD88=23,MATCHED!$X88,IF(MATCHED!BD88=24,MATCHED!$Y88,IF(MATCHED!BD88=25,MATCHED!$Z88,IF(MATCHED!BD88=26,MATCHED!$AA88,IF(MATCHED!BD88=27,MATCHED!$AB88,"."))))))</f>
        <v>#N/A</v>
      </c>
      <c r="AC88" s="423" t="e">
        <f>IF(MATCHED!BE88=1,MATCHED!$B88,IF(MATCHED!BE88=2,MATCHED!$C88,IF(MATCHED!BE88=3,MATCHED!$D88,IF(MATCHED!BE88=4,MATCHED!$E88,IF(MATCHED!BE88=3,MATCHED!$F88,IF(MATCHED!BE88=6,MATCHED!$G88,IF(MATCHED!BE88=7,MATCHED!$H88,"")))))))&amp;IF(MATCHED!BE88=8,MATCHED!$I88,IF(MATCHED!BE88=9,MATCHED!$J88,IF(MATCHED!BE88=10,MATCHED!$K88,IF(MATCHED!BE88=11,MATCHED!$L88,IF(MATCHED!BE88=12,MATCHED!$M88,IF(MATCHED!BE88=13,MATCHED!$N88,IF(MATCHED!BE88=14,MATCHED!$O88,"")))))))&amp;IF(MATCHED!BE88=15,MATCHED!$P88,IF(MATCHED!BE88=16,MATCHED!$Q88,IF(MATCHED!BE88=17,MATCHED!$R88,IF(MATCHED!BE88=18,MATCHED!$S88,IF(MATCHED!BE88=19,MATCHED!$T88,IF(MATCHED!BE88=20,MATCHED!$U88,IF(MATCHED!BE88=21,MATCHED!$V88,)))))))&amp;IF(MATCHED!BE88=22,MATCHED!$W88,IF(MATCHED!BE88=23,MATCHED!$X88,IF(MATCHED!BE88=24,MATCHED!$Y88,IF(MATCHED!BE88=25,MATCHED!$Z88,IF(MATCHED!BE88=26,MATCHED!$AA88,IF(MATCHED!BE88=27,MATCHED!$AB88,"."))))))</f>
        <v>#N/A</v>
      </c>
      <c r="AD88" s="423" t="e">
        <f>IF(MATCHED!BF88=1,MATCHED!$B88,IF(MATCHED!BF88=2,MATCHED!$C88,IF(MATCHED!BF88=3,MATCHED!$D88,IF(MATCHED!BF88=4,MATCHED!$E88,IF(MATCHED!BF88=3,MATCHED!$F88,IF(MATCHED!BF88=6,MATCHED!$G88,IF(MATCHED!BF88=7,MATCHED!$H88,"")))))))&amp;IF(MATCHED!BF88=8,MATCHED!$I88,IF(MATCHED!BF88=9,MATCHED!$J88,IF(MATCHED!BF88=10,MATCHED!$K88,IF(MATCHED!BF88=11,MATCHED!$L88,IF(MATCHED!BF88=12,MATCHED!$M88,IF(MATCHED!BF88=13,MATCHED!$N88,IF(MATCHED!BF88=14,MATCHED!$O88,"")))))))&amp;IF(MATCHED!BF88=15,MATCHED!$P88,IF(MATCHED!BF88=16,MATCHED!$Q88,IF(MATCHED!BF88=17,MATCHED!$R88,IF(MATCHED!BF88=18,MATCHED!$S88,IF(MATCHED!BF88=19,MATCHED!$T88,IF(MATCHED!BF88=20,MATCHED!$U88,IF(MATCHED!BF88=21,MATCHED!$V88,)))))))&amp;IF(MATCHED!BF88=22,MATCHED!$W88,IF(MATCHED!BF88=23,MATCHED!$X88,IF(MATCHED!BF88=24,MATCHED!$Y88,IF(MATCHED!BF88=25,MATCHED!$Z88,IF(MATCHED!BF88=26,MATCHED!$AA88,IF(MATCHED!BF88=27,MATCHED!$AB88,"."))))))</f>
        <v>#N/A</v>
      </c>
      <c r="AE88" s="423" t="e">
        <f>IF(MATCHED!BG88=1,MATCHED!$B88,IF(MATCHED!BG88=2,MATCHED!$C88,IF(MATCHED!BG88=3,MATCHED!$D88,IF(MATCHED!BG88=4,MATCHED!$E88,IF(MATCHED!BG88=3,MATCHED!$F88,IF(MATCHED!BG88=6,MATCHED!$G88,IF(MATCHED!BG88=7,MATCHED!$H88,"")))))))&amp;IF(MATCHED!BG88=8,MATCHED!$I88,IF(MATCHED!BG88=9,MATCHED!$J88,IF(MATCHED!BG88=10,MATCHED!$K88,IF(MATCHED!BG88=11,MATCHED!$L88,IF(MATCHED!BG88=12,MATCHED!$M88,IF(MATCHED!BG88=13,MATCHED!$N88,IF(MATCHED!BG88=14,MATCHED!$O88,"")))))))&amp;IF(MATCHED!BG88=15,MATCHED!$P88,IF(MATCHED!BG88=16,MATCHED!$Q88,IF(MATCHED!BG88=17,MATCHED!$R88,IF(MATCHED!BG88=18,MATCHED!$S88,IF(MATCHED!BG88=19,MATCHED!$T88,IF(MATCHED!BG88=20,MATCHED!$U88,IF(MATCHED!BG88=21,MATCHED!$V88,)))))))&amp;IF(MATCHED!BG88=22,MATCHED!$W88,IF(MATCHED!BG88=23,MATCHED!$X88,IF(MATCHED!BG88=24,MATCHED!$Y88,IF(MATCHED!BG88=25,MATCHED!$Z88,IF(MATCHED!BG88=26,MATCHED!$AA88,IF(MATCHED!BG88=27,MATCHED!$AB88,"."))))))</f>
        <v>#N/A</v>
      </c>
      <c r="AF88" s="423" t="e">
        <f>IF(MATCHED!BH88=1,MATCHED!$B88,IF(MATCHED!BH88=2,MATCHED!$C88,IF(MATCHED!BH88=3,MATCHED!$D88,IF(MATCHED!BH88=4,MATCHED!$E88,IF(MATCHED!BH88=3,MATCHED!$F88,IF(MATCHED!BH88=6,MATCHED!$G88,IF(MATCHED!BH88=7,MATCHED!$H88,"")))))))&amp;IF(MATCHED!BH88=8,MATCHED!$I88,IF(MATCHED!BH88=9,MATCHED!$J88,IF(MATCHED!BH88=10,MATCHED!$K88,IF(MATCHED!BH88=11,MATCHED!$L88,IF(MATCHED!BH88=12,MATCHED!$M88,IF(MATCHED!BH88=13,MATCHED!$N88,IF(MATCHED!BH88=14,MATCHED!$O88,"")))))))&amp;IF(MATCHED!BH88=15,MATCHED!$P88,IF(MATCHED!BH88=16,MATCHED!$Q88,IF(MATCHED!BH88=17,MATCHED!$R88,IF(MATCHED!BH88=18,MATCHED!$S88,IF(MATCHED!BH88=19,MATCHED!$T88,IF(MATCHED!BH88=20,MATCHED!$U88,IF(MATCHED!BH88=21,MATCHED!$V88,)))))))&amp;IF(MATCHED!BH88=22,MATCHED!$W88,IF(MATCHED!BH88=23,MATCHED!$X88,IF(MATCHED!BH88=24,MATCHED!$Y88,IF(MATCHED!BH88=25,MATCHED!$Z88,IF(MATCHED!BH88=26,MATCHED!$AA88,IF(MATCHED!BH88=27,MATCHED!$AB88,"."))))))</f>
        <v>#N/A</v>
      </c>
      <c r="AG88" s="423" t="e">
        <f>IF(MATCHED!BI88=1,MATCHED!$B88,IF(MATCHED!BI88=2,MATCHED!$C88,IF(MATCHED!BI88=3,MATCHED!$D88,IF(MATCHED!BI88=4,MATCHED!$E88,IF(MATCHED!BI88=3,MATCHED!$F88,IF(MATCHED!BI88=6,MATCHED!$G88,IF(MATCHED!BI88=7,MATCHED!$H88,"")))))))&amp;IF(MATCHED!BI88=8,MATCHED!$I88,IF(MATCHED!BI88=9,MATCHED!$J88,IF(MATCHED!BI88=10,MATCHED!$K88,IF(MATCHED!BI88=11,MATCHED!$L88,IF(MATCHED!BI88=12,MATCHED!$M88,IF(MATCHED!BI88=13,MATCHED!$N88,IF(MATCHED!BI88=14,MATCHED!$O88,"")))))))&amp;IF(MATCHED!BI88=15,MATCHED!$P88,IF(MATCHED!BI88=16,MATCHED!$Q88,IF(MATCHED!BI88=17,MATCHED!$R88,IF(MATCHED!BI88=18,MATCHED!$S88,IF(MATCHED!BI88=19,MATCHED!$T88,IF(MATCHED!BI88=20,MATCHED!$U88,IF(MATCHED!BI88=21,MATCHED!$V88,)))))))&amp;IF(MATCHED!BI88=22,MATCHED!$W88,IF(MATCHED!BI88=23,MATCHED!$X88,IF(MATCHED!BI88=24,MATCHED!$Y88,IF(MATCHED!BI88=25,MATCHED!$Z88,IF(MATCHED!BI88=26,MATCHED!$AA88,IF(MATCHED!BI88=27,MATCHED!$AB88,"."))))))</f>
        <v>#N/A</v>
      </c>
      <c r="AH88" s="423" t="e">
        <f>IF(MATCHED!BJ88=1,MATCHED!$B88,IF(MATCHED!BJ88=2,MATCHED!$C88,IF(MATCHED!BJ88=3,MATCHED!$D88,IF(MATCHED!BJ88=4,MATCHED!$E88,IF(MATCHED!BJ88=3,MATCHED!$F88,IF(MATCHED!BJ88=6,MATCHED!$G88,IF(MATCHED!BJ88=7,MATCHED!$H88,"")))))))&amp;IF(MATCHED!BJ88=8,MATCHED!$I88,IF(MATCHED!BJ88=9,MATCHED!$J88,IF(MATCHED!BJ88=10,MATCHED!$K88,IF(MATCHED!BJ88=11,MATCHED!$L88,IF(MATCHED!BJ88=12,MATCHED!$M88,IF(MATCHED!BJ88=13,MATCHED!$N88,IF(MATCHED!BJ88=14,MATCHED!$O88,"")))))))&amp;IF(MATCHED!BJ88=15,MATCHED!$P88,IF(MATCHED!BJ88=16,MATCHED!$Q88,IF(MATCHED!BJ88=17,MATCHED!$R88,IF(MATCHED!BJ88=18,MATCHED!$S88,IF(MATCHED!BJ88=19,MATCHED!$T88,IF(MATCHED!BJ88=20,MATCHED!$U88,IF(MATCHED!BJ88=21,MATCHED!$V88,)))))))&amp;IF(MATCHED!BJ88=22,MATCHED!$W88,IF(MATCHED!BJ88=23,MATCHED!$X88,IF(MATCHED!BJ88=24,MATCHED!$Y88,IF(MATCHED!BJ88=25,MATCHED!$Z88,IF(MATCHED!BJ88=26,MATCHED!$AA88,IF(MATCHED!BJ88=27,MATCHED!$AB88,"."))))))</f>
        <v>#N/A</v>
      </c>
      <c r="AI88" s="423" t="e">
        <f>IF(MATCHED!BK88=1,MATCHED!$B88,IF(MATCHED!BK88=2,MATCHED!$C88,IF(MATCHED!BK88=3,MATCHED!$D88,IF(MATCHED!BK88=4,MATCHED!$E88,IF(MATCHED!BK88=3,MATCHED!$F88,IF(MATCHED!BK88=6,MATCHED!$G88,IF(MATCHED!BK88=7,MATCHED!$H88,"")))))))&amp;IF(MATCHED!BK88=8,MATCHED!$I88,IF(MATCHED!BK88=9,MATCHED!$J88,IF(MATCHED!BK88=10,MATCHED!$K88,IF(MATCHED!BK88=11,MATCHED!$L88,IF(MATCHED!BK88=12,MATCHED!$M88,IF(MATCHED!BK88=13,MATCHED!$N88,IF(MATCHED!BK88=14,MATCHED!$O88,"")))))))&amp;IF(MATCHED!BK88=15,MATCHED!$P88,IF(MATCHED!BK88=16,MATCHED!$Q88,IF(MATCHED!BK88=17,MATCHED!$R88,IF(MATCHED!BK88=18,MATCHED!$S88,IF(MATCHED!BK88=19,MATCHED!$T88,IF(MATCHED!BK88=20,MATCHED!$U88,IF(MATCHED!BK88=21,MATCHED!$V88,)))))))&amp;IF(MATCHED!BK88=22,MATCHED!$W88,IF(MATCHED!BK88=23,MATCHED!$X88,IF(MATCHED!BK88=24,MATCHED!$Y88,IF(MATCHED!BK88=25,MATCHED!$Z88,IF(MATCHED!BK88=26,MATCHED!$AA88,IF(MATCHED!BK88=27,MATCHED!$AB88,"."))))))</f>
        <v>#N/A</v>
      </c>
      <c r="AJ88" s="319"/>
    </row>
    <row r="89" spans="1:36" s="338" customFormat="1" x14ac:dyDescent="0.25">
      <c r="A89" s="540" t="s">
        <v>186</v>
      </c>
      <c r="B89" s="424" t="e">
        <f>IF(MATCHED!AD89=1,MATCHED!$B89,IF(MATCHED!AD89=2,MATCHED!$C89,IF(MATCHED!AD89=3,MATCHED!$D89,IF(MATCHED!AD89=4,MATCHED!$E89,IF(MATCHED!AD89=3,MATCHED!$F89,IF(MATCHED!AD89=6,MATCHED!$G89,IF(MATCHED!AD89=7,MATCHED!$H89,"")))))))&amp;IF(MATCHED!AD89=8,MATCHED!$I89,IF(MATCHED!AD89=9,MATCHED!$J89,IF(MATCHED!AD89=10,MATCHED!$K89,IF(MATCHED!AD89=11,MATCHED!$L89,IF(MATCHED!AD89=12,MATCHED!$M89,IF(MATCHED!AD89=13,MATCHED!$N89,IF(MATCHED!AD89=14,MATCHED!$O89,"")))))))&amp;IF(MATCHED!AD89=15,MATCHED!$P89,IF(MATCHED!AD89=16,MATCHED!$Q89,IF(MATCHED!AD89=17,MATCHED!$R89,IF(MATCHED!AD89=18,MATCHED!$S89,IF(MATCHED!AD89=19,MATCHED!$T89,IF(MATCHED!AD89=20,MATCHED!$U89,IF(MATCHED!AD89=21,MATCHED!$V89,)))))))&amp;IF(MATCHED!AD89=22,MATCHED!$W89,IF(MATCHED!AD89=23,MATCHED!$X89,IF(MATCHED!AD89=24,MATCHED!$Y89,IF(MATCHED!AD89=25,MATCHED!$Z89,IF(MATCHED!AD89=26,MATCHED!$AA89,IF(MATCHED!AD89=27,MATCHED!$AB89,"."))))))</f>
        <v>#N/A</v>
      </c>
      <c r="C89" s="424" t="e">
        <f>IF(MATCHED!AE89=1,MATCHED!$B89,IF(MATCHED!AE89=2,MATCHED!$C89,IF(MATCHED!AE89=3,MATCHED!$D89,IF(MATCHED!AE89=4,MATCHED!$E89,IF(MATCHED!AE89=3,MATCHED!$F89,IF(MATCHED!AE89=6,MATCHED!$G89,IF(MATCHED!AE89=7,MATCHED!$H89,"")))))))&amp;IF(MATCHED!AE89=8,MATCHED!$I89,IF(MATCHED!AE89=9,MATCHED!$J89,IF(MATCHED!AE89=10,MATCHED!$K89,IF(MATCHED!AE89=11,MATCHED!$L89,IF(MATCHED!AE89=12,MATCHED!$M89,IF(MATCHED!AE89=13,MATCHED!$N89,IF(MATCHED!AE89=14,MATCHED!$O89,"")))))))&amp;IF(MATCHED!AE89=15,MATCHED!$P89,IF(MATCHED!AE89=16,MATCHED!$Q89,IF(MATCHED!AE89=17,MATCHED!$R89,IF(MATCHED!AE89=18,MATCHED!$S89,IF(MATCHED!AE89=19,MATCHED!$T89,IF(MATCHED!AE89=20,MATCHED!$U89,IF(MATCHED!AE89=21,MATCHED!$V89,)))))))&amp;IF(MATCHED!AE89=22,MATCHED!$W89,IF(MATCHED!AE89=23,MATCHED!$X89,IF(MATCHED!AE89=24,MATCHED!$Y89,IF(MATCHED!AE89=25,MATCHED!$Z89,IF(MATCHED!AE89=26,MATCHED!$AA89,IF(MATCHED!AE89=27,MATCHED!$AB89,"."))))))</f>
        <v>#N/A</v>
      </c>
      <c r="D89" s="424" t="e">
        <f>IF(MATCHED!AF89=1,MATCHED!$B89,IF(MATCHED!AF89=2,MATCHED!$C89,IF(MATCHED!AF89=3,MATCHED!$D89,IF(MATCHED!AF89=4,MATCHED!$E89,IF(MATCHED!AF89=3,MATCHED!$F89,IF(MATCHED!AF89=6,MATCHED!$G89,IF(MATCHED!AF89=7,MATCHED!$H89,"")))))))&amp;IF(MATCHED!AF89=8,MATCHED!$I89,IF(MATCHED!AF89=9,MATCHED!$J89,IF(MATCHED!AF89=10,MATCHED!$K89,IF(MATCHED!AF89=11,MATCHED!$L89,IF(MATCHED!AF89=12,MATCHED!$M89,IF(MATCHED!AF89=13,MATCHED!$N89,IF(MATCHED!AF89=14,MATCHED!$O89,"")))))))&amp;IF(MATCHED!AF89=15,MATCHED!$P89,IF(MATCHED!AF89=16,MATCHED!$Q89,IF(MATCHED!AF89=17,MATCHED!$R89,IF(MATCHED!AF89=18,MATCHED!$S89,IF(MATCHED!AF89=19,MATCHED!$T89,IF(MATCHED!AF89=20,MATCHED!$U89,IF(MATCHED!AF89=21,MATCHED!$V89,)))))))&amp;IF(MATCHED!AF89=22,MATCHED!$W89,IF(MATCHED!AF89=23,MATCHED!$X89,IF(MATCHED!AF89=24,MATCHED!$Y89,IF(MATCHED!AF89=25,MATCHED!$Z89,IF(MATCHED!AF89=26,MATCHED!$AA89,IF(MATCHED!AF89=27,MATCHED!$AB89,"."))))))</f>
        <v>#N/A</v>
      </c>
      <c r="E89" s="424" t="e">
        <f>IF(MATCHED!AG89=1,MATCHED!$B89,IF(MATCHED!AG89=2,MATCHED!$C89,IF(MATCHED!AG89=3,MATCHED!$D89,IF(MATCHED!AG89=4,MATCHED!$E89,IF(MATCHED!AG89=3,MATCHED!$F89,IF(MATCHED!AG89=6,MATCHED!$G89,IF(MATCHED!AG89=7,MATCHED!$H89,"")))))))&amp;IF(MATCHED!AG89=8,MATCHED!$I89,IF(MATCHED!AG89=9,MATCHED!$J89,IF(MATCHED!AG89=10,MATCHED!$K89,IF(MATCHED!AG89=11,MATCHED!$L89,IF(MATCHED!AG89=12,MATCHED!$M89,IF(MATCHED!AG89=13,MATCHED!$N89,IF(MATCHED!AG89=14,MATCHED!$O89,"")))))))&amp;IF(MATCHED!AG89=15,MATCHED!$P89,IF(MATCHED!AG89=16,MATCHED!$Q89,IF(MATCHED!AG89=17,MATCHED!$R89,IF(MATCHED!AG89=18,MATCHED!$S89,IF(MATCHED!AG89=19,MATCHED!$T89,IF(MATCHED!AG89=20,MATCHED!$U89,IF(MATCHED!AG89=21,MATCHED!$V89,)))))))&amp;IF(MATCHED!AG89=22,MATCHED!$W89,IF(MATCHED!AG89=23,MATCHED!$X89,IF(MATCHED!AG89=24,MATCHED!$Y89,IF(MATCHED!AG89=25,MATCHED!$Z89,IF(MATCHED!AG89=26,MATCHED!$AA89,IF(MATCHED!AG89=27,MATCHED!$AB89,"."))))))</f>
        <v>#N/A</v>
      </c>
      <c r="F89" s="424" t="e">
        <f>IF(MATCHED!AH89=1,MATCHED!$B89,IF(MATCHED!AH89=2,MATCHED!$C89,IF(MATCHED!AH89=3,MATCHED!$D89,IF(MATCHED!AH89=4,MATCHED!$E89,IF(MATCHED!AH89=3,MATCHED!$F89,IF(MATCHED!AH89=6,MATCHED!$G89,IF(MATCHED!AH89=7,MATCHED!$H89,"")))))))&amp;IF(MATCHED!AH89=8,MATCHED!$I89,IF(MATCHED!AH89=9,MATCHED!$J89,IF(MATCHED!AH89=10,MATCHED!$K89,IF(MATCHED!AH89=11,MATCHED!$L89,IF(MATCHED!AH89=12,MATCHED!$M89,IF(MATCHED!AH89=13,MATCHED!$N89,IF(MATCHED!AH89=14,MATCHED!$O89,"")))))))&amp;IF(MATCHED!AH89=15,MATCHED!$P89,IF(MATCHED!AH89=16,MATCHED!$Q89,IF(MATCHED!AH89=17,MATCHED!$R89,IF(MATCHED!AH89=18,MATCHED!$S89,IF(MATCHED!AH89=19,MATCHED!$T89,IF(MATCHED!AH89=20,MATCHED!$U89,IF(MATCHED!AH89=21,MATCHED!$V89,)))))))&amp;IF(MATCHED!AH89=22,MATCHED!$W89,IF(MATCHED!AH89=23,MATCHED!$X89,IF(MATCHED!AH89=24,MATCHED!$Y89,IF(MATCHED!AH89=25,MATCHED!$Z89,IF(MATCHED!AH89=26,MATCHED!$AA89,IF(MATCHED!AH89=27,MATCHED!$AB89,"."))))))</f>
        <v>#N/A</v>
      </c>
      <c r="G89" s="424" t="e">
        <f>IF(MATCHED!AI89=1,MATCHED!$B89,IF(MATCHED!AI89=2,MATCHED!$C89,IF(MATCHED!AI89=3,MATCHED!$D89,IF(MATCHED!AI89=4,MATCHED!$E89,IF(MATCHED!AI89=3,MATCHED!$F89,IF(MATCHED!AI89=6,MATCHED!$G89,IF(MATCHED!AI89=7,MATCHED!$H89,"")))))))&amp;IF(MATCHED!AI89=8,MATCHED!$I89,IF(MATCHED!AI89=9,MATCHED!$J89,IF(MATCHED!AI89=10,MATCHED!$K89,IF(MATCHED!AI89=11,MATCHED!$L89,IF(MATCHED!AI89=12,MATCHED!$M89,IF(MATCHED!AI89=13,MATCHED!$N89,IF(MATCHED!AI89=14,MATCHED!$O89,"")))))))&amp;IF(MATCHED!AI89=15,MATCHED!$P89,IF(MATCHED!AI89=16,MATCHED!$Q89,IF(MATCHED!AI89=17,MATCHED!$R89,IF(MATCHED!AI89=18,MATCHED!$S89,IF(MATCHED!AI89=19,MATCHED!$T89,IF(MATCHED!AI89=20,MATCHED!$U89,IF(MATCHED!AI89=21,MATCHED!$V89,)))))))&amp;IF(MATCHED!AI89=22,MATCHED!$W89,IF(MATCHED!AI89=23,MATCHED!$X89,IF(MATCHED!AI89=24,MATCHED!$Y89,IF(MATCHED!AI89=25,MATCHED!$Z89,IF(MATCHED!AI89=26,MATCHED!$AA89,IF(MATCHED!AI89=27,MATCHED!$AB89,"."))))))</f>
        <v>#N/A</v>
      </c>
      <c r="H89" s="424" t="e">
        <f>IF(MATCHED!AJ89=1,MATCHED!$B89,IF(MATCHED!AJ89=2,MATCHED!$C89,IF(MATCHED!AJ89=3,MATCHED!$D89,IF(MATCHED!AJ89=4,MATCHED!$E89,IF(MATCHED!AJ89=3,MATCHED!$F89,IF(MATCHED!AJ89=6,MATCHED!$G89,IF(MATCHED!AJ89=7,MATCHED!$H89,"")))))))&amp;IF(MATCHED!AJ89=8,MATCHED!$I89,IF(MATCHED!AJ89=9,MATCHED!$J89,IF(MATCHED!AJ89=10,MATCHED!$K89,IF(MATCHED!AJ89=11,MATCHED!$L89,IF(MATCHED!AJ89=12,MATCHED!$M89,IF(MATCHED!AJ89=13,MATCHED!$N89,IF(MATCHED!AJ89=14,MATCHED!$O89,"")))))))&amp;IF(MATCHED!AJ89=15,MATCHED!$P89,IF(MATCHED!AJ89=16,MATCHED!$Q89,IF(MATCHED!AJ89=17,MATCHED!$R89,IF(MATCHED!AJ89=18,MATCHED!$S89,IF(MATCHED!AJ89=19,MATCHED!$T89,IF(MATCHED!AJ89=20,MATCHED!$U89,IF(MATCHED!AJ89=21,MATCHED!$V89,)))))))&amp;IF(MATCHED!AJ89=22,MATCHED!$W89,IF(MATCHED!AJ89=23,MATCHED!$X89,IF(MATCHED!AJ89=24,MATCHED!$Y89,IF(MATCHED!AJ89=25,MATCHED!$Z89,IF(MATCHED!AJ89=26,MATCHED!$AA89,IF(MATCHED!AJ89=27,MATCHED!$AB89,"."))))))</f>
        <v>#N/A</v>
      </c>
      <c r="I89" s="424" t="e">
        <f>IF(MATCHED!AK89=1,MATCHED!$B89,IF(MATCHED!AK89=2,MATCHED!$C89,IF(MATCHED!AK89=3,MATCHED!$D89,IF(MATCHED!AK89=4,MATCHED!$E89,IF(MATCHED!AK89=3,MATCHED!$F89,IF(MATCHED!AK89=6,MATCHED!$G89,IF(MATCHED!AK89=7,MATCHED!$H89,"")))))))&amp;IF(MATCHED!AK89=8,MATCHED!$I89,IF(MATCHED!AK89=9,MATCHED!$J89,IF(MATCHED!AK89=10,MATCHED!$K89,IF(MATCHED!AK89=11,MATCHED!$L89,IF(MATCHED!AK89=12,MATCHED!$M89,IF(MATCHED!AK89=13,MATCHED!$N89,IF(MATCHED!AK89=14,MATCHED!$O89,"")))))))&amp;IF(MATCHED!AK89=15,MATCHED!$P89,IF(MATCHED!AK89=16,MATCHED!$Q89,IF(MATCHED!AK89=17,MATCHED!$R89,IF(MATCHED!AK89=18,MATCHED!$S89,IF(MATCHED!AK89=19,MATCHED!$T89,IF(MATCHED!AK89=20,MATCHED!$U89,IF(MATCHED!AK89=21,MATCHED!$V89,)))))))&amp;IF(MATCHED!AK89=22,MATCHED!$W89,IF(MATCHED!AK89=23,MATCHED!$X89,IF(MATCHED!AK89=24,MATCHED!$Y89,IF(MATCHED!AK89=25,MATCHED!$Z89,IF(MATCHED!AK89=26,MATCHED!$AA89,IF(MATCHED!AK89=27,MATCHED!$AB89,"."))))))</f>
        <v>#N/A</v>
      </c>
      <c r="J89" s="424" t="e">
        <f>IF(MATCHED!AL89=1,MATCHED!$B89,IF(MATCHED!AL89=2,MATCHED!$C89,IF(MATCHED!AL89=3,MATCHED!$D89,IF(MATCHED!AL89=4,MATCHED!$E89,IF(MATCHED!AL89=3,MATCHED!$F89,IF(MATCHED!AL89=6,MATCHED!$G89,IF(MATCHED!AL89=7,MATCHED!$H89,"")))))))&amp;IF(MATCHED!AL89=8,MATCHED!$I89,IF(MATCHED!AL89=9,MATCHED!$J89,IF(MATCHED!AL89=10,MATCHED!$K89,IF(MATCHED!AL89=11,MATCHED!$L89,IF(MATCHED!AL89=12,MATCHED!$M89,IF(MATCHED!AL89=13,MATCHED!$N89,IF(MATCHED!AL89=14,MATCHED!$O89,"")))))))&amp;IF(MATCHED!AL89=15,MATCHED!$P89,IF(MATCHED!AL89=16,MATCHED!$Q89,IF(MATCHED!AL89=17,MATCHED!$R89,IF(MATCHED!AL89=18,MATCHED!$S89,IF(MATCHED!AL89=19,MATCHED!$T89,IF(MATCHED!AL89=20,MATCHED!$U89,IF(MATCHED!AL89=21,MATCHED!$V89,)))))))&amp;IF(MATCHED!AL89=22,MATCHED!$W89,IF(MATCHED!AL89=23,MATCHED!$X89,IF(MATCHED!AL89=24,MATCHED!$Y89,IF(MATCHED!AL89=25,MATCHED!$Z89,IF(MATCHED!AL89=26,MATCHED!$AA89,IF(MATCHED!AL89=27,MATCHED!$AB89,"."))))))</f>
        <v>#N/A</v>
      </c>
      <c r="K89" s="424" t="e">
        <f>IF(MATCHED!AM89=1,MATCHED!$B89,IF(MATCHED!AM89=2,MATCHED!$C89,IF(MATCHED!AM89=3,MATCHED!$D89,IF(MATCHED!AM89=4,MATCHED!$E89,IF(MATCHED!AM89=3,MATCHED!$F89,IF(MATCHED!AM89=6,MATCHED!$G89,IF(MATCHED!AM89=7,MATCHED!$H89,"")))))))&amp;IF(MATCHED!AM89=8,MATCHED!$I89,IF(MATCHED!AM89=9,MATCHED!$J89,IF(MATCHED!AM89=10,MATCHED!$K89,IF(MATCHED!AM89=11,MATCHED!$L89,IF(MATCHED!AM89=12,MATCHED!$M89,IF(MATCHED!AM89=13,MATCHED!$N89,IF(MATCHED!AM89=14,MATCHED!$O89,"")))))))&amp;IF(MATCHED!AM89=15,MATCHED!$P89,IF(MATCHED!AM89=16,MATCHED!$Q89,IF(MATCHED!AM89=17,MATCHED!$R89,IF(MATCHED!AM89=18,MATCHED!$S89,IF(MATCHED!AM89=19,MATCHED!$T89,IF(MATCHED!AM89=20,MATCHED!$U89,IF(MATCHED!AM89=21,MATCHED!$V89,)))))))&amp;IF(MATCHED!AM89=22,MATCHED!$W89,IF(MATCHED!AM89=23,MATCHED!$X89,IF(MATCHED!AM89=24,MATCHED!$Y89,IF(MATCHED!AM89=25,MATCHED!$Z89,IF(MATCHED!AM89=26,MATCHED!$AA89,IF(MATCHED!AM89=27,MATCHED!$AB89,"."))))))</f>
        <v>#N/A</v>
      </c>
      <c r="L89" s="424" t="e">
        <f>IF(MATCHED!AN89=1,MATCHED!$B89,IF(MATCHED!AN89=2,MATCHED!$C89,IF(MATCHED!AN89=3,MATCHED!$D89,IF(MATCHED!AN89=4,MATCHED!$E89,IF(MATCHED!AN89=3,MATCHED!$F89,IF(MATCHED!AN89=6,MATCHED!$G89,IF(MATCHED!AN89=7,MATCHED!$H89,"")))))))&amp;IF(MATCHED!AN89=8,MATCHED!$I89,IF(MATCHED!AN89=9,MATCHED!$J89,IF(MATCHED!AN89=10,MATCHED!$K89,IF(MATCHED!AN89=11,MATCHED!$L89,IF(MATCHED!AN89=12,MATCHED!$M89,IF(MATCHED!AN89=13,MATCHED!$N89,IF(MATCHED!AN89=14,MATCHED!$O89,"")))))))&amp;IF(MATCHED!AN89=15,MATCHED!$P89,IF(MATCHED!AN89=16,MATCHED!$Q89,IF(MATCHED!AN89=17,MATCHED!$R89,IF(MATCHED!AN89=18,MATCHED!$S89,IF(MATCHED!AN89=19,MATCHED!$T89,IF(MATCHED!AN89=20,MATCHED!$U89,IF(MATCHED!AN89=21,MATCHED!$V89,)))))))&amp;IF(MATCHED!AN89=22,MATCHED!$W89,IF(MATCHED!AN89=23,MATCHED!$X89,IF(MATCHED!AN89=24,MATCHED!$Y89,IF(MATCHED!AN89=25,MATCHED!$Z89,IF(MATCHED!AN89=26,MATCHED!$AA89,IF(MATCHED!AN89=27,MATCHED!$AB89,"."))))))</f>
        <v>#N/A</v>
      </c>
      <c r="M89" s="424" t="e">
        <f>IF(MATCHED!AO89=1,MATCHED!$B89,IF(MATCHED!AO89=2,MATCHED!$C89,IF(MATCHED!AO89=3,MATCHED!$D89,IF(MATCHED!AO89=4,MATCHED!$E89,IF(MATCHED!AO89=3,MATCHED!$F89,IF(MATCHED!AO89=6,MATCHED!$G89,IF(MATCHED!AO89=7,MATCHED!$H89,"")))))))&amp;IF(MATCHED!AO89=8,MATCHED!$I89,IF(MATCHED!AO89=9,MATCHED!$J89,IF(MATCHED!AO89=10,MATCHED!$K89,IF(MATCHED!AO89=11,MATCHED!$L89,IF(MATCHED!AO89=12,MATCHED!$M89,IF(MATCHED!AO89=13,MATCHED!$N89,IF(MATCHED!AO89=14,MATCHED!$O89,"")))))))&amp;IF(MATCHED!AO89=15,MATCHED!$P89,IF(MATCHED!AO89=16,MATCHED!$Q89,IF(MATCHED!AO89=17,MATCHED!$R89,IF(MATCHED!AO89=18,MATCHED!$S89,IF(MATCHED!AO89=19,MATCHED!$T89,IF(MATCHED!AO89=20,MATCHED!$U89,IF(MATCHED!AO89=21,MATCHED!$V89,)))))))&amp;IF(MATCHED!AO89=22,MATCHED!$W89,IF(MATCHED!AO89=23,MATCHED!$X89,IF(MATCHED!AO89=24,MATCHED!$Y89,IF(MATCHED!AO89=25,MATCHED!$Z89,IF(MATCHED!AO89=26,MATCHED!$AA89,IF(MATCHED!AO89=27,MATCHED!$AB89,"."))))))</f>
        <v>#N/A</v>
      </c>
      <c r="N89" s="424" t="e">
        <f>IF(MATCHED!AP89=1,MATCHED!$B89,IF(MATCHED!AP89=2,MATCHED!$C89,IF(MATCHED!AP89=3,MATCHED!$D89,IF(MATCHED!AP89=4,MATCHED!$E89,IF(MATCHED!AP89=3,MATCHED!$F89,IF(MATCHED!AP89=6,MATCHED!$G89,IF(MATCHED!AP89=7,MATCHED!$H89,"")))))))&amp;IF(MATCHED!AP89=8,MATCHED!$I89,IF(MATCHED!AP89=9,MATCHED!$J89,IF(MATCHED!AP89=10,MATCHED!$K89,IF(MATCHED!AP89=11,MATCHED!$L89,IF(MATCHED!AP89=12,MATCHED!$M89,IF(MATCHED!AP89=13,MATCHED!$N89,IF(MATCHED!AP89=14,MATCHED!$O89,"")))))))&amp;IF(MATCHED!AP89=15,MATCHED!$P89,IF(MATCHED!AP89=16,MATCHED!$Q89,IF(MATCHED!AP89=17,MATCHED!$R89,IF(MATCHED!AP89=18,MATCHED!$S89,IF(MATCHED!AP89=19,MATCHED!$T89,IF(MATCHED!AP89=20,MATCHED!$U89,IF(MATCHED!AP89=21,MATCHED!$V89,)))))))&amp;IF(MATCHED!AP89=22,MATCHED!$W89,IF(MATCHED!AP89=23,MATCHED!$X89,IF(MATCHED!AP89=24,MATCHED!$Y89,IF(MATCHED!AP89=25,MATCHED!$Z89,IF(MATCHED!AP89=26,MATCHED!$AA89,IF(MATCHED!AP89=27,MATCHED!$AB89,"."))))))</f>
        <v>#N/A</v>
      </c>
      <c r="O89" s="424" t="e">
        <f>IF(MATCHED!AQ89=1,MATCHED!$B89,IF(MATCHED!AQ89=2,MATCHED!$C89,IF(MATCHED!AQ89=3,MATCHED!$D89,IF(MATCHED!AQ89=4,MATCHED!$E89,IF(MATCHED!AQ89=3,MATCHED!$F89,IF(MATCHED!AQ89=6,MATCHED!$G89,IF(MATCHED!AQ89=7,MATCHED!$H89,"")))))))&amp;IF(MATCHED!AQ89=8,MATCHED!$I89,IF(MATCHED!AQ89=9,MATCHED!$J89,IF(MATCHED!AQ89=10,MATCHED!$K89,IF(MATCHED!AQ89=11,MATCHED!$L89,IF(MATCHED!AQ89=12,MATCHED!$M89,IF(MATCHED!AQ89=13,MATCHED!$N89,IF(MATCHED!AQ89=14,MATCHED!$O89,"")))))))&amp;IF(MATCHED!AQ89=15,MATCHED!$P89,IF(MATCHED!AQ89=16,MATCHED!$Q89,IF(MATCHED!AQ89=17,MATCHED!$R89,IF(MATCHED!AQ89=18,MATCHED!$S89,IF(MATCHED!AQ89=19,MATCHED!$T89,IF(MATCHED!AQ89=20,MATCHED!$U89,IF(MATCHED!AQ89=21,MATCHED!$V89,)))))))&amp;IF(MATCHED!AQ89=22,MATCHED!$W89,IF(MATCHED!AQ89=23,MATCHED!$X89,IF(MATCHED!AQ89=24,MATCHED!$Y89,IF(MATCHED!AQ89=25,MATCHED!$Z89,IF(MATCHED!AQ89=26,MATCHED!$AA89,IF(MATCHED!AQ89=27,MATCHED!$AB89,"."))))))</f>
        <v>#N/A</v>
      </c>
      <c r="P89" s="424" t="e">
        <f>IF(MATCHED!AR89=1,MATCHED!$B89,IF(MATCHED!AR89=2,MATCHED!$C89,IF(MATCHED!AR89=3,MATCHED!$D89,IF(MATCHED!AR89=4,MATCHED!$E89,IF(MATCHED!AR89=3,MATCHED!$F89,IF(MATCHED!AR89=6,MATCHED!$G89,IF(MATCHED!AR89=7,MATCHED!$H89,"")))))))&amp;IF(MATCHED!AR89=8,MATCHED!$I89,IF(MATCHED!AR89=9,MATCHED!$J89,IF(MATCHED!AR89=10,MATCHED!$K89,IF(MATCHED!AR89=11,MATCHED!$L89,IF(MATCHED!AR89=12,MATCHED!$M89,IF(MATCHED!AR89=13,MATCHED!$N89,IF(MATCHED!AR89=14,MATCHED!$O89,"")))))))&amp;IF(MATCHED!AR89=15,MATCHED!$P89,IF(MATCHED!AR89=16,MATCHED!$Q89,IF(MATCHED!AR89=17,MATCHED!$R89,IF(MATCHED!AR89=18,MATCHED!$S89,IF(MATCHED!AR89=19,MATCHED!$T89,IF(MATCHED!AR89=20,MATCHED!$U89,IF(MATCHED!AR89=21,MATCHED!$V89,)))))))&amp;IF(MATCHED!AR89=22,MATCHED!$W89,IF(MATCHED!AR89=23,MATCHED!$X89,IF(MATCHED!AR89=24,MATCHED!$Y89,IF(MATCHED!AR89=25,MATCHED!$Z89,IF(MATCHED!AR89=26,MATCHED!$AA89,IF(MATCHED!AR89=27,MATCHED!$AB89,"."))))))</f>
        <v>#N/A</v>
      </c>
      <c r="Q89" s="424" t="e">
        <f>IF(MATCHED!AS89=1,MATCHED!$B89,IF(MATCHED!AS89=2,MATCHED!$C89,IF(MATCHED!AS89=3,MATCHED!$D89,IF(MATCHED!AS89=4,MATCHED!$E89,IF(MATCHED!AS89=3,MATCHED!$F89,IF(MATCHED!AS89=6,MATCHED!$G89,IF(MATCHED!AS89=7,MATCHED!$H89,"")))))))&amp;IF(MATCHED!AS89=8,MATCHED!$I89,IF(MATCHED!AS89=9,MATCHED!$J89,IF(MATCHED!AS89=10,MATCHED!$K89,IF(MATCHED!AS89=11,MATCHED!$L89,IF(MATCHED!AS89=12,MATCHED!$M89,IF(MATCHED!AS89=13,MATCHED!$N89,IF(MATCHED!AS89=14,MATCHED!$O89,"")))))))&amp;IF(MATCHED!AS89=15,MATCHED!$P89,IF(MATCHED!AS89=16,MATCHED!$Q89,IF(MATCHED!AS89=17,MATCHED!$R89,IF(MATCHED!AS89=18,MATCHED!$S89,IF(MATCHED!AS89=19,MATCHED!$T89,IF(MATCHED!AS89=20,MATCHED!$U89,IF(MATCHED!AS89=21,MATCHED!$V89,)))))))&amp;IF(MATCHED!AS89=22,MATCHED!$W89,IF(MATCHED!AS89=23,MATCHED!$X89,IF(MATCHED!AS89=24,MATCHED!$Y89,IF(MATCHED!AS89=25,MATCHED!$Z89,IF(MATCHED!AS89=26,MATCHED!$AA89,IF(MATCHED!AS89=27,MATCHED!$AB89,"."))))))</f>
        <v>#N/A</v>
      </c>
      <c r="R89" s="424" t="e">
        <f>IF(MATCHED!AT89=1,MATCHED!$B89,IF(MATCHED!AT89=2,MATCHED!$C89,IF(MATCHED!AT89=3,MATCHED!$D89,IF(MATCHED!AT89=4,MATCHED!$E89,IF(MATCHED!AT89=3,MATCHED!$F89,IF(MATCHED!AT89=6,MATCHED!$G89,IF(MATCHED!AT89=7,MATCHED!$H89,"")))))))&amp;IF(MATCHED!AT89=8,MATCHED!$I89,IF(MATCHED!AT89=9,MATCHED!$J89,IF(MATCHED!AT89=10,MATCHED!$K89,IF(MATCHED!AT89=11,MATCHED!$L89,IF(MATCHED!AT89=12,MATCHED!$M89,IF(MATCHED!AT89=13,MATCHED!$N89,IF(MATCHED!AT89=14,MATCHED!$O89,"")))))))&amp;IF(MATCHED!AT89=15,MATCHED!$P89,IF(MATCHED!AT89=16,MATCHED!$Q89,IF(MATCHED!AT89=17,MATCHED!$R89,IF(MATCHED!AT89=18,MATCHED!$S89,IF(MATCHED!AT89=19,MATCHED!$T89,IF(MATCHED!AT89=20,MATCHED!$U89,IF(MATCHED!AT89=21,MATCHED!$V89,)))))))&amp;IF(MATCHED!AT89=22,MATCHED!$W89,IF(MATCHED!AT89=23,MATCHED!$X89,IF(MATCHED!AT89=24,MATCHED!$Y89,IF(MATCHED!AT89=25,MATCHED!$Z89,IF(MATCHED!AT89=26,MATCHED!$AA89,IF(MATCHED!AT89=27,MATCHED!$AB89,"."))))))</f>
        <v>#N/A</v>
      </c>
      <c r="S89" s="424" t="e">
        <f>IF(MATCHED!AU89=1,MATCHED!$B89,IF(MATCHED!AU89=2,MATCHED!$C89,IF(MATCHED!AU89=3,MATCHED!$D89,IF(MATCHED!AU89=4,MATCHED!$E89,IF(MATCHED!AU89=3,MATCHED!$F89,IF(MATCHED!AU89=6,MATCHED!$G89,IF(MATCHED!AU89=7,MATCHED!$H89,"")))))))&amp;IF(MATCHED!AU89=8,MATCHED!$I89,IF(MATCHED!AU89=9,MATCHED!$J89,IF(MATCHED!AU89=10,MATCHED!$K89,IF(MATCHED!AU89=11,MATCHED!$L89,IF(MATCHED!AU89=12,MATCHED!$M89,IF(MATCHED!AU89=13,MATCHED!$N89,IF(MATCHED!AU89=14,MATCHED!$O89,"")))))))&amp;IF(MATCHED!AU89=15,MATCHED!$P89,IF(MATCHED!AU89=16,MATCHED!$Q89,IF(MATCHED!AU89=17,MATCHED!$R89,IF(MATCHED!AU89=18,MATCHED!$S89,IF(MATCHED!AU89=19,MATCHED!$T89,IF(MATCHED!AU89=20,MATCHED!$U89,IF(MATCHED!AU89=21,MATCHED!$V89,)))))))&amp;IF(MATCHED!AU89=22,MATCHED!$W89,IF(MATCHED!AU89=23,MATCHED!$X89,IF(MATCHED!AU89=24,MATCHED!$Y89,IF(MATCHED!AU89=25,MATCHED!$Z89,IF(MATCHED!AU89=26,MATCHED!$AA89,IF(MATCHED!AU89=27,MATCHED!$AB89,"."))))))</f>
        <v>#N/A</v>
      </c>
      <c r="T89" s="424" t="e">
        <f>IF(MATCHED!AV89=1,MATCHED!$B89,IF(MATCHED!AV89=2,MATCHED!$C89,IF(MATCHED!AV89=3,MATCHED!$D89,IF(MATCHED!AV89=4,MATCHED!$E89,IF(MATCHED!AV89=3,MATCHED!$F89,IF(MATCHED!AV89=6,MATCHED!$G89,IF(MATCHED!AV89=7,MATCHED!$H89,"")))))))&amp;IF(MATCHED!AV89=8,MATCHED!$I89,IF(MATCHED!AV89=9,MATCHED!$J89,IF(MATCHED!AV89=10,MATCHED!$K89,IF(MATCHED!AV89=11,MATCHED!$L89,IF(MATCHED!AV89=12,MATCHED!$M89,IF(MATCHED!AV89=13,MATCHED!$N89,IF(MATCHED!AV89=14,MATCHED!$O89,"")))))))&amp;IF(MATCHED!AV89=15,MATCHED!$P89,IF(MATCHED!AV89=16,MATCHED!$Q89,IF(MATCHED!AV89=17,MATCHED!$R89,IF(MATCHED!AV89=18,MATCHED!$S89,IF(MATCHED!AV89=19,MATCHED!$T89,IF(MATCHED!AV89=20,MATCHED!$U89,IF(MATCHED!AV89=21,MATCHED!$V89,)))))))&amp;IF(MATCHED!AV89=22,MATCHED!$W89,IF(MATCHED!AV89=23,MATCHED!$X89,IF(MATCHED!AV89=24,MATCHED!$Y89,IF(MATCHED!AV89=25,MATCHED!$Z89,IF(MATCHED!AV89=26,MATCHED!$AA89,IF(MATCHED!AV89=27,MATCHED!$AB89,"."))))))</f>
        <v>#N/A</v>
      </c>
      <c r="U89" s="424" t="e">
        <f>IF(MATCHED!AW89=1,MATCHED!$B89,IF(MATCHED!AW89=2,MATCHED!$C89,IF(MATCHED!AW89=3,MATCHED!$D89,IF(MATCHED!AW89=4,MATCHED!$E89,IF(MATCHED!AW89=3,MATCHED!$F89,IF(MATCHED!AW89=6,MATCHED!$G89,IF(MATCHED!AW89=7,MATCHED!$H89,"")))))))&amp;IF(MATCHED!AW89=8,MATCHED!$I89,IF(MATCHED!AW89=9,MATCHED!$J89,IF(MATCHED!AW89=10,MATCHED!$K89,IF(MATCHED!AW89=11,MATCHED!$L89,IF(MATCHED!AW89=12,MATCHED!$M89,IF(MATCHED!AW89=13,MATCHED!$N89,IF(MATCHED!AW89=14,MATCHED!$O89,"")))))))&amp;IF(MATCHED!AW89=15,MATCHED!$P89,IF(MATCHED!AW89=16,MATCHED!$Q89,IF(MATCHED!AW89=17,MATCHED!$R89,IF(MATCHED!AW89=18,MATCHED!$S89,IF(MATCHED!AW89=19,MATCHED!$T89,IF(MATCHED!AW89=20,MATCHED!$U89,IF(MATCHED!AW89=21,MATCHED!$V89,)))))))&amp;IF(MATCHED!AW89=22,MATCHED!$W89,IF(MATCHED!AW89=23,MATCHED!$X89,IF(MATCHED!AW89=24,MATCHED!$Y89,IF(MATCHED!AW89=25,MATCHED!$Z89,IF(MATCHED!AW89=26,MATCHED!$AA89,IF(MATCHED!AW89=27,MATCHED!$AB89,"."))))))</f>
        <v>#N/A</v>
      </c>
      <c r="V89" s="424" t="e">
        <f>IF(MATCHED!AX89=1,MATCHED!$B89,IF(MATCHED!AX89=2,MATCHED!$C89,IF(MATCHED!AX89=3,MATCHED!$D89,IF(MATCHED!AX89=4,MATCHED!$E89,IF(MATCHED!AX89=3,MATCHED!$F89,IF(MATCHED!AX89=6,MATCHED!$G89,IF(MATCHED!AX89=7,MATCHED!$H89,"")))))))&amp;IF(MATCHED!AX89=8,MATCHED!$I89,IF(MATCHED!AX89=9,MATCHED!$J89,IF(MATCHED!AX89=10,MATCHED!$K89,IF(MATCHED!AX89=11,MATCHED!$L89,IF(MATCHED!AX89=12,MATCHED!$M89,IF(MATCHED!AX89=13,MATCHED!$N89,IF(MATCHED!AX89=14,MATCHED!$O89,"")))))))&amp;IF(MATCHED!AX89=15,MATCHED!$P89,IF(MATCHED!AX89=16,MATCHED!$Q89,IF(MATCHED!AX89=17,MATCHED!$R89,IF(MATCHED!AX89=18,MATCHED!$S89,IF(MATCHED!AX89=19,MATCHED!$T89,IF(MATCHED!AX89=20,MATCHED!$U89,IF(MATCHED!AX89=21,MATCHED!$V89,)))))))&amp;IF(MATCHED!AX89=22,MATCHED!$W89,IF(MATCHED!AX89=23,MATCHED!$X89,IF(MATCHED!AX89=24,MATCHED!$Y89,IF(MATCHED!AX89=25,MATCHED!$Z89,IF(MATCHED!AX89=26,MATCHED!$AA89,IF(MATCHED!AX89=27,MATCHED!$AB89,"."))))))</f>
        <v>#N/A</v>
      </c>
      <c r="W89" s="424" t="e">
        <f>IF(MATCHED!AY89=1,MATCHED!$B89,IF(MATCHED!AY89=2,MATCHED!$C89,IF(MATCHED!AY89=3,MATCHED!$D89,IF(MATCHED!AY89=4,MATCHED!$E89,IF(MATCHED!AY89=3,MATCHED!$F89,IF(MATCHED!AY89=6,MATCHED!$G89,IF(MATCHED!AY89=7,MATCHED!$H89,"")))))))&amp;IF(MATCHED!AY89=8,MATCHED!$I89,IF(MATCHED!AY89=9,MATCHED!$J89,IF(MATCHED!AY89=10,MATCHED!$K89,IF(MATCHED!AY89=11,MATCHED!$L89,IF(MATCHED!AY89=12,MATCHED!$M89,IF(MATCHED!AY89=13,MATCHED!$N89,IF(MATCHED!AY89=14,MATCHED!$O89,"")))))))&amp;IF(MATCHED!AY89=15,MATCHED!$P89,IF(MATCHED!AY89=16,MATCHED!$Q89,IF(MATCHED!AY89=17,MATCHED!$R89,IF(MATCHED!AY89=18,MATCHED!$S89,IF(MATCHED!AY89=19,MATCHED!$T89,IF(MATCHED!AY89=20,MATCHED!$U89,IF(MATCHED!AY89=21,MATCHED!$V89,)))))))&amp;IF(MATCHED!AY89=22,MATCHED!$W89,IF(MATCHED!AY89=23,MATCHED!$X89,IF(MATCHED!AY89=24,MATCHED!$Y89,IF(MATCHED!AY89=25,MATCHED!$Z89,IF(MATCHED!AY89=26,MATCHED!$AA89,IF(MATCHED!AY89=27,MATCHED!$AB89,"."))))))</f>
        <v>#N/A</v>
      </c>
      <c r="X89" s="424" t="e">
        <f>IF(MATCHED!AZ89=1,MATCHED!$B89,IF(MATCHED!AZ89=2,MATCHED!$C89,IF(MATCHED!AZ89=3,MATCHED!$D89,IF(MATCHED!AZ89=4,MATCHED!$E89,IF(MATCHED!AZ89=3,MATCHED!$F89,IF(MATCHED!AZ89=6,MATCHED!$G89,IF(MATCHED!AZ89=7,MATCHED!$H89,"")))))))&amp;IF(MATCHED!AZ89=8,MATCHED!$I89,IF(MATCHED!AZ89=9,MATCHED!$J89,IF(MATCHED!AZ89=10,MATCHED!$K89,IF(MATCHED!AZ89=11,MATCHED!$L89,IF(MATCHED!AZ89=12,MATCHED!$M89,IF(MATCHED!AZ89=13,MATCHED!$N89,IF(MATCHED!AZ89=14,MATCHED!$O89,"")))))))&amp;IF(MATCHED!AZ89=15,MATCHED!$P89,IF(MATCHED!AZ89=16,MATCHED!$Q89,IF(MATCHED!AZ89=17,MATCHED!$R89,IF(MATCHED!AZ89=18,MATCHED!$S89,IF(MATCHED!AZ89=19,MATCHED!$T89,IF(MATCHED!AZ89=20,MATCHED!$U89,IF(MATCHED!AZ89=21,MATCHED!$V89,)))))))&amp;IF(MATCHED!AZ89=22,MATCHED!$W89,IF(MATCHED!AZ89=23,MATCHED!$X89,IF(MATCHED!AZ89=24,MATCHED!$Y89,IF(MATCHED!AZ89=25,MATCHED!$Z89,IF(MATCHED!AZ89=26,MATCHED!$AA89,IF(MATCHED!AZ89=27,MATCHED!$AB89,"."))))))</f>
        <v>#N/A</v>
      </c>
      <c r="Y89" s="424" t="e">
        <f>IF(MATCHED!BA89=1,MATCHED!$B89,IF(MATCHED!BA89=2,MATCHED!$C89,IF(MATCHED!BA89=3,MATCHED!$D89,IF(MATCHED!BA89=4,MATCHED!$E89,IF(MATCHED!BA89=3,MATCHED!$F89,IF(MATCHED!BA89=6,MATCHED!$G89,IF(MATCHED!BA89=7,MATCHED!$H89,"")))))))&amp;IF(MATCHED!BA89=8,MATCHED!$I89,IF(MATCHED!BA89=9,MATCHED!$J89,IF(MATCHED!BA89=10,MATCHED!$K89,IF(MATCHED!BA89=11,MATCHED!$L89,IF(MATCHED!BA89=12,MATCHED!$M89,IF(MATCHED!BA89=13,MATCHED!$N89,IF(MATCHED!BA89=14,MATCHED!$O89,"")))))))&amp;IF(MATCHED!BA89=15,MATCHED!$P89,IF(MATCHED!BA89=16,MATCHED!$Q89,IF(MATCHED!BA89=17,MATCHED!$R89,IF(MATCHED!BA89=18,MATCHED!$S89,IF(MATCHED!BA89=19,MATCHED!$T89,IF(MATCHED!BA89=20,MATCHED!$U89,IF(MATCHED!BA89=21,MATCHED!$V89,)))))))&amp;IF(MATCHED!BA89=22,MATCHED!$W89,IF(MATCHED!BA89=23,MATCHED!$X89,IF(MATCHED!BA89=24,MATCHED!$Y89,IF(MATCHED!BA89=25,MATCHED!$Z89,IF(MATCHED!BA89=26,MATCHED!$AA89,IF(MATCHED!BA89=27,MATCHED!$AB89,"."))))))</f>
        <v>#N/A</v>
      </c>
      <c r="Z89" s="424" t="e">
        <f>IF(MATCHED!BB89=1,MATCHED!$B89,IF(MATCHED!BB89=2,MATCHED!$C89,IF(MATCHED!BB89=3,MATCHED!$D89,IF(MATCHED!BB89=4,MATCHED!$E89,IF(MATCHED!BB89=3,MATCHED!$F89,IF(MATCHED!BB89=6,MATCHED!$G89,IF(MATCHED!BB89=7,MATCHED!$H89,"")))))))&amp;IF(MATCHED!BB89=8,MATCHED!$I89,IF(MATCHED!BB89=9,MATCHED!$J89,IF(MATCHED!BB89=10,MATCHED!$K89,IF(MATCHED!BB89=11,MATCHED!$L89,IF(MATCHED!BB89=12,MATCHED!$M89,IF(MATCHED!BB89=13,MATCHED!$N89,IF(MATCHED!BB89=14,MATCHED!$O89,"")))))))&amp;IF(MATCHED!BB89=15,MATCHED!$P89,IF(MATCHED!BB89=16,MATCHED!$Q89,IF(MATCHED!BB89=17,MATCHED!$R89,IF(MATCHED!BB89=18,MATCHED!$S89,IF(MATCHED!BB89=19,MATCHED!$T89,IF(MATCHED!BB89=20,MATCHED!$U89,IF(MATCHED!BB89=21,MATCHED!$V89,)))))))&amp;IF(MATCHED!BB89=22,MATCHED!$W89,IF(MATCHED!BB89=23,MATCHED!$X89,IF(MATCHED!BB89=24,MATCHED!$Y89,IF(MATCHED!BB89=25,MATCHED!$Z89,IF(MATCHED!BB89=26,MATCHED!$AA89,IF(MATCHED!BB89=27,MATCHED!$AB89,"."))))))</f>
        <v>#N/A</v>
      </c>
      <c r="AA89" s="424" t="e">
        <f>IF(MATCHED!BC89=1,MATCHED!$B89,IF(MATCHED!BC89=2,MATCHED!$C89,IF(MATCHED!BC89=3,MATCHED!$D89,IF(MATCHED!BC89=4,MATCHED!$E89,IF(MATCHED!BC89=3,MATCHED!$F89,IF(MATCHED!BC89=6,MATCHED!$G89,IF(MATCHED!BC89=7,MATCHED!$H89,"")))))))&amp;IF(MATCHED!BC89=8,MATCHED!$I89,IF(MATCHED!BC89=9,MATCHED!$J89,IF(MATCHED!BC89=10,MATCHED!$K89,IF(MATCHED!BC89=11,MATCHED!$L89,IF(MATCHED!BC89=12,MATCHED!$M89,IF(MATCHED!BC89=13,MATCHED!$N89,IF(MATCHED!BC89=14,MATCHED!$O89,"")))))))&amp;IF(MATCHED!BC89=15,MATCHED!$P89,IF(MATCHED!BC89=16,MATCHED!$Q89,IF(MATCHED!BC89=17,MATCHED!$R89,IF(MATCHED!BC89=18,MATCHED!$S89,IF(MATCHED!BC89=19,MATCHED!$T89,IF(MATCHED!BC89=20,MATCHED!$U89,IF(MATCHED!BC89=21,MATCHED!$V89,)))))))&amp;IF(MATCHED!BC89=22,MATCHED!$W89,IF(MATCHED!BC89=23,MATCHED!$X89,IF(MATCHED!BC89=24,MATCHED!$Y89,IF(MATCHED!BC89=25,MATCHED!$Z89,IF(MATCHED!BC89=26,MATCHED!$AA89,IF(MATCHED!BC89=27,MATCHED!$AB89,"."))))))</f>
        <v>#N/A</v>
      </c>
      <c r="AB89" s="424" t="e">
        <f>IF(MATCHED!BD89=1,MATCHED!$B89,IF(MATCHED!BD89=2,MATCHED!$C89,IF(MATCHED!BD89=3,MATCHED!$D89,IF(MATCHED!BD89=4,MATCHED!$E89,IF(MATCHED!BD89=3,MATCHED!$F89,IF(MATCHED!BD89=6,MATCHED!$G89,IF(MATCHED!BD89=7,MATCHED!$H89,"")))))))&amp;IF(MATCHED!BD89=8,MATCHED!$I89,IF(MATCHED!BD89=9,MATCHED!$J89,IF(MATCHED!BD89=10,MATCHED!$K89,IF(MATCHED!BD89=11,MATCHED!$L89,IF(MATCHED!BD89=12,MATCHED!$M89,IF(MATCHED!BD89=13,MATCHED!$N89,IF(MATCHED!BD89=14,MATCHED!$O89,"")))))))&amp;IF(MATCHED!BD89=15,MATCHED!$P89,IF(MATCHED!BD89=16,MATCHED!$Q89,IF(MATCHED!BD89=17,MATCHED!$R89,IF(MATCHED!BD89=18,MATCHED!$S89,IF(MATCHED!BD89=19,MATCHED!$T89,IF(MATCHED!BD89=20,MATCHED!$U89,IF(MATCHED!BD89=21,MATCHED!$V89,)))))))&amp;IF(MATCHED!BD89=22,MATCHED!$W89,IF(MATCHED!BD89=23,MATCHED!$X89,IF(MATCHED!BD89=24,MATCHED!$Y89,IF(MATCHED!BD89=25,MATCHED!$Z89,IF(MATCHED!BD89=26,MATCHED!$AA89,IF(MATCHED!BD89=27,MATCHED!$AB89,"."))))))</f>
        <v>#N/A</v>
      </c>
      <c r="AC89" s="424" t="e">
        <f>IF(MATCHED!BE89=1,MATCHED!$B89,IF(MATCHED!BE89=2,MATCHED!$C89,IF(MATCHED!BE89=3,MATCHED!$D89,IF(MATCHED!BE89=4,MATCHED!$E89,IF(MATCHED!BE89=3,MATCHED!$F89,IF(MATCHED!BE89=6,MATCHED!$G89,IF(MATCHED!BE89=7,MATCHED!$H89,"")))))))&amp;IF(MATCHED!BE89=8,MATCHED!$I89,IF(MATCHED!BE89=9,MATCHED!$J89,IF(MATCHED!BE89=10,MATCHED!$K89,IF(MATCHED!BE89=11,MATCHED!$L89,IF(MATCHED!BE89=12,MATCHED!$M89,IF(MATCHED!BE89=13,MATCHED!$N89,IF(MATCHED!BE89=14,MATCHED!$O89,"")))))))&amp;IF(MATCHED!BE89=15,MATCHED!$P89,IF(MATCHED!BE89=16,MATCHED!$Q89,IF(MATCHED!BE89=17,MATCHED!$R89,IF(MATCHED!BE89=18,MATCHED!$S89,IF(MATCHED!BE89=19,MATCHED!$T89,IF(MATCHED!BE89=20,MATCHED!$U89,IF(MATCHED!BE89=21,MATCHED!$V89,)))))))&amp;IF(MATCHED!BE89=22,MATCHED!$W89,IF(MATCHED!BE89=23,MATCHED!$X89,IF(MATCHED!BE89=24,MATCHED!$Y89,IF(MATCHED!BE89=25,MATCHED!$Z89,IF(MATCHED!BE89=26,MATCHED!$AA89,IF(MATCHED!BE89=27,MATCHED!$AB89,"."))))))</f>
        <v>#N/A</v>
      </c>
      <c r="AD89" s="424" t="e">
        <f>IF(MATCHED!BF89=1,MATCHED!$B89,IF(MATCHED!BF89=2,MATCHED!$C89,IF(MATCHED!BF89=3,MATCHED!$D89,IF(MATCHED!BF89=4,MATCHED!$E89,IF(MATCHED!BF89=3,MATCHED!$F89,IF(MATCHED!BF89=6,MATCHED!$G89,IF(MATCHED!BF89=7,MATCHED!$H89,"")))))))&amp;IF(MATCHED!BF89=8,MATCHED!$I89,IF(MATCHED!BF89=9,MATCHED!$J89,IF(MATCHED!BF89=10,MATCHED!$K89,IF(MATCHED!BF89=11,MATCHED!$L89,IF(MATCHED!BF89=12,MATCHED!$M89,IF(MATCHED!BF89=13,MATCHED!$N89,IF(MATCHED!BF89=14,MATCHED!$O89,"")))))))&amp;IF(MATCHED!BF89=15,MATCHED!$P89,IF(MATCHED!BF89=16,MATCHED!$Q89,IF(MATCHED!BF89=17,MATCHED!$R89,IF(MATCHED!BF89=18,MATCHED!$S89,IF(MATCHED!BF89=19,MATCHED!$T89,IF(MATCHED!BF89=20,MATCHED!$U89,IF(MATCHED!BF89=21,MATCHED!$V89,)))))))&amp;IF(MATCHED!BF89=22,MATCHED!$W89,IF(MATCHED!BF89=23,MATCHED!$X89,IF(MATCHED!BF89=24,MATCHED!$Y89,IF(MATCHED!BF89=25,MATCHED!$Z89,IF(MATCHED!BF89=26,MATCHED!$AA89,IF(MATCHED!BF89=27,MATCHED!$AB89,"."))))))</f>
        <v>#N/A</v>
      </c>
      <c r="AE89" s="424" t="e">
        <f>IF(MATCHED!BG89=1,MATCHED!$B89,IF(MATCHED!BG89=2,MATCHED!$C89,IF(MATCHED!BG89=3,MATCHED!$D89,IF(MATCHED!BG89=4,MATCHED!$E89,IF(MATCHED!BG89=3,MATCHED!$F89,IF(MATCHED!BG89=6,MATCHED!$G89,IF(MATCHED!BG89=7,MATCHED!$H89,"")))))))&amp;IF(MATCHED!BG89=8,MATCHED!$I89,IF(MATCHED!BG89=9,MATCHED!$J89,IF(MATCHED!BG89=10,MATCHED!$K89,IF(MATCHED!BG89=11,MATCHED!$L89,IF(MATCHED!BG89=12,MATCHED!$M89,IF(MATCHED!BG89=13,MATCHED!$N89,IF(MATCHED!BG89=14,MATCHED!$O89,"")))))))&amp;IF(MATCHED!BG89=15,MATCHED!$P89,IF(MATCHED!BG89=16,MATCHED!$Q89,IF(MATCHED!BG89=17,MATCHED!$R89,IF(MATCHED!BG89=18,MATCHED!$S89,IF(MATCHED!BG89=19,MATCHED!$T89,IF(MATCHED!BG89=20,MATCHED!$U89,IF(MATCHED!BG89=21,MATCHED!$V89,)))))))&amp;IF(MATCHED!BG89=22,MATCHED!$W89,IF(MATCHED!BG89=23,MATCHED!$X89,IF(MATCHED!BG89=24,MATCHED!$Y89,IF(MATCHED!BG89=25,MATCHED!$Z89,IF(MATCHED!BG89=26,MATCHED!$AA89,IF(MATCHED!BG89=27,MATCHED!$AB89,"."))))))</f>
        <v>#N/A</v>
      </c>
      <c r="AF89" s="424" t="e">
        <f>IF(MATCHED!BH89=1,MATCHED!$B89,IF(MATCHED!BH89=2,MATCHED!$C89,IF(MATCHED!BH89=3,MATCHED!$D89,IF(MATCHED!BH89=4,MATCHED!$E89,IF(MATCHED!BH89=3,MATCHED!$F89,IF(MATCHED!BH89=6,MATCHED!$G89,IF(MATCHED!BH89=7,MATCHED!$H89,"")))))))&amp;IF(MATCHED!BH89=8,MATCHED!$I89,IF(MATCHED!BH89=9,MATCHED!$J89,IF(MATCHED!BH89=10,MATCHED!$K89,IF(MATCHED!BH89=11,MATCHED!$L89,IF(MATCHED!BH89=12,MATCHED!$M89,IF(MATCHED!BH89=13,MATCHED!$N89,IF(MATCHED!BH89=14,MATCHED!$O89,"")))))))&amp;IF(MATCHED!BH89=15,MATCHED!$P89,IF(MATCHED!BH89=16,MATCHED!$Q89,IF(MATCHED!BH89=17,MATCHED!$R89,IF(MATCHED!BH89=18,MATCHED!$S89,IF(MATCHED!BH89=19,MATCHED!$T89,IF(MATCHED!BH89=20,MATCHED!$U89,IF(MATCHED!BH89=21,MATCHED!$V89,)))))))&amp;IF(MATCHED!BH89=22,MATCHED!$W89,IF(MATCHED!BH89=23,MATCHED!$X89,IF(MATCHED!BH89=24,MATCHED!$Y89,IF(MATCHED!BH89=25,MATCHED!$Z89,IF(MATCHED!BH89=26,MATCHED!$AA89,IF(MATCHED!BH89=27,MATCHED!$AB89,"."))))))</f>
        <v>#N/A</v>
      </c>
      <c r="AG89" s="424" t="e">
        <f>IF(MATCHED!BI89=1,MATCHED!$B89,IF(MATCHED!BI89=2,MATCHED!$C89,IF(MATCHED!BI89=3,MATCHED!$D89,IF(MATCHED!BI89=4,MATCHED!$E89,IF(MATCHED!BI89=3,MATCHED!$F89,IF(MATCHED!BI89=6,MATCHED!$G89,IF(MATCHED!BI89=7,MATCHED!$H89,"")))))))&amp;IF(MATCHED!BI89=8,MATCHED!$I89,IF(MATCHED!BI89=9,MATCHED!$J89,IF(MATCHED!BI89=10,MATCHED!$K89,IF(MATCHED!BI89=11,MATCHED!$L89,IF(MATCHED!BI89=12,MATCHED!$M89,IF(MATCHED!BI89=13,MATCHED!$N89,IF(MATCHED!BI89=14,MATCHED!$O89,"")))))))&amp;IF(MATCHED!BI89=15,MATCHED!$P89,IF(MATCHED!BI89=16,MATCHED!$Q89,IF(MATCHED!BI89=17,MATCHED!$R89,IF(MATCHED!BI89=18,MATCHED!$S89,IF(MATCHED!BI89=19,MATCHED!$T89,IF(MATCHED!BI89=20,MATCHED!$U89,IF(MATCHED!BI89=21,MATCHED!$V89,)))))))&amp;IF(MATCHED!BI89=22,MATCHED!$W89,IF(MATCHED!BI89=23,MATCHED!$X89,IF(MATCHED!BI89=24,MATCHED!$Y89,IF(MATCHED!BI89=25,MATCHED!$Z89,IF(MATCHED!BI89=26,MATCHED!$AA89,IF(MATCHED!BI89=27,MATCHED!$AB89,"."))))))</f>
        <v>#N/A</v>
      </c>
      <c r="AH89" s="424" t="e">
        <f>IF(MATCHED!BJ89=1,MATCHED!$B89,IF(MATCHED!BJ89=2,MATCHED!$C89,IF(MATCHED!BJ89=3,MATCHED!$D89,IF(MATCHED!BJ89=4,MATCHED!$E89,IF(MATCHED!BJ89=3,MATCHED!$F89,IF(MATCHED!BJ89=6,MATCHED!$G89,IF(MATCHED!BJ89=7,MATCHED!$H89,"")))))))&amp;IF(MATCHED!BJ89=8,MATCHED!$I89,IF(MATCHED!BJ89=9,MATCHED!$J89,IF(MATCHED!BJ89=10,MATCHED!$K89,IF(MATCHED!BJ89=11,MATCHED!$L89,IF(MATCHED!BJ89=12,MATCHED!$M89,IF(MATCHED!BJ89=13,MATCHED!$N89,IF(MATCHED!BJ89=14,MATCHED!$O89,"")))))))&amp;IF(MATCHED!BJ89=15,MATCHED!$P89,IF(MATCHED!BJ89=16,MATCHED!$Q89,IF(MATCHED!BJ89=17,MATCHED!$R89,IF(MATCHED!BJ89=18,MATCHED!$S89,IF(MATCHED!BJ89=19,MATCHED!$T89,IF(MATCHED!BJ89=20,MATCHED!$U89,IF(MATCHED!BJ89=21,MATCHED!$V89,)))))))&amp;IF(MATCHED!BJ89=22,MATCHED!$W89,IF(MATCHED!BJ89=23,MATCHED!$X89,IF(MATCHED!BJ89=24,MATCHED!$Y89,IF(MATCHED!BJ89=25,MATCHED!$Z89,IF(MATCHED!BJ89=26,MATCHED!$AA89,IF(MATCHED!BJ89=27,MATCHED!$AB89,"."))))))</f>
        <v>#N/A</v>
      </c>
      <c r="AI89" s="424" t="e">
        <f>IF(MATCHED!BK89=1,MATCHED!$B89,IF(MATCHED!BK89=2,MATCHED!$C89,IF(MATCHED!BK89=3,MATCHED!$D89,IF(MATCHED!BK89=4,MATCHED!$E89,IF(MATCHED!BK89=3,MATCHED!$F89,IF(MATCHED!BK89=6,MATCHED!$G89,IF(MATCHED!BK89=7,MATCHED!$H89,"")))))))&amp;IF(MATCHED!BK89=8,MATCHED!$I89,IF(MATCHED!BK89=9,MATCHED!$J89,IF(MATCHED!BK89=10,MATCHED!$K89,IF(MATCHED!BK89=11,MATCHED!$L89,IF(MATCHED!BK89=12,MATCHED!$M89,IF(MATCHED!BK89=13,MATCHED!$N89,IF(MATCHED!BK89=14,MATCHED!$O89,"")))))))&amp;IF(MATCHED!BK89=15,MATCHED!$P89,IF(MATCHED!BK89=16,MATCHED!$Q89,IF(MATCHED!BK89=17,MATCHED!$R89,IF(MATCHED!BK89=18,MATCHED!$S89,IF(MATCHED!BK89=19,MATCHED!$T89,IF(MATCHED!BK89=20,MATCHED!$U89,IF(MATCHED!BK89=21,MATCHED!$V89,)))))))&amp;IF(MATCHED!BK89=22,MATCHED!$W89,IF(MATCHED!BK89=23,MATCHED!$X89,IF(MATCHED!BK89=24,MATCHED!$Y89,IF(MATCHED!BK89=25,MATCHED!$Z89,IF(MATCHED!BK89=26,MATCHED!$AA89,IF(MATCHED!BK89=27,MATCHED!$AB89,"."))))))</f>
        <v>#N/A</v>
      </c>
      <c r="AJ89" s="540" t="s">
        <v>186</v>
      </c>
    </row>
    <row r="90" spans="1:36" s="338" customFormat="1" x14ac:dyDescent="0.25">
      <c r="A90" s="535"/>
      <c r="B90" s="424" t="e">
        <f>IF(MATCHED!AD90=1,MATCHED!$B90,IF(MATCHED!AD90=2,MATCHED!$C90,IF(MATCHED!AD90=3,MATCHED!$D90,IF(MATCHED!AD90=4,MATCHED!$E90,IF(MATCHED!AD90=3,MATCHED!$F90,IF(MATCHED!AD90=6,MATCHED!$G90,IF(MATCHED!AD90=7,MATCHED!$H90,"")))))))&amp;IF(MATCHED!AD90=8,MATCHED!$I90,IF(MATCHED!AD90=9,MATCHED!$J90,IF(MATCHED!AD90=10,MATCHED!$K90,IF(MATCHED!AD90=11,MATCHED!$L90,IF(MATCHED!AD90=12,MATCHED!$M90,IF(MATCHED!AD90=13,MATCHED!$N90,IF(MATCHED!AD90=14,MATCHED!$O90,"")))))))&amp;IF(MATCHED!AD90=15,MATCHED!$P90,IF(MATCHED!AD90=16,MATCHED!$Q90,IF(MATCHED!AD90=17,MATCHED!$R90,IF(MATCHED!AD90=18,MATCHED!$S90,IF(MATCHED!AD90=19,MATCHED!$T90,IF(MATCHED!AD90=20,MATCHED!$U90,IF(MATCHED!AD90=21,MATCHED!$V90,)))))))&amp;IF(MATCHED!AD90=22,MATCHED!$W90,IF(MATCHED!AD90=23,MATCHED!$X90,IF(MATCHED!AD90=24,MATCHED!$Y90,IF(MATCHED!AD90=25,MATCHED!$Z90,IF(MATCHED!AD90=26,MATCHED!$AA90,IF(MATCHED!AD90=27,MATCHED!$AB90,"."))))))</f>
        <v>#N/A</v>
      </c>
      <c r="C90" s="424" t="e">
        <f>IF(MATCHED!AE90=1,MATCHED!$B90,IF(MATCHED!AE90=2,MATCHED!$C90,IF(MATCHED!AE90=3,MATCHED!$D90,IF(MATCHED!AE90=4,MATCHED!$E90,IF(MATCHED!AE90=3,MATCHED!$F90,IF(MATCHED!AE90=6,MATCHED!$G90,IF(MATCHED!AE90=7,MATCHED!$H90,"")))))))&amp;IF(MATCHED!AE90=8,MATCHED!$I90,IF(MATCHED!AE90=9,MATCHED!$J90,IF(MATCHED!AE90=10,MATCHED!$K90,IF(MATCHED!AE90=11,MATCHED!$L90,IF(MATCHED!AE90=12,MATCHED!$M90,IF(MATCHED!AE90=13,MATCHED!$N90,IF(MATCHED!AE90=14,MATCHED!$O90,"")))))))&amp;IF(MATCHED!AE90=15,MATCHED!$P90,IF(MATCHED!AE90=16,MATCHED!$Q90,IF(MATCHED!AE90=17,MATCHED!$R90,IF(MATCHED!AE90=18,MATCHED!$S90,IF(MATCHED!AE90=19,MATCHED!$T90,IF(MATCHED!AE90=20,MATCHED!$U90,IF(MATCHED!AE90=21,MATCHED!$V90,)))))))&amp;IF(MATCHED!AE90=22,MATCHED!$W90,IF(MATCHED!AE90=23,MATCHED!$X90,IF(MATCHED!AE90=24,MATCHED!$Y90,IF(MATCHED!AE90=25,MATCHED!$Z90,IF(MATCHED!AE90=26,MATCHED!$AA90,IF(MATCHED!AE90=27,MATCHED!$AB90,"."))))))</f>
        <v>#N/A</v>
      </c>
      <c r="D90" s="424" t="e">
        <f>IF(MATCHED!AF90=1,MATCHED!$B90,IF(MATCHED!AF90=2,MATCHED!$C90,IF(MATCHED!AF90=3,MATCHED!$D90,IF(MATCHED!AF90=4,MATCHED!$E90,IF(MATCHED!AF90=3,MATCHED!$F90,IF(MATCHED!AF90=6,MATCHED!$G90,IF(MATCHED!AF90=7,MATCHED!$H90,"")))))))&amp;IF(MATCHED!AF90=8,MATCHED!$I90,IF(MATCHED!AF90=9,MATCHED!$J90,IF(MATCHED!AF90=10,MATCHED!$K90,IF(MATCHED!AF90=11,MATCHED!$L90,IF(MATCHED!AF90=12,MATCHED!$M90,IF(MATCHED!AF90=13,MATCHED!$N90,IF(MATCHED!AF90=14,MATCHED!$O90,"")))))))&amp;IF(MATCHED!AF90=15,MATCHED!$P90,IF(MATCHED!AF90=16,MATCHED!$Q90,IF(MATCHED!AF90=17,MATCHED!$R90,IF(MATCHED!AF90=18,MATCHED!$S90,IF(MATCHED!AF90=19,MATCHED!$T90,IF(MATCHED!AF90=20,MATCHED!$U90,IF(MATCHED!AF90=21,MATCHED!$V90,)))))))&amp;IF(MATCHED!AF90=22,MATCHED!$W90,IF(MATCHED!AF90=23,MATCHED!$X90,IF(MATCHED!AF90=24,MATCHED!$Y90,IF(MATCHED!AF90=25,MATCHED!$Z90,IF(MATCHED!AF90=26,MATCHED!$AA90,IF(MATCHED!AF90=27,MATCHED!$AB90,"."))))))</f>
        <v>#N/A</v>
      </c>
      <c r="E90" s="424" t="e">
        <f>IF(MATCHED!AG90=1,MATCHED!$B90,IF(MATCHED!AG90=2,MATCHED!$C90,IF(MATCHED!AG90=3,MATCHED!$D90,IF(MATCHED!AG90=4,MATCHED!$E90,IF(MATCHED!AG90=3,MATCHED!$F90,IF(MATCHED!AG90=6,MATCHED!$G90,IF(MATCHED!AG90=7,MATCHED!$H90,"")))))))&amp;IF(MATCHED!AG90=8,MATCHED!$I90,IF(MATCHED!AG90=9,MATCHED!$J90,IF(MATCHED!AG90=10,MATCHED!$K90,IF(MATCHED!AG90=11,MATCHED!$L90,IF(MATCHED!AG90=12,MATCHED!$M90,IF(MATCHED!AG90=13,MATCHED!$N90,IF(MATCHED!AG90=14,MATCHED!$O90,"")))))))&amp;IF(MATCHED!AG90=15,MATCHED!$P90,IF(MATCHED!AG90=16,MATCHED!$Q90,IF(MATCHED!AG90=17,MATCHED!$R90,IF(MATCHED!AG90=18,MATCHED!$S90,IF(MATCHED!AG90=19,MATCHED!$T90,IF(MATCHED!AG90=20,MATCHED!$U90,IF(MATCHED!AG90=21,MATCHED!$V90,)))))))&amp;IF(MATCHED!AG90=22,MATCHED!$W90,IF(MATCHED!AG90=23,MATCHED!$X90,IF(MATCHED!AG90=24,MATCHED!$Y90,IF(MATCHED!AG90=25,MATCHED!$Z90,IF(MATCHED!AG90=26,MATCHED!$AA90,IF(MATCHED!AG90=27,MATCHED!$AB90,"."))))))</f>
        <v>#N/A</v>
      </c>
      <c r="F90" s="424" t="e">
        <f>IF(MATCHED!AH90=1,MATCHED!$B90,IF(MATCHED!AH90=2,MATCHED!$C90,IF(MATCHED!AH90=3,MATCHED!$D90,IF(MATCHED!AH90=4,MATCHED!$E90,IF(MATCHED!AH90=3,MATCHED!$F90,IF(MATCHED!AH90=6,MATCHED!$G90,IF(MATCHED!AH90=7,MATCHED!$H90,"")))))))&amp;IF(MATCHED!AH90=8,MATCHED!$I90,IF(MATCHED!AH90=9,MATCHED!$J90,IF(MATCHED!AH90=10,MATCHED!$K90,IF(MATCHED!AH90=11,MATCHED!$L90,IF(MATCHED!AH90=12,MATCHED!$M90,IF(MATCHED!AH90=13,MATCHED!$N90,IF(MATCHED!AH90=14,MATCHED!$O90,"")))))))&amp;IF(MATCHED!AH90=15,MATCHED!$P90,IF(MATCHED!AH90=16,MATCHED!$Q90,IF(MATCHED!AH90=17,MATCHED!$R90,IF(MATCHED!AH90=18,MATCHED!$S90,IF(MATCHED!AH90=19,MATCHED!$T90,IF(MATCHED!AH90=20,MATCHED!$U90,IF(MATCHED!AH90=21,MATCHED!$V90,)))))))&amp;IF(MATCHED!AH90=22,MATCHED!$W90,IF(MATCHED!AH90=23,MATCHED!$X90,IF(MATCHED!AH90=24,MATCHED!$Y90,IF(MATCHED!AH90=25,MATCHED!$Z90,IF(MATCHED!AH90=26,MATCHED!$AA90,IF(MATCHED!AH90=27,MATCHED!$AB90,"."))))))</f>
        <v>#N/A</v>
      </c>
      <c r="G90" s="424" t="e">
        <f>IF(MATCHED!AI90=1,MATCHED!$B90,IF(MATCHED!AI90=2,MATCHED!$C90,IF(MATCHED!AI90=3,MATCHED!$D90,IF(MATCHED!AI90=4,MATCHED!$E90,IF(MATCHED!AI90=3,MATCHED!$F90,IF(MATCHED!AI90=6,MATCHED!$G90,IF(MATCHED!AI90=7,MATCHED!$H90,"")))))))&amp;IF(MATCHED!AI90=8,MATCHED!$I90,IF(MATCHED!AI90=9,MATCHED!$J90,IF(MATCHED!AI90=10,MATCHED!$K90,IF(MATCHED!AI90=11,MATCHED!$L90,IF(MATCHED!AI90=12,MATCHED!$M90,IF(MATCHED!AI90=13,MATCHED!$N90,IF(MATCHED!AI90=14,MATCHED!$O90,"")))))))&amp;IF(MATCHED!AI90=15,MATCHED!$P90,IF(MATCHED!AI90=16,MATCHED!$Q90,IF(MATCHED!AI90=17,MATCHED!$R90,IF(MATCHED!AI90=18,MATCHED!$S90,IF(MATCHED!AI90=19,MATCHED!$T90,IF(MATCHED!AI90=20,MATCHED!$U90,IF(MATCHED!AI90=21,MATCHED!$V90,)))))))&amp;IF(MATCHED!AI90=22,MATCHED!$W90,IF(MATCHED!AI90=23,MATCHED!$X90,IF(MATCHED!AI90=24,MATCHED!$Y90,IF(MATCHED!AI90=25,MATCHED!$Z90,IF(MATCHED!AI90=26,MATCHED!$AA90,IF(MATCHED!AI90=27,MATCHED!$AB90,"."))))))</f>
        <v>#N/A</v>
      </c>
      <c r="H90" s="424" t="e">
        <f>IF(MATCHED!AJ90=1,MATCHED!$B90,IF(MATCHED!AJ90=2,MATCHED!$C90,IF(MATCHED!AJ90=3,MATCHED!$D90,IF(MATCHED!AJ90=4,MATCHED!$E90,IF(MATCHED!AJ90=3,MATCHED!$F90,IF(MATCHED!AJ90=6,MATCHED!$G90,IF(MATCHED!AJ90=7,MATCHED!$H90,"")))))))&amp;IF(MATCHED!AJ90=8,MATCHED!$I90,IF(MATCHED!AJ90=9,MATCHED!$J90,IF(MATCHED!AJ90=10,MATCHED!$K90,IF(MATCHED!AJ90=11,MATCHED!$L90,IF(MATCHED!AJ90=12,MATCHED!$M90,IF(MATCHED!AJ90=13,MATCHED!$N90,IF(MATCHED!AJ90=14,MATCHED!$O90,"")))))))&amp;IF(MATCHED!AJ90=15,MATCHED!$P90,IF(MATCHED!AJ90=16,MATCHED!$Q90,IF(MATCHED!AJ90=17,MATCHED!$R90,IF(MATCHED!AJ90=18,MATCHED!$S90,IF(MATCHED!AJ90=19,MATCHED!$T90,IF(MATCHED!AJ90=20,MATCHED!$U90,IF(MATCHED!AJ90=21,MATCHED!$V90,)))))))&amp;IF(MATCHED!AJ90=22,MATCHED!$W90,IF(MATCHED!AJ90=23,MATCHED!$X90,IF(MATCHED!AJ90=24,MATCHED!$Y90,IF(MATCHED!AJ90=25,MATCHED!$Z90,IF(MATCHED!AJ90=26,MATCHED!$AA90,IF(MATCHED!AJ90=27,MATCHED!$AB90,"."))))))</f>
        <v>#N/A</v>
      </c>
      <c r="I90" s="424" t="e">
        <f>IF(MATCHED!AK90=1,MATCHED!$B90,IF(MATCHED!AK90=2,MATCHED!$C90,IF(MATCHED!AK90=3,MATCHED!$D90,IF(MATCHED!AK90=4,MATCHED!$E90,IF(MATCHED!AK90=3,MATCHED!$F90,IF(MATCHED!AK90=6,MATCHED!$G90,IF(MATCHED!AK90=7,MATCHED!$H90,"")))))))&amp;IF(MATCHED!AK90=8,MATCHED!$I90,IF(MATCHED!AK90=9,MATCHED!$J90,IF(MATCHED!AK90=10,MATCHED!$K90,IF(MATCHED!AK90=11,MATCHED!$L90,IF(MATCHED!AK90=12,MATCHED!$M90,IF(MATCHED!AK90=13,MATCHED!$N90,IF(MATCHED!AK90=14,MATCHED!$O90,"")))))))&amp;IF(MATCHED!AK90=15,MATCHED!$P90,IF(MATCHED!AK90=16,MATCHED!$Q90,IF(MATCHED!AK90=17,MATCHED!$R90,IF(MATCHED!AK90=18,MATCHED!$S90,IF(MATCHED!AK90=19,MATCHED!$T90,IF(MATCHED!AK90=20,MATCHED!$U90,IF(MATCHED!AK90=21,MATCHED!$V90,)))))))&amp;IF(MATCHED!AK90=22,MATCHED!$W90,IF(MATCHED!AK90=23,MATCHED!$X90,IF(MATCHED!AK90=24,MATCHED!$Y90,IF(MATCHED!AK90=25,MATCHED!$Z90,IF(MATCHED!AK90=26,MATCHED!$AA90,IF(MATCHED!AK90=27,MATCHED!$AB90,"."))))))</f>
        <v>#N/A</v>
      </c>
      <c r="J90" s="424" t="e">
        <f>IF(MATCHED!AL90=1,MATCHED!$B90,IF(MATCHED!AL90=2,MATCHED!$C90,IF(MATCHED!AL90=3,MATCHED!$D90,IF(MATCHED!AL90=4,MATCHED!$E90,IF(MATCHED!AL90=3,MATCHED!$F90,IF(MATCHED!AL90=6,MATCHED!$G90,IF(MATCHED!AL90=7,MATCHED!$H90,"")))))))&amp;IF(MATCHED!AL90=8,MATCHED!$I90,IF(MATCHED!AL90=9,MATCHED!$J90,IF(MATCHED!AL90=10,MATCHED!$K90,IF(MATCHED!AL90=11,MATCHED!$L90,IF(MATCHED!AL90=12,MATCHED!$M90,IF(MATCHED!AL90=13,MATCHED!$N90,IF(MATCHED!AL90=14,MATCHED!$O90,"")))))))&amp;IF(MATCHED!AL90=15,MATCHED!$P90,IF(MATCHED!AL90=16,MATCHED!$Q90,IF(MATCHED!AL90=17,MATCHED!$R90,IF(MATCHED!AL90=18,MATCHED!$S90,IF(MATCHED!AL90=19,MATCHED!$T90,IF(MATCHED!AL90=20,MATCHED!$U90,IF(MATCHED!AL90=21,MATCHED!$V90,)))))))&amp;IF(MATCHED!AL90=22,MATCHED!$W90,IF(MATCHED!AL90=23,MATCHED!$X90,IF(MATCHED!AL90=24,MATCHED!$Y90,IF(MATCHED!AL90=25,MATCHED!$Z90,IF(MATCHED!AL90=26,MATCHED!$AA90,IF(MATCHED!AL90=27,MATCHED!$AB90,"."))))))</f>
        <v>#N/A</v>
      </c>
      <c r="K90" s="424" t="e">
        <f>IF(MATCHED!AM90=1,MATCHED!$B90,IF(MATCHED!AM90=2,MATCHED!$C90,IF(MATCHED!AM90=3,MATCHED!$D90,IF(MATCHED!AM90=4,MATCHED!$E90,IF(MATCHED!AM90=3,MATCHED!$F90,IF(MATCHED!AM90=6,MATCHED!$G90,IF(MATCHED!AM90=7,MATCHED!$H90,"")))))))&amp;IF(MATCHED!AM90=8,MATCHED!$I90,IF(MATCHED!AM90=9,MATCHED!$J90,IF(MATCHED!AM90=10,MATCHED!$K90,IF(MATCHED!AM90=11,MATCHED!$L90,IF(MATCHED!AM90=12,MATCHED!$M90,IF(MATCHED!AM90=13,MATCHED!$N90,IF(MATCHED!AM90=14,MATCHED!$O90,"")))))))&amp;IF(MATCHED!AM90=15,MATCHED!$P90,IF(MATCHED!AM90=16,MATCHED!$Q90,IF(MATCHED!AM90=17,MATCHED!$R90,IF(MATCHED!AM90=18,MATCHED!$S90,IF(MATCHED!AM90=19,MATCHED!$T90,IF(MATCHED!AM90=20,MATCHED!$U90,IF(MATCHED!AM90=21,MATCHED!$V90,)))))))&amp;IF(MATCHED!AM90=22,MATCHED!$W90,IF(MATCHED!AM90=23,MATCHED!$X90,IF(MATCHED!AM90=24,MATCHED!$Y90,IF(MATCHED!AM90=25,MATCHED!$Z90,IF(MATCHED!AM90=26,MATCHED!$AA90,IF(MATCHED!AM90=27,MATCHED!$AB90,"."))))))</f>
        <v>#N/A</v>
      </c>
      <c r="L90" s="424" t="e">
        <f>IF(MATCHED!AN90=1,MATCHED!$B90,IF(MATCHED!AN90=2,MATCHED!$C90,IF(MATCHED!AN90=3,MATCHED!$D90,IF(MATCHED!AN90=4,MATCHED!$E90,IF(MATCHED!AN90=3,MATCHED!$F90,IF(MATCHED!AN90=6,MATCHED!$G90,IF(MATCHED!AN90=7,MATCHED!$H90,"")))))))&amp;IF(MATCHED!AN90=8,MATCHED!$I90,IF(MATCHED!AN90=9,MATCHED!$J90,IF(MATCHED!AN90=10,MATCHED!$K90,IF(MATCHED!AN90=11,MATCHED!$L90,IF(MATCHED!AN90=12,MATCHED!$M90,IF(MATCHED!AN90=13,MATCHED!$N90,IF(MATCHED!AN90=14,MATCHED!$O90,"")))))))&amp;IF(MATCHED!AN90=15,MATCHED!$P90,IF(MATCHED!AN90=16,MATCHED!$Q90,IF(MATCHED!AN90=17,MATCHED!$R90,IF(MATCHED!AN90=18,MATCHED!$S90,IF(MATCHED!AN90=19,MATCHED!$T90,IF(MATCHED!AN90=20,MATCHED!$U90,IF(MATCHED!AN90=21,MATCHED!$V90,)))))))&amp;IF(MATCHED!AN90=22,MATCHED!$W90,IF(MATCHED!AN90=23,MATCHED!$X90,IF(MATCHED!AN90=24,MATCHED!$Y90,IF(MATCHED!AN90=25,MATCHED!$Z90,IF(MATCHED!AN90=26,MATCHED!$AA90,IF(MATCHED!AN90=27,MATCHED!$AB90,"."))))))</f>
        <v>#N/A</v>
      </c>
      <c r="M90" s="424" t="e">
        <f>IF(MATCHED!AO90=1,MATCHED!$B90,IF(MATCHED!AO90=2,MATCHED!$C90,IF(MATCHED!AO90=3,MATCHED!$D90,IF(MATCHED!AO90=4,MATCHED!$E90,IF(MATCHED!AO90=3,MATCHED!$F90,IF(MATCHED!AO90=6,MATCHED!$G90,IF(MATCHED!AO90=7,MATCHED!$H90,"")))))))&amp;IF(MATCHED!AO90=8,MATCHED!$I90,IF(MATCHED!AO90=9,MATCHED!$J90,IF(MATCHED!AO90=10,MATCHED!$K90,IF(MATCHED!AO90=11,MATCHED!$L90,IF(MATCHED!AO90=12,MATCHED!$M90,IF(MATCHED!AO90=13,MATCHED!$N90,IF(MATCHED!AO90=14,MATCHED!$O90,"")))))))&amp;IF(MATCHED!AO90=15,MATCHED!$P90,IF(MATCHED!AO90=16,MATCHED!$Q90,IF(MATCHED!AO90=17,MATCHED!$R90,IF(MATCHED!AO90=18,MATCHED!$S90,IF(MATCHED!AO90=19,MATCHED!$T90,IF(MATCHED!AO90=20,MATCHED!$U90,IF(MATCHED!AO90=21,MATCHED!$V90,)))))))&amp;IF(MATCHED!AO90=22,MATCHED!$W90,IF(MATCHED!AO90=23,MATCHED!$X90,IF(MATCHED!AO90=24,MATCHED!$Y90,IF(MATCHED!AO90=25,MATCHED!$Z90,IF(MATCHED!AO90=26,MATCHED!$AA90,IF(MATCHED!AO90=27,MATCHED!$AB90,"."))))))</f>
        <v>#N/A</v>
      </c>
      <c r="N90" s="424" t="e">
        <f>IF(MATCHED!AP90=1,MATCHED!$B90,IF(MATCHED!AP90=2,MATCHED!$C90,IF(MATCHED!AP90=3,MATCHED!$D90,IF(MATCHED!AP90=4,MATCHED!$E90,IF(MATCHED!AP90=3,MATCHED!$F90,IF(MATCHED!AP90=6,MATCHED!$G90,IF(MATCHED!AP90=7,MATCHED!$H90,"")))))))&amp;IF(MATCHED!AP90=8,MATCHED!$I90,IF(MATCHED!AP90=9,MATCHED!$J90,IF(MATCHED!AP90=10,MATCHED!$K90,IF(MATCHED!AP90=11,MATCHED!$L90,IF(MATCHED!AP90=12,MATCHED!$M90,IF(MATCHED!AP90=13,MATCHED!$N90,IF(MATCHED!AP90=14,MATCHED!$O90,"")))))))&amp;IF(MATCHED!AP90=15,MATCHED!$P90,IF(MATCHED!AP90=16,MATCHED!$Q90,IF(MATCHED!AP90=17,MATCHED!$R90,IF(MATCHED!AP90=18,MATCHED!$S90,IF(MATCHED!AP90=19,MATCHED!$T90,IF(MATCHED!AP90=20,MATCHED!$U90,IF(MATCHED!AP90=21,MATCHED!$V90,)))))))&amp;IF(MATCHED!AP90=22,MATCHED!$W90,IF(MATCHED!AP90=23,MATCHED!$X90,IF(MATCHED!AP90=24,MATCHED!$Y90,IF(MATCHED!AP90=25,MATCHED!$Z90,IF(MATCHED!AP90=26,MATCHED!$AA90,IF(MATCHED!AP90=27,MATCHED!$AB90,"."))))))</f>
        <v>#N/A</v>
      </c>
      <c r="O90" s="424" t="e">
        <f>IF(MATCHED!AQ90=1,MATCHED!$B90,IF(MATCHED!AQ90=2,MATCHED!$C90,IF(MATCHED!AQ90=3,MATCHED!$D90,IF(MATCHED!AQ90=4,MATCHED!$E90,IF(MATCHED!AQ90=3,MATCHED!$F90,IF(MATCHED!AQ90=6,MATCHED!$G90,IF(MATCHED!AQ90=7,MATCHED!$H90,"")))))))&amp;IF(MATCHED!AQ90=8,MATCHED!$I90,IF(MATCHED!AQ90=9,MATCHED!$J90,IF(MATCHED!AQ90=10,MATCHED!$K90,IF(MATCHED!AQ90=11,MATCHED!$L90,IF(MATCHED!AQ90=12,MATCHED!$M90,IF(MATCHED!AQ90=13,MATCHED!$N90,IF(MATCHED!AQ90=14,MATCHED!$O90,"")))))))&amp;IF(MATCHED!AQ90=15,MATCHED!$P90,IF(MATCHED!AQ90=16,MATCHED!$Q90,IF(MATCHED!AQ90=17,MATCHED!$R90,IF(MATCHED!AQ90=18,MATCHED!$S90,IF(MATCHED!AQ90=19,MATCHED!$T90,IF(MATCHED!AQ90=20,MATCHED!$U90,IF(MATCHED!AQ90=21,MATCHED!$V90,)))))))&amp;IF(MATCHED!AQ90=22,MATCHED!$W90,IF(MATCHED!AQ90=23,MATCHED!$X90,IF(MATCHED!AQ90=24,MATCHED!$Y90,IF(MATCHED!AQ90=25,MATCHED!$Z90,IF(MATCHED!AQ90=26,MATCHED!$AA90,IF(MATCHED!AQ90=27,MATCHED!$AB90,"."))))))</f>
        <v>#N/A</v>
      </c>
      <c r="P90" s="424" t="e">
        <f>IF(MATCHED!AR90=1,MATCHED!$B90,IF(MATCHED!AR90=2,MATCHED!$C90,IF(MATCHED!AR90=3,MATCHED!$D90,IF(MATCHED!AR90=4,MATCHED!$E90,IF(MATCHED!AR90=3,MATCHED!$F90,IF(MATCHED!AR90=6,MATCHED!$G90,IF(MATCHED!AR90=7,MATCHED!$H90,"")))))))&amp;IF(MATCHED!AR90=8,MATCHED!$I90,IF(MATCHED!AR90=9,MATCHED!$J90,IF(MATCHED!AR90=10,MATCHED!$K90,IF(MATCHED!AR90=11,MATCHED!$L90,IF(MATCHED!AR90=12,MATCHED!$M90,IF(MATCHED!AR90=13,MATCHED!$N90,IF(MATCHED!AR90=14,MATCHED!$O90,"")))))))&amp;IF(MATCHED!AR90=15,MATCHED!$P90,IF(MATCHED!AR90=16,MATCHED!$Q90,IF(MATCHED!AR90=17,MATCHED!$R90,IF(MATCHED!AR90=18,MATCHED!$S90,IF(MATCHED!AR90=19,MATCHED!$T90,IF(MATCHED!AR90=20,MATCHED!$U90,IF(MATCHED!AR90=21,MATCHED!$V90,)))))))&amp;IF(MATCHED!AR90=22,MATCHED!$W90,IF(MATCHED!AR90=23,MATCHED!$X90,IF(MATCHED!AR90=24,MATCHED!$Y90,IF(MATCHED!AR90=25,MATCHED!$Z90,IF(MATCHED!AR90=26,MATCHED!$AA90,IF(MATCHED!AR90=27,MATCHED!$AB90,"."))))))</f>
        <v>#N/A</v>
      </c>
      <c r="Q90" s="424" t="e">
        <f>IF(MATCHED!AS90=1,MATCHED!$B90,IF(MATCHED!AS90=2,MATCHED!$C90,IF(MATCHED!AS90=3,MATCHED!$D90,IF(MATCHED!AS90=4,MATCHED!$E90,IF(MATCHED!AS90=3,MATCHED!$F90,IF(MATCHED!AS90=6,MATCHED!$G90,IF(MATCHED!AS90=7,MATCHED!$H90,"")))))))&amp;IF(MATCHED!AS90=8,MATCHED!$I90,IF(MATCHED!AS90=9,MATCHED!$J90,IF(MATCHED!AS90=10,MATCHED!$K90,IF(MATCHED!AS90=11,MATCHED!$L90,IF(MATCHED!AS90=12,MATCHED!$M90,IF(MATCHED!AS90=13,MATCHED!$N90,IF(MATCHED!AS90=14,MATCHED!$O90,"")))))))&amp;IF(MATCHED!AS90=15,MATCHED!$P90,IF(MATCHED!AS90=16,MATCHED!$Q90,IF(MATCHED!AS90=17,MATCHED!$R90,IF(MATCHED!AS90=18,MATCHED!$S90,IF(MATCHED!AS90=19,MATCHED!$T90,IF(MATCHED!AS90=20,MATCHED!$U90,IF(MATCHED!AS90=21,MATCHED!$V90,)))))))&amp;IF(MATCHED!AS90=22,MATCHED!$W90,IF(MATCHED!AS90=23,MATCHED!$X90,IF(MATCHED!AS90=24,MATCHED!$Y90,IF(MATCHED!AS90=25,MATCHED!$Z90,IF(MATCHED!AS90=26,MATCHED!$AA90,IF(MATCHED!AS90=27,MATCHED!$AB90,"."))))))</f>
        <v>#N/A</v>
      </c>
      <c r="R90" s="424" t="e">
        <f>IF(MATCHED!AT90=1,MATCHED!$B90,IF(MATCHED!AT90=2,MATCHED!$C90,IF(MATCHED!AT90=3,MATCHED!$D90,IF(MATCHED!AT90=4,MATCHED!$E90,IF(MATCHED!AT90=3,MATCHED!$F90,IF(MATCHED!AT90=6,MATCHED!$G90,IF(MATCHED!AT90=7,MATCHED!$H90,"")))))))&amp;IF(MATCHED!AT90=8,MATCHED!$I90,IF(MATCHED!AT90=9,MATCHED!$J90,IF(MATCHED!AT90=10,MATCHED!$K90,IF(MATCHED!AT90=11,MATCHED!$L90,IF(MATCHED!AT90=12,MATCHED!$M90,IF(MATCHED!AT90=13,MATCHED!$N90,IF(MATCHED!AT90=14,MATCHED!$O90,"")))))))&amp;IF(MATCHED!AT90=15,MATCHED!$P90,IF(MATCHED!AT90=16,MATCHED!$Q90,IF(MATCHED!AT90=17,MATCHED!$R90,IF(MATCHED!AT90=18,MATCHED!$S90,IF(MATCHED!AT90=19,MATCHED!$T90,IF(MATCHED!AT90=20,MATCHED!$U90,IF(MATCHED!AT90=21,MATCHED!$V90,)))))))&amp;IF(MATCHED!AT90=22,MATCHED!$W90,IF(MATCHED!AT90=23,MATCHED!$X90,IF(MATCHED!AT90=24,MATCHED!$Y90,IF(MATCHED!AT90=25,MATCHED!$Z90,IF(MATCHED!AT90=26,MATCHED!$AA90,IF(MATCHED!AT90=27,MATCHED!$AB90,"."))))))</f>
        <v>#N/A</v>
      </c>
      <c r="S90" s="424" t="e">
        <f>IF(MATCHED!AU90=1,MATCHED!$B90,IF(MATCHED!AU90=2,MATCHED!$C90,IF(MATCHED!AU90=3,MATCHED!$D90,IF(MATCHED!AU90=4,MATCHED!$E90,IF(MATCHED!AU90=3,MATCHED!$F90,IF(MATCHED!AU90=6,MATCHED!$G90,IF(MATCHED!AU90=7,MATCHED!$H90,"")))))))&amp;IF(MATCHED!AU90=8,MATCHED!$I90,IF(MATCHED!AU90=9,MATCHED!$J90,IF(MATCHED!AU90=10,MATCHED!$K90,IF(MATCHED!AU90=11,MATCHED!$L90,IF(MATCHED!AU90=12,MATCHED!$M90,IF(MATCHED!AU90=13,MATCHED!$N90,IF(MATCHED!AU90=14,MATCHED!$O90,"")))))))&amp;IF(MATCHED!AU90=15,MATCHED!$P90,IF(MATCHED!AU90=16,MATCHED!$Q90,IF(MATCHED!AU90=17,MATCHED!$R90,IF(MATCHED!AU90=18,MATCHED!$S90,IF(MATCHED!AU90=19,MATCHED!$T90,IF(MATCHED!AU90=20,MATCHED!$U90,IF(MATCHED!AU90=21,MATCHED!$V90,)))))))&amp;IF(MATCHED!AU90=22,MATCHED!$W90,IF(MATCHED!AU90=23,MATCHED!$X90,IF(MATCHED!AU90=24,MATCHED!$Y90,IF(MATCHED!AU90=25,MATCHED!$Z90,IF(MATCHED!AU90=26,MATCHED!$AA90,IF(MATCHED!AU90=27,MATCHED!$AB90,"."))))))</f>
        <v>#N/A</v>
      </c>
      <c r="T90" s="424" t="e">
        <f>IF(MATCHED!AV90=1,MATCHED!$B90,IF(MATCHED!AV90=2,MATCHED!$C90,IF(MATCHED!AV90=3,MATCHED!$D90,IF(MATCHED!AV90=4,MATCHED!$E90,IF(MATCHED!AV90=3,MATCHED!$F90,IF(MATCHED!AV90=6,MATCHED!$G90,IF(MATCHED!AV90=7,MATCHED!$H90,"")))))))&amp;IF(MATCHED!AV90=8,MATCHED!$I90,IF(MATCHED!AV90=9,MATCHED!$J90,IF(MATCHED!AV90=10,MATCHED!$K90,IF(MATCHED!AV90=11,MATCHED!$L90,IF(MATCHED!AV90=12,MATCHED!$M90,IF(MATCHED!AV90=13,MATCHED!$N90,IF(MATCHED!AV90=14,MATCHED!$O90,"")))))))&amp;IF(MATCHED!AV90=15,MATCHED!$P90,IF(MATCHED!AV90=16,MATCHED!$Q90,IF(MATCHED!AV90=17,MATCHED!$R90,IF(MATCHED!AV90=18,MATCHED!$S90,IF(MATCHED!AV90=19,MATCHED!$T90,IF(MATCHED!AV90=20,MATCHED!$U90,IF(MATCHED!AV90=21,MATCHED!$V90,)))))))&amp;IF(MATCHED!AV90=22,MATCHED!$W90,IF(MATCHED!AV90=23,MATCHED!$X90,IF(MATCHED!AV90=24,MATCHED!$Y90,IF(MATCHED!AV90=25,MATCHED!$Z90,IF(MATCHED!AV90=26,MATCHED!$AA90,IF(MATCHED!AV90=27,MATCHED!$AB90,"."))))))</f>
        <v>#N/A</v>
      </c>
      <c r="U90" s="424" t="e">
        <f>IF(MATCHED!AW90=1,MATCHED!$B90,IF(MATCHED!AW90=2,MATCHED!$C90,IF(MATCHED!AW90=3,MATCHED!$D90,IF(MATCHED!AW90=4,MATCHED!$E90,IF(MATCHED!AW90=3,MATCHED!$F90,IF(MATCHED!AW90=6,MATCHED!$G90,IF(MATCHED!AW90=7,MATCHED!$H90,"")))))))&amp;IF(MATCHED!AW90=8,MATCHED!$I90,IF(MATCHED!AW90=9,MATCHED!$J90,IF(MATCHED!AW90=10,MATCHED!$K90,IF(MATCHED!AW90=11,MATCHED!$L90,IF(MATCHED!AW90=12,MATCHED!$M90,IF(MATCHED!AW90=13,MATCHED!$N90,IF(MATCHED!AW90=14,MATCHED!$O90,"")))))))&amp;IF(MATCHED!AW90=15,MATCHED!$P90,IF(MATCHED!AW90=16,MATCHED!$Q90,IF(MATCHED!AW90=17,MATCHED!$R90,IF(MATCHED!AW90=18,MATCHED!$S90,IF(MATCHED!AW90=19,MATCHED!$T90,IF(MATCHED!AW90=20,MATCHED!$U90,IF(MATCHED!AW90=21,MATCHED!$V90,)))))))&amp;IF(MATCHED!AW90=22,MATCHED!$W90,IF(MATCHED!AW90=23,MATCHED!$X90,IF(MATCHED!AW90=24,MATCHED!$Y90,IF(MATCHED!AW90=25,MATCHED!$Z90,IF(MATCHED!AW90=26,MATCHED!$AA90,IF(MATCHED!AW90=27,MATCHED!$AB90,"."))))))</f>
        <v>#N/A</v>
      </c>
      <c r="V90" s="424" t="e">
        <f>IF(MATCHED!AX90=1,MATCHED!$B90,IF(MATCHED!AX90=2,MATCHED!$C90,IF(MATCHED!AX90=3,MATCHED!$D90,IF(MATCHED!AX90=4,MATCHED!$E90,IF(MATCHED!AX90=3,MATCHED!$F90,IF(MATCHED!AX90=6,MATCHED!$G90,IF(MATCHED!AX90=7,MATCHED!$H90,"")))))))&amp;IF(MATCHED!AX90=8,MATCHED!$I90,IF(MATCHED!AX90=9,MATCHED!$J90,IF(MATCHED!AX90=10,MATCHED!$K90,IF(MATCHED!AX90=11,MATCHED!$L90,IF(MATCHED!AX90=12,MATCHED!$M90,IF(MATCHED!AX90=13,MATCHED!$N90,IF(MATCHED!AX90=14,MATCHED!$O90,"")))))))&amp;IF(MATCHED!AX90=15,MATCHED!$P90,IF(MATCHED!AX90=16,MATCHED!$Q90,IF(MATCHED!AX90=17,MATCHED!$R90,IF(MATCHED!AX90=18,MATCHED!$S90,IF(MATCHED!AX90=19,MATCHED!$T90,IF(MATCHED!AX90=20,MATCHED!$U90,IF(MATCHED!AX90=21,MATCHED!$V90,)))))))&amp;IF(MATCHED!AX90=22,MATCHED!$W90,IF(MATCHED!AX90=23,MATCHED!$X90,IF(MATCHED!AX90=24,MATCHED!$Y90,IF(MATCHED!AX90=25,MATCHED!$Z90,IF(MATCHED!AX90=26,MATCHED!$AA90,IF(MATCHED!AX90=27,MATCHED!$AB90,"."))))))</f>
        <v>#N/A</v>
      </c>
      <c r="W90" s="424" t="e">
        <f>IF(MATCHED!AY90=1,MATCHED!$B90,IF(MATCHED!AY90=2,MATCHED!$C90,IF(MATCHED!AY90=3,MATCHED!$D90,IF(MATCHED!AY90=4,MATCHED!$E90,IF(MATCHED!AY90=3,MATCHED!$F90,IF(MATCHED!AY90=6,MATCHED!$G90,IF(MATCHED!AY90=7,MATCHED!$H90,"")))))))&amp;IF(MATCHED!AY90=8,MATCHED!$I90,IF(MATCHED!AY90=9,MATCHED!$J90,IF(MATCHED!AY90=10,MATCHED!$K90,IF(MATCHED!AY90=11,MATCHED!$L90,IF(MATCHED!AY90=12,MATCHED!$M90,IF(MATCHED!AY90=13,MATCHED!$N90,IF(MATCHED!AY90=14,MATCHED!$O90,"")))))))&amp;IF(MATCHED!AY90=15,MATCHED!$P90,IF(MATCHED!AY90=16,MATCHED!$Q90,IF(MATCHED!AY90=17,MATCHED!$R90,IF(MATCHED!AY90=18,MATCHED!$S90,IF(MATCHED!AY90=19,MATCHED!$T90,IF(MATCHED!AY90=20,MATCHED!$U90,IF(MATCHED!AY90=21,MATCHED!$V90,)))))))&amp;IF(MATCHED!AY90=22,MATCHED!$W90,IF(MATCHED!AY90=23,MATCHED!$X90,IF(MATCHED!AY90=24,MATCHED!$Y90,IF(MATCHED!AY90=25,MATCHED!$Z90,IF(MATCHED!AY90=26,MATCHED!$AA90,IF(MATCHED!AY90=27,MATCHED!$AB90,"."))))))</f>
        <v>#N/A</v>
      </c>
      <c r="X90" s="424" t="e">
        <f>IF(MATCHED!AZ90=1,MATCHED!$B90,IF(MATCHED!AZ90=2,MATCHED!$C90,IF(MATCHED!AZ90=3,MATCHED!$D90,IF(MATCHED!AZ90=4,MATCHED!$E90,IF(MATCHED!AZ90=3,MATCHED!$F90,IF(MATCHED!AZ90=6,MATCHED!$G90,IF(MATCHED!AZ90=7,MATCHED!$H90,"")))))))&amp;IF(MATCHED!AZ90=8,MATCHED!$I90,IF(MATCHED!AZ90=9,MATCHED!$J90,IF(MATCHED!AZ90=10,MATCHED!$K90,IF(MATCHED!AZ90=11,MATCHED!$L90,IF(MATCHED!AZ90=12,MATCHED!$M90,IF(MATCHED!AZ90=13,MATCHED!$N90,IF(MATCHED!AZ90=14,MATCHED!$O90,"")))))))&amp;IF(MATCHED!AZ90=15,MATCHED!$P90,IF(MATCHED!AZ90=16,MATCHED!$Q90,IF(MATCHED!AZ90=17,MATCHED!$R90,IF(MATCHED!AZ90=18,MATCHED!$S90,IF(MATCHED!AZ90=19,MATCHED!$T90,IF(MATCHED!AZ90=20,MATCHED!$U90,IF(MATCHED!AZ90=21,MATCHED!$V90,)))))))&amp;IF(MATCHED!AZ90=22,MATCHED!$W90,IF(MATCHED!AZ90=23,MATCHED!$X90,IF(MATCHED!AZ90=24,MATCHED!$Y90,IF(MATCHED!AZ90=25,MATCHED!$Z90,IF(MATCHED!AZ90=26,MATCHED!$AA90,IF(MATCHED!AZ90=27,MATCHED!$AB90,"."))))))</f>
        <v>#N/A</v>
      </c>
      <c r="Y90" s="424" t="e">
        <f>IF(MATCHED!BA90=1,MATCHED!$B90,IF(MATCHED!BA90=2,MATCHED!$C90,IF(MATCHED!BA90=3,MATCHED!$D90,IF(MATCHED!BA90=4,MATCHED!$E90,IF(MATCHED!BA90=3,MATCHED!$F90,IF(MATCHED!BA90=6,MATCHED!$G90,IF(MATCHED!BA90=7,MATCHED!$H90,"")))))))&amp;IF(MATCHED!BA90=8,MATCHED!$I90,IF(MATCHED!BA90=9,MATCHED!$J90,IF(MATCHED!BA90=10,MATCHED!$K90,IF(MATCHED!BA90=11,MATCHED!$L90,IF(MATCHED!BA90=12,MATCHED!$M90,IF(MATCHED!BA90=13,MATCHED!$N90,IF(MATCHED!BA90=14,MATCHED!$O90,"")))))))&amp;IF(MATCHED!BA90=15,MATCHED!$P90,IF(MATCHED!BA90=16,MATCHED!$Q90,IF(MATCHED!BA90=17,MATCHED!$R90,IF(MATCHED!BA90=18,MATCHED!$S90,IF(MATCHED!BA90=19,MATCHED!$T90,IF(MATCHED!BA90=20,MATCHED!$U90,IF(MATCHED!BA90=21,MATCHED!$V90,)))))))&amp;IF(MATCHED!BA90=22,MATCHED!$W90,IF(MATCHED!BA90=23,MATCHED!$X90,IF(MATCHED!BA90=24,MATCHED!$Y90,IF(MATCHED!BA90=25,MATCHED!$Z90,IF(MATCHED!BA90=26,MATCHED!$AA90,IF(MATCHED!BA90=27,MATCHED!$AB90,"."))))))</f>
        <v>#N/A</v>
      </c>
      <c r="Z90" s="424" t="e">
        <f>IF(MATCHED!BB90=1,MATCHED!$B90,IF(MATCHED!BB90=2,MATCHED!$C90,IF(MATCHED!BB90=3,MATCHED!$D90,IF(MATCHED!BB90=4,MATCHED!$E90,IF(MATCHED!BB90=3,MATCHED!$F90,IF(MATCHED!BB90=6,MATCHED!$G90,IF(MATCHED!BB90=7,MATCHED!$H90,"")))))))&amp;IF(MATCHED!BB90=8,MATCHED!$I90,IF(MATCHED!BB90=9,MATCHED!$J90,IF(MATCHED!BB90=10,MATCHED!$K90,IF(MATCHED!BB90=11,MATCHED!$L90,IF(MATCHED!BB90=12,MATCHED!$M90,IF(MATCHED!BB90=13,MATCHED!$N90,IF(MATCHED!BB90=14,MATCHED!$O90,"")))))))&amp;IF(MATCHED!BB90=15,MATCHED!$P90,IF(MATCHED!BB90=16,MATCHED!$Q90,IF(MATCHED!BB90=17,MATCHED!$R90,IF(MATCHED!BB90=18,MATCHED!$S90,IF(MATCHED!BB90=19,MATCHED!$T90,IF(MATCHED!BB90=20,MATCHED!$U90,IF(MATCHED!BB90=21,MATCHED!$V90,)))))))&amp;IF(MATCHED!BB90=22,MATCHED!$W90,IF(MATCHED!BB90=23,MATCHED!$X90,IF(MATCHED!BB90=24,MATCHED!$Y90,IF(MATCHED!BB90=25,MATCHED!$Z90,IF(MATCHED!BB90=26,MATCHED!$AA90,IF(MATCHED!BB90=27,MATCHED!$AB90,"."))))))</f>
        <v>#N/A</v>
      </c>
      <c r="AA90" s="424" t="e">
        <f>IF(MATCHED!BC90=1,MATCHED!$B90,IF(MATCHED!BC90=2,MATCHED!$C90,IF(MATCHED!BC90=3,MATCHED!$D90,IF(MATCHED!BC90=4,MATCHED!$E90,IF(MATCHED!BC90=3,MATCHED!$F90,IF(MATCHED!BC90=6,MATCHED!$G90,IF(MATCHED!BC90=7,MATCHED!$H90,"")))))))&amp;IF(MATCHED!BC90=8,MATCHED!$I90,IF(MATCHED!BC90=9,MATCHED!$J90,IF(MATCHED!BC90=10,MATCHED!$K90,IF(MATCHED!BC90=11,MATCHED!$L90,IF(MATCHED!BC90=12,MATCHED!$M90,IF(MATCHED!BC90=13,MATCHED!$N90,IF(MATCHED!BC90=14,MATCHED!$O90,"")))))))&amp;IF(MATCHED!BC90=15,MATCHED!$P90,IF(MATCHED!BC90=16,MATCHED!$Q90,IF(MATCHED!BC90=17,MATCHED!$R90,IF(MATCHED!BC90=18,MATCHED!$S90,IF(MATCHED!BC90=19,MATCHED!$T90,IF(MATCHED!BC90=20,MATCHED!$U90,IF(MATCHED!BC90=21,MATCHED!$V90,)))))))&amp;IF(MATCHED!BC90=22,MATCHED!$W90,IF(MATCHED!BC90=23,MATCHED!$X90,IF(MATCHED!BC90=24,MATCHED!$Y90,IF(MATCHED!BC90=25,MATCHED!$Z90,IF(MATCHED!BC90=26,MATCHED!$AA90,IF(MATCHED!BC90=27,MATCHED!$AB90,"."))))))</f>
        <v>#N/A</v>
      </c>
      <c r="AB90" s="424" t="e">
        <f>IF(MATCHED!BD90=1,MATCHED!$B90,IF(MATCHED!BD90=2,MATCHED!$C90,IF(MATCHED!BD90=3,MATCHED!$D90,IF(MATCHED!BD90=4,MATCHED!$E90,IF(MATCHED!BD90=3,MATCHED!$F90,IF(MATCHED!BD90=6,MATCHED!$G90,IF(MATCHED!BD90=7,MATCHED!$H90,"")))))))&amp;IF(MATCHED!BD90=8,MATCHED!$I90,IF(MATCHED!BD90=9,MATCHED!$J90,IF(MATCHED!BD90=10,MATCHED!$K90,IF(MATCHED!BD90=11,MATCHED!$L90,IF(MATCHED!BD90=12,MATCHED!$M90,IF(MATCHED!BD90=13,MATCHED!$N90,IF(MATCHED!BD90=14,MATCHED!$O90,"")))))))&amp;IF(MATCHED!BD90=15,MATCHED!$P90,IF(MATCHED!BD90=16,MATCHED!$Q90,IF(MATCHED!BD90=17,MATCHED!$R90,IF(MATCHED!BD90=18,MATCHED!$S90,IF(MATCHED!BD90=19,MATCHED!$T90,IF(MATCHED!BD90=20,MATCHED!$U90,IF(MATCHED!BD90=21,MATCHED!$V90,)))))))&amp;IF(MATCHED!BD90=22,MATCHED!$W90,IF(MATCHED!BD90=23,MATCHED!$X90,IF(MATCHED!BD90=24,MATCHED!$Y90,IF(MATCHED!BD90=25,MATCHED!$Z90,IF(MATCHED!BD90=26,MATCHED!$AA90,IF(MATCHED!BD90=27,MATCHED!$AB90,"."))))))</f>
        <v>#N/A</v>
      </c>
      <c r="AC90" s="424" t="e">
        <f>IF(MATCHED!BE90=1,MATCHED!$B90,IF(MATCHED!BE90=2,MATCHED!$C90,IF(MATCHED!BE90=3,MATCHED!$D90,IF(MATCHED!BE90=4,MATCHED!$E90,IF(MATCHED!BE90=3,MATCHED!$F90,IF(MATCHED!BE90=6,MATCHED!$G90,IF(MATCHED!BE90=7,MATCHED!$H90,"")))))))&amp;IF(MATCHED!BE90=8,MATCHED!$I90,IF(MATCHED!BE90=9,MATCHED!$J90,IF(MATCHED!BE90=10,MATCHED!$K90,IF(MATCHED!BE90=11,MATCHED!$L90,IF(MATCHED!BE90=12,MATCHED!$M90,IF(MATCHED!BE90=13,MATCHED!$N90,IF(MATCHED!BE90=14,MATCHED!$O90,"")))))))&amp;IF(MATCHED!BE90=15,MATCHED!$P90,IF(MATCHED!BE90=16,MATCHED!$Q90,IF(MATCHED!BE90=17,MATCHED!$R90,IF(MATCHED!BE90=18,MATCHED!$S90,IF(MATCHED!BE90=19,MATCHED!$T90,IF(MATCHED!BE90=20,MATCHED!$U90,IF(MATCHED!BE90=21,MATCHED!$V90,)))))))&amp;IF(MATCHED!BE90=22,MATCHED!$W90,IF(MATCHED!BE90=23,MATCHED!$X90,IF(MATCHED!BE90=24,MATCHED!$Y90,IF(MATCHED!BE90=25,MATCHED!$Z90,IF(MATCHED!BE90=26,MATCHED!$AA90,IF(MATCHED!BE90=27,MATCHED!$AB90,"."))))))</f>
        <v>#N/A</v>
      </c>
      <c r="AD90" s="424" t="e">
        <f>IF(MATCHED!BF90=1,MATCHED!$B90,IF(MATCHED!BF90=2,MATCHED!$C90,IF(MATCHED!BF90=3,MATCHED!$D90,IF(MATCHED!BF90=4,MATCHED!$E90,IF(MATCHED!BF90=3,MATCHED!$F90,IF(MATCHED!BF90=6,MATCHED!$G90,IF(MATCHED!BF90=7,MATCHED!$H90,"")))))))&amp;IF(MATCHED!BF90=8,MATCHED!$I90,IF(MATCHED!BF90=9,MATCHED!$J90,IF(MATCHED!BF90=10,MATCHED!$K90,IF(MATCHED!BF90=11,MATCHED!$L90,IF(MATCHED!BF90=12,MATCHED!$M90,IF(MATCHED!BF90=13,MATCHED!$N90,IF(MATCHED!BF90=14,MATCHED!$O90,"")))))))&amp;IF(MATCHED!BF90=15,MATCHED!$P90,IF(MATCHED!BF90=16,MATCHED!$Q90,IF(MATCHED!BF90=17,MATCHED!$R90,IF(MATCHED!BF90=18,MATCHED!$S90,IF(MATCHED!BF90=19,MATCHED!$T90,IF(MATCHED!BF90=20,MATCHED!$U90,IF(MATCHED!BF90=21,MATCHED!$V90,)))))))&amp;IF(MATCHED!BF90=22,MATCHED!$W90,IF(MATCHED!BF90=23,MATCHED!$X90,IF(MATCHED!BF90=24,MATCHED!$Y90,IF(MATCHED!BF90=25,MATCHED!$Z90,IF(MATCHED!BF90=26,MATCHED!$AA90,IF(MATCHED!BF90=27,MATCHED!$AB90,"."))))))</f>
        <v>#N/A</v>
      </c>
      <c r="AE90" s="424" t="e">
        <f>IF(MATCHED!BG90=1,MATCHED!$B90,IF(MATCHED!BG90=2,MATCHED!$C90,IF(MATCHED!BG90=3,MATCHED!$D90,IF(MATCHED!BG90=4,MATCHED!$E90,IF(MATCHED!BG90=3,MATCHED!$F90,IF(MATCHED!BG90=6,MATCHED!$G90,IF(MATCHED!BG90=7,MATCHED!$H90,"")))))))&amp;IF(MATCHED!BG90=8,MATCHED!$I90,IF(MATCHED!BG90=9,MATCHED!$J90,IF(MATCHED!BG90=10,MATCHED!$K90,IF(MATCHED!BG90=11,MATCHED!$L90,IF(MATCHED!BG90=12,MATCHED!$M90,IF(MATCHED!BG90=13,MATCHED!$N90,IF(MATCHED!BG90=14,MATCHED!$O90,"")))))))&amp;IF(MATCHED!BG90=15,MATCHED!$P90,IF(MATCHED!BG90=16,MATCHED!$Q90,IF(MATCHED!BG90=17,MATCHED!$R90,IF(MATCHED!BG90=18,MATCHED!$S90,IF(MATCHED!BG90=19,MATCHED!$T90,IF(MATCHED!BG90=20,MATCHED!$U90,IF(MATCHED!BG90=21,MATCHED!$V90,)))))))&amp;IF(MATCHED!BG90=22,MATCHED!$W90,IF(MATCHED!BG90=23,MATCHED!$X90,IF(MATCHED!BG90=24,MATCHED!$Y90,IF(MATCHED!BG90=25,MATCHED!$Z90,IF(MATCHED!BG90=26,MATCHED!$AA90,IF(MATCHED!BG90=27,MATCHED!$AB90,"."))))))</f>
        <v>#N/A</v>
      </c>
      <c r="AF90" s="424" t="e">
        <f>IF(MATCHED!BH90=1,MATCHED!$B90,IF(MATCHED!BH90=2,MATCHED!$C90,IF(MATCHED!BH90=3,MATCHED!$D90,IF(MATCHED!BH90=4,MATCHED!$E90,IF(MATCHED!BH90=3,MATCHED!$F90,IF(MATCHED!BH90=6,MATCHED!$G90,IF(MATCHED!BH90=7,MATCHED!$H90,"")))))))&amp;IF(MATCHED!BH90=8,MATCHED!$I90,IF(MATCHED!BH90=9,MATCHED!$J90,IF(MATCHED!BH90=10,MATCHED!$K90,IF(MATCHED!BH90=11,MATCHED!$L90,IF(MATCHED!BH90=12,MATCHED!$M90,IF(MATCHED!BH90=13,MATCHED!$N90,IF(MATCHED!BH90=14,MATCHED!$O90,"")))))))&amp;IF(MATCHED!BH90=15,MATCHED!$P90,IF(MATCHED!BH90=16,MATCHED!$Q90,IF(MATCHED!BH90=17,MATCHED!$R90,IF(MATCHED!BH90=18,MATCHED!$S90,IF(MATCHED!BH90=19,MATCHED!$T90,IF(MATCHED!BH90=20,MATCHED!$U90,IF(MATCHED!BH90=21,MATCHED!$V90,)))))))&amp;IF(MATCHED!BH90=22,MATCHED!$W90,IF(MATCHED!BH90=23,MATCHED!$X90,IF(MATCHED!BH90=24,MATCHED!$Y90,IF(MATCHED!BH90=25,MATCHED!$Z90,IF(MATCHED!BH90=26,MATCHED!$AA90,IF(MATCHED!BH90=27,MATCHED!$AB90,"."))))))</f>
        <v>#N/A</v>
      </c>
      <c r="AG90" s="424" t="e">
        <f>IF(MATCHED!BI90=1,MATCHED!$B90,IF(MATCHED!BI90=2,MATCHED!$C90,IF(MATCHED!BI90=3,MATCHED!$D90,IF(MATCHED!BI90=4,MATCHED!$E90,IF(MATCHED!BI90=3,MATCHED!$F90,IF(MATCHED!BI90=6,MATCHED!$G90,IF(MATCHED!BI90=7,MATCHED!$H90,"")))))))&amp;IF(MATCHED!BI90=8,MATCHED!$I90,IF(MATCHED!BI90=9,MATCHED!$J90,IF(MATCHED!BI90=10,MATCHED!$K90,IF(MATCHED!BI90=11,MATCHED!$L90,IF(MATCHED!BI90=12,MATCHED!$M90,IF(MATCHED!BI90=13,MATCHED!$N90,IF(MATCHED!BI90=14,MATCHED!$O90,"")))))))&amp;IF(MATCHED!BI90=15,MATCHED!$P90,IF(MATCHED!BI90=16,MATCHED!$Q90,IF(MATCHED!BI90=17,MATCHED!$R90,IF(MATCHED!BI90=18,MATCHED!$S90,IF(MATCHED!BI90=19,MATCHED!$T90,IF(MATCHED!BI90=20,MATCHED!$U90,IF(MATCHED!BI90=21,MATCHED!$V90,)))))))&amp;IF(MATCHED!BI90=22,MATCHED!$W90,IF(MATCHED!BI90=23,MATCHED!$X90,IF(MATCHED!BI90=24,MATCHED!$Y90,IF(MATCHED!BI90=25,MATCHED!$Z90,IF(MATCHED!BI90=26,MATCHED!$AA90,IF(MATCHED!BI90=27,MATCHED!$AB90,"."))))))</f>
        <v>#N/A</v>
      </c>
      <c r="AH90" s="424" t="e">
        <f>IF(MATCHED!BJ90=1,MATCHED!$B90,IF(MATCHED!BJ90=2,MATCHED!$C90,IF(MATCHED!BJ90=3,MATCHED!$D90,IF(MATCHED!BJ90=4,MATCHED!$E90,IF(MATCHED!BJ90=3,MATCHED!$F90,IF(MATCHED!BJ90=6,MATCHED!$G90,IF(MATCHED!BJ90=7,MATCHED!$H90,"")))))))&amp;IF(MATCHED!BJ90=8,MATCHED!$I90,IF(MATCHED!BJ90=9,MATCHED!$J90,IF(MATCHED!BJ90=10,MATCHED!$K90,IF(MATCHED!BJ90=11,MATCHED!$L90,IF(MATCHED!BJ90=12,MATCHED!$M90,IF(MATCHED!BJ90=13,MATCHED!$N90,IF(MATCHED!BJ90=14,MATCHED!$O90,"")))))))&amp;IF(MATCHED!BJ90=15,MATCHED!$P90,IF(MATCHED!BJ90=16,MATCHED!$Q90,IF(MATCHED!BJ90=17,MATCHED!$R90,IF(MATCHED!BJ90=18,MATCHED!$S90,IF(MATCHED!BJ90=19,MATCHED!$T90,IF(MATCHED!BJ90=20,MATCHED!$U90,IF(MATCHED!BJ90=21,MATCHED!$V90,)))))))&amp;IF(MATCHED!BJ90=22,MATCHED!$W90,IF(MATCHED!BJ90=23,MATCHED!$X90,IF(MATCHED!BJ90=24,MATCHED!$Y90,IF(MATCHED!BJ90=25,MATCHED!$Z90,IF(MATCHED!BJ90=26,MATCHED!$AA90,IF(MATCHED!BJ90=27,MATCHED!$AB90,"."))))))</f>
        <v>#N/A</v>
      </c>
      <c r="AI90" s="424" t="e">
        <f>IF(MATCHED!BK90=1,MATCHED!$B90,IF(MATCHED!BK90=2,MATCHED!$C90,IF(MATCHED!BK90=3,MATCHED!$D90,IF(MATCHED!BK90=4,MATCHED!$E90,IF(MATCHED!BK90=3,MATCHED!$F90,IF(MATCHED!BK90=6,MATCHED!$G90,IF(MATCHED!BK90=7,MATCHED!$H90,"")))))))&amp;IF(MATCHED!BK90=8,MATCHED!$I90,IF(MATCHED!BK90=9,MATCHED!$J90,IF(MATCHED!BK90=10,MATCHED!$K90,IF(MATCHED!BK90=11,MATCHED!$L90,IF(MATCHED!BK90=12,MATCHED!$M90,IF(MATCHED!BK90=13,MATCHED!$N90,IF(MATCHED!BK90=14,MATCHED!$O90,"")))))))&amp;IF(MATCHED!BK90=15,MATCHED!$P90,IF(MATCHED!BK90=16,MATCHED!$Q90,IF(MATCHED!BK90=17,MATCHED!$R90,IF(MATCHED!BK90=18,MATCHED!$S90,IF(MATCHED!BK90=19,MATCHED!$T90,IF(MATCHED!BK90=20,MATCHED!$U90,IF(MATCHED!BK90=21,MATCHED!$V90,)))))))&amp;IF(MATCHED!BK90=22,MATCHED!$W90,IF(MATCHED!BK90=23,MATCHED!$X90,IF(MATCHED!BK90=24,MATCHED!$Y90,IF(MATCHED!BK90=25,MATCHED!$Z90,IF(MATCHED!BK90=26,MATCHED!$AA90,IF(MATCHED!BK90=27,MATCHED!$AB90,"."))))))</f>
        <v>#N/A</v>
      </c>
      <c r="AJ90" s="535"/>
    </row>
    <row r="91" spans="1:36" s="338" customFormat="1" x14ac:dyDescent="0.25">
      <c r="A91" s="535"/>
      <c r="B91" s="424" t="e">
        <f>IF(MATCHED!AD91=1,MATCHED!$B91,IF(MATCHED!AD91=2,MATCHED!$C91,IF(MATCHED!AD91=3,MATCHED!$D91,IF(MATCHED!AD91=4,MATCHED!$E91,IF(MATCHED!AD91=3,MATCHED!$F91,IF(MATCHED!AD91=6,MATCHED!$G91,IF(MATCHED!AD91=7,MATCHED!$H91,"")))))))&amp;IF(MATCHED!AD91=8,MATCHED!$I91,IF(MATCHED!AD91=9,MATCHED!$J91,IF(MATCHED!AD91=10,MATCHED!$K91,IF(MATCHED!AD91=11,MATCHED!$L91,IF(MATCHED!AD91=12,MATCHED!$M91,IF(MATCHED!AD91=13,MATCHED!$N91,IF(MATCHED!AD91=14,MATCHED!$O91,"")))))))&amp;IF(MATCHED!AD91=15,MATCHED!$P91,IF(MATCHED!AD91=16,MATCHED!$Q91,IF(MATCHED!AD91=17,MATCHED!$R91,IF(MATCHED!AD91=18,MATCHED!$S91,IF(MATCHED!AD91=19,MATCHED!$T91,IF(MATCHED!AD91=20,MATCHED!$U91,IF(MATCHED!AD91=21,MATCHED!$V91,)))))))&amp;IF(MATCHED!AD91=22,MATCHED!$W91,IF(MATCHED!AD91=23,MATCHED!$X91,IF(MATCHED!AD91=24,MATCHED!$Y91,IF(MATCHED!AD91=25,MATCHED!$Z91,IF(MATCHED!AD91=26,MATCHED!$AA91,IF(MATCHED!AD91=27,MATCHED!$AB91,"."))))))</f>
        <v>#N/A</v>
      </c>
      <c r="C91" s="424" t="e">
        <f>IF(MATCHED!AE91=1,MATCHED!$B91,IF(MATCHED!AE91=2,MATCHED!$C91,IF(MATCHED!AE91=3,MATCHED!$D91,IF(MATCHED!AE91=4,MATCHED!$E91,IF(MATCHED!AE91=3,MATCHED!$F91,IF(MATCHED!AE91=6,MATCHED!$G91,IF(MATCHED!AE91=7,MATCHED!$H91,"")))))))&amp;IF(MATCHED!AE91=8,MATCHED!$I91,IF(MATCHED!AE91=9,MATCHED!$J91,IF(MATCHED!AE91=10,MATCHED!$K91,IF(MATCHED!AE91=11,MATCHED!$L91,IF(MATCHED!AE91=12,MATCHED!$M91,IF(MATCHED!AE91=13,MATCHED!$N91,IF(MATCHED!AE91=14,MATCHED!$O91,"")))))))&amp;IF(MATCHED!AE91=15,MATCHED!$P91,IF(MATCHED!AE91=16,MATCHED!$Q91,IF(MATCHED!AE91=17,MATCHED!$R91,IF(MATCHED!AE91=18,MATCHED!$S91,IF(MATCHED!AE91=19,MATCHED!$T91,IF(MATCHED!AE91=20,MATCHED!$U91,IF(MATCHED!AE91=21,MATCHED!$V91,)))))))&amp;IF(MATCHED!AE91=22,MATCHED!$W91,IF(MATCHED!AE91=23,MATCHED!$X91,IF(MATCHED!AE91=24,MATCHED!$Y91,IF(MATCHED!AE91=25,MATCHED!$Z91,IF(MATCHED!AE91=26,MATCHED!$AA91,IF(MATCHED!AE91=27,MATCHED!$AB91,"."))))))</f>
        <v>#N/A</v>
      </c>
      <c r="D91" s="424" t="e">
        <f>IF(MATCHED!AF91=1,MATCHED!$B91,IF(MATCHED!AF91=2,MATCHED!$C91,IF(MATCHED!AF91=3,MATCHED!$D91,IF(MATCHED!AF91=4,MATCHED!$E91,IF(MATCHED!AF91=3,MATCHED!$F91,IF(MATCHED!AF91=6,MATCHED!$G91,IF(MATCHED!AF91=7,MATCHED!$H91,"")))))))&amp;IF(MATCHED!AF91=8,MATCHED!$I91,IF(MATCHED!AF91=9,MATCHED!$J91,IF(MATCHED!AF91=10,MATCHED!$K91,IF(MATCHED!AF91=11,MATCHED!$L91,IF(MATCHED!AF91=12,MATCHED!$M91,IF(MATCHED!AF91=13,MATCHED!$N91,IF(MATCHED!AF91=14,MATCHED!$O91,"")))))))&amp;IF(MATCHED!AF91=15,MATCHED!$P91,IF(MATCHED!AF91=16,MATCHED!$Q91,IF(MATCHED!AF91=17,MATCHED!$R91,IF(MATCHED!AF91=18,MATCHED!$S91,IF(MATCHED!AF91=19,MATCHED!$T91,IF(MATCHED!AF91=20,MATCHED!$U91,IF(MATCHED!AF91=21,MATCHED!$V91,)))))))&amp;IF(MATCHED!AF91=22,MATCHED!$W91,IF(MATCHED!AF91=23,MATCHED!$X91,IF(MATCHED!AF91=24,MATCHED!$Y91,IF(MATCHED!AF91=25,MATCHED!$Z91,IF(MATCHED!AF91=26,MATCHED!$AA91,IF(MATCHED!AF91=27,MATCHED!$AB91,"."))))))</f>
        <v>#N/A</v>
      </c>
      <c r="E91" s="424" t="e">
        <f>IF(MATCHED!AG91=1,MATCHED!$B91,IF(MATCHED!AG91=2,MATCHED!$C91,IF(MATCHED!AG91=3,MATCHED!$D91,IF(MATCHED!AG91=4,MATCHED!$E91,IF(MATCHED!AG91=3,MATCHED!$F91,IF(MATCHED!AG91=6,MATCHED!$G91,IF(MATCHED!AG91=7,MATCHED!$H91,"")))))))&amp;IF(MATCHED!AG91=8,MATCHED!$I91,IF(MATCHED!AG91=9,MATCHED!$J91,IF(MATCHED!AG91=10,MATCHED!$K91,IF(MATCHED!AG91=11,MATCHED!$L91,IF(MATCHED!AG91=12,MATCHED!$M91,IF(MATCHED!AG91=13,MATCHED!$N91,IF(MATCHED!AG91=14,MATCHED!$O91,"")))))))&amp;IF(MATCHED!AG91=15,MATCHED!$P91,IF(MATCHED!AG91=16,MATCHED!$Q91,IF(MATCHED!AG91=17,MATCHED!$R91,IF(MATCHED!AG91=18,MATCHED!$S91,IF(MATCHED!AG91=19,MATCHED!$T91,IF(MATCHED!AG91=20,MATCHED!$U91,IF(MATCHED!AG91=21,MATCHED!$V91,)))))))&amp;IF(MATCHED!AG91=22,MATCHED!$W91,IF(MATCHED!AG91=23,MATCHED!$X91,IF(MATCHED!AG91=24,MATCHED!$Y91,IF(MATCHED!AG91=25,MATCHED!$Z91,IF(MATCHED!AG91=26,MATCHED!$AA91,IF(MATCHED!AG91=27,MATCHED!$AB91,"."))))))</f>
        <v>#N/A</v>
      </c>
      <c r="F91" s="424" t="e">
        <f>IF(MATCHED!AH91=1,MATCHED!$B91,IF(MATCHED!AH91=2,MATCHED!$C91,IF(MATCHED!AH91=3,MATCHED!$D91,IF(MATCHED!AH91=4,MATCHED!$E91,IF(MATCHED!AH91=3,MATCHED!$F91,IF(MATCHED!AH91=6,MATCHED!$G91,IF(MATCHED!AH91=7,MATCHED!$H91,"")))))))&amp;IF(MATCHED!AH91=8,MATCHED!$I91,IF(MATCHED!AH91=9,MATCHED!$J91,IF(MATCHED!AH91=10,MATCHED!$K91,IF(MATCHED!AH91=11,MATCHED!$L91,IF(MATCHED!AH91=12,MATCHED!$M91,IF(MATCHED!AH91=13,MATCHED!$N91,IF(MATCHED!AH91=14,MATCHED!$O91,"")))))))&amp;IF(MATCHED!AH91=15,MATCHED!$P91,IF(MATCHED!AH91=16,MATCHED!$Q91,IF(MATCHED!AH91=17,MATCHED!$R91,IF(MATCHED!AH91=18,MATCHED!$S91,IF(MATCHED!AH91=19,MATCHED!$T91,IF(MATCHED!AH91=20,MATCHED!$U91,IF(MATCHED!AH91=21,MATCHED!$V91,)))))))&amp;IF(MATCHED!AH91=22,MATCHED!$W91,IF(MATCHED!AH91=23,MATCHED!$X91,IF(MATCHED!AH91=24,MATCHED!$Y91,IF(MATCHED!AH91=25,MATCHED!$Z91,IF(MATCHED!AH91=26,MATCHED!$AA91,IF(MATCHED!AH91=27,MATCHED!$AB91,"."))))))</f>
        <v>#N/A</v>
      </c>
      <c r="G91" s="424" t="e">
        <f>IF(MATCHED!AI91=1,MATCHED!$B91,IF(MATCHED!AI91=2,MATCHED!$C91,IF(MATCHED!AI91=3,MATCHED!$D91,IF(MATCHED!AI91=4,MATCHED!$E91,IF(MATCHED!AI91=3,MATCHED!$F91,IF(MATCHED!AI91=6,MATCHED!$G91,IF(MATCHED!AI91=7,MATCHED!$H91,"")))))))&amp;IF(MATCHED!AI91=8,MATCHED!$I91,IF(MATCHED!AI91=9,MATCHED!$J91,IF(MATCHED!AI91=10,MATCHED!$K91,IF(MATCHED!AI91=11,MATCHED!$L91,IF(MATCHED!AI91=12,MATCHED!$M91,IF(MATCHED!AI91=13,MATCHED!$N91,IF(MATCHED!AI91=14,MATCHED!$O91,"")))))))&amp;IF(MATCHED!AI91=15,MATCHED!$P91,IF(MATCHED!AI91=16,MATCHED!$Q91,IF(MATCHED!AI91=17,MATCHED!$R91,IF(MATCHED!AI91=18,MATCHED!$S91,IF(MATCHED!AI91=19,MATCHED!$T91,IF(MATCHED!AI91=20,MATCHED!$U91,IF(MATCHED!AI91=21,MATCHED!$V91,)))))))&amp;IF(MATCHED!AI91=22,MATCHED!$W91,IF(MATCHED!AI91=23,MATCHED!$X91,IF(MATCHED!AI91=24,MATCHED!$Y91,IF(MATCHED!AI91=25,MATCHED!$Z91,IF(MATCHED!AI91=26,MATCHED!$AA91,IF(MATCHED!AI91=27,MATCHED!$AB91,"."))))))</f>
        <v>#N/A</v>
      </c>
      <c r="H91" s="424" t="e">
        <f>IF(MATCHED!AJ91=1,MATCHED!$B91,IF(MATCHED!AJ91=2,MATCHED!$C91,IF(MATCHED!AJ91=3,MATCHED!$D91,IF(MATCHED!AJ91=4,MATCHED!$E91,IF(MATCHED!AJ91=3,MATCHED!$F91,IF(MATCHED!AJ91=6,MATCHED!$G91,IF(MATCHED!AJ91=7,MATCHED!$H91,"")))))))&amp;IF(MATCHED!AJ91=8,MATCHED!$I91,IF(MATCHED!AJ91=9,MATCHED!$J91,IF(MATCHED!AJ91=10,MATCHED!$K91,IF(MATCHED!AJ91=11,MATCHED!$L91,IF(MATCHED!AJ91=12,MATCHED!$M91,IF(MATCHED!AJ91=13,MATCHED!$N91,IF(MATCHED!AJ91=14,MATCHED!$O91,"")))))))&amp;IF(MATCHED!AJ91=15,MATCHED!$P91,IF(MATCHED!AJ91=16,MATCHED!$Q91,IF(MATCHED!AJ91=17,MATCHED!$R91,IF(MATCHED!AJ91=18,MATCHED!$S91,IF(MATCHED!AJ91=19,MATCHED!$T91,IF(MATCHED!AJ91=20,MATCHED!$U91,IF(MATCHED!AJ91=21,MATCHED!$V91,)))))))&amp;IF(MATCHED!AJ91=22,MATCHED!$W91,IF(MATCHED!AJ91=23,MATCHED!$X91,IF(MATCHED!AJ91=24,MATCHED!$Y91,IF(MATCHED!AJ91=25,MATCHED!$Z91,IF(MATCHED!AJ91=26,MATCHED!$AA91,IF(MATCHED!AJ91=27,MATCHED!$AB91,"."))))))</f>
        <v>#N/A</v>
      </c>
      <c r="I91" s="424" t="e">
        <f>IF(MATCHED!AK91=1,MATCHED!$B91,IF(MATCHED!AK91=2,MATCHED!$C91,IF(MATCHED!AK91=3,MATCHED!$D91,IF(MATCHED!AK91=4,MATCHED!$E91,IF(MATCHED!AK91=3,MATCHED!$F91,IF(MATCHED!AK91=6,MATCHED!$G91,IF(MATCHED!AK91=7,MATCHED!$H91,"")))))))&amp;IF(MATCHED!AK91=8,MATCHED!$I91,IF(MATCHED!AK91=9,MATCHED!$J91,IF(MATCHED!AK91=10,MATCHED!$K91,IF(MATCHED!AK91=11,MATCHED!$L91,IF(MATCHED!AK91=12,MATCHED!$M91,IF(MATCHED!AK91=13,MATCHED!$N91,IF(MATCHED!AK91=14,MATCHED!$O91,"")))))))&amp;IF(MATCHED!AK91=15,MATCHED!$P91,IF(MATCHED!AK91=16,MATCHED!$Q91,IF(MATCHED!AK91=17,MATCHED!$R91,IF(MATCHED!AK91=18,MATCHED!$S91,IF(MATCHED!AK91=19,MATCHED!$T91,IF(MATCHED!AK91=20,MATCHED!$U91,IF(MATCHED!AK91=21,MATCHED!$V91,)))))))&amp;IF(MATCHED!AK91=22,MATCHED!$W91,IF(MATCHED!AK91=23,MATCHED!$X91,IF(MATCHED!AK91=24,MATCHED!$Y91,IF(MATCHED!AK91=25,MATCHED!$Z91,IF(MATCHED!AK91=26,MATCHED!$AA91,IF(MATCHED!AK91=27,MATCHED!$AB91,"."))))))</f>
        <v>#N/A</v>
      </c>
      <c r="J91" s="424" t="e">
        <f>IF(MATCHED!AL91=1,MATCHED!$B91,IF(MATCHED!AL91=2,MATCHED!$C91,IF(MATCHED!AL91=3,MATCHED!$D91,IF(MATCHED!AL91=4,MATCHED!$E91,IF(MATCHED!AL91=3,MATCHED!$F91,IF(MATCHED!AL91=6,MATCHED!$G91,IF(MATCHED!AL91=7,MATCHED!$H91,"")))))))&amp;IF(MATCHED!AL91=8,MATCHED!$I91,IF(MATCHED!AL91=9,MATCHED!$J91,IF(MATCHED!AL91=10,MATCHED!$K91,IF(MATCHED!AL91=11,MATCHED!$L91,IF(MATCHED!AL91=12,MATCHED!$M91,IF(MATCHED!AL91=13,MATCHED!$N91,IF(MATCHED!AL91=14,MATCHED!$O91,"")))))))&amp;IF(MATCHED!AL91=15,MATCHED!$P91,IF(MATCHED!AL91=16,MATCHED!$Q91,IF(MATCHED!AL91=17,MATCHED!$R91,IF(MATCHED!AL91=18,MATCHED!$S91,IF(MATCHED!AL91=19,MATCHED!$T91,IF(MATCHED!AL91=20,MATCHED!$U91,IF(MATCHED!AL91=21,MATCHED!$V91,)))))))&amp;IF(MATCHED!AL91=22,MATCHED!$W91,IF(MATCHED!AL91=23,MATCHED!$X91,IF(MATCHED!AL91=24,MATCHED!$Y91,IF(MATCHED!AL91=25,MATCHED!$Z91,IF(MATCHED!AL91=26,MATCHED!$AA91,IF(MATCHED!AL91=27,MATCHED!$AB91,"."))))))</f>
        <v>#N/A</v>
      </c>
      <c r="K91" s="424" t="e">
        <f>IF(MATCHED!AM91=1,MATCHED!$B91,IF(MATCHED!AM91=2,MATCHED!$C91,IF(MATCHED!AM91=3,MATCHED!$D91,IF(MATCHED!AM91=4,MATCHED!$E91,IF(MATCHED!AM91=3,MATCHED!$F91,IF(MATCHED!AM91=6,MATCHED!$G91,IF(MATCHED!AM91=7,MATCHED!$H91,"")))))))&amp;IF(MATCHED!AM91=8,MATCHED!$I91,IF(MATCHED!AM91=9,MATCHED!$J91,IF(MATCHED!AM91=10,MATCHED!$K91,IF(MATCHED!AM91=11,MATCHED!$L91,IF(MATCHED!AM91=12,MATCHED!$M91,IF(MATCHED!AM91=13,MATCHED!$N91,IF(MATCHED!AM91=14,MATCHED!$O91,"")))))))&amp;IF(MATCHED!AM91=15,MATCHED!$P91,IF(MATCHED!AM91=16,MATCHED!$Q91,IF(MATCHED!AM91=17,MATCHED!$R91,IF(MATCHED!AM91=18,MATCHED!$S91,IF(MATCHED!AM91=19,MATCHED!$T91,IF(MATCHED!AM91=20,MATCHED!$U91,IF(MATCHED!AM91=21,MATCHED!$V91,)))))))&amp;IF(MATCHED!AM91=22,MATCHED!$W91,IF(MATCHED!AM91=23,MATCHED!$X91,IF(MATCHED!AM91=24,MATCHED!$Y91,IF(MATCHED!AM91=25,MATCHED!$Z91,IF(MATCHED!AM91=26,MATCHED!$AA91,IF(MATCHED!AM91=27,MATCHED!$AB91,"."))))))</f>
        <v>#N/A</v>
      </c>
      <c r="L91" s="424" t="e">
        <f>IF(MATCHED!AN91=1,MATCHED!$B91,IF(MATCHED!AN91=2,MATCHED!$C91,IF(MATCHED!AN91=3,MATCHED!$D91,IF(MATCHED!AN91=4,MATCHED!$E91,IF(MATCHED!AN91=3,MATCHED!$F91,IF(MATCHED!AN91=6,MATCHED!$G91,IF(MATCHED!AN91=7,MATCHED!$H91,"")))))))&amp;IF(MATCHED!AN91=8,MATCHED!$I91,IF(MATCHED!AN91=9,MATCHED!$J91,IF(MATCHED!AN91=10,MATCHED!$K91,IF(MATCHED!AN91=11,MATCHED!$L91,IF(MATCHED!AN91=12,MATCHED!$M91,IF(MATCHED!AN91=13,MATCHED!$N91,IF(MATCHED!AN91=14,MATCHED!$O91,"")))))))&amp;IF(MATCHED!AN91=15,MATCHED!$P91,IF(MATCHED!AN91=16,MATCHED!$Q91,IF(MATCHED!AN91=17,MATCHED!$R91,IF(MATCHED!AN91=18,MATCHED!$S91,IF(MATCHED!AN91=19,MATCHED!$T91,IF(MATCHED!AN91=20,MATCHED!$U91,IF(MATCHED!AN91=21,MATCHED!$V91,)))))))&amp;IF(MATCHED!AN91=22,MATCHED!$W91,IF(MATCHED!AN91=23,MATCHED!$X91,IF(MATCHED!AN91=24,MATCHED!$Y91,IF(MATCHED!AN91=25,MATCHED!$Z91,IF(MATCHED!AN91=26,MATCHED!$AA91,IF(MATCHED!AN91=27,MATCHED!$AB91,"."))))))</f>
        <v>#N/A</v>
      </c>
      <c r="M91" s="424" t="e">
        <f>IF(MATCHED!AO91=1,MATCHED!$B91,IF(MATCHED!AO91=2,MATCHED!$C91,IF(MATCHED!AO91=3,MATCHED!$D91,IF(MATCHED!AO91=4,MATCHED!$E91,IF(MATCHED!AO91=3,MATCHED!$F91,IF(MATCHED!AO91=6,MATCHED!$G91,IF(MATCHED!AO91=7,MATCHED!$H91,"")))))))&amp;IF(MATCHED!AO91=8,MATCHED!$I91,IF(MATCHED!AO91=9,MATCHED!$J91,IF(MATCHED!AO91=10,MATCHED!$K91,IF(MATCHED!AO91=11,MATCHED!$L91,IF(MATCHED!AO91=12,MATCHED!$M91,IF(MATCHED!AO91=13,MATCHED!$N91,IF(MATCHED!AO91=14,MATCHED!$O91,"")))))))&amp;IF(MATCHED!AO91=15,MATCHED!$P91,IF(MATCHED!AO91=16,MATCHED!$Q91,IF(MATCHED!AO91=17,MATCHED!$R91,IF(MATCHED!AO91=18,MATCHED!$S91,IF(MATCHED!AO91=19,MATCHED!$T91,IF(MATCHED!AO91=20,MATCHED!$U91,IF(MATCHED!AO91=21,MATCHED!$V91,)))))))&amp;IF(MATCHED!AO91=22,MATCHED!$W91,IF(MATCHED!AO91=23,MATCHED!$X91,IF(MATCHED!AO91=24,MATCHED!$Y91,IF(MATCHED!AO91=25,MATCHED!$Z91,IF(MATCHED!AO91=26,MATCHED!$AA91,IF(MATCHED!AO91=27,MATCHED!$AB91,"."))))))</f>
        <v>#N/A</v>
      </c>
      <c r="N91" s="424" t="e">
        <f>IF(MATCHED!AP91=1,MATCHED!$B91,IF(MATCHED!AP91=2,MATCHED!$C91,IF(MATCHED!AP91=3,MATCHED!$D91,IF(MATCHED!AP91=4,MATCHED!$E91,IF(MATCHED!AP91=3,MATCHED!$F91,IF(MATCHED!AP91=6,MATCHED!$G91,IF(MATCHED!AP91=7,MATCHED!$H91,"")))))))&amp;IF(MATCHED!AP91=8,MATCHED!$I91,IF(MATCHED!AP91=9,MATCHED!$J91,IF(MATCHED!AP91=10,MATCHED!$K91,IF(MATCHED!AP91=11,MATCHED!$L91,IF(MATCHED!AP91=12,MATCHED!$M91,IF(MATCHED!AP91=13,MATCHED!$N91,IF(MATCHED!AP91=14,MATCHED!$O91,"")))))))&amp;IF(MATCHED!AP91=15,MATCHED!$P91,IF(MATCHED!AP91=16,MATCHED!$Q91,IF(MATCHED!AP91=17,MATCHED!$R91,IF(MATCHED!AP91=18,MATCHED!$S91,IF(MATCHED!AP91=19,MATCHED!$T91,IF(MATCHED!AP91=20,MATCHED!$U91,IF(MATCHED!AP91=21,MATCHED!$V91,)))))))&amp;IF(MATCHED!AP91=22,MATCHED!$W91,IF(MATCHED!AP91=23,MATCHED!$X91,IF(MATCHED!AP91=24,MATCHED!$Y91,IF(MATCHED!AP91=25,MATCHED!$Z91,IF(MATCHED!AP91=26,MATCHED!$AA91,IF(MATCHED!AP91=27,MATCHED!$AB91,"."))))))</f>
        <v>#N/A</v>
      </c>
      <c r="O91" s="424" t="e">
        <f>IF(MATCHED!AQ91=1,MATCHED!$B91,IF(MATCHED!AQ91=2,MATCHED!$C91,IF(MATCHED!AQ91=3,MATCHED!$D91,IF(MATCHED!AQ91=4,MATCHED!$E91,IF(MATCHED!AQ91=3,MATCHED!$F91,IF(MATCHED!AQ91=6,MATCHED!$G91,IF(MATCHED!AQ91=7,MATCHED!$H91,"")))))))&amp;IF(MATCHED!AQ91=8,MATCHED!$I91,IF(MATCHED!AQ91=9,MATCHED!$J91,IF(MATCHED!AQ91=10,MATCHED!$K91,IF(MATCHED!AQ91=11,MATCHED!$L91,IF(MATCHED!AQ91=12,MATCHED!$M91,IF(MATCHED!AQ91=13,MATCHED!$N91,IF(MATCHED!AQ91=14,MATCHED!$O91,"")))))))&amp;IF(MATCHED!AQ91=15,MATCHED!$P91,IF(MATCHED!AQ91=16,MATCHED!$Q91,IF(MATCHED!AQ91=17,MATCHED!$R91,IF(MATCHED!AQ91=18,MATCHED!$S91,IF(MATCHED!AQ91=19,MATCHED!$T91,IF(MATCHED!AQ91=20,MATCHED!$U91,IF(MATCHED!AQ91=21,MATCHED!$V91,)))))))&amp;IF(MATCHED!AQ91=22,MATCHED!$W91,IF(MATCHED!AQ91=23,MATCHED!$X91,IF(MATCHED!AQ91=24,MATCHED!$Y91,IF(MATCHED!AQ91=25,MATCHED!$Z91,IF(MATCHED!AQ91=26,MATCHED!$AA91,IF(MATCHED!AQ91=27,MATCHED!$AB91,"."))))))</f>
        <v>#N/A</v>
      </c>
      <c r="P91" s="424" t="e">
        <f>IF(MATCHED!AR91=1,MATCHED!$B91,IF(MATCHED!AR91=2,MATCHED!$C91,IF(MATCHED!AR91=3,MATCHED!$D91,IF(MATCHED!AR91=4,MATCHED!$E91,IF(MATCHED!AR91=3,MATCHED!$F91,IF(MATCHED!AR91=6,MATCHED!$G91,IF(MATCHED!AR91=7,MATCHED!$H91,"")))))))&amp;IF(MATCHED!AR91=8,MATCHED!$I91,IF(MATCHED!AR91=9,MATCHED!$J91,IF(MATCHED!AR91=10,MATCHED!$K91,IF(MATCHED!AR91=11,MATCHED!$L91,IF(MATCHED!AR91=12,MATCHED!$M91,IF(MATCHED!AR91=13,MATCHED!$N91,IF(MATCHED!AR91=14,MATCHED!$O91,"")))))))&amp;IF(MATCHED!AR91=15,MATCHED!$P91,IF(MATCHED!AR91=16,MATCHED!$Q91,IF(MATCHED!AR91=17,MATCHED!$R91,IF(MATCHED!AR91=18,MATCHED!$S91,IF(MATCHED!AR91=19,MATCHED!$T91,IF(MATCHED!AR91=20,MATCHED!$U91,IF(MATCHED!AR91=21,MATCHED!$V91,)))))))&amp;IF(MATCHED!AR91=22,MATCHED!$W91,IF(MATCHED!AR91=23,MATCHED!$X91,IF(MATCHED!AR91=24,MATCHED!$Y91,IF(MATCHED!AR91=25,MATCHED!$Z91,IF(MATCHED!AR91=26,MATCHED!$AA91,IF(MATCHED!AR91=27,MATCHED!$AB91,"."))))))</f>
        <v>#N/A</v>
      </c>
      <c r="Q91" s="424" t="e">
        <f>IF(MATCHED!AS91=1,MATCHED!$B91,IF(MATCHED!AS91=2,MATCHED!$C91,IF(MATCHED!AS91=3,MATCHED!$D91,IF(MATCHED!AS91=4,MATCHED!$E91,IF(MATCHED!AS91=3,MATCHED!$F91,IF(MATCHED!AS91=6,MATCHED!$G91,IF(MATCHED!AS91=7,MATCHED!$H91,"")))))))&amp;IF(MATCHED!AS91=8,MATCHED!$I91,IF(MATCHED!AS91=9,MATCHED!$J91,IF(MATCHED!AS91=10,MATCHED!$K91,IF(MATCHED!AS91=11,MATCHED!$L91,IF(MATCHED!AS91=12,MATCHED!$M91,IF(MATCHED!AS91=13,MATCHED!$N91,IF(MATCHED!AS91=14,MATCHED!$O91,"")))))))&amp;IF(MATCHED!AS91=15,MATCHED!$P91,IF(MATCHED!AS91=16,MATCHED!$Q91,IF(MATCHED!AS91=17,MATCHED!$R91,IF(MATCHED!AS91=18,MATCHED!$S91,IF(MATCHED!AS91=19,MATCHED!$T91,IF(MATCHED!AS91=20,MATCHED!$U91,IF(MATCHED!AS91=21,MATCHED!$V91,)))))))&amp;IF(MATCHED!AS91=22,MATCHED!$W91,IF(MATCHED!AS91=23,MATCHED!$X91,IF(MATCHED!AS91=24,MATCHED!$Y91,IF(MATCHED!AS91=25,MATCHED!$Z91,IF(MATCHED!AS91=26,MATCHED!$AA91,IF(MATCHED!AS91=27,MATCHED!$AB91,"."))))))</f>
        <v>#N/A</v>
      </c>
      <c r="R91" s="424" t="e">
        <f>IF(MATCHED!AT91=1,MATCHED!$B91,IF(MATCHED!AT91=2,MATCHED!$C91,IF(MATCHED!AT91=3,MATCHED!$D91,IF(MATCHED!AT91=4,MATCHED!$E91,IF(MATCHED!AT91=3,MATCHED!$F91,IF(MATCHED!AT91=6,MATCHED!$G91,IF(MATCHED!AT91=7,MATCHED!$H91,"")))))))&amp;IF(MATCHED!AT91=8,MATCHED!$I91,IF(MATCHED!AT91=9,MATCHED!$J91,IF(MATCHED!AT91=10,MATCHED!$K91,IF(MATCHED!AT91=11,MATCHED!$L91,IF(MATCHED!AT91=12,MATCHED!$M91,IF(MATCHED!AT91=13,MATCHED!$N91,IF(MATCHED!AT91=14,MATCHED!$O91,"")))))))&amp;IF(MATCHED!AT91=15,MATCHED!$P91,IF(MATCHED!AT91=16,MATCHED!$Q91,IF(MATCHED!AT91=17,MATCHED!$R91,IF(MATCHED!AT91=18,MATCHED!$S91,IF(MATCHED!AT91=19,MATCHED!$T91,IF(MATCHED!AT91=20,MATCHED!$U91,IF(MATCHED!AT91=21,MATCHED!$V91,)))))))&amp;IF(MATCHED!AT91=22,MATCHED!$W91,IF(MATCHED!AT91=23,MATCHED!$X91,IF(MATCHED!AT91=24,MATCHED!$Y91,IF(MATCHED!AT91=25,MATCHED!$Z91,IF(MATCHED!AT91=26,MATCHED!$AA91,IF(MATCHED!AT91=27,MATCHED!$AB91,"."))))))</f>
        <v>#N/A</v>
      </c>
      <c r="S91" s="424" t="e">
        <f>IF(MATCHED!AU91=1,MATCHED!$B91,IF(MATCHED!AU91=2,MATCHED!$C91,IF(MATCHED!AU91=3,MATCHED!$D91,IF(MATCHED!AU91=4,MATCHED!$E91,IF(MATCHED!AU91=3,MATCHED!$F91,IF(MATCHED!AU91=6,MATCHED!$G91,IF(MATCHED!AU91=7,MATCHED!$H91,"")))))))&amp;IF(MATCHED!AU91=8,MATCHED!$I91,IF(MATCHED!AU91=9,MATCHED!$J91,IF(MATCHED!AU91=10,MATCHED!$K91,IF(MATCHED!AU91=11,MATCHED!$L91,IF(MATCHED!AU91=12,MATCHED!$M91,IF(MATCHED!AU91=13,MATCHED!$N91,IF(MATCHED!AU91=14,MATCHED!$O91,"")))))))&amp;IF(MATCHED!AU91=15,MATCHED!$P91,IF(MATCHED!AU91=16,MATCHED!$Q91,IF(MATCHED!AU91=17,MATCHED!$R91,IF(MATCHED!AU91=18,MATCHED!$S91,IF(MATCHED!AU91=19,MATCHED!$T91,IF(MATCHED!AU91=20,MATCHED!$U91,IF(MATCHED!AU91=21,MATCHED!$V91,)))))))&amp;IF(MATCHED!AU91=22,MATCHED!$W91,IF(MATCHED!AU91=23,MATCHED!$X91,IF(MATCHED!AU91=24,MATCHED!$Y91,IF(MATCHED!AU91=25,MATCHED!$Z91,IF(MATCHED!AU91=26,MATCHED!$AA91,IF(MATCHED!AU91=27,MATCHED!$AB91,"."))))))</f>
        <v>#N/A</v>
      </c>
      <c r="T91" s="424" t="e">
        <f>IF(MATCHED!AV91=1,MATCHED!$B91,IF(MATCHED!AV91=2,MATCHED!$C91,IF(MATCHED!AV91=3,MATCHED!$D91,IF(MATCHED!AV91=4,MATCHED!$E91,IF(MATCHED!AV91=3,MATCHED!$F91,IF(MATCHED!AV91=6,MATCHED!$G91,IF(MATCHED!AV91=7,MATCHED!$H91,"")))))))&amp;IF(MATCHED!AV91=8,MATCHED!$I91,IF(MATCHED!AV91=9,MATCHED!$J91,IF(MATCHED!AV91=10,MATCHED!$K91,IF(MATCHED!AV91=11,MATCHED!$L91,IF(MATCHED!AV91=12,MATCHED!$M91,IF(MATCHED!AV91=13,MATCHED!$N91,IF(MATCHED!AV91=14,MATCHED!$O91,"")))))))&amp;IF(MATCHED!AV91=15,MATCHED!$P91,IF(MATCHED!AV91=16,MATCHED!$Q91,IF(MATCHED!AV91=17,MATCHED!$R91,IF(MATCHED!AV91=18,MATCHED!$S91,IF(MATCHED!AV91=19,MATCHED!$T91,IF(MATCHED!AV91=20,MATCHED!$U91,IF(MATCHED!AV91=21,MATCHED!$V91,)))))))&amp;IF(MATCHED!AV91=22,MATCHED!$W91,IF(MATCHED!AV91=23,MATCHED!$X91,IF(MATCHED!AV91=24,MATCHED!$Y91,IF(MATCHED!AV91=25,MATCHED!$Z91,IF(MATCHED!AV91=26,MATCHED!$AA91,IF(MATCHED!AV91=27,MATCHED!$AB91,"."))))))</f>
        <v>#N/A</v>
      </c>
      <c r="U91" s="424" t="e">
        <f>IF(MATCHED!AW91=1,MATCHED!$B91,IF(MATCHED!AW91=2,MATCHED!$C91,IF(MATCHED!AW91=3,MATCHED!$D91,IF(MATCHED!AW91=4,MATCHED!$E91,IF(MATCHED!AW91=3,MATCHED!$F91,IF(MATCHED!AW91=6,MATCHED!$G91,IF(MATCHED!AW91=7,MATCHED!$H91,"")))))))&amp;IF(MATCHED!AW91=8,MATCHED!$I91,IF(MATCHED!AW91=9,MATCHED!$J91,IF(MATCHED!AW91=10,MATCHED!$K91,IF(MATCHED!AW91=11,MATCHED!$L91,IF(MATCHED!AW91=12,MATCHED!$M91,IF(MATCHED!AW91=13,MATCHED!$N91,IF(MATCHED!AW91=14,MATCHED!$O91,"")))))))&amp;IF(MATCHED!AW91=15,MATCHED!$P91,IF(MATCHED!AW91=16,MATCHED!$Q91,IF(MATCHED!AW91=17,MATCHED!$R91,IF(MATCHED!AW91=18,MATCHED!$S91,IF(MATCHED!AW91=19,MATCHED!$T91,IF(MATCHED!AW91=20,MATCHED!$U91,IF(MATCHED!AW91=21,MATCHED!$V91,)))))))&amp;IF(MATCHED!AW91=22,MATCHED!$W91,IF(MATCHED!AW91=23,MATCHED!$X91,IF(MATCHED!AW91=24,MATCHED!$Y91,IF(MATCHED!AW91=25,MATCHED!$Z91,IF(MATCHED!AW91=26,MATCHED!$AA91,IF(MATCHED!AW91=27,MATCHED!$AB91,"."))))))</f>
        <v>#N/A</v>
      </c>
      <c r="V91" s="424" t="e">
        <f>IF(MATCHED!AX91=1,MATCHED!$B91,IF(MATCHED!AX91=2,MATCHED!$C91,IF(MATCHED!AX91=3,MATCHED!$D91,IF(MATCHED!AX91=4,MATCHED!$E91,IF(MATCHED!AX91=3,MATCHED!$F91,IF(MATCHED!AX91=6,MATCHED!$G91,IF(MATCHED!AX91=7,MATCHED!$H91,"")))))))&amp;IF(MATCHED!AX91=8,MATCHED!$I91,IF(MATCHED!AX91=9,MATCHED!$J91,IF(MATCHED!AX91=10,MATCHED!$K91,IF(MATCHED!AX91=11,MATCHED!$L91,IF(MATCHED!AX91=12,MATCHED!$M91,IF(MATCHED!AX91=13,MATCHED!$N91,IF(MATCHED!AX91=14,MATCHED!$O91,"")))))))&amp;IF(MATCHED!AX91=15,MATCHED!$P91,IF(MATCHED!AX91=16,MATCHED!$Q91,IF(MATCHED!AX91=17,MATCHED!$R91,IF(MATCHED!AX91=18,MATCHED!$S91,IF(MATCHED!AX91=19,MATCHED!$T91,IF(MATCHED!AX91=20,MATCHED!$U91,IF(MATCHED!AX91=21,MATCHED!$V91,)))))))&amp;IF(MATCHED!AX91=22,MATCHED!$W91,IF(MATCHED!AX91=23,MATCHED!$X91,IF(MATCHED!AX91=24,MATCHED!$Y91,IF(MATCHED!AX91=25,MATCHED!$Z91,IF(MATCHED!AX91=26,MATCHED!$AA91,IF(MATCHED!AX91=27,MATCHED!$AB91,"."))))))</f>
        <v>#N/A</v>
      </c>
      <c r="W91" s="424" t="e">
        <f>IF(MATCHED!AY91=1,MATCHED!$B91,IF(MATCHED!AY91=2,MATCHED!$C91,IF(MATCHED!AY91=3,MATCHED!$D91,IF(MATCHED!AY91=4,MATCHED!$E91,IF(MATCHED!AY91=3,MATCHED!$F91,IF(MATCHED!AY91=6,MATCHED!$G91,IF(MATCHED!AY91=7,MATCHED!$H91,"")))))))&amp;IF(MATCHED!AY91=8,MATCHED!$I91,IF(MATCHED!AY91=9,MATCHED!$J91,IF(MATCHED!AY91=10,MATCHED!$K91,IF(MATCHED!AY91=11,MATCHED!$L91,IF(MATCHED!AY91=12,MATCHED!$M91,IF(MATCHED!AY91=13,MATCHED!$N91,IF(MATCHED!AY91=14,MATCHED!$O91,"")))))))&amp;IF(MATCHED!AY91=15,MATCHED!$P91,IF(MATCHED!AY91=16,MATCHED!$Q91,IF(MATCHED!AY91=17,MATCHED!$R91,IF(MATCHED!AY91=18,MATCHED!$S91,IF(MATCHED!AY91=19,MATCHED!$T91,IF(MATCHED!AY91=20,MATCHED!$U91,IF(MATCHED!AY91=21,MATCHED!$V91,)))))))&amp;IF(MATCHED!AY91=22,MATCHED!$W91,IF(MATCHED!AY91=23,MATCHED!$X91,IF(MATCHED!AY91=24,MATCHED!$Y91,IF(MATCHED!AY91=25,MATCHED!$Z91,IF(MATCHED!AY91=26,MATCHED!$AA91,IF(MATCHED!AY91=27,MATCHED!$AB91,"."))))))</f>
        <v>#N/A</v>
      </c>
      <c r="X91" s="424" t="e">
        <f>IF(MATCHED!AZ91=1,MATCHED!$B91,IF(MATCHED!AZ91=2,MATCHED!$C91,IF(MATCHED!AZ91=3,MATCHED!$D91,IF(MATCHED!AZ91=4,MATCHED!$E91,IF(MATCHED!AZ91=3,MATCHED!$F91,IF(MATCHED!AZ91=6,MATCHED!$G91,IF(MATCHED!AZ91=7,MATCHED!$H91,"")))))))&amp;IF(MATCHED!AZ91=8,MATCHED!$I91,IF(MATCHED!AZ91=9,MATCHED!$J91,IF(MATCHED!AZ91=10,MATCHED!$K91,IF(MATCHED!AZ91=11,MATCHED!$L91,IF(MATCHED!AZ91=12,MATCHED!$M91,IF(MATCHED!AZ91=13,MATCHED!$N91,IF(MATCHED!AZ91=14,MATCHED!$O91,"")))))))&amp;IF(MATCHED!AZ91=15,MATCHED!$P91,IF(MATCHED!AZ91=16,MATCHED!$Q91,IF(MATCHED!AZ91=17,MATCHED!$R91,IF(MATCHED!AZ91=18,MATCHED!$S91,IF(MATCHED!AZ91=19,MATCHED!$T91,IF(MATCHED!AZ91=20,MATCHED!$U91,IF(MATCHED!AZ91=21,MATCHED!$V91,)))))))&amp;IF(MATCHED!AZ91=22,MATCHED!$W91,IF(MATCHED!AZ91=23,MATCHED!$X91,IF(MATCHED!AZ91=24,MATCHED!$Y91,IF(MATCHED!AZ91=25,MATCHED!$Z91,IF(MATCHED!AZ91=26,MATCHED!$AA91,IF(MATCHED!AZ91=27,MATCHED!$AB91,"."))))))</f>
        <v>#N/A</v>
      </c>
      <c r="Y91" s="424" t="e">
        <f>IF(MATCHED!BA91=1,MATCHED!$B91,IF(MATCHED!BA91=2,MATCHED!$C91,IF(MATCHED!BA91=3,MATCHED!$D91,IF(MATCHED!BA91=4,MATCHED!$E91,IF(MATCHED!BA91=3,MATCHED!$F91,IF(MATCHED!BA91=6,MATCHED!$G91,IF(MATCHED!BA91=7,MATCHED!$H91,"")))))))&amp;IF(MATCHED!BA91=8,MATCHED!$I91,IF(MATCHED!BA91=9,MATCHED!$J91,IF(MATCHED!BA91=10,MATCHED!$K91,IF(MATCHED!BA91=11,MATCHED!$L91,IF(MATCHED!BA91=12,MATCHED!$M91,IF(MATCHED!BA91=13,MATCHED!$N91,IF(MATCHED!BA91=14,MATCHED!$O91,"")))))))&amp;IF(MATCHED!BA91=15,MATCHED!$P91,IF(MATCHED!BA91=16,MATCHED!$Q91,IF(MATCHED!BA91=17,MATCHED!$R91,IF(MATCHED!BA91=18,MATCHED!$S91,IF(MATCHED!BA91=19,MATCHED!$T91,IF(MATCHED!BA91=20,MATCHED!$U91,IF(MATCHED!BA91=21,MATCHED!$V91,)))))))&amp;IF(MATCHED!BA91=22,MATCHED!$W91,IF(MATCHED!BA91=23,MATCHED!$X91,IF(MATCHED!BA91=24,MATCHED!$Y91,IF(MATCHED!BA91=25,MATCHED!$Z91,IF(MATCHED!BA91=26,MATCHED!$AA91,IF(MATCHED!BA91=27,MATCHED!$AB91,"."))))))</f>
        <v>#N/A</v>
      </c>
      <c r="Z91" s="424" t="e">
        <f>IF(MATCHED!BB91=1,MATCHED!$B91,IF(MATCHED!BB91=2,MATCHED!$C91,IF(MATCHED!BB91=3,MATCHED!$D91,IF(MATCHED!BB91=4,MATCHED!$E91,IF(MATCHED!BB91=3,MATCHED!$F91,IF(MATCHED!BB91=6,MATCHED!$G91,IF(MATCHED!BB91=7,MATCHED!$H91,"")))))))&amp;IF(MATCHED!BB91=8,MATCHED!$I91,IF(MATCHED!BB91=9,MATCHED!$J91,IF(MATCHED!BB91=10,MATCHED!$K91,IF(MATCHED!BB91=11,MATCHED!$L91,IF(MATCHED!BB91=12,MATCHED!$M91,IF(MATCHED!BB91=13,MATCHED!$N91,IF(MATCHED!BB91=14,MATCHED!$O91,"")))))))&amp;IF(MATCHED!BB91=15,MATCHED!$P91,IF(MATCHED!BB91=16,MATCHED!$Q91,IF(MATCHED!BB91=17,MATCHED!$R91,IF(MATCHED!BB91=18,MATCHED!$S91,IF(MATCHED!BB91=19,MATCHED!$T91,IF(MATCHED!BB91=20,MATCHED!$U91,IF(MATCHED!BB91=21,MATCHED!$V91,)))))))&amp;IF(MATCHED!BB91=22,MATCHED!$W91,IF(MATCHED!BB91=23,MATCHED!$X91,IF(MATCHED!BB91=24,MATCHED!$Y91,IF(MATCHED!BB91=25,MATCHED!$Z91,IF(MATCHED!BB91=26,MATCHED!$AA91,IF(MATCHED!BB91=27,MATCHED!$AB91,"."))))))</f>
        <v>#N/A</v>
      </c>
      <c r="AA91" s="424" t="e">
        <f>IF(MATCHED!BC91=1,MATCHED!$B91,IF(MATCHED!BC91=2,MATCHED!$C91,IF(MATCHED!BC91=3,MATCHED!$D91,IF(MATCHED!BC91=4,MATCHED!$E91,IF(MATCHED!BC91=3,MATCHED!$F91,IF(MATCHED!BC91=6,MATCHED!$G91,IF(MATCHED!BC91=7,MATCHED!$H91,"")))))))&amp;IF(MATCHED!BC91=8,MATCHED!$I91,IF(MATCHED!BC91=9,MATCHED!$J91,IF(MATCHED!BC91=10,MATCHED!$K91,IF(MATCHED!BC91=11,MATCHED!$L91,IF(MATCHED!BC91=12,MATCHED!$M91,IF(MATCHED!BC91=13,MATCHED!$N91,IF(MATCHED!BC91=14,MATCHED!$O91,"")))))))&amp;IF(MATCHED!BC91=15,MATCHED!$P91,IF(MATCHED!BC91=16,MATCHED!$Q91,IF(MATCHED!BC91=17,MATCHED!$R91,IF(MATCHED!BC91=18,MATCHED!$S91,IF(MATCHED!BC91=19,MATCHED!$T91,IF(MATCHED!BC91=20,MATCHED!$U91,IF(MATCHED!BC91=21,MATCHED!$V91,)))))))&amp;IF(MATCHED!BC91=22,MATCHED!$W91,IF(MATCHED!BC91=23,MATCHED!$X91,IF(MATCHED!BC91=24,MATCHED!$Y91,IF(MATCHED!BC91=25,MATCHED!$Z91,IF(MATCHED!BC91=26,MATCHED!$AA91,IF(MATCHED!BC91=27,MATCHED!$AB91,"."))))))</f>
        <v>#N/A</v>
      </c>
      <c r="AB91" s="424" t="e">
        <f>IF(MATCHED!BD91=1,MATCHED!$B91,IF(MATCHED!BD91=2,MATCHED!$C91,IF(MATCHED!BD91=3,MATCHED!$D91,IF(MATCHED!BD91=4,MATCHED!$E91,IF(MATCHED!BD91=3,MATCHED!$F91,IF(MATCHED!BD91=6,MATCHED!$G91,IF(MATCHED!BD91=7,MATCHED!$H91,"")))))))&amp;IF(MATCHED!BD91=8,MATCHED!$I91,IF(MATCHED!BD91=9,MATCHED!$J91,IF(MATCHED!BD91=10,MATCHED!$K91,IF(MATCHED!BD91=11,MATCHED!$L91,IF(MATCHED!BD91=12,MATCHED!$M91,IF(MATCHED!BD91=13,MATCHED!$N91,IF(MATCHED!BD91=14,MATCHED!$O91,"")))))))&amp;IF(MATCHED!BD91=15,MATCHED!$P91,IF(MATCHED!BD91=16,MATCHED!$Q91,IF(MATCHED!BD91=17,MATCHED!$R91,IF(MATCHED!BD91=18,MATCHED!$S91,IF(MATCHED!BD91=19,MATCHED!$T91,IF(MATCHED!BD91=20,MATCHED!$U91,IF(MATCHED!BD91=21,MATCHED!$V91,)))))))&amp;IF(MATCHED!BD91=22,MATCHED!$W91,IF(MATCHED!BD91=23,MATCHED!$X91,IF(MATCHED!BD91=24,MATCHED!$Y91,IF(MATCHED!BD91=25,MATCHED!$Z91,IF(MATCHED!BD91=26,MATCHED!$AA91,IF(MATCHED!BD91=27,MATCHED!$AB91,"."))))))</f>
        <v>#N/A</v>
      </c>
      <c r="AC91" s="424" t="e">
        <f>IF(MATCHED!BE91=1,MATCHED!$B91,IF(MATCHED!BE91=2,MATCHED!$C91,IF(MATCHED!BE91=3,MATCHED!$D91,IF(MATCHED!BE91=4,MATCHED!$E91,IF(MATCHED!BE91=3,MATCHED!$F91,IF(MATCHED!BE91=6,MATCHED!$G91,IF(MATCHED!BE91=7,MATCHED!$H91,"")))))))&amp;IF(MATCHED!BE91=8,MATCHED!$I91,IF(MATCHED!BE91=9,MATCHED!$J91,IF(MATCHED!BE91=10,MATCHED!$K91,IF(MATCHED!BE91=11,MATCHED!$L91,IF(MATCHED!BE91=12,MATCHED!$M91,IF(MATCHED!BE91=13,MATCHED!$N91,IF(MATCHED!BE91=14,MATCHED!$O91,"")))))))&amp;IF(MATCHED!BE91=15,MATCHED!$P91,IF(MATCHED!BE91=16,MATCHED!$Q91,IF(MATCHED!BE91=17,MATCHED!$R91,IF(MATCHED!BE91=18,MATCHED!$S91,IF(MATCHED!BE91=19,MATCHED!$T91,IF(MATCHED!BE91=20,MATCHED!$U91,IF(MATCHED!BE91=21,MATCHED!$V91,)))))))&amp;IF(MATCHED!BE91=22,MATCHED!$W91,IF(MATCHED!BE91=23,MATCHED!$X91,IF(MATCHED!BE91=24,MATCHED!$Y91,IF(MATCHED!BE91=25,MATCHED!$Z91,IF(MATCHED!BE91=26,MATCHED!$AA91,IF(MATCHED!BE91=27,MATCHED!$AB91,"."))))))</f>
        <v>#N/A</v>
      </c>
      <c r="AD91" s="424" t="e">
        <f>IF(MATCHED!BF91=1,MATCHED!$B91,IF(MATCHED!BF91=2,MATCHED!$C91,IF(MATCHED!BF91=3,MATCHED!$D91,IF(MATCHED!BF91=4,MATCHED!$E91,IF(MATCHED!BF91=3,MATCHED!$F91,IF(MATCHED!BF91=6,MATCHED!$G91,IF(MATCHED!BF91=7,MATCHED!$H91,"")))))))&amp;IF(MATCHED!BF91=8,MATCHED!$I91,IF(MATCHED!BF91=9,MATCHED!$J91,IF(MATCHED!BF91=10,MATCHED!$K91,IF(MATCHED!BF91=11,MATCHED!$L91,IF(MATCHED!BF91=12,MATCHED!$M91,IF(MATCHED!BF91=13,MATCHED!$N91,IF(MATCHED!BF91=14,MATCHED!$O91,"")))))))&amp;IF(MATCHED!BF91=15,MATCHED!$P91,IF(MATCHED!BF91=16,MATCHED!$Q91,IF(MATCHED!BF91=17,MATCHED!$R91,IF(MATCHED!BF91=18,MATCHED!$S91,IF(MATCHED!BF91=19,MATCHED!$T91,IF(MATCHED!BF91=20,MATCHED!$U91,IF(MATCHED!BF91=21,MATCHED!$V91,)))))))&amp;IF(MATCHED!BF91=22,MATCHED!$W91,IF(MATCHED!BF91=23,MATCHED!$X91,IF(MATCHED!BF91=24,MATCHED!$Y91,IF(MATCHED!BF91=25,MATCHED!$Z91,IF(MATCHED!BF91=26,MATCHED!$AA91,IF(MATCHED!BF91=27,MATCHED!$AB91,"."))))))</f>
        <v>#N/A</v>
      </c>
      <c r="AE91" s="424" t="e">
        <f>IF(MATCHED!BG91=1,MATCHED!$B91,IF(MATCHED!BG91=2,MATCHED!$C91,IF(MATCHED!BG91=3,MATCHED!$D91,IF(MATCHED!BG91=4,MATCHED!$E91,IF(MATCHED!BG91=3,MATCHED!$F91,IF(MATCHED!BG91=6,MATCHED!$G91,IF(MATCHED!BG91=7,MATCHED!$H91,"")))))))&amp;IF(MATCHED!BG91=8,MATCHED!$I91,IF(MATCHED!BG91=9,MATCHED!$J91,IF(MATCHED!BG91=10,MATCHED!$K91,IF(MATCHED!BG91=11,MATCHED!$L91,IF(MATCHED!BG91=12,MATCHED!$M91,IF(MATCHED!BG91=13,MATCHED!$N91,IF(MATCHED!BG91=14,MATCHED!$O91,"")))))))&amp;IF(MATCHED!BG91=15,MATCHED!$P91,IF(MATCHED!BG91=16,MATCHED!$Q91,IF(MATCHED!BG91=17,MATCHED!$R91,IF(MATCHED!BG91=18,MATCHED!$S91,IF(MATCHED!BG91=19,MATCHED!$T91,IF(MATCHED!BG91=20,MATCHED!$U91,IF(MATCHED!BG91=21,MATCHED!$V91,)))))))&amp;IF(MATCHED!BG91=22,MATCHED!$W91,IF(MATCHED!BG91=23,MATCHED!$X91,IF(MATCHED!BG91=24,MATCHED!$Y91,IF(MATCHED!BG91=25,MATCHED!$Z91,IF(MATCHED!BG91=26,MATCHED!$AA91,IF(MATCHED!BG91=27,MATCHED!$AB91,"."))))))</f>
        <v>#N/A</v>
      </c>
      <c r="AF91" s="424" t="e">
        <f>IF(MATCHED!BH91=1,MATCHED!$B91,IF(MATCHED!BH91=2,MATCHED!$C91,IF(MATCHED!BH91=3,MATCHED!$D91,IF(MATCHED!BH91=4,MATCHED!$E91,IF(MATCHED!BH91=3,MATCHED!$F91,IF(MATCHED!BH91=6,MATCHED!$G91,IF(MATCHED!BH91=7,MATCHED!$H91,"")))))))&amp;IF(MATCHED!BH91=8,MATCHED!$I91,IF(MATCHED!BH91=9,MATCHED!$J91,IF(MATCHED!BH91=10,MATCHED!$K91,IF(MATCHED!BH91=11,MATCHED!$L91,IF(MATCHED!BH91=12,MATCHED!$M91,IF(MATCHED!BH91=13,MATCHED!$N91,IF(MATCHED!BH91=14,MATCHED!$O91,"")))))))&amp;IF(MATCHED!BH91=15,MATCHED!$P91,IF(MATCHED!BH91=16,MATCHED!$Q91,IF(MATCHED!BH91=17,MATCHED!$R91,IF(MATCHED!BH91=18,MATCHED!$S91,IF(MATCHED!BH91=19,MATCHED!$T91,IF(MATCHED!BH91=20,MATCHED!$U91,IF(MATCHED!BH91=21,MATCHED!$V91,)))))))&amp;IF(MATCHED!BH91=22,MATCHED!$W91,IF(MATCHED!BH91=23,MATCHED!$X91,IF(MATCHED!BH91=24,MATCHED!$Y91,IF(MATCHED!BH91=25,MATCHED!$Z91,IF(MATCHED!BH91=26,MATCHED!$AA91,IF(MATCHED!BH91=27,MATCHED!$AB91,"."))))))</f>
        <v>#N/A</v>
      </c>
      <c r="AG91" s="424" t="e">
        <f>IF(MATCHED!BI91=1,MATCHED!$B91,IF(MATCHED!BI91=2,MATCHED!$C91,IF(MATCHED!BI91=3,MATCHED!$D91,IF(MATCHED!BI91=4,MATCHED!$E91,IF(MATCHED!BI91=3,MATCHED!$F91,IF(MATCHED!BI91=6,MATCHED!$G91,IF(MATCHED!BI91=7,MATCHED!$H91,"")))))))&amp;IF(MATCHED!BI91=8,MATCHED!$I91,IF(MATCHED!BI91=9,MATCHED!$J91,IF(MATCHED!BI91=10,MATCHED!$K91,IF(MATCHED!BI91=11,MATCHED!$L91,IF(MATCHED!BI91=12,MATCHED!$M91,IF(MATCHED!BI91=13,MATCHED!$N91,IF(MATCHED!BI91=14,MATCHED!$O91,"")))))))&amp;IF(MATCHED!BI91=15,MATCHED!$P91,IF(MATCHED!BI91=16,MATCHED!$Q91,IF(MATCHED!BI91=17,MATCHED!$R91,IF(MATCHED!BI91=18,MATCHED!$S91,IF(MATCHED!BI91=19,MATCHED!$T91,IF(MATCHED!BI91=20,MATCHED!$U91,IF(MATCHED!BI91=21,MATCHED!$V91,)))))))&amp;IF(MATCHED!BI91=22,MATCHED!$W91,IF(MATCHED!BI91=23,MATCHED!$X91,IF(MATCHED!BI91=24,MATCHED!$Y91,IF(MATCHED!BI91=25,MATCHED!$Z91,IF(MATCHED!BI91=26,MATCHED!$AA91,IF(MATCHED!BI91=27,MATCHED!$AB91,"."))))))</f>
        <v>#N/A</v>
      </c>
      <c r="AH91" s="424" t="e">
        <f>IF(MATCHED!BJ91=1,MATCHED!$B91,IF(MATCHED!BJ91=2,MATCHED!$C91,IF(MATCHED!BJ91=3,MATCHED!$D91,IF(MATCHED!BJ91=4,MATCHED!$E91,IF(MATCHED!BJ91=3,MATCHED!$F91,IF(MATCHED!BJ91=6,MATCHED!$G91,IF(MATCHED!BJ91=7,MATCHED!$H91,"")))))))&amp;IF(MATCHED!BJ91=8,MATCHED!$I91,IF(MATCHED!BJ91=9,MATCHED!$J91,IF(MATCHED!BJ91=10,MATCHED!$K91,IF(MATCHED!BJ91=11,MATCHED!$L91,IF(MATCHED!BJ91=12,MATCHED!$M91,IF(MATCHED!BJ91=13,MATCHED!$N91,IF(MATCHED!BJ91=14,MATCHED!$O91,"")))))))&amp;IF(MATCHED!BJ91=15,MATCHED!$P91,IF(MATCHED!BJ91=16,MATCHED!$Q91,IF(MATCHED!BJ91=17,MATCHED!$R91,IF(MATCHED!BJ91=18,MATCHED!$S91,IF(MATCHED!BJ91=19,MATCHED!$T91,IF(MATCHED!BJ91=20,MATCHED!$U91,IF(MATCHED!BJ91=21,MATCHED!$V91,)))))))&amp;IF(MATCHED!BJ91=22,MATCHED!$W91,IF(MATCHED!BJ91=23,MATCHED!$X91,IF(MATCHED!BJ91=24,MATCHED!$Y91,IF(MATCHED!BJ91=25,MATCHED!$Z91,IF(MATCHED!BJ91=26,MATCHED!$AA91,IF(MATCHED!BJ91=27,MATCHED!$AB91,"."))))))</f>
        <v>#N/A</v>
      </c>
      <c r="AI91" s="424" t="e">
        <f>IF(MATCHED!BK91=1,MATCHED!$B91,IF(MATCHED!BK91=2,MATCHED!$C91,IF(MATCHED!BK91=3,MATCHED!$D91,IF(MATCHED!BK91=4,MATCHED!$E91,IF(MATCHED!BK91=3,MATCHED!$F91,IF(MATCHED!BK91=6,MATCHED!$G91,IF(MATCHED!BK91=7,MATCHED!$H91,"")))))))&amp;IF(MATCHED!BK91=8,MATCHED!$I91,IF(MATCHED!BK91=9,MATCHED!$J91,IF(MATCHED!BK91=10,MATCHED!$K91,IF(MATCHED!BK91=11,MATCHED!$L91,IF(MATCHED!BK91=12,MATCHED!$M91,IF(MATCHED!BK91=13,MATCHED!$N91,IF(MATCHED!BK91=14,MATCHED!$O91,"")))))))&amp;IF(MATCHED!BK91=15,MATCHED!$P91,IF(MATCHED!BK91=16,MATCHED!$Q91,IF(MATCHED!BK91=17,MATCHED!$R91,IF(MATCHED!BK91=18,MATCHED!$S91,IF(MATCHED!BK91=19,MATCHED!$T91,IF(MATCHED!BK91=20,MATCHED!$U91,IF(MATCHED!BK91=21,MATCHED!$V91,)))))))&amp;IF(MATCHED!BK91=22,MATCHED!$W91,IF(MATCHED!BK91=23,MATCHED!$X91,IF(MATCHED!BK91=24,MATCHED!$Y91,IF(MATCHED!BK91=25,MATCHED!$Z91,IF(MATCHED!BK91=26,MATCHED!$AA91,IF(MATCHED!BK91=27,MATCHED!$AB91,"."))))))</f>
        <v>#N/A</v>
      </c>
      <c r="AJ91" s="535"/>
    </row>
    <row r="92" spans="1:36" s="338" customFormat="1" x14ac:dyDescent="0.25">
      <c r="A92" s="535"/>
      <c r="B92" s="424" t="e">
        <f>IF(MATCHED!AD92=1,MATCHED!$B92,IF(MATCHED!AD92=2,MATCHED!$C92,IF(MATCHED!AD92=3,MATCHED!$D92,IF(MATCHED!AD92=4,MATCHED!$E92,IF(MATCHED!AD92=3,MATCHED!$F92,IF(MATCHED!AD92=6,MATCHED!$G92,IF(MATCHED!AD92=7,MATCHED!$H92,"")))))))&amp;IF(MATCHED!AD92=8,MATCHED!$I92,IF(MATCHED!AD92=9,MATCHED!$J92,IF(MATCHED!AD92=10,MATCHED!$K92,IF(MATCHED!AD92=11,MATCHED!$L92,IF(MATCHED!AD92=12,MATCHED!$M92,IF(MATCHED!AD92=13,MATCHED!$N92,IF(MATCHED!AD92=14,MATCHED!$O92,"")))))))&amp;IF(MATCHED!AD92=15,MATCHED!$P92,IF(MATCHED!AD92=16,MATCHED!$Q92,IF(MATCHED!AD92=17,MATCHED!$R92,IF(MATCHED!AD92=18,MATCHED!$S92,IF(MATCHED!AD92=19,MATCHED!$T92,IF(MATCHED!AD92=20,MATCHED!$U92,IF(MATCHED!AD92=21,MATCHED!$V92,)))))))&amp;IF(MATCHED!AD92=22,MATCHED!$W92,IF(MATCHED!AD92=23,MATCHED!$X92,IF(MATCHED!AD92=24,MATCHED!$Y92,IF(MATCHED!AD92=25,MATCHED!$Z92,IF(MATCHED!AD92=26,MATCHED!$AA92,IF(MATCHED!AD92=27,MATCHED!$AB92,"."))))))</f>
        <v>#N/A</v>
      </c>
      <c r="C92" s="424" t="e">
        <f>IF(MATCHED!AE92=1,MATCHED!$B92,IF(MATCHED!AE92=2,MATCHED!$C92,IF(MATCHED!AE92=3,MATCHED!$D92,IF(MATCHED!AE92=4,MATCHED!$E92,IF(MATCHED!AE92=3,MATCHED!$F92,IF(MATCHED!AE92=6,MATCHED!$G92,IF(MATCHED!AE92=7,MATCHED!$H92,"")))))))&amp;IF(MATCHED!AE92=8,MATCHED!$I92,IF(MATCHED!AE92=9,MATCHED!$J92,IF(MATCHED!AE92=10,MATCHED!$K92,IF(MATCHED!AE92=11,MATCHED!$L92,IF(MATCHED!AE92=12,MATCHED!$M92,IF(MATCHED!AE92=13,MATCHED!$N92,IF(MATCHED!AE92=14,MATCHED!$O92,"")))))))&amp;IF(MATCHED!AE92=15,MATCHED!$P92,IF(MATCHED!AE92=16,MATCHED!$Q92,IF(MATCHED!AE92=17,MATCHED!$R92,IF(MATCHED!AE92=18,MATCHED!$S92,IF(MATCHED!AE92=19,MATCHED!$T92,IF(MATCHED!AE92=20,MATCHED!$U92,IF(MATCHED!AE92=21,MATCHED!$V92,)))))))&amp;IF(MATCHED!AE92=22,MATCHED!$W92,IF(MATCHED!AE92=23,MATCHED!$X92,IF(MATCHED!AE92=24,MATCHED!$Y92,IF(MATCHED!AE92=25,MATCHED!$Z92,IF(MATCHED!AE92=26,MATCHED!$AA92,IF(MATCHED!AE92=27,MATCHED!$AB92,"."))))))</f>
        <v>#N/A</v>
      </c>
      <c r="D92" s="424" t="e">
        <f>IF(MATCHED!AF92=1,MATCHED!$B92,IF(MATCHED!AF92=2,MATCHED!$C92,IF(MATCHED!AF92=3,MATCHED!$D92,IF(MATCHED!AF92=4,MATCHED!$E92,IF(MATCHED!AF92=3,MATCHED!$F92,IF(MATCHED!AF92=6,MATCHED!$G92,IF(MATCHED!AF92=7,MATCHED!$H92,"")))))))&amp;IF(MATCHED!AF92=8,MATCHED!$I92,IF(MATCHED!AF92=9,MATCHED!$J92,IF(MATCHED!AF92=10,MATCHED!$K92,IF(MATCHED!AF92=11,MATCHED!$L92,IF(MATCHED!AF92=12,MATCHED!$M92,IF(MATCHED!AF92=13,MATCHED!$N92,IF(MATCHED!AF92=14,MATCHED!$O92,"")))))))&amp;IF(MATCHED!AF92=15,MATCHED!$P92,IF(MATCHED!AF92=16,MATCHED!$Q92,IF(MATCHED!AF92=17,MATCHED!$R92,IF(MATCHED!AF92=18,MATCHED!$S92,IF(MATCHED!AF92=19,MATCHED!$T92,IF(MATCHED!AF92=20,MATCHED!$U92,IF(MATCHED!AF92=21,MATCHED!$V92,)))))))&amp;IF(MATCHED!AF92=22,MATCHED!$W92,IF(MATCHED!AF92=23,MATCHED!$X92,IF(MATCHED!AF92=24,MATCHED!$Y92,IF(MATCHED!AF92=25,MATCHED!$Z92,IF(MATCHED!AF92=26,MATCHED!$AA92,IF(MATCHED!AF92=27,MATCHED!$AB92,"."))))))</f>
        <v>#N/A</v>
      </c>
      <c r="E92" s="424" t="e">
        <f>IF(MATCHED!AG92=1,MATCHED!$B92,IF(MATCHED!AG92=2,MATCHED!$C92,IF(MATCHED!AG92=3,MATCHED!$D92,IF(MATCHED!AG92=4,MATCHED!$E92,IF(MATCHED!AG92=3,MATCHED!$F92,IF(MATCHED!AG92=6,MATCHED!$G92,IF(MATCHED!AG92=7,MATCHED!$H92,"")))))))&amp;IF(MATCHED!AG92=8,MATCHED!$I92,IF(MATCHED!AG92=9,MATCHED!$J92,IF(MATCHED!AG92=10,MATCHED!$K92,IF(MATCHED!AG92=11,MATCHED!$L92,IF(MATCHED!AG92=12,MATCHED!$M92,IF(MATCHED!AG92=13,MATCHED!$N92,IF(MATCHED!AG92=14,MATCHED!$O92,"")))))))&amp;IF(MATCHED!AG92=15,MATCHED!$P92,IF(MATCHED!AG92=16,MATCHED!$Q92,IF(MATCHED!AG92=17,MATCHED!$R92,IF(MATCHED!AG92=18,MATCHED!$S92,IF(MATCHED!AG92=19,MATCHED!$T92,IF(MATCHED!AG92=20,MATCHED!$U92,IF(MATCHED!AG92=21,MATCHED!$V92,)))))))&amp;IF(MATCHED!AG92=22,MATCHED!$W92,IF(MATCHED!AG92=23,MATCHED!$X92,IF(MATCHED!AG92=24,MATCHED!$Y92,IF(MATCHED!AG92=25,MATCHED!$Z92,IF(MATCHED!AG92=26,MATCHED!$AA92,IF(MATCHED!AG92=27,MATCHED!$AB92,"."))))))</f>
        <v>#N/A</v>
      </c>
      <c r="F92" s="424" t="e">
        <f>IF(MATCHED!AH92=1,MATCHED!$B92,IF(MATCHED!AH92=2,MATCHED!$C92,IF(MATCHED!AH92=3,MATCHED!$D92,IF(MATCHED!AH92=4,MATCHED!$E92,IF(MATCHED!AH92=3,MATCHED!$F92,IF(MATCHED!AH92=6,MATCHED!$G92,IF(MATCHED!AH92=7,MATCHED!$H92,"")))))))&amp;IF(MATCHED!AH92=8,MATCHED!$I92,IF(MATCHED!AH92=9,MATCHED!$J92,IF(MATCHED!AH92=10,MATCHED!$K92,IF(MATCHED!AH92=11,MATCHED!$L92,IF(MATCHED!AH92=12,MATCHED!$M92,IF(MATCHED!AH92=13,MATCHED!$N92,IF(MATCHED!AH92=14,MATCHED!$O92,"")))))))&amp;IF(MATCHED!AH92=15,MATCHED!$P92,IF(MATCHED!AH92=16,MATCHED!$Q92,IF(MATCHED!AH92=17,MATCHED!$R92,IF(MATCHED!AH92=18,MATCHED!$S92,IF(MATCHED!AH92=19,MATCHED!$T92,IF(MATCHED!AH92=20,MATCHED!$U92,IF(MATCHED!AH92=21,MATCHED!$V92,)))))))&amp;IF(MATCHED!AH92=22,MATCHED!$W92,IF(MATCHED!AH92=23,MATCHED!$X92,IF(MATCHED!AH92=24,MATCHED!$Y92,IF(MATCHED!AH92=25,MATCHED!$Z92,IF(MATCHED!AH92=26,MATCHED!$AA92,IF(MATCHED!AH92=27,MATCHED!$AB92,"."))))))</f>
        <v>#N/A</v>
      </c>
      <c r="G92" s="424" t="e">
        <f>IF(MATCHED!AI92=1,MATCHED!$B92,IF(MATCHED!AI92=2,MATCHED!$C92,IF(MATCHED!AI92=3,MATCHED!$D92,IF(MATCHED!AI92=4,MATCHED!$E92,IF(MATCHED!AI92=3,MATCHED!$F92,IF(MATCHED!AI92=6,MATCHED!$G92,IF(MATCHED!AI92=7,MATCHED!$H92,"")))))))&amp;IF(MATCHED!AI92=8,MATCHED!$I92,IF(MATCHED!AI92=9,MATCHED!$J92,IF(MATCHED!AI92=10,MATCHED!$K92,IF(MATCHED!AI92=11,MATCHED!$L92,IF(MATCHED!AI92=12,MATCHED!$M92,IF(MATCHED!AI92=13,MATCHED!$N92,IF(MATCHED!AI92=14,MATCHED!$O92,"")))))))&amp;IF(MATCHED!AI92=15,MATCHED!$P92,IF(MATCHED!AI92=16,MATCHED!$Q92,IF(MATCHED!AI92=17,MATCHED!$R92,IF(MATCHED!AI92=18,MATCHED!$S92,IF(MATCHED!AI92=19,MATCHED!$T92,IF(MATCHED!AI92=20,MATCHED!$U92,IF(MATCHED!AI92=21,MATCHED!$V92,)))))))&amp;IF(MATCHED!AI92=22,MATCHED!$W92,IF(MATCHED!AI92=23,MATCHED!$X92,IF(MATCHED!AI92=24,MATCHED!$Y92,IF(MATCHED!AI92=25,MATCHED!$Z92,IF(MATCHED!AI92=26,MATCHED!$AA92,IF(MATCHED!AI92=27,MATCHED!$AB92,"."))))))</f>
        <v>#N/A</v>
      </c>
      <c r="H92" s="424" t="e">
        <f>IF(MATCHED!AJ92=1,MATCHED!$B92,IF(MATCHED!AJ92=2,MATCHED!$C92,IF(MATCHED!AJ92=3,MATCHED!$D92,IF(MATCHED!AJ92=4,MATCHED!$E92,IF(MATCHED!AJ92=3,MATCHED!$F92,IF(MATCHED!AJ92=6,MATCHED!$G92,IF(MATCHED!AJ92=7,MATCHED!$H92,"")))))))&amp;IF(MATCHED!AJ92=8,MATCHED!$I92,IF(MATCHED!AJ92=9,MATCHED!$J92,IF(MATCHED!AJ92=10,MATCHED!$K92,IF(MATCHED!AJ92=11,MATCHED!$L92,IF(MATCHED!AJ92=12,MATCHED!$M92,IF(MATCHED!AJ92=13,MATCHED!$N92,IF(MATCHED!AJ92=14,MATCHED!$O92,"")))))))&amp;IF(MATCHED!AJ92=15,MATCHED!$P92,IF(MATCHED!AJ92=16,MATCHED!$Q92,IF(MATCHED!AJ92=17,MATCHED!$R92,IF(MATCHED!AJ92=18,MATCHED!$S92,IF(MATCHED!AJ92=19,MATCHED!$T92,IF(MATCHED!AJ92=20,MATCHED!$U92,IF(MATCHED!AJ92=21,MATCHED!$V92,)))))))&amp;IF(MATCHED!AJ92=22,MATCHED!$W92,IF(MATCHED!AJ92=23,MATCHED!$X92,IF(MATCHED!AJ92=24,MATCHED!$Y92,IF(MATCHED!AJ92=25,MATCHED!$Z92,IF(MATCHED!AJ92=26,MATCHED!$AA92,IF(MATCHED!AJ92=27,MATCHED!$AB92,"."))))))</f>
        <v>#N/A</v>
      </c>
      <c r="I92" s="424" t="e">
        <f>IF(MATCHED!AK92=1,MATCHED!$B92,IF(MATCHED!AK92=2,MATCHED!$C92,IF(MATCHED!AK92=3,MATCHED!$D92,IF(MATCHED!AK92=4,MATCHED!$E92,IF(MATCHED!AK92=3,MATCHED!$F92,IF(MATCHED!AK92=6,MATCHED!$G92,IF(MATCHED!AK92=7,MATCHED!$H92,"")))))))&amp;IF(MATCHED!AK92=8,MATCHED!$I92,IF(MATCHED!AK92=9,MATCHED!$J92,IF(MATCHED!AK92=10,MATCHED!$K92,IF(MATCHED!AK92=11,MATCHED!$L92,IF(MATCHED!AK92=12,MATCHED!$M92,IF(MATCHED!AK92=13,MATCHED!$N92,IF(MATCHED!AK92=14,MATCHED!$O92,"")))))))&amp;IF(MATCHED!AK92=15,MATCHED!$P92,IF(MATCHED!AK92=16,MATCHED!$Q92,IF(MATCHED!AK92=17,MATCHED!$R92,IF(MATCHED!AK92=18,MATCHED!$S92,IF(MATCHED!AK92=19,MATCHED!$T92,IF(MATCHED!AK92=20,MATCHED!$U92,IF(MATCHED!AK92=21,MATCHED!$V92,)))))))&amp;IF(MATCHED!AK92=22,MATCHED!$W92,IF(MATCHED!AK92=23,MATCHED!$X92,IF(MATCHED!AK92=24,MATCHED!$Y92,IF(MATCHED!AK92=25,MATCHED!$Z92,IF(MATCHED!AK92=26,MATCHED!$AA92,IF(MATCHED!AK92=27,MATCHED!$AB92,"."))))))</f>
        <v>#N/A</v>
      </c>
      <c r="J92" s="424" t="e">
        <f>IF(MATCHED!AL92=1,MATCHED!$B92,IF(MATCHED!AL92=2,MATCHED!$C92,IF(MATCHED!AL92=3,MATCHED!$D92,IF(MATCHED!AL92=4,MATCHED!$E92,IF(MATCHED!AL92=3,MATCHED!$F92,IF(MATCHED!AL92=6,MATCHED!$G92,IF(MATCHED!AL92=7,MATCHED!$H92,"")))))))&amp;IF(MATCHED!AL92=8,MATCHED!$I92,IF(MATCHED!AL92=9,MATCHED!$J92,IF(MATCHED!AL92=10,MATCHED!$K92,IF(MATCHED!AL92=11,MATCHED!$L92,IF(MATCHED!AL92=12,MATCHED!$M92,IF(MATCHED!AL92=13,MATCHED!$N92,IF(MATCHED!AL92=14,MATCHED!$O92,"")))))))&amp;IF(MATCHED!AL92=15,MATCHED!$P92,IF(MATCHED!AL92=16,MATCHED!$Q92,IF(MATCHED!AL92=17,MATCHED!$R92,IF(MATCHED!AL92=18,MATCHED!$S92,IF(MATCHED!AL92=19,MATCHED!$T92,IF(MATCHED!AL92=20,MATCHED!$U92,IF(MATCHED!AL92=21,MATCHED!$V92,)))))))&amp;IF(MATCHED!AL92=22,MATCHED!$W92,IF(MATCHED!AL92=23,MATCHED!$X92,IF(MATCHED!AL92=24,MATCHED!$Y92,IF(MATCHED!AL92=25,MATCHED!$Z92,IF(MATCHED!AL92=26,MATCHED!$AA92,IF(MATCHED!AL92=27,MATCHED!$AB92,"."))))))</f>
        <v>#N/A</v>
      </c>
      <c r="K92" s="424" t="e">
        <f>IF(MATCHED!AM92=1,MATCHED!$B92,IF(MATCHED!AM92=2,MATCHED!$C92,IF(MATCHED!AM92=3,MATCHED!$D92,IF(MATCHED!AM92=4,MATCHED!$E92,IF(MATCHED!AM92=3,MATCHED!$F92,IF(MATCHED!AM92=6,MATCHED!$G92,IF(MATCHED!AM92=7,MATCHED!$H92,"")))))))&amp;IF(MATCHED!AM92=8,MATCHED!$I92,IF(MATCHED!AM92=9,MATCHED!$J92,IF(MATCHED!AM92=10,MATCHED!$K92,IF(MATCHED!AM92=11,MATCHED!$L92,IF(MATCHED!AM92=12,MATCHED!$M92,IF(MATCHED!AM92=13,MATCHED!$N92,IF(MATCHED!AM92=14,MATCHED!$O92,"")))))))&amp;IF(MATCHED!AM92=15,MATCHED!$P92,IF(MATCHED!AM92=16,MATCHED!$Q92,IF(MATCHED!AM92=17,MATCHED!$R92,IF(MATCHED!AM92=18,MATCHED!$S92,IF(MATCHED!AM92=19,MATCHED!$T92,IF(MATCHED!AM92=20,MATCHED!$U92,IF(MATCHED!AM92=21,MATCHED!$V92,)))))))&amp;IF(MATCHED!AM92=22,MATCHED!$W92,IF(MATCHED!AM92=23,MATCHED!$X92,IF(MATCHED!AM92=24,MATCHED!$Y92,IF(MATCHED!AM92=25,MATCHED!$Z92,IF(MATCHED!AM92=26,MATCHED!$AA92,IF(MATCHED!AM92=27,MATCHED!$AB92,"."))))))</f>
        <v>#N/A</v>
      </c>
      <c r="L92" s="424" t="e">
        <f>IF(MATCHED!AN92=1,MATCHED!$B92,IF(MATCHED!AN92=2,MATCHED!$C92,IF(MATCHED!AN92=3,MATCHED!$D92,IF(MATCHED!AN92=4,MATCHED!$E92,IF(MATCHED!AN92=3,MATCHED!$F92,IF(MATCHED!AN92=6,MATCHED!$G92,IF(MATCHED!AN92=7,MATCHED!$H92,"")))))))&amp;IF(MATCHED!AN92=8,MATCHED!$I92,IF(MATCHED!AN92=9,MATCHED!$J92,IF(MATCHED!AN92=10,MATCHED!$K92,IF(MATCHED!AN92=11,MATCHED!$L92,IF(MATCHED!AN92=12,MATCHED!$M92,IF(MATCHED!AN92=13,MATCHED!$N92,IF(MATCHED!AN92=14,MATCHED!$O92,"")))))))&amp;IF(MATCHED!AN92=15,MATCHED!$P92,IF(MATCHED!AN92=16,MATCHED!$Q92,IF(MATCHED!AN92=17,MATCHED!$R92,IF(MATCHED!AN92=18,MATCHED!$S92,IF(MATCHED!AN92=19,MATCHED!$T92,IF(MATCHED!AN92=20,MATCHED!$U92,IF(MATCHED!AN92=21,MATCHED!$V92,)))))))&amp;IF(MATCHED!AN92=22,MATCHED!$W92,IF(MATCHED!AN92=23,MATCHED!$X92,IF(MATCHED!AN92=24,MATCHED!$Y92,IF(MATCHED!AN92=25,MATCHED!$Z92,IF(MATCHED!AN92=26,MATCHED!$AA92,IF(MATCHED!AN92=27,MATCHED!$AB92,"."))))))</f>
        <v>#N/A</v>
      </c>
      <c r="M92" s="424" t="e">
        <f>IF(MATCHED!AO92=1,MATCHED!$B92,IF(MATCHED!AO92=2,MATCHED!$C92,IF(MATCHED!AO92=3,MATCHED!$D92,IF(MATCHED!AO92=4,MATCHED!$E92,IF(MATCHED!AO92=3,MATCHED!$F92,IF(MATCHED!AO92=6,MATCHED!$G92,IF(MATCHED!AO92=7,MATCHED!$H92,"")))))))&amp;IF(MATCHED!AO92=8,MATCHED!$I92,IF(MATCHED!AO92=9,MATCHED!$J92,IF(MATCHED!AO92=10,MATCHED!$K92,IF(MATCHED!AO92=11,MATCHED!$L92,IF(MATCHED!AO92=12,MATCHED!$M92,IF(MATCHED!AO92=13,MATCHED!$N92,IF(MATCHED!AO92=14,MATCHED!$O92,"")))))))&amp;IF(MATCHED!AO92=15,MATCHED!$P92,IF(MATCHED!AO92=16,MATCHED!$Q92,IF(MATCHED!AO92=17,MATCHED!$R92,IF(MATCHED!AO92=18,MATCHED!$S92,IF(MATCHED!AO92=19,MATCHED!$T92,IF(MATCHED!AO92=20,MATCHED!$U92,IF(MATCHED!AO92=21,MATCHED!$V92,)))))))&amp;IF(MATCHED!AO92=22,MATCHED!$W92,IF(MATCHED!AO92=23,MATCHED!$X92,IF(MATCHED!AO92=24,MATCHED!$Y92,IF(MATCHED!AO92=25,MATCHED!$Z92,IF(MATCHED!AO92=26,MATCHED!$AA92,IF(MATCHED!AO92=27,MATCHED!$AB92,"."))))))</f>
        <v>#N/A</v>
      </c>
      <c r="N92" s="424" t="e">
        <f>IF(MATCHED!AP92=1,MATCHED!$B92,IF(MATCHED!AP92=2,MATCHED!$C92,IF(MATCHED!AP92=3,MATCHED!$D92,IF(MATCHED!AP92=4,MATCHED!$E92,IF(MATCHED!AP92=3,MATCHED!$F92,IF(MATCHED!AP92=6,MATCHED!$G92,IF(MATCHED!AP92=7,MATCHED!$H92,"")))))))&amp;IF(MATCHED!AP92=8,MATCHED!$I92,IF(MATCHED!AP92=9,MATCHED!$J92,IF(MATCHED!AP92=10,MATCHED!$K92,IF(MATCHED!AP92=11,MATCHED!$L92,IF(MATCHED!AP92=12,MATCHED!$M92,IF(MATCHED!AP92=13,MATCHED!$N92,IF(MATCHED!AP92=14,MATCHED!$O92,"")))))))&amp;IF(MATCHED!AP92=15,MATCHED!$P92,IF(MATCHED!AP92=16,MATCHED!$Q92,IF(MATCHED!AP92=17,MATCHED!$R92,IF(MATCHED!AP92=18,MATCHED!$S92,IF(MATCHED!AP92=19,MATCHED!$T92,IF(MATCHED!AP92=20,MATCHED!$U92,IF(MATCHED!AP92=21,MATCHED!$V92,)))))))&amp;IF(MATCHED!AP92=22,MATCHED!$W92,IF(MATCHED!AP92=23,MATCHED!$X92,IF(MATCHED!AP92=24,MATCHED!$Y92,IF(MATCHED!AP92=25,MATCHED!$Z92,IF(MATCHED!AP92=26,MATCHED!$AA92,IF(MATCHED!AP92=27,MATCHED!$AB92,"."))))))</f>
        <v>#N/A</v>
      </c>
      <c r="O92" s="424" t="e">
        <f>IF(MATCHED!AQ92=1,MATCHED!$B92,IF(MATCHED!AQ92=2,MATCHED!$C92,IF(MATCHED!AQ92=3,MATCHED!$D92,IF(MATCHED!AQ92=4,MATCHED!$E92,IF(MATCHED!AQ92=3,MATCHED!$F92,IF(MATCHED!AQ92=6,MATCHED!$G92,IF(MATCHED!AQ92=7,MATCHED!$H92,"")))))))&amp;IF(MATCHED!AQ92=8,MATCHED!$I92,IF(MATCHED!AQ92=9,MATCHED!$J92,IF(MATCHED!AQ92=10,MATCHED!$K92,IF(MATCHED!AQ92=11,MATCHED!$L92,IF(MATCHED!AQ92=12,MATCHED!$M92,IF(MATCHED!AQ92=13,MATCHED!$N92,IF(MATCHED!AQ92=14,MATCHED!$O92,"")))))))&amp;IF(MATCHED!AQ92=15,MATCHED!$P92,IF(MATCHED!AQ92=16,MATCHED!$Q92,IF(MATCHED!AQ92=17,MATCHED!$R92,IF(MATCHED!AQ92=18,MATCHED!$S92,IF(MATCHED!AQ92=19,MATCHED!$T92,IF(MATCHED!AQ92=20,MATCHED!$U92,IF(MATCHED!AQ92=21,MATCHED!$V92,)))))))&amp;IF(MATCHED!AQ92=22,MATCHED!$W92,IF(MATCHED!AQ92=23,MATCHED!$X92,IF(MATCHED!AQ92=24,MATCHED!$Y92,IF(MATCHED!AQ92=25,MATCHED!$Z92,IF(MATCHED!AQ92=26,MATCHED!$AA92,IF(MATCHED!AQ92=27,MATCHED!$AB92,"."))))))</f>
        <v>#N/A</v>
      </c>
      <c r="P92" s="424" t="e">
        <f>IF(MATCHED!AR92=1,MATCHED!$B92,IF(MATCHED!AR92=2,MATCHED!$C92,IF(MATCHED!AR92=3,MATCHED!$D92,IF(MATCHED!AR92=4,MATCHED!$E92,IF(MATCHED!AR92=3,MATCHED!$F92,IF(MATCHED!AR92=6,MATCHED!$G92,IF(MATCHED!AR92=7,MATCHED!$H92,"")))))))&amp;IF(MATCHED!AR92=8,MATCHED!$I92,IF(MATCHED!AR92=9,MATCHED!$J92,IF(MATCHED!AR92=10,MATCHED!$K92,IF(MATCHED!AR92=11,MATCHED!$L92,IF(MATCHED!AR92=12,MATCHED!$M92,IF(MATCHED!AR92=13,MATCHED!$N92,IF(MATCHED!AR92=14,MATCHED!$O92,"")))))))&amp;IF(MATCHED!AR92=15,MATCHED!$P92,IF(MATCHED!AR92=16,MATCHED!$Q92,IF(MATCHED!AR92=17,MATCHED!$R92,IF(MATCHED!AR92=18,MATCHED!$S92,IF(MATCHED!AR92=19,MATCHED!$T92,IF(MATCHED!AR92=20,MATCHED!$U92,IF(MATCHED!AR92=21,MATCHED!$V92,)))))))&amp;IF(MATCHED!AR92=22,MATCHED!$W92,IF(MATCHED!AR92=23,MATCHED!$X92,IF(MATCHED!AR92=24,MATCHED!$Y92,IF(MATCHED!AR92=25,MATCHED!$Z92,IF(MATCHED!AR92=26,MATCHED!$AA92,IF(MATCHED!AR92=27,MATCHED!$AB92,"."))))))</f>
        <v>#N/A</v>
      </c>
      <c r="Q92" s="424" t="e">
        <f>IF(MATCHED!AS92=1,MATCHED!$B92,IF(MATCHED!AS92=2,MATCHED!$C92,IF(MATCHED!AS92=3,MATCHED!$D92,IF(MATCHED!AS92=4,MATCHED!$E92,IF(MATCHED!AS92=3,MATCHED!$F92,IF(MATCHED!AS92=6,MATCHED!$G92,IF(MATCHED!AS92=7,MATCHED!$H92,"")))))))&amp;IF(MATCHED!AS92=8,MATCHED!$I92,IF(MATCHED!AS92=9,MATCHED!$J92,IF(MATCHED!AS92=10,MATCHED!$K92,IF(MATCHED!AS92=11,MATCHED!$L92,IF(MATCHED!AS92=12,MATCHED!$M92,IF(MATCHED!AS92=13,MATCHED!$N92,IF(MATCHED!AS92=14,MATCHED!$O92,"")))))))&amp;IF(MATCHED!AS92=15,MATCHED!$P92,IF(MATCHED!AS92=16,MATCHED!$Q92,IF(MATCHED!AS92=17,MATCHED!$R92,IF(MATCHED!AS92=18,MATCHED!$S92,IF(MATCHED!AS92=19,MATCHED!$T92,IF(MATCHED!AS92=20,MATCHED!$U92,IF(MATCHED!AS92=21,MATCHED!$V92,)))))))&amp;IF(MATCHED!AS92=22,MATCHED!$W92,IF(MATCHED!AS92=23,MATCHED!$X92,IF(MATCHED!AS92=24,MATCHED!$Y92,IF(MATCHED!AS92=25,MATCHED!$Z92,IF(MATCHED!AS92=26,MATCHED!$AA92,IF(MATCHED!AS92=27,MATCHED!$AB92,"."))))))</f>
        <v>#N/A</v>
      </c>
      <c r="R92" s="424" t="e">
        <f>IF(MATCHED!AT92=1,MATCHED!$B92,IF(MATCHED!AT92=2,MATCHED!$C92,IF(MATCHED!AT92=3,MATCHED!$D92,IF(MATCHED!AT92=4,MATCHED!$E92,IF(MATCHED!AT92=3,MATCHED!$F92,IF(MATCHED!AT92=6,MATCHED!$G92,IF(MATCHED!AT92=7,MATCHED!$H92,"")))))))&amp;IF(MATCHED!AT92=8,MATCHED!$I92,IF(MATCHED!AT92=9,MATCHED!$J92,IF(MATCHED!AT92=10,MATCHED!$K92,IF(MATCHED!AT92=11,MATCHED!$L92,IF(MATCHED!AT92=12,MATCHED!$M92,IF(MATCHED!AT92=13,MATCHED!$N92,IF(MATCHED!AT92=14,MATCHED!$O92,"")))))))&amp;IF(MATCHED!AT92=15,MATCHED!$P92,IF(MATCHED!AT92=16,MATCHED!$Q92,IF(MATCHED!AT92=17,MATCHED!$R92,IF(MATCHED!AT92=18,MATCHED!$S92,IF(MATCHED!AT92=19,MATCHED!$T92,IF(MATCHED!AT92=20,MATCHED!$U92,IF(MATCHED!AT92=21,MATCHED!$V92,)))))))&amp;IF(MATCHED!AT92=22,MATCHED!$W92,IF(MATCHED!AT92=23,MATCHED!$X92,IF(MATCHED!AT92=24,MATCHED!$Y92,IF(MATCHED!AT92=25,MATCHED!$Z92,IF(MATCHED!AT92=26,MATCHED!$AA92,IF(MATCHED!AT92=27,MATCHED!$AB92,"."))))))</f>
        <v>#N/A</v>
      </c>
      <c r="S92" s="424" t="e">
        <f>IF(MATCHED!AU92=1,MATCHED!$B92,IF(MATCHED!AU92=2,MATCHED!$C92,IF(MATCHED!AU92=3,MATCHED!$D92,IF(MATCHED!AU92=4,MATCHED!$E92,IF(MATCHED!AU92=3,MATCHED!$F92,IF(MATCHED!AU92=6,MATCHED!$G92,IF(MATCHED!AU92=7,MATCHED!$H92,"")))))))&amp;IF(MATCHED!AU92=8,MATCHED!$I92,IF(MATCHED!AU92=9,MATCHED!$J92,IF(MATCHED!AU92=10,MATCHED!$K92,IF(MATCHED!AU92=11,MATCHED!$L92,IF(MATCHED!AU92=12,MATCHED!$M92,IF(MATCHED!AU92=13,MATCHED!$N92,IF(MATCHED!AU92=14,MATCHED!$O92,"")))))))&amp;IF(MATCHED!AU92=15,MATCHED!$P92,IF(MATCHED!AU92=16,MATCHED!$Q92,IF(MATCHED!AU92=17,MATCHED!$R92,IF(MATCHED!AU92=18,MATCHED!$S92,IF(MATCHED!AU92=19,MATCHED!$T92,IF(MATCHED!AU92=20,MATCHED!$U92,IF(MATCHED!AU92=21,MATCHED!$V92,)))))))&amp;IF(MATCHED!AU92=22,MATCHED!$W92,IF(MATCHED!AU92=23,MATCHED!$X92,IF(MATCHED!AU92=24,MATCHED!$Y92,IF(MATCHED!AU92=25,MATCHED!$Z92,IF(MATCHED!AU92=26,MATCHED!$AA92,IF(MATCHED!AU92=27,MATCHED!$AB92,"."))))))</f>
        <v>#N/A</v>
      </c>
      <c r="T92" s="424" t="e">
        <f>IF(MATCHED!AV92=1,MATCHED!$B92,IF(MATCHED!AV92=2,MATCHED!$C92,IF(MATCHED!AV92=3,MATCHED!$D92,IF(MATCHED!AV92=4,MATCHED!$E92,IF(MATCHED!AV92=3,MATCHED!$F92,IF(MATCHED!AV92=6,MATCHED!$G92,IF(MATCHED!AV92=7,MATCHED!$H92,"")))))))&amp;IF(MATCHED!AV92=8,MATCHED!$I92,IF(MATCHED!AV92=9,MATCHED!$J92,IF(MATCHED!AV92=10,MATCHED!$K92,IF(MATCHED!AV92=11,MATCHED!$L92,IF(MATCHED!AV92=12,MATCHED!$M92,IF(MATCHED!AV92=13,MATCHED!$N92,IF(MATCHED!AV92=14,MATCHED!$O92,"")))))))&amp;IF(MATCHED!AV92=15,MATCHED!$P92,IF(MATCHED!AV92=16,MATCHED!$Q92,IF(MATCHED!AV92=17,MATCHED!$R92,IF(MATCHED!AV92=18,MATCHED!$S92,IF(MATCHED!AV92=19,MATCHED!$T92,IF(MATCHED!AV92=20,MATCHED!$U92,IF(MATCHED!AV92=21,MATCHED!$V92,)))))))&amp;IF(MATCHED!AV92=22,MATCHED!$W92,IF(MATCHED!AV92=23,MATCHED!$X92,IF(MATCHED!AV92=24,MATCHED!$Y92,IF(MATCHED!AV92=25,MATCHED!$Z92,IF(MATCHED!AV92=26,MATCHED!$AA92,IF(MATCHED!AV92=27,MATCHED!$AB92,"."))))))</f>
        <v>#N/A</v>
      </c>
      <c r="U92" s="424" t="e">
        <f>IF(MATCHED!AW92=1,MATCHED!$B92,IF(MATCHED!AW92=2,MATCHED!$C92,IF(MATCHED!AW92=3,MATCHED!$D92,IF(MATCHED!AW92=4,MATCHED!$E92,IF(MATCHED!AW92=3,MATCHED!$F92,IF(MATCHED!AW92=6,MATCHED!$G92,IF(MATCHED!AW92=7,MATCHED!$H92,"")))))))&amp;IF(MATCHED!AW92=8,MATCHED!$I92,IF(MATCHED!AW92=9,MATCHED!$J92,IF(MATCHED!AW92=10,MATCHED!$K92,IF(MATCHED!AW92=11,MATCHED!$L92,IF(MATCHED!AW92=12,MATCHED!$M92,IF(MATCHED!AW92=13,MATCHED!$N92,IF(MATCHED!AW92=14,MATCHED!$O92,"")))))))&amp;IF(MATCHED!AW92=15,MATCHED!$P92,IF(MATCHED!AW92=16,MATCHED!$Q92,IF(MATCHED!AW92=17,MATCHED!$R92,IF(MATCHED!AW92=18,MATCHED!$S92,IF(MATCHED!AW92=19,MATCHED!$T92,IF(MATCHED!AW92=20,MATCHED!$U92,IF(MATCHED!AW92=21,MATCHED!$V92,)))))))&amp;IF(MATCHED!AW92=22,MATCHED!$W92,IF(MATCHED!AW92=23,MATCHED!$X92,IF(MATCHED!AW92=24,MATCHED!$Y92,IF(MATCHED!AW92=25,MATCHED!$Z92,IF(MATCHED!AW92=26,MATCHED!$AA92,IF(MATCHED!AW92=27,MATCHED!$AB92,"."))))))</f>
        <v>#N/A</v>
      </c>
      <c r="V92" s="424" t="e">
        <f>IF(MATCHED!AX92=1,MATCHED!$B92,IF(MATCHED!AX92=2,MATCHED!$C92,IF(MATCHED!AX92=3,MATCHED!$D92,IF(MATCHED!AX92=4,MATCHED!$E92,IF(MATCHED!AX92=3,MATCHED!$F92,IF(MATCHED!AX92=6,MATCHED!$G92,IF(MATCHED!AX92=7,MATCHED!$H92,"")))))))&amp;IF(MATCHED!AX92=8,MATCHED!$I92,IF(MATCHED!AX92=9,MATCHED!$J92,IF(MATCHED!AX92=10,MATCHED!$K92,IF(MATCHED!AX92=11,MATCHED!$L92,IF(MATCHED!AX92=12,MATCHED!$M92,IF(MATCHED!AX92=13,MATCHED!$N92,IF(MATCHED!AX92=14,MATCHED!$O92,"")))))))&amp;IF(MATCHED!AX92=15,MATCHED!$P92,IF(MATCHED!AX92=16,MATCHED!$Q92,IF(MATCHED!AX92=17,MATCHED!$R92,IF(MATCHED!AX92=18,MATCHED!$S92,IF(MATCHED!AX92=19,MATCHED!$T92,IF(MATCHED!AX92=20,MATCHED!$U92,IF(MATCHED!AX92=21,MATCHED!$V92,)))))))&amp;IF(MATCHED!AX92=22,MATCHED!$W92,IF(MATCHED!AX92=23,MATCHED!$X92,IF(MATCHED!AX92=24,MATCHED!$Y92,IF(MATCHED!AX92=25,MATCHED!$Z92,IF(MATCHED!AX92=26,MATCHED!$AA92,IF(MATCHED!AX92=27,MATCHED!$AB92,"."))))))</f>
        <v>#N/A</v>
      </c>
      <c r="W92" s="424" t="e">
        <f>IF(MATCHED!AY92=1,MATCHED!$B92,IF(MATCHED!AY92=2,MATCHED!$C92,IF(MATCHED!AY92=3,MATCHED!$D92,IF(MATCHED!AY92=4,MATCHED!$E92,IF(MATCHED!AY92=3,MATCHED!$F92,IF(MATCHED!AY92=6,MATCHED!$G92,IF(MATCHED!AY92=7,MATCHED!$H92,"")))))))&amp;IF(MATCHED!AY92=8,MATCHED!$I92,IF(MATCHED!AY92=9,MATCHED!$J92,IF(MATCHED!AY92=10,MATCHED!$K92,IF(MATCHED!AY92=11,MATCHED!$L92,IF(MATCHED!AY92=12,MATCHED!$M92,IF(MATCHED!AY92=13,MATCHED!$N92,IF(MATCHED!AY92=14,MATCHED!$O92,"")))))))&amp;IF(MATCHED!AY92=15,MATCHED!$P92,IF(MATCHED!AY92=16,MATCHED!$Q92,IF(MATCHED!AY92=17,MATCHED!$R92,IF(MATCHED!AY92=18,MATCHED!$S92,IF(MATCHED!AY92=19,MATCHED!$T92,IF(MATCHED!AY92=20,MATCHED!$U92,IF(MATCHED!AY92=21,MATCHED!$V92,)))))))&amp;IF(MATCHED!AY92=22,MATCHED!$W92,IF(MATCHED!AY92=23,MATCHED!$X92,IF(MATCHED!AY92=24,MATCHED!$Y92,IF(MATCHED!AY92=25,MATCHED!$Z92,IF(MATCHED!AY92=26,MATCHED!$AA92,IF(MATCHED!AY92=27,MATCHED!$AB92,"."))))))</f>
        <v>#N/A</v>
      </c>
      <c r="X92" s="424" t="e">
        <f>IF(MATCHED!AZ92=1,MATCHED!$B92,IF(MATCHED!AZ92=2,MATCHED!$C92,IF(MATCHED!AZ92=3,MATCHED!$D92,IF(MATCHED!AZ92=4,MATCHED!$E92,IF(MATCHED!AZ92=3,MATCHED!$F92,IF(MATCHED!AZ92=6,MATCHED!$G92,IF(MATCHED!AZ92=7,MATCHED!$H92,"")))))))&amp;IF(MATCHED!AZ92=8,MATCHED!$I92,IF(MATCHED!AZ92=9,MATCHED!$J92,IF(MATCHED!AZ92=10,MATCHED!$K92,IF(MATCHED!AZ92=11,MATCHED!$L92,IF(MATCHED!AZ92=12,MATCHED!$M92,IF(MATCHED!AZ92=13,MATCHED!$N92,IF(MATCHED!AZ92=14,MATCHED!$O92,"")))))))&amp;IF(MATCHED!AZ92=15,MATCHED!$P92,IF(MATCHED!AZ92=16,MATCHED!$Q92,IF(MATCHED!AZ92=17,MATCHED!$R92,IF(MATCHED!AZ92=18,MATCHED!$S92,IF(MATCHED!AZ92=19,MATCHED!$T92,IF(MATCHED!AZ92=20,MATCHED!$U92,IF(MATCHED!AZ92=21,MATCHED!$V92,)))))))&amp;IF(MATCHED!AZ92=22,MATCHED!$W92,IF(MATCHED!AZ92=23,MATCHED!$X92,IF(MATCHED!AZ92=24,MATCHED!$Y92,IF(MATCHED!AZ92=25,MATCHED!$Z92,IF(MATCHED!AZ92=26,MATCHED!$AA92,IF(MATCHED!AZ92=27,MATCHED!$AB92,"."))))))</f>
        <v>#N/A</v>
      </c>
      <c r="Y92" s="424" t="e">
        <f>IF(MATCHED!BA92=1,MATCHED!$B92,IF(MATCHED!BA92=2,MATCHED!$C92,IF(MATCHED!BA92=3,MATCHED!$D92,IF(MATCHED!BA92=4,MATCHED!$E92,IF(MATCHED!BA92=3,MATCHED!$F92,IF(MATCHED!BA92=6,MATCHED!$G92,IF(MATCHED!BA92=7,MATCHED!$H92,"")))))))&amp;IF(MATCHED!BA92=8,MATCHED!$I92,IF(MATCHED!BA92=9,MATCHED!$J92,IF(MATCHED!BA92=10,MATCHED!$K92,IF(MATCHED!BA92=11,MATCHED!$L92,IF(MATCHED!BA92=12,MATCHED!$M92,IF(MATCHED!BA92=13,MATCHED!$N92,IF(MATCHED!BA92=14,MATCHED!$O92,"")))))))&amp;IF(MATCHED!BA92=15,MATCHED!$P92,IF(MATCHED!BA92=16,MATCHED!$Q92,IF(MATCHED!BA92=17,MATCHED!$R92,IF(MATCHED!BA92=18,MATCHED!$S92,IF(MATCHED!BA92=19,MATCHED!$T92,IF(MATCHED!BA92=20,MATCHED!$U92,IF(MATCHED!BA92=21,MATCHED!$V92,)))))))&amp;IF(MATCHED!BA92=22,MATCHED!$W92,IF(MATCHED!BA92=23,MATCHED!$X92,IF(MATCHED!BA92=24,MATCHED!$Y92,IF(MATCHED!BA92=25,MATCHED!$Z92,IF(MATCHED!BA92=26,MATCHED!$AA92,IF(MATCHED!BA92=27,MATCHED!$AB92,"."))))))</f>
        <v>#N/A</v>
      </c>
      <c r="Z92" s="424" t="e">
        <f>IF(MATCHED!BB92=1,MATCHED!$B92,IF(MATCHED!BB92=2,MATCHED!$C92,IF(MATCHED!BB92=3,MATCHED!$D92,IF(MATCHED!BB92=4,MATCHED!$E92,IF(MATCHED!BB92=3,MATCHED!$F92,IF(MATCHED!BB92=6,MATCHED!$G92,IF(MATCHED!BB92=7,MATCHED!$H92,"")))))))&amp;IF(MATCHED!BB92=8,MATCHED!$I92,IF(MATCHED!BB92=9,MATCHED!$J92,IF(MATCHED!BB92=10,MATCHED!$K92,IF(MATCHED!BB92=11,MATCHED!$L92,IF(MATCHED!BB92=12,MATCHED!$M92,IF(MATCHED!BB92=13,MATCHED!$N92,IF(MATCHED!BB92=14,MATCHED!$O92,"")))))))&amp;IF(MATCHED!BB92=15,MATCHED!$P92,IF(MATCHED!BB92=16,MATCHED!$Q92,IF(MATCHED!BB92=17,MATCHED!$R92,IF(MATCHED!BB92=18,MATCHED!$S92,IF(MATCHED!BB92=19,MATCHED!$T92,IF(MATCHED!BB92=20,MATCHED!$U92,IF(MATCHED!BB92=21,MATCHED!$V92,)))))))&amp;IF(MATCHED!BB92=22,MATCHED!$W92,IF(MATCHED!BB92=23,MATCHED!$X92,IF(MATCHED!BB92=24,MATCHED!$Y92,IF(MATCHED!BB92=25,MATCHED!$Z92,IF(MATCHED!BB92=26,MATCHED!$AA92,IF(MATCHED!BB92=27,MATCHED!$AB92,"."))))))</f>
        <v>#N/A</v>
      </c>
      <c r="AA92" s="424" t="e">
        <f>IF(MATCHED!BC92=1,MATCHED!$B92,IF(MATCHED!BC92=2,MATCHED!$C92,IF(MATCHED!BC92=3,MATCHED!$D92,IF(MATCHED!BC92=4,MATCHED!$E92,IF(MATCHED!BC92=3,MATCHED!$F92,IF(MATCHED!BC92=6,MATCHED!$G92,IF(MATCHED!BC92=7,MATCHED!$H92,"")))))))&amp;IF(MATCHED!BC92=8,MATCHED!$I92,IF(MATCHED!BC92=9,MATCHED!$J92,IF(MATCHED!BC92=10,MATCHED!$K92,IF(MATCHED!BC92=11,MATCHED!$L92,IF(MATCHED!BC92=12,MATCHED!$M92,IF(MATCHED!BC92=13,MATCHED!$N92,IF(MATCHED!BC92=14,MATCHED!$O92,"")))))))&amp;IF(MATCHED!BC92=15,MATCHED!$P92,IF(MATCHED!BC92=16,MATCHED!$Q92,IF(MATCHED!BC92=17,MATCHED!$R92,IF(MATCHED!BC92=18,MATCHED!$S92,IF(MATCHED!BC92=19,MATCHED!$T92,IF(MATCHED!BC92=20,MATCHED!$U92,IF(MATCHED!BC92=21,MATCHED!$V92,)))))))&amp;IF(MATCHED!BC92=22,MATCHED!$W92,IF(MATCHED!BC92=23,MATCHED!$X92,IF(MATCHED!BC92=24,MATCHED!$Y92,IF(MATCHED!BC92=25,MATCHED!$Z92,IF(MATCHED!BC92=26,MATCHED!$AA92,IF(MATCHED!BC92=27,MATCHED!$AB92,"."))))))</f>
        <v>#N/A</v>
      </c>
      <c r="AB92" s="424" t="e">
        <f>IF(MATCHED!BD92=1,MATCHED!$B92,IF(MATCHED!BD92=2,MATCHED!$C92,IF(MATCHED!BD92=3,MATCHED!$D92,IF(MATCHED!BD92=4,MATCHED!$E92,IF(MATCHED!BD92=3,MATCHED!$F92,IF(MATCHED!BD92=6,MATCHED!$G92,IF(MATCHED!BD92=7,MATCHED!$H92,"")))))))&amp;IF(MATCHED!BD92=8,MATCHED!$I92,IF(MATCHED!BD92=9,MATCHED!$J92,IF(MATCHED!BD92=10,MATCHED!$K92,IF(MATCHED!BD92=11,MATCHED!$L92,IF(MATCHED!BD92=12,MATCHED!$M92,IF(MATCHED!BD92=13,MATCHED!$N92,IF(MATCHED!BD92=14,MATCHED!$O92,"")))))))&amp;IF(MATCHED!BD92=15,MATCHED!$P92,IF(MATCHED!BD92=16,MATCHED!$Q92,IF(MATCHED!BD92=17,MATCHED!$R92,IF(MATCHED!BD92=18,MATCHED!$S92,IF(MATCHED!BD92=19,MATCHED!$T92,IF(MATCHED!BD92=20,MATCHED!$U92,IF(MATCHED!BD92=21,MATCHED!$V92,)))))))&amp;IF(MATCHED!BD92=22,MATCHED!$W92,IF(MATCHED!BD92=23,MATCHED!$X92,IF(MATCHED!BD92=24,MATCHED!$Y92,IF(MATCHED!BD92=25,MATCHED!$Z92,IF(MATCHED!BD92=26,MATCHED!$AA92,IF(MATCHED!BD92=27,MATCHED!$AB92,"."))))))</f>
        <v>#N/A</v>
      </c>
      <c r="AC92" s="424" t="e">
        <f>IF(MATCHED!BE92=1,MATCHED!$B92,IF(MATCHED!BE92=2,MATCHED!$C92,IF(MATCHED!BE92=3,MATCHED!$D92,IF(MATCHED!BE92=4,MATCHED!$E92,IF(MATCHED!BE92=3,MATCHED!$F92,IF(MATCHED!BE92=6,MATCHED!$G92,IF(MATCHED!BE92=7,MATCHED!$H92,"")))))))&amp;IF(MATCHED!BE92=8,MATCHED!$I92,IF(MATCHED!BE92=9,MATCHED!$J92,IF(MATCHED!BE92=10,MATCHED!$K92,IF(MATCHED!BE92=11,MATCHED!$L92,IF(MATCHED!BE92=12,MATCHED!$M92,IF(MATCHED!BE92=13,MATCHED!$N92,IF(MATCHED!BE92=14,MATCHED!$O92,"")))))))&amp;IF(MATCHED!BE92=15,MATCHED!$P92,IF(MATCHED!BE92=16,MATCHED!$Q92,IF(MATCHED!BE92=17,MATCHED!$R92,IF(MATCHED!BE92=18,MATCHED!$S92,IF(MATCHED!BE92=19,MATCHED!$T92,IF(MATCHED!BE92=20,MATCHED!$U92,IF(MATCHED!BE92=21,MATCHED!$V92,)))))))&amp;IF(MATCHED!BE92=22,MATCHED!$W92,IF(MATCHED!BE92=23,MATCHED!$X92,IF(MATCHED!BE92=24,MATCHED!$Y92,IF(MATCHED!BE92=25,MATCHED!$Z92,IF(MATCHED!BE92=26,MATCHED!$AA92,IF(MATCHED!BE92=27,MATCHED!$AB92,"."))))))</f>
        <v>#N/A</v>
      </c>
      <c r="AD92" s="424" t="e">
        <f>IF(MATCHED!BF92=1,MATCHED!$B92,IF(MATCHED!BF92=2,MATCHED!$C92,IF(MATCHED!BF92=3,MATCHED!$D92,IF(MATCHED!BF92=4,MATCHED!$E92,IF(MATCHED!BF92=3,MATCHED!$F92,IF(MATCHED!BF92=6,MATCHED!$G92,IF(MATCHED!BF92=7,MATCHED!$H92,"")))))))&amp;IF(MATCHED!BF92=8,MATCHED!$I92,IF(MATCHED!BF92=9,MATCHED!$J92,IF(MATCHED!BF92=10,MATCHED!$K92,IF(MATCHED!BF92=11,MATCHED!$L92,IF(MATCHED!BF92=12,MATCHED!$M92,IF(MATCHED!BF92=13,MATCHED!$N92,IF(MATCHED!BF92=14,MATCHED!$O92,"")))))))&amp;IF(MATCHED!BF92=15,MATCHED!$P92,IF(MATCHED!BF92=16,MATCHED!$Q92,IF(MATCHED!BF92=17,MATCHED!$R92,IF(MATCHED!BF92=18,MATCHED!$S92,IF(MATCHED!BF92=19,MATCHED!$T92,IF(MATCHED!BF92=20,MATCHED!$U92,IF(MATCHED!BF92=21,MATCHED!$V92,)))))))&amp;IF(MATCHED!BF92=22,MATCHED!$W92,IF(MATCHED!BF92=23,MATCHED!$X92,IF(MATCHED!BF92=24,MATCHED!$Y92,IF(MATCHED!BF92=25,MATCHED!$Z92,IF(MATCHED!BF92=26,MATCHED!$AA92,IF(MATCHED!BF92=27,MATCHED!$AB92,"."))))))</f>
        <v>#N/A</v>
      </c>
      <c r="AE92" s="424" t="e">
        <f>IF(MATCHED!BG92=1,MATCHED!$B92,IF(MATCHED!BG92=2,MATCHED!$C92,IF(MATCHED!BG92=3,MATCHED!$D92,IF(MATCHED!BG92=4,MATCHED!$E92,IF(MATCHED!BG92=3,MATCHED!$F92,IF(MATCHED!BG92=6,MATCHED!$G92,IF(MATCHED!BG92=7,MATCHED!$H92,"")))))))&amp;IF(MATCHED!BG92=8,MATCHED!$I92,IF(MATCHED!BG92=9,MATCHED!$J92,IF(MATCHED!BG92=10,MATCHED!$K92,IF(MATCHED!BG92=11,MATCHED!$L92,IF(MATCHED!BG92=12,MATCHED!$M92,IF(MATCHED!BG92=13,MATCHED!$N92,IF(MATCHED!BG92=14,MATCHED!$O92,"")))))))&amp;IF(MATCHED!BG92=15,MATCHED!$P92,IF(MATCHED!BG92=16,MATCHED!$Q92,IF(MATCHED!BG92=17,MATCHED!$R92,IF(MATCHED!BG92=18,MATCHED!$S92,IF(MATCHED!BG92=19,MATCHED!$T92,IF(MATCHED!BG92=20,MATCHED!$U92,IF(MATCHED!BG92=21,MATCHED!$V92,)))))))&amp;IF(MATCHED!BG92=22,MATCHED!$W92,IF(MATCHED!BG92=23,MATCHED!$X92,IF(MATCHED!BG92=24,MATCHED!$Y92,IF(MATCHED!BG92=25,MATCHED!$Z92,IF(MATCHED!BG92=26,MATCHED!$AA92,IF(MATCHED!BG92=27,MATCHED!$AB92,"."))))))</f>
        <v>#N/A</v>
      </c>
      <c r="AF92" s="424" t="e">
        <f>IF(MATCHED!BH92=1,MATCHED!$B92,IF(MATCHED!BH92=2,MATCHED!$C92,IF(MATCHED!BH92=3,MATCHED!$D92,IF(MATCHED!BH92=4,MATCHED!$E92,IF(MATCHED!BH92=3,MATCHED!$F92,IF(MATCHED!BH92=6,MATCHED!$G92,IF(MATCHED!BH92=7,MATCHED!$H92,"")))))))&amp;IF(MATCHED!BH92=8,MATCHED!$I92,IF(MATCHED!BH92=9,MATCHED!$J92,IF(MATCHED!BH92=10,MATCHED!$K92,IF(MATCHED!BH92=11,MATCHED!$L92,IF(MATCHED!BH92=12,MATCHED!$M92,IF(MATCHED!BH92=13,MATCHED!$N92,IF(MATCHED!BH92=14,MATCHED!$O92,"")))))))&amp;IF(MATCHED!BH92=15,MATCHED!$P92,IF(MATCHED!BH92=16,MATCHED!$Q92,IF(MATCHED!BH92=17,MATCHED!$R92,IF(MATCHED!BH92=18,MATCHED!$S92,IF(MATCHED!BH92=19,MATCHED!$T92,IF(MATCHED!BH92=20,MATCHED!$U92,IF(MATCHED!BH92=21,MATCHED!$V92,)))))))&amp;IF(MATCHED!BH92=22,MATCHED!$W92,IF(MATCHED!BH92=23,MATCHED!$X92,IF(MATCHED!BH92=24,MATCHED!$Y92,IF(MATCHED!BH92=25,MATCHED!$Z92,IF(MATCHED!BH92=26,MATCHED!$AA92,IF(MATCHED!BH92=27,MATCHED!$AB92,"."))))))</f>
        <v>#N/A</v>
      </c>
      <c r="AG92" s="424" t="e">
        <f>IF(MATCHED!BI92=1,MATCHED!$B92,IF(MATCHED!BI92=2,MATCHED!$C92,IF(MATCHED!BI92=3,MATCHED!$D92,IF(MATCHED!BI92=4,MATCHED!$E92,IF(MATCHED!BI92=3,MATCHED!$F92,IF(MATCHED!BI92=6,MATCHED!$G92,IF(MATCHED!BI92=7,MATCHED!$H92,"")))))))&amp;IF(MATCHED!BI92=8,MATCHED!$I92,IF(MATCHED!BI92=9,MATCHED!$J92,IF(MATCHED!BI92=10,MATCHED!$K92,IF(MATCHED!BI92=11,MATCHED!$L92,IF(MATCHED!BI92=12,MATCHED!$M92,IF(MATCHED!BI92=13,MATCHED!$N92,IF(MATCHED!BI92=14,MATCHED!$O92,"")))))))&amp;IF(MATCHED!BI92=15,MATCHED!$P92,IF(MATCHED!BI92=16,MATCHED!$Q92,IF(MATCHED!BI92=17,MATCHED!$R92,IF(MATCHED!BI92=18,MATCHED!$S92,IF(MATCHED!BI92=19,MATCHED!$T92,IF(MATCHED!BI92=20,MATCHED!$U92,IF(MATCHED!BI92=21,MATCHED!$V92,)))))))&amp;IF(MATCHED!BI92=22,MATCHED!$W92,IF(MATCHED!BI92=23,MATCHED!$X92,IF(MATCHED!BI92=24,MATCHED!$Y92,IF(MATCHED!BI92=25,MATCHED!$Z92,IF(MATCHED!BI92=26,MATCHED!$AA92,IF(MATCHED!BI92=27,MATCHED!$AB92,"."))))))</f>
        <v>#N/A</v>
      </c>
      <c r="AH92" s="424" t="e">
        <f>IF(MATCHED!BJ92=1,MATCHED!$B92,IF(MATCHED!BJ92=2,MATCHED!$C92,IF(MATCHED!BJ92=3,MATCHED!$D92,IF(MATCHED!BJ92=4,MATCHED!$E92,IF(MATCHED!BJ92=3,MATCHED!$F92,IF(MATCHED!BJ92=6,MATCHED!$G92,IF(MATCHED!BJ92=7,MATCHED!$H92,"")))))))&amp;IF(MATCHED!BJ92=8,MATCHED!$I92,IF(MATCHED!BJ92=9,MATCHED!$J92,IF(MATCHED!BJ92=10,MATCHED!$K92,IF(MATCHED!BJ92=11,MATCHED!$L92,IF(MATCHED!BJ92=12,MATCHED!$M92,IF(MATCHED!BJ92=13,MATCHED!$N92,IF(MATCHED!BJ92=14,MATCHED!$O92,"")))))))&amp;IF(MATCHED!BJ92=15,MATCHED!$P92,IF(MATCHED!BJ92=16,MATCHED!$Q92,IF(MATCHED!BJ92=17,MATCHED!$R92,IF(MATCHED!BJ92=18,MATCHED!$S92,IF(MATCHED!BJ92=19,MATCHED!$T92,IF(MATCHED!BJ92=20,MATCHED!$U92,IF(MATCHED!BJ92=21,MATCHED!$V92,)))))))&amp;IF(MATCHED!BJ92=22,MATCHED!$W92,IF(MATCHED!BJ92=23,MATCHED!$X92,IF(MATCHED!BJ92=24,MATCHED!$Y92,IF(MATCHED!BJ92=25,MATCHED!$Z92,IF(MATCHED!BJ92=26,MATCHED!$AA92,IF(MATCHED!BJ92=27,MATCHED!$AB92,"."))))))</f>
        <v>#N/A</v>
      </c>
      <c r="AI92" s="424" t="e">
        <f>IF(MATCHED!BK92=1,MATCHED!$B92,IF(MATCHED!BK92=2,MATCHED!$C92,IF(MATCHED!BK92=3,MATCHED!$D92,IF(MATCHED!BK92=4,MATCHED!$E92,IF(MATCHED!BK92=3,MATCHED!$F92,IF(MATCHED!BK92=6,MATCHED!$G92,IF(MATCHED!BK92=7,MATCHED!$H92,"")))))))&amp;IF(MATCHED!BK92=8,MATCHED!$I92,IF(MATCHED!BK92=9,MATCHED!$J92,IF(MATCHED!BK92=10,MATCHED!$K92,IF(MATCHED!BK92=11,MATCHED!$L92,IF(MATCHED!BK92=12,MATCHED!$M92,IF(MATCHED!BK92=13,MATCHED!$N92,IF(MATCHED!BK92=14,MATCHED!$O92,"")))))))&amp;IF(MATCHED!BK92=15,MATCHED!$P92,IF(MATCHED!BK92=16,MATCHED!$Q92,IF(MATCHED!BK92=17,MATCHED!$R92,IF(MATCHED!BK92=18,MATCHED!$S92,IF(MATCHED!BK92=19,MATCHED!$T92,IF(MATCHED!BK92=20,MATCHED!$U92,IF(MATCHED!BK92=21,MATCHED!$V92,)))))))&amp;IF(MATCHED!BK92=22,MATCHED!$W92,IF(MATCHED!BK92=23,MATCHED!$X92,IF(MATCHED!BK92=24,MATCHED!$Y92,IF(MATCHED!BK92=25,MATCHED!$Z92,IF(MATCHED!BK92=26,MATCHED!$AA92,IF(MATCHED!BK92=27,MATCHED!$AB92,"."))))))</f>
        <v>#N/A</v>
      </c>
      <c r="AJ92" s="535"/>
    </row>
    <row r="93" spans="1:36" s="338" customFormat="1" x14ac:dyDescent="0.25">
      <c r="A93" s="535"/>
      <c r="B93" s="424" t="e">
        <f>IF(MATCHED!AD93=1,MATCHED!$B93,IF(MATCHED!AD93=2,MATCHED!$C93,IF(MATCHED!AD93=3,MATCHED!$D93,IF(MATCHED!AD93=4,MATCHED!$E93,IF(MATCHED!AD93=3,MATCHED!$F93,IF(MATCHED!AD93=6,MATCHED!$G93,IF(MATCHED!AD93=7,MATCHED!$H93,"")))))))&amp;IF(MATCHED!AD93=8,MATCHED!$I93,IF(MATCHED!AD93=9,MATCHED!$J93,IF(MATCHED!AD93=10,MATCHED!$K93,IF(MATCHED!AD93=11,MATCHED!$L93,IF(MATCHED!AD93=12,MATCHED!$M93,IF(MATCHED!AD93=13,MATCHED!$N93,IF(MATCHED!AD93=14,MATCHED!$O93,"")))))))&amp;IF(MATCHED!AD93=15,MATCHED!$P93,IF(MATCHED!AD93=16,MATCHED!$Q93,IF(MATCHED!AD93=17,MATCHED!$R93,IF(MATCHED!AD93=18,MATCHED!$S93,IF(MATCHED!AD93=19,MATCHED!$T93,IF(MATCHED!AD93=20,MATCHED!$U93,IF(MATCHED!AD93=21,MATCHED!$V93,)))))))&amp;IF(MATCHED!AD93=22,MATCHED!$W93,IF(MATCHED!AD93=23,MATCHED!$X93,IF(MATCHED!AD93=24,MATCHED!$Y93,IF(MATCHED!AD93=25,MATCHED!$Z93,IF(MATCHED!AD93=26,MATCHED!$AA93,IF(MATCHED!AD93=27,MATCHED!$AB93,"."))))))</f>
        <v>#N/A</v>
      </c>
      <c r="C93" s="424" t="e">
        <f>IF(MATCHED!AE93=1,MATCHED!$B93,IF(MATCHED!AE93=2,MATCHED!$C93,IF(MATCHED!AE93=3,MATCHED!$D93,IF(MATCHED!AE93=4,MATCHED!$E93,IF(MATCHED!AE93=3,MATCHED!$F93,IF(MATCHED!AE93=6,MATCHED!$G93,IF(MATCHED!AE93=7,MATCHED!$H93,"")))))))&amp;IF(MATCHED!AE93=8,MATCHED!$I93,IF(MATCHED!AE93=9,MATCHED!$J93,IF(MATCHED!AE93=10,MATCHED!$K93,IF(MATCHED!AE93=11,MATCHED!$L93,IF(MATCHED!AE93=12,MATCHED!$M93,IF(MATCHED!AE93=13,MATCHED!$N93,IF(MATCHED!AE93=14,MATCHED!$O93,"")))))))&amp;IF(MATCHED!AE93=15,MATCHED!$P93,IF(MATCHED!AE93=16,MATCHED!$Q93,IF(MATCHED!AE93=17,MATCHED!$R93,IF(MATCHED!AE93=18,MATCHED!$S93,IF(MATCHED!AE93=19,MATCHED!$T93,IF(MATCHED!AE93=20,MATCHED!$U93,IF(MATCHED!AE93=21,MATCHED!$V93,)))))))&amp;IF(MATCHED!AE93=22,MATCHED!$W93,IF(MATCHED!AE93=23,MATCHED!$X93,IF(MATCHED!AE93=24,MATCHED!$Y93,IF(MATCHED!AE93=25,MATCHED!$Z93,IF(MATCHED!AE93=26,MATCHED!$AA93,IF(MATCHED!AE93=27,MATCHED!$AB93,"."))))))</f>
        <v>#N/A</v>
      </c>
      <c r="D93" s="424" t="e">
        <f>IF(MATCHED!AF93=1,MATCHED!$B93,IF(MATCHED!AF93=2,MATCHED!$C93,IF(MATCHED!AF93=3,MATCHED!$D93,IF(MATCHED!AF93=4,MATCHED!$E93,IF(MATCHED!AF93=3,MATCHED!$F93,IF(MATCHED!AF93=6,MATCHED!$G93,IF(MATCHED!AF93=7,MATCHED!$H93,"")))))))&amp;IF(MATCHED!AF93=8,MATCHED!$I93,IF(MATCHED!AF93=9,MATCHED!$J93,IF(MATCHED!AF93=10,MATCHED!$K93,IF(MATCHED!AF93=11,MATCHED!$L93,IF(MATCHED!AF93=12,MATCHED!$M93,IF(MATCHED!AF93=13,MATCHED!$N93,IF(MATCHED!AF93=14,MATCHED!$O93,"")))))))&amp;IF(MATCHED!AF93=15,MATCHED!$P93,IF(MATCHED!AF93=16,MATCHED!$Q93,IF(MATCHED!AF93=17,MATCHED!$R93,IF(MATCHED!AF93=18,MATCHED!$S93,IF(MATCHED!AF93=19,MATCHED!$T93,IF(MATCHED!AF93=20,MATCHED!$U93,IF(MATCHED!AF93=21,MATCHED!$V93,)))))))&amp;IF(MATCHED!AF93=22,MATCHED!$W93,IF(MATCHED!AF93=23,MATCHED!$X93,IF(MATCHED!AF93=24,MATCHED!$Y93,IF(MATCHED!AF93=25,MATCHED!$Z93,IF(MATCHED!AF93=26,MATCHED!$AA93,IF(MATCHED!AF93=27,MATCHED!$AB93,"."))))))</f>
        <v>#N/A</v>
      </c>
      <c r="E93" s="424" t="e">
        <f>IF(MATCHED!AG93=1,MATCHED!$B93,IF(MATCHED!AG93=2,MATCHED!$C93,IF(MATCHED!AG93=3,MATCHED!$D93,IF(MATCHED!AG93=4,MATCHED!$E93,IF(MATCHED!AG93=3,MATCHED!$F93,IF(MATCHED!AG93=6,MATCHED!$G93,IF(MATCHED!AG93=7,MATCHED!$H93,"")))))))&amp;IF(MATCHED!AG93=8,MATCHED!$I93,IF(MATCHED!AG93=9,MATCHED!$J93,IF(MATCHED!AG93=10,MATCHED!$K93,IF(MATCHED!AG93=11,MATCHED!$L93,IF(MATCHED!AG93=12,MATCHED!$M93,IF(MATCHED!AG93=13,MATCHED!$N93,IF(MATCHED!AG93=14,MATCHED!$O93,"")))))))&amp;IF(MATCHED!AG93=15,MATCHED!$P93,IF(MATCHED!AG93=16,MATCHED!$Q93,IF(MATCHED!AG93=17,MATCHED!$R93,IF(MATCHED!AG93=18,MATCHED!$S93,IF(MATCHED!AG93=19,MATCHED!$T93,IF(MATCHED!AG93=20,MATCHED!$U93,IF(MATCHED!AG93=21,MATCHED!$V93,)))))))&amp;IF(MATCHED!AG93=22,MATCHED!$W93,IF(MATCHED!AG93=23,MATCHED!$X93,IF(MATCHED!AG93=24,MATCHED!$Y93,IF(MATCHED!AG93=25,MATCHED!$Z93,IF(MATCHED!AG93=26,MATCHED!$AA93,IF(MATCHED!AG93=27,MATCHED!$AB93,"."))))))</f>
        <v>#N/A</v>
      </c>
      <c r="F93" s="424" t="e">
        <f>IF(MATCHED!AH93=1,MATCHED!$B93,IF(MATCHED!AH93=2,MATCHED!$C93,IF(MATCHED!AH93=3,MATCHED!$D93,IF(MATCHED!AH93=4,MATCHED!$E93,IF(MATCHED!AH93=3,MATCHED!$F93,IF(MATCHED!AH93=6,MATCHED!$G93,IF(MATCHED!AH93=7,MATCHED!$H93,"")))))))&amp;IF(MATCHED!AH93=8,MATCHED!$I93,IF(MATCHED!AH93=9,MATCHED!$J93,IF(MATCHED!AH93=10,MATCHED!$K93,IF(MATCHED!AH93=11,MATCHED!$L93,IF(MATCHED!AH93=12,MATCHED!$M93,IF(MATCHED!AH93=13,MATCHED!$N93,IF(MATCHED!AH93=14,MATCHED!$O93,"")))))))&amp;IF(MATCHED!AH93=15,MATCHED!$P93,IF(MATCHED!AH93=16,MATCHED!$Q93,IF(MATCHED!AH93=17,MATCHED!$R93,IF(MATCHED!AH93=18,MATCHED!$S93,IF(MATCHED!AH93=19,MATCHED!$T93,IF(MATCHED!AH93=20,MATCHED!$U93,IF(MATCHED!AH93=21,MATCHED!$V93,)))))))&amp;IF(MATCHED!AH93=22,MATCHED!$W93,IF(MATCHED!AH93=23,MATCHED!$X93,IF(MATCHED!AH93=24,MATCHED!$Y93,IF(MATCHED!AH93=25,MATCHED!$Z93,IF(MATCHED!AH93=26,MATCHED!$AA93,IF(MATCHED!AH93=27,MATCHED!$AB93,"."))))))</f>
        <v>#N/A</v>
      </c>
      <c r="G93" s="424" t="e">
        <f>IF(MATCHED!AI93=1,MATCHED!$B93,IF(MATCHED!AI93=2,MATCHED!$C93,IF(MATCHED!AI93=3,MATCHED!$D93,IF(MATCHED!AI93=4,MATCHED!$E93,IF(MATCHED!AI93=3,MATCHED!$F93,IF(MATCHED!AI93=6,MATCHED!$G93,IF(MATCHED!AI93=7,MATCHED!$H93,"")))))))&amp;IF(MATCHED!AI93=8,MATCHED!$I93,IF(MATCHED!AI93=9,MATCHED!$J93,IF(MATCHED!AI93=10,MATCHED!$K93,IF(MATCHED!AI93=11,MATCHED!$L93,IF(MATCHED!AI93=12,MATCHED!$M93,IF(MATCHED!AI93=13,MATCHED!$N93,IF(MATCHED!AI93=14,MATCHED!$O93,"")))))))&amp;IF(MATCHED!AI93=15,MATCHED!$P93,IF(MATCHED!AI93=16,MATCHED!$Q93,IF(MATCHED!AI93=17,MATCHED!$R93,IF(MATCHED!AI93=18,MATCHED!$S93,IF(MATCHED!AI93=19,MATCHED!$T93,IF(MATCHED!AI93=20,MATCHED!$U93,IF(MATCHED!AI93=21,MATCHED!$V93,)))))))&amp;IF(MATCHED!AI93=22,MATCHED!$W93,IF(MATCHED!AI93=23,MATCHED!$X93,IF(MATCHED!AI93=24,MATCHED!$Y93,IF(MATCHED!AI93=25,MATCHED!$Z93,IF(MATCHED!AI93=26,MATCHED!$AA93,IF(MATCHED!AI93=27,MATCHED!$AB93,"."))))))</f>
        <v>#N/A</v>
      </c>
      <c r="H93" s="424" t="e">
        <f>IF(MATCHED!AJ93=1,MATCHED!$B93,IF(MATCHED!AJ93=2,MATCHED!$C93,IF(MATCHED!AJ93=3,MATCHED!$D93,IF(MATCHED!AJ93=4,MATCHED!$E93,IF(MATCHED!AJ93=3,MATCHED!$F93,IF(MATCHED!AJ93=6,MATCHED!$G93,IF(MATCHED!AJ93=7,MATCHED!$H93,"")))))))&amp;IF(MATCHED!AJ93=8,MATCHED!$I93,IF(MATCHED!AJ93=9,MATCHED!$J93,IF(MATCHED!AJ93=10,MATCHED!$K93,IF(MATCHED!AJ93=11,MATCHED!$L93,IF(MATCHED!AJ93=12,MATCHED!$M93,IF(MATCHED!AJ93=13,MATCHED!$N93,IF(MATCHED!AJ93=14,MATCHED!$O93,"")))))))&amp;IF(MATCHED!AJ93=15,MATCHED!$P93,IF(MATCHED!AJ93=16,MATCHED!$Q93,IF(MATCHED!AJ93=17,MATCHED!$R93,IF(MATCHED!AJ93=18,MATCHED!$S93,IF(MATCHED!AJ93=19,MATCHED!$T93,IF(MATCHED!AJ93=20,MATCHED!$U93,IF(MATCHED!AJ93=21,MATCHED!$V93,)))))))&amp;IF(MATCHED!AJ93=22,MATCHED!$W93,IF(MATCHED!AJ93=23,MATCHED!$X93,IF(MATCHED!AJ93=24,MATCHED!$Y93,IF(MATCHED!AJ93=25,MATCHED!$Z93,IF(MATCHED!AJ93=26,MATCHED!$AA93,IF(MATCHED!AJ93=27,MATCHED!$AB93,"."))))))</f>
        <v>#N/A</v>
      </c>
      <c r="I93" s="424" t="e">
        <f>IF(MATCHED!AK93=1,MATCHED!$B93,IF(MATCHED!AK93=2,MATCHED!$C93,IF(MATCHED!AK93=3,MATCHED!$D93,IF(MATCHED!AK93=4,MATCHED!$E93,IF(MATCHED!AK93=3,MATCHED!$F93,IF(MATCHED!AK93=6,MATCHED!$G93,IF(MATCHED!AK93=7,MATCHED!$H93,"")))))))&amp;IF(MATCHED!AK93=8,MATCHED!$I93,IF(MATCHED!AK93=9,MATCHED!$J93,IF(MATCHED!AK93=10,MATCHED!$K93,IF(MATCHED!AK93=11,MATCHED!$L93,IF(MATCHED!AK93=12,MATCHED!$M93,IF(MATCHED!AK93=13,MATCHED!$N93,IF(MATCHED!AK93=14,MATCHED!$O93,"")))))))&amp;IF(MATCHED!AK93=15,MATCHED!$P93,IF(MATCHED!AK93=16,MATCHED!$Q93,IF(MATCHED!AK93=17,MATCHED!$R93,IF(MATCHED!AK93=18,MATCHED!$S93,IF(MATCHED!AK93=19,MATCHED!$T93,IF(MATCHED!AK93=20,MATCHED!$U93,IF(MATCHED!AK93=21,MATCHED!$V93,)))))))&amp;IF(MATCHED!AK93=22,MATCHED!$W93,IF(MATCHED!AK93=23,MATCHED!$X93,IF(MATCHED!AK93=24,MATCHED!$Y93,IF(MATCHED!AK93=25,MATCHED!$Z93,IF(MATCHED!AK93=26,MATCHED!$AA93,IF(MATCHED!AK93=27,MATCHED!$AB93,"."))))))</f>
        <v>#N/A</v>
      </c>
      <c r="J93" s="424" t="e">
        <f>IF(MATCHED!AL93=1,MATCHED!$B93,IF(MATCHED!AL93=2,MATCHED!$C93,IF(MATCHED!AL93=3,MATCHED!$D93,IF(MATCHED!AL93=4,MATCHED!$E93,IF(MATCHED!AL93=3,MATCHED!$F93,IF(MATCHED!AL93=6,MATCHED!$G93,IF(MATCHED!AL93=7,MATCHED!$H93,"")))))))&amp;IF(MATCHED!AL93=8,MATCHED!$I93,IF(MATCHED!AL93=9,MATCHED!$J93,IF(MATCHED!AL93=10,MATCHED!$K93,IF(MATCHED!AL93=11,MATCHED!$L93,IF(MATCHED!AL93=12,MATCHED!$M93,IF(MATCHED!AL93=13,MATCHED!$N93,IF(MATCHED!AL93=14,MATCHED!$O93,"")))))))&amp;IF(MATCHED!AL93=15,MATCHED!$P93,IF(MATCHED!AL93=16,MATCHED!$Q93,IF(MATCHED!AL93=17,MATCHED!$R93,IF(MATCHED!AL93=18,MATCHED!$S93,IF(MATCHED!AL93=19,MATCHED!$T93,IF(MATCHED!AL93=20,MATCHED!$U93,IF(MATCHED!AL93=21,MATCHED!$V93,)))))))&amp;IF(MATCHED!AL93=22,MATCHED!$W93,IF(MATCHED!AL93=23,MATCHED!$X93,IF(MATCHED!AL93=24,MATCHED!$Y93,IF(MATCHED!AL93=25,MATCHED!$Z93,IF(MATCHED!AL93=26,MATCHED!$AA93,IF(MATCHED!AL93=27,MATCHED!$AB93,"."))))))</f>
        <v>#N/A</v>
      </c>
      <c r="K93" s="424" t="e">
        <f>IF(MATCHED!AM93=1,MATCHED!$B93,IF(MATCHED!AM93=2,MATCHED!$C93,IF(MATCHED!AM93=3,MATCHED!$D93,IF(MATCHED!AM93=4,MATCHED!$E93,IF(MATCHED!AM93=3,MATCHED!$F93,IF(MATCHED!AM93=6,MATCHED!$G93,IF(MATCHED!AM93=7,MATCHED!$H93,"")))))))&amp;IF(MATCHED!AM93=8,MATCHED!$I93,IF(MATCHED!AM93=9,MATCHED!$J93,IF(MATCHED!AM93=10,MATCHED!$K93,IF(MATCHED!AM93=11,MATCHED!$L93,IF(MATCHED!AM93=12,MATCHED!$M93,IF(MATCHED!AM93=13,MATCHED!$N93,IF(MATCHED!AM93=14,MATCHED!$O93,"")))))))&amp;IF(MATCHED!AM93=15,MATCHED!$P93,IF(MATCHED!AM93=16,MATCHED!$Q93,IF(MATCHED!AM93=17,MATCHED!$R93,IF(MATCHED!AM93=18,MATCHED!$S93,IF(MATCHED!AM93=19,MATCHED!$T93,IF(MATCHED!AM93=20,MATCHED!$U93,IF(MATCHED!AM93=21,MATCHED!$V93,)))))))&amp;IF(MATCHED!AM93=22,MATCHED!$W93,IF(MATCHED!AM93=23,MATCHED!$X93,IF(MATCHED!AM93=24,MATCHED!$Y93,IF(MATCHED!AM93=25,MATCHED!$Z93,IF(MATCHED!AM93=26,MATCHED!$AA93,IF(MATCHED!AM93=27,MATCHED!$AB93,"."))))))</f>
        <v>#N/A</v>
      </c>
      <c r="L93" s="424" t="e">
        <f>IF(MATCHED!AN93=1,MATCHED!$B93,IF(MATCHED!AN93=2,MATCHED!$C93,IF(MATCHED!AN93=3,MATCHED!$D93,IF(MATCHED!AN93=4,MATCHED!$E93,IF(MATCHED!AN93=3,MATCHED!$F93,IF(MATCHED!AN93=6,MATCHED!$G93,IF(MATCHED!AN93=7,MATCHED!$H93,"")))))))&amp;IF(MATCHED!AN93=8,MATCHED!$I93,IF(MATCHED!AN93=9,MATCHED!$J93,IF(MATCHED!AN93=10,MATCHED!$K93,IF(MATCHED!AN93=11,MATCHED!$L93,IF(MATCHED!AN93=12,MATCHED!$M93,IF(MATCHED!AN93=13,MATCHED!$N93,IF(MATCHED!AN93=14,MATCHED!$O93,"")))))))&amp;IF(MATCHED!AN93=15,MATCHED!$P93,IF(MATCHED!AN93=16,MATCHED!$Q93,IF(MATCHED!AN93=17,MATCHED!$R93,IF(MATCHED!AN93=18,MATCHED!$S93,IF(MATCHED!AN93=19,MATCHED!$T93,IF(MATCHED!AN93=20,MATCHED!$U93,IF(MATCHED!AN93=21,MATCHED!$V93,)))))))&amp;IF(MATCHED!AN93=22,MATCHED!$W93,IF(MATCHED!AN93=23,MATCHED!$X93,IF(MATCHED!AN93=24,MATCHED!$Y93,IF(MATCHED!AN93=25,MATCHED!$Z93,IF(MATCHED!AN93=26,MATCHED!$AA93,IF(MATCHED!AN93=27,MATCHED!$AB93,"."))))))</f>
        <v>#N/A</v>
      </c>
      <c r="M93" s="424" t="e">
        <f>IF(MATCHED!AO93=1,MATCHED!$B93,IF(MATCHED!AO93=2,MATCHED!$C93,IF(MATCHED!AO93=3,MATCHED!$D93,IF(MATCHED!AO93=4,MATCHED!$E93,IF(MATCHED!AO93=3,MATCHED!$F93,IF(MATCHED!AO93=6,MATCHED!$G93,IF(MATCHED!AO93=7,MATCHED!$H93,"")))))))&amp;IF(MATCHED!AO93=8,MATCHED!$I93,IF(MATCHED!AO93=9,MATCHED!$J93,IF(MATCHED!AO93=10,MATCHED!$K93,IF(MATCHED!AO93=11,MATCHED!$L93,IF(MATCHED!AO93=12,MATCHED!$M93,IF(MATCHED!AO93=13,MATCHED!$N93,IF(MATCHED!AO93=14,MATCHED!$O93,"")))))))&amp;IF(MATCHED!AO93=15,MATCHED!$P93,IF(MATCHED!AO93=16,MATCHED!$Q93,IF(MATCHED!AO93=17,MATCHED!$R93,IF(MATCHED!AO93=18,MATCHED!$S93,IF(MATCHED!AO93=19,MATCHED!$T93,IF(MATCHED!AO93=20,MATCHED!$U93,IF(MATCHED!AO93=21,MATCHED!$V93,)))))))&amp;IF(MATCHED!AO93=22,MATCHED!$W93,IF(MATCHED!AO93=23,MATCHED!$X93,IF(MATCHED!AO93=24,MATCHED!$Y93,IF(MATCHED!AO93=25,MATCHED!$Z93,IF(MATCHED!AO93=26,MATCHED!$AA93,IF(MATCHED!AO93=27,MATCHED!$AB93,"."))))))</f>
        <v>#N/A</v>
      </c>
      <c r="N93" s="424" t="e">
        <f>IF(MATCHED!AP93=1,MATCHED!$B93,IF(MATCHED!AP93=2,MATCHED!$C93,IF(MATCHED!AP93=3,MATCHED!$D93,IF(MATCHED!AP93=4,MATCHED!$E93,IF(MATCHED!AP93=3,MATCHED!$F93,IF(MATCHED!AP93=6,MATCHED!$G93,IF(MATCHED!AP93=7,MATCHED!$H93,"")))))))&amp;IF(MATCHED!AP93=8,MATCHED!$I93,IF(MATCHED!AP93=9,MATCHED!$J93,IF(MATCHED!AP93=10,MATCHED!$K93,IF(MATCHED!AP93=11,MATCHED!$L93,IF(MATCHED!AP93=12,MATCHED!$M93,IF(MATCHED!AP93=13,MATCHED!$N93,IF(MATCHED!AP93=14,MATCHED!$O93,"")))))))&amp;IF(MATCHED!AP93=15,MATCHED!$P93,IF(MATCHED!AP93=16,MATCHED!$Q93,IF(MATCHED!AP93=17,MATCHED!$R93,IF(MATCHED!AP93=18,MATCHED!$S93,IF(MATCHED!AP93=19,MATCHED!$T93,IF(MATCHED!AP93=20,MATCHED!$U93,IF(MATCHED!AP93=21,MATCHED!$V93,)))))))&amp;IF(MATCHED!AP93=22,MATCHED!$W93,IF(MATCHED!AP93=23,MATCHED!$X93,IF(MATCHED!AP93=24,MATCHED!$Y93,IF(MATCHED!AP93=25,MATCHED!$Z93,IF(MATCHED!AP93=26,MATCHED!$AA93,IF(MATCHED!AP93=27,MATCHED!$AB93,"."))))))</f>
        <v>#N/A</v>
      </c>
      <c r="O93" s="424" t="e">
        <f>IF(MATCHED!AQ93=1,MATCHED!$B93,IF(MATCHED!AQ93=2,MATCHED!$C93,IF(MATCHED!AQ93=3,MATCHED!$D93,IF(MATCHED!AQ93=4,MATCHED!$E93,IF(MATCHED!AQ93=3,MATCHED!$F93,IF(MATCHED!AQ93=6,MATCHED!$G93,IF(MATCHED!AQ93=7,MATCHED!$H93,"")))))))&amp;IF(MATCHED!AQ93=8,MATCHED!$I93,IF(MATCHED!AQ93=9,MATCHED!$J93,IF(MATCHED!AQ93=10,MATCHED!$K93,IF(MATCHED!AQ93=11,MATCHED!$L93,IF(MATCHED!AQ93=12,MATCHED!$M93,IF(MATCHED!AQ93=13,MATCHED!$N93,IF(MATCHED!AQ93=14,MATCHED!$O93,"")))))))&amp;IF(MATCHED!AQ93=15,MATCHED!$P93,IF(MATCHED!AQ93=16,MATCHED!$Q93,IF(MATCHED!AQ93=17,MATCHED!$R93,IF(MATCHED!AQ93=18,MATCHED!$S93,IF(MATCHED!AQ93=19,MATCHED!$T93,IF(MATCHED!AQ93=20,MATCHED!$U93,IF(MATCHED!AQ93=21,MATCHED!$V93,)))))))&amp;IF(MATCHED!AQ93=22,MATCHED!$W93,IF(MATCHED!AQ93=23,MATCHED!$X93,IF(MATCHED!AQ93=24,MATCHED!$Y93,IF(MATCHED!AQ93=25,MATCHED!$Z93,IF(MATCHED!AQ93=26,MATCHED!$AA93,IF(MATCHED!AQ93=27,MATCHED!$AB93,"."))))))</f>
        <v>#N/A</v>
      </c>
      <c r="P93" s="424" t="e">
        <f>IF(MATCHED!AR93=1,MATCHED!$B93,IF(MATCHED!AR93=2,MATCHED!$C93,IF(MATCHED!AR93=3,MATCHED!$D93,IF(MATCHED!AR93=4,MATCHED!$E93,IF(MATCHED!AR93=3,MATCHED!$F93,IF(MATCHED!AR93=6,MATCHED!$G93,IF(MATCHED!AR93=7,MATCHED!$H93,"")))))))&amp;IF(MATCHED!AR93=8,MATCHED!$I93,IF(MATCHED!AR93=9,MATCHED!$J93,IF(MATCHED!AR93=10,MATCHED!$K93,IF(MATCHED!AR93=11,MATCHED!$L93,IF(MATCHED!AR93=12,MATCHED!$M93,IF(MATCHED!AR93=13,MATCHED!$N93,IF(MATCHED!AR93=14,MATCHED!$O93,"")))))))&amp;IF(MATCHED!AR93=15,MATCHED!$P93,IF(MATCHED!AR93=16,MATCHED!$Q93,IF(MATCHED!AR93=17,MATCHED!$R93,IF(MATCHED!AR93=18,MATCHED!$S93,IF(MATCHED!AR93=19,MATCHED!$T93,IF(MATCHED!AR93=20,MATCHED!$U93,IF(MATCHED!AR93=21,MATCHED!$V93,)))))))&amp;IF(MATCHED!AR93=22,MATCHED!$W93,IF(MATCHED!AR93=23,MATCHED!$X93,IF(MATCHED!AR93=24,MATCHED!$Y93,IF(MATCHED!AR93=25,MATCHED!$Z93,IF(MATCHED!AR93=26,MATCHED!$AA93,IF(MATCHED!AR93=27,MATCHED!$AB93,"."))))))</f>
        <v>#N/A</v>
      </c>
      <c r="Q93" s="424" t="e">
        <f>IF(MATCHED!AS93=1,MATCHED!$B93,IF(MATCHED!AS93=2,MATCHED!$C93,IF(MATCHED!AS93=3,MATCHED!$D93,IF(MATCHED!AS93=4,MATCHED!$E93,IF(MATCHED!AS93=3,MATCHED!$F93,IF(MATCHED!AS93=6,MATCHED!$G93,IF(MATCHED!AS93=7,MATCHED!$H93,"")))))))&amp;IF(MATCHED!AS93=8,MATCHED!$I93,IF(MATCHED!AS93=9,MATCHED!$J93,IF(MATCHED!AS93=10,MATCHED!$K93,IF(MATCHED!AS93=11,MATCHED!$L93,IF(MATCHED!AS93=12,MATCHED!$M93,IF(MATCHED!AS93=13,MATCHED!$N93,IF(MATCHED!AS93=14,MATCHED!$O93,"")))))))&amp;IF(MATCHED!AS93=15,MATCHED!$P93,IF(MATCHED!AS93=16,MATCHED!$Q93,IF(MATCHED!AS93=17,MATCHED!$R93,IF(MATCHED!AS93=18,MATCHED!$S93,IF(MATCHED!AS93=19,MATCHED!$T93,IF(MATCHED!AS93=20,MATCHED!$U93,IF(MATCHED!AS93=21,MATCHED!$V93,)))))))&amp;IF(MATCHED!AS93=22,MATCHED!$W93,IF(MATCHED!AS93=23,MATCHED!$X93,IF(MATCHED!AS93=24,MATCHED!$Y93,IF(MATCHED!AS93=25,MATCHED!$Z93,IF(MATCHED!AS93=26,MATCHED!$AA93,IF(MATCHED!AS93=27,MATCHED!$AB93,"."))))))</f>
        <v>#N/A</v>
      </c>
      <c r="R93" s="424" t="e">
        <f>IF(MATCHED!AT93=1,MATCHED!$B93,IF(MATCHED!AT93=2,MATCHED!$C93,IF(MATCHED!AT93=3,MATCHED!$D93,IF(MATCHED!AT93=4,MATCHED!$E93,IF(MATCHED!AT93=3,MATCHED!$F93,IF(MATCHED!AT93=6,MATCHED!$G93,IF(MATCHED!AT93=7,MATCHED!$H93,"")))))))&amp;IF(MATCHED!AT93=8,MATCHED!$I93,IF(MATCHED!AT93=9,MATCHED!$J93,IF(MATCHED!AT93=10,MATCHED!$K93,IF(MATCHED!AT93=11,MATCHED!$L93,IF(MATCHED!AT93=12,MATCHED!$M93,IF(MATCHED!AT93=13,MATCHED!$N93,IF(MATCHED!AT93=14,MATCHED!$O93,"")))))))&amp;IF(MATCHED!AT93=15,MATCHED!$P93,IF(MATCHED!AT93=16,MATCHED!$Q93,IF(MATCHED!AT93=17,MATCHED!$R93,IF(MATCHED!AT93=18,MATCHED!$S93,IF(MATCHED!AT93=19,MATCHED!$T93,IF(MATCHED!AT93=20,MATCHED!$U93,IF(MATCHED!AT93=21,MATCHED!$V93,)))))))&amp;IF(MATCHED!AT93=22,MATCHED!$W93,IF(MATCHED!AT93=23,MATCHED!$X93,IF(MATCHED!AT93=24,MATCHED!$Y93,IF(MATCHED!AT93=25,MATCHED!$Z93,IF(MATCHED!AT93=26,MATCHED!$AA93,IF(MATCHED!AT93=27,MATCHED!$AB93,"."))))))</f>
        <v>#N/A</v>
      </c>
      <c r="S93" s="424" t="e">
        <f>IF(MATCHED!AU93=1,MATCHED!$B93,IF(MATCHED!AU93=2,MATCHED!$C93,IF(MATCHED!AU93=3,MATCHED!$D93,IF(MATCHED!AU93=4,MATCHED!$E93,IF(MATCHED!AU93=3,MATCHED!$F93,IF(MATCHED!AU93=6,MATCHED!$G93,IF(MATCHED!AU93=7,MATCHED!$H93,"")))))))&amp;IF(MATCHED!AU93=8,MATCHED!$I93,IF(MATCHED!AU93=9,MATCHED!$J93,IF(MATCHED!AU93=10,MATCHED!$K93,IF(MATCHED!AU93=11,MATCHED!$L93,IF(MATCHED!AU93=12,MATCHED!$M93,IF(MATCHED!AU93=13,MATCHED!$N93,IF(MATCHED!AU93=14,MATCHED!$O93,"")))))))&amp;IF(MATCHED!AU93=15,MATCHED!$P93,IF(MATCHED!AU93=16,MATCHED!$Q93,IF(MATCHED!AU93=17,MATCHED!$R93,IF(MATCHED!AU93=18,MATCHED!$S93,IF(MATCHED!AU93=19,MATCHED!$T93,IF(MATCHED!AU93=20,MATCHED!$U93,IF(MATCHED!AU93=21,MATCHED!$V93,)))))))&amp;IF(MATCHED!AU93=22,MATCHED!$W93,IF(MATCHED!AU93=23,MATCHED!$X93,IF(MATCHED!AU93=24,MATCHED!$Y93,IF(MATCHED!AU93=25,MATCHED!$Z93,IF(MATCHED!AU93=26,MATCHED!$AA93,IF(MATCHED!AU93=27,MATCHED!$AB93,"."))))))</f>
        <v>#N/A</v>
      </c>
      <c r="T93" s="424" t="e">
        <f>IF(MATCHED!AV93=1,MATCHED!$B93,IF(MATCHED!AV93=2,MATCHED!$C93,IF(MATCHED!AV93=3,MATCHED!$D93,IF(MATCHED!AV93=4,MATCHED!$E93,IF(MATCHED!AV93=3,MATCHED!$F93,IF(MATCHED!AV93=6,MATCHED!$G93,IF(MATCHED!AV93=7,MATCHED!$H93,"")))))))&amp;IF(MATCHED!AV93=8,MATCHED!$I93,IF(MATCHED!AV93=9,MATCHED!$J93,IF(MATCHED!AV93=10,MATCHED!$K93,IF(MATCHED!AV93=11,MATCHED!$L93,IF(MATCHED!AV93=12,MATCHED!$M93,IF(MATCHED!AV93=13,MATCHED!$N93,IF(MATCHED!AV93=14,MATCHED!$O93,"")))))))&amp;IF(MATCHED!AV93=15,MATCHED!$P93,IF(MATCHED!AV93=16,MATCHED!$Q93,IF(MATCHED!AV93=17,MATCHED!$R93,IF(MATCHED!AV93=18,MATCHED!$S93,IF(MATCHED!AV93=19,MATCHED!$T93,IF(MATCHED!AV93=20,MATCHED!$U93,IF(MATCHED!AV93=21,MATCHED!$V93,)))))))&amp;IF(MATCHED!AV93=22,MATCHED!$W93,IF(MATCHED!AV93=23,MATCHED!$X93,IF(MATCHED!AV93=24,MATCHED!$Y93,IF(MATCHED!AV93=25,MATCHED!$Z93,IF(MATCHED!AV93=26,MATCHED!$AA93,IF(MATCHED!AV93=27,MATCHED!$AB93,"."))))))</f>
        <v>#N/A</v>
      </c>
      <c r="U93" s="424" t="e">
        <f>IF(MATCHED!AW93=1,MATCHED!$B93,IF(MATCHED!AW93=2,MATCHED!$C93,IF(MATCHED!AW93=3,MATCHED!$D93,IF(MATCHED!AW93=4,MATCHED!$E93,IF(MATCHED!AW93=3,MATCHED!$F93,IF(MATCHED!AW93=6,MATCHED!$G93,IF(MATCHED!AW93=7,MATCHED!$H93,"")))))))&amp;IF(MATCHED!AW93=8,MATCHED!$I93,IF(MATCHED!AW93=9,MATCHED!$J93,IF(MATCHED!AW93=10,MATCHED!$K93,IF(MATCHED!AW93=11,MATCHED!$L93,IF(MATCHED!AW93=12,MATCHED!$M93,IF(MATCHED!AW93=13,MATCHED!$N93,IF(MATCHED!AW93=14,MATCHED!$O93,"")))))))&amp;IF(MATCHED!AW93=15,MATCHED!$P93,IF(MATCHED!AW93=16,MATCHED!$Q93,IF(MATCHED!AW93=17,MATCHED!$R93,IF(MATCHED!AW93=18,MATCHED!$S93,IF(MATCHED!AW93=19,MATCHED!$T93,IF(MATCHED!AW93=20,MATCHED!$U93,IF(MATCHED!AW93=21,MATCHED!$V93,)))))))&amp;IF(MATCHED!AW93=22,MATCHED!$W93,IF(MATCHED!AW93=23,MATCHED!$X93,IF(MATCHED!AW93=24,MATCHED!$Y93,IF(MATCHED!AW93=25,MATCHED!$Z93,IF(MATCHED!AW93=26,MATCHED!$AA93,IF(MATCHED!AW93=27,MATCHED!$AB93,"."))))))</f>
        <v>#N/A</v>
      </c>
      <c r="V93" s="424" t="e">
        <f>IF(MATCHED!AX93=1,MATCHED!$B93,IF(MATCHED!AX93=2,MATCHED!$C93,IF(MATCHED!AX93=3,MATCHED!$D93,IF(MATCHED!AX93=4,MATCHED!$E93,IF(MATCHED!AX93=3,MATCHED!$F93,IF(MATCHED!AX93=6,MATCHED!$G93,IF(MATCHED!AX93=7,MATCHED!$H93,"")))))))&amp;IF(MATCHED!AX93=8,MATCHED!$I93,IF(MATCHED!AX93=9,MATCHED!$J93,IF(MATCHED!AX93=10,MATCHED!$K93,IF(MATCHED!AX93=11,MATCHED!$L93,IF(MATCHED!AX93=12,MATCHED!$M93,IF(MATCHED!AX93=13,MATCHED!$N93,IF(MATCHED!AX93=14,MATCHED!$O93,"")))))))&amp;IF(MATCHED!AX93=15,MATCHED!$P93,IF(MATCHED!AX93=16,MATCHED!$Q93,IF(MATCHED!AX93=17,MATCHED!$R93,IF(MATCHED!AX93=18,MATCHED!$S93,IF(MATCHED!AX93=19,MATCHED!$T93,IF(MATCHED!AX93=20,MATCHED!$U93,IF(MATCHED!AX93=21,MATCHED!$V93,)))))))&amp;IF(MATCHED!AX93=22,MATCHED!$W93,IF(MATCHED!AX93=23,MATCHED!$X93,IF(MATCHED!AX93=24,MATCHED!$Y93,IF(MATCHED!AX93=25,MATCHED!$Z93,IF(MATCHED!AX93=26,MATCHED!$AA93,IF(MATCHED!AX93=27,MATCHED!$AB93,"."))))))</f>
        <v>#N/A</v>
      </c>
      <c r="W93" s="424" t="e">
        <f>IF(MATCHED!AY93=1,MATCHED!$B93,IF(MATCHED!AY93=2,MATCHED!$C93,IF(MATCHED!AY93=3,MATCHED!$D93,IF(MATCHED!AY93=4,MATCHED!$E93,IF(MATCHED!AY93=3,MATCHED!$F93,IF(MATCHED!AY93=6,MATCHED!$G93,IF(MATCHED!AY93=7,MATCHED!$H93,"")))))))&amp;IF(MATCHED!AY93=8,MATCHED!$I93,IF(MATCHED!AY93=9,MATCHED!$J93,IF(MATCHED!AY93=10,MATCHED!$K93,IF(MATCHED!AY93=11,MATCHED!$L93,IF(MATCHED!AY93=12,MATCHED!$M93,IF(MATCHED!AY93=13,MATCHED!$N93,IF(MATCHED!AY93=14,MATCHED!$O93,"")))))))&amp;IF(MATCHED!AY93=15,MATCHED!$P93,IF(MATCHED!AY93=16,MATCHED!$Q93,IF(MATCHED!AY93=17,MATCHED!$R93,IF(MATCHED!AY93=18,MATCHED!$S93,IF(MATCHED!AY93=19,MATCHED!$T93,IF(MATCHED!AY93=20,MATCHED!$U93,IF(MATCHED!AY93=21,MATCHED!$V93,)))))))&amp;IF(MATCHED!AY93=22,MATCHED!$W93,IF(MATCHED!AY93=23,MATCHED!$X93,IF(MATCHED!AY93=24,MATCHED!$Y93,IF(MATCHED!AY93=25,MATCHED!$Z93,IF(MATCHED!AY93=26,MATCHED!$AA93,IF(MATCHED!AY93=27,MATCHED!$AB93,"."))))))</f>
        <v>#N/A</v>
      </c>
      <c r="X93" s="424" t="e">
        <f>IF(MATCHED!AZ93=1,MATCHED!$B93,IF(MATCHED!AZ93=2,MATCHED!$C93,IF(MATCHED!AZ93=3,MATCHED!$D93,IF(MATCHED!AZ93=4,MATCHED!$E93,IF(MATCHED!AZ93=3,MATCHED!$F93,IF(MATCHED!AZ93=6,MATCHED!$G93,IF(MATCHED!AZ93=7,MATCHED!$H93,"")))))))&amp;IF(MATCHED!AZ93=8,MATCHED!$I93,IF(MATCHED!AZ93=9,MATCHED!$J93,IF(MATCHED!AZ93=10,MATCHED!$K93,IF(MATCHED!AZ93=11,MATCHED!$L93,IF(MATCHED!AZ93=12,MATCHED!$M93,IF(MATCHED!AZ93=13,MATCHED!$N93,IF(MATCHED!AZ93=14,MATCHED!$O93,"")))))))&amp;IF(MATCHED!AZ93=15,MATCHED!$P93,IF(MATCHED!AZ93=16,MATCHED!$Q93,IF(MATCHED!AZ93=17,MATCHED!$R93,IF(MATCHED!AZ93=18,MATCHED!$S93,IF(MATCHED!AZ93=19,MATCHED!$T93,IF(MATCHED!AZ93=20,MATCHED!$U93,IF(MATCHED!AZ93=21,MATCHED!$V93,)))))))&amp;IF(MATCHED!AZ93=22,MATCHED!$W93,IF(MATCHED!AZ93=23,MATCHED!$X93,IF(MATCHED!AZ93=24,MATCHED!$Y93,IF(MATCHED!AZ93=25,MATCHED!$Z93,IF(MATCHED!AZ93=26,MATCHED!$AA93,IF(MATCHED!AZ93=27,MATCHED!$AB93,"."))))))</f>
        <v>#N/A</v>
      </c>
      <c r="Y93" s="424" t="e">
        <f>IF(MATCHED!BA93=1,MATCHED!$B93,IF(MATCHED!BA93=2,MATCHED!$C93,IF(MATCHED!BA93=3,MATCHED!$D93,IF(MATCHED!BA93=4,MATCHED!$E93,IF(MATCHED!BA93=3,MATCHED!$F93,IF(MATCHED!BA93=6,MATCHED!$G93,IF(MATCHED!BA93=7,MATCHED!$H93,"")))))))&amp;IF(MATCHED!BA93=8,MATCHED!$I93,IF(MATCHED!BA93=9,MATCHED!$J93,IF(MATCHED!BA93=10,MATCHED!$K93,IF(MATCHED!BA93=11,MATCHED!$L93,IF(MATCHED!BA93=12,MATCHED!$M93,IF(MATCHED!BA93=13,MATCHED!$N93,IF(MATCHED!BA93=14,MATCHED!$O93,"")))))))&amp;IF(MATCHED!BA93=15,MATCHED!$P93,IF(MATCHED!BA93=16,MATCHED!$Q93,IF(MATCHED!BA93=17,MATCHED!$R93,IF(MATCHED!BA93=18,MATCHED!$S93,IF(MATCHED!BA93=19,MATCHED!$T93,IF(MATCHED!BA93=20,MATCHED!$U93,IF(MATCHED!BA93=21,MATCHED!$V93,)))))))&amp;IF(MATCHED!BA93=22,MATCHED!$W93,IF(MATCHED!BA93=23,MATCHED!$X93,IF(MATCHED!BA93=24,MATCHED!$Y93,IF(MATCHED!BA93=25,MATCHED!$Z93,IF(MATCHED!BA93=26,MATCHED!$AA93,IF(MATCHED!BA93=27,MATCHED!$AB93,"."))))))</f>
        <v>#N/A</v>
      </c>
      <c r="Z93" s="424" t="e">
        <f>IF(MATCHED!BB93=1,MATCHED!$B93,IF(MATCHED!BB93=2,MATCHED!$C93,IF(MATCHED!BB93=3,MATCHED!$D93,IF(MATCHED!BB93=4,MATCHED!$E93,IF(MATCHED!BB93=3,MATCHED!$F93,IF(MATCHED!BB93=6,MATCHED!$G93,IF(MATCHED!BB93=7,MATCHED!$H93,"")))))))&amp;IF(MATCHED!BB93=8,MATCHED!$I93,IF(MATCHED!BB93=9,MATCHED!$J93,IF(MATCHED!BB93=10,MATCHED!$K93,IF(MATCHED!BB93=11,MATCHED!$L93,IF(MATCHED!BB93=12,MATCHED!$M93,IF(MATCHED!BB93=13,MATCHED!$N93,IF(MATCHED!BB93=14,MATCHED!$O93,"")))))))&amp;IF(MATCHED!BB93=15,MATCHED!$P93,IF(MATCHED!BB93=16,MATCHED!$Q93,IF(MATCHED!BB93=17,MATCHED!$R93,IF(MATCHED!BB93=18,MATCHED!$S93,IF(MATCHED!BB93=19,MATCHED!$T93,IF(MATCHED!BB93=20,MATCHED!$U93,IF(MATCHED!BB93=21,MATCHED!$V93,)))))))&amp;IF(MATCHED!BB93=22,MATCHED!$W93,IF(MATCHED!BB93=23,MATCHED!$X93,IF(MATCHED!BB93=24,MATCHED!$Y93,IF(MATCHED!BB93=25,MATCHED!$Z93,IF(MATCHED!BB93=26,MATCHED!$AA93,IF(MATCHED!BB93=27,MATCHED!$AB93,"."))))))</f>
        <v>#N/A</v>
      </c>
      <c r="AA93" s="424" t="e">
        <f>IF(MATCHED!BC93=1,MATCHED!$B93,IF(MATCHED!BC93=2,MATCHED!$C93,IF(MATCHED!BC93=3,MATCHED!$D93,IF(MATCHED!BC93=4,MATCHED!$E93,IF(MATCHED!BC93=3,MATCHED!$F93,IF(MATCHED!BC93=6,MATCHED!$G93,IF(MATCHED!BC93=7,MATCHED!$H93,"")))))))&amp;IF(MATCHED!BC93=8,MATCHED!$I93,IF(MATCHED!BC93=9,MATCHED!$J93,IF(MATCHED!BC93=10,MATCHED!$K93,IF(MATCHED!BC93=11,MATCHED!$L93,IF(MATCHED!BC93=12,MATCHED!$M93,IF(MATCHED!BC93=13,MATCHED!$N93,IF(MATCHED!BC93=14,MATCHED!$O93,"")))))))&amp;IF(MATCHED!BC93=15,MATCHED!$P93,IF(MATCHED!BC93=16,MATCHED!$Q93,IF(MATCHED!BC93=17,MATCHED!$R93,IF(MATCHED!BC93=18,MATCHED!$S93,IF(MATCHED!BC93=19,MATCHED!$T93,IF(MATCHED!BC93=20,MATCHED!$U93,IF(MATCHED!BC93=21,MATCHED!$V93,)))))))&amp;IF(MATCHED!BC93=22,MATCHED!$W93,IF(MATCHED!BC93=23,MATCHED!$X93,IF(MATCHED!BC93=24,MATCHED!$Y93,IF(MATCHED!BC93=25,MATCHED!$Z93,IF(MATCHED!BC93=26,MATCHED!$AA93,IF(MATCHED!BC93=27,MATCHED!$AB93,"."))))))</f>
        <v>#N/A</v>
      </c>
      <c r="AB93" s="424" t="e">
        <f>IF(MATCHED!BD93=1,MATCHED!$B93,IF(MATCHED!BD93=2,MATCHED!$C93,IF(MATCHED!BD93=3,MATCHED!$D93,IF(MATCHED!BD93=4,MATCHED!$E93,IF(MATCHED!BD93=3,MATCHED!$F93,IF(MATCHED!BD93=6,MATCHED!$G93,IF(MATCHED!BD93=7,MATCHED!$H93,"")))))))&amp;IF(MATCHED!BD93=8,MATCHED!$I93,IF(MATCHED!BD93=9,MATCHED!$J93,IF(MATCHED!BD93=10,MATCHED!$K93,IF(MATCHED!BD93=11,MATCHED!$L93,IF(MATCHED!BD93=12,MATCHED!$M93,IF(MATCHED!BD93=13,MATCHED!$N93,IF(MATCHED!BD93=14,MATCHED!$O93,"")))))))&amp;IF(MATCHED!BD93=15,MATCHED!$P93,IF(MATCHED!BD93=16,MATCHED!$Q93,IF(MATCHED!BD93=17,MATCHED!$R93,IF(MATCHED!BD93=18,MATCHED!$S93,IF(MATCHED!BD93=19,MATCHED!$T93,IF(MATCHED!BD93=20,MATCHED!$U93,IF(MATCHED!BD93=21,MATCHED!$V93,)))))))&amp;IF(MATCHED!BD93=22,MATCHED!$W93,IF(MATCHED!BD93=23,MATCHED!$X93,IF(MATCHED!BD93=24,MATCHED!$Y93,IF(MATCHED!BD93=25,MATCHED!$Z93,IF(MATCHED!BD93=26,MATCHED!$AA93,IF(MATCHED!BD93=27,MATCHED!$AB93,"."))))))</f>
        <v>#N/A</v>
      </c>
      <c r="AC93" s="424" t="e">
        <f>IF(MATCHED!BE93=1,MATCHED!$B93,IF(MATCHED!BE93=2,MATCHED!$C93,IF(MATCHED!BE93=3,MATCHED!$D93,IF(MATCHED!BE93=4,MATCHED!$E93,IF(MATCHED!BE93=3,MATCHED!$F93,IF(MATCHED!BE93=6,MATCHED!$G93,IF(MATCHED!BE93=7,MATCHED!$H93,"")))))))&amp;IF(MATCHED!BE93=8,MATCHED!$I93,IF(MATCHED!BE93=9,MATCHED!$J93,IF(MATCHED!BE93=10,MATCHED!$K93,IF(MATCHED!BE93=11,MATCHED!$L93,IF(MATCHED!BE93=12,MATCHED!$M93,IF(MATCHED!BE93=13,MATCHED!$N93,IF(MATCHED!BE93=14,MATCHED!$O93,"")))))))&amp;IF(MATCHED!BE93=15,MATCHED!$P93,IF(MATCHED!BE93=16,MATCHED!$Q93,IF(MATCHED!BE93=17,MATCHED!$R93,IF(MATCHED!BE93=18,MATCHED!$S93,IF(MATCHED!BE93=19,MATCHED!$T93,IF(MATCHED!BE93=20,MATCHED!$U93,IF(MATCHED!BE93=21,MATCHED!$V93,)))))))&amp;IF(MATCHED!BE93=22,MATCHED!$W93,IF(MATCHED!BE93=23,MATCHED!$X93,IF(MATCHED!BE93=24,MATCHED!$Y93,IF(MATCHED!BE93=25,MATCHED!$Z93,IF(MATCHED!BE93=26,MATCHED!$AA93,IF(MATCHED!BE93=27,MATCHED!$AB93,"."))))))</f>
        <v>#N/A</v>
      </c>
      <c r="AD93" s="424" t="e">
        <f>IF(MATCHED!BF93=1,MATCHED!$B93,IF(MATCHED!BF93=2,MATCHED!$C93,IF(MATCHED!BF93=3,MATCHED!$D93,IF(MATCHED!BF93=4,MATCHED!$E93,IF(MATCHED!BF93=3,MATCHED!$F93,IF(MATCHED!BF93=6,MATCHED!$G93,IF(MATCHED!BF93=7,MATCHED!$H93,"")))))))&amp;IF(MATCHED!BF93=8,MATCHED!$I93,IF(MATCHED!BF93=9,MATCHED!$J93,IF(MATCHED!BF93=10,MATCHED!$K93,IF(MATCHED!BF93=11,MATCHED!$L93,IF(MATCHED!BF93=12,MATCHED!$M93,IF(MATCHED!BF93=13,MATCHED!$N93,IF(MATCHED!BF93=14,MATCHED!$O93,"")))))))&amp;IF(MATCHED!BF93=15,MATCHED!$P93,IF(MATCHED!BF93=16,MATCHED!$Q93,IF(MATCHED!BF93=17,MATCHED!$R93,IF(MATCHED!BF93=18,MATCHED!$S93,IF(MATCHED!BF93=19,MATCHED!$T93,IF(MATCHED!BF93=20,MATCHED!$U93,IF(MATCHED!BF93=21,MATCHED!$V93,)))))))&amp;IF(MATCHED!BF93=22,MATCHED!$W93,IF(MATCHED!BF93=23,MATCHED!$X93,IF(MATCHED!BF93=24,MATCHED!$Y93,IF(MATCHED!BF93=25,MATCHED!$Z93,IF(MATCHED!BF93=26,MATCHED!$AA93,IF(MATCHED!BF93=27,MATCHED!$AB93,"."))))))</f>
        <v>#N/A</v>
      </c>
      <c r="AE93" s="424" t="e">
        <f>IF(MATCHED!BG93=1,MATCHED!$B93,IF(MATCHED!BG93=2,MATCHED!$C93,IF(MATCHED!BG93=3,MATCHED!$D93,IF(MATCHED!BG93=4,MATCHED!$E93,IF(MATCHED!BG93=3,MATCHED!$F93,IF(MATCHED!BG93=6,MATCHED!$G93,IF(MATCHED!BG93=7,MATCHED!$H93,"")))))))&amp;IF(MATCHED!BG93=8,MATCHED!$I93,IF(MATCHED!BG93=9,MATCHED!$J93,IF(MATCHED!BG93=10,MATCHED!$K93,IF(MATCHED!BG93=11,MATCHED!$L93,IF(MATCHED!BG93=12,MATCHED!$M93,IF(MATCHED!BG93=13,MATCHED!$N93,IF(MATCHED!BG93=14,MATCHED!$O93,"")))))))&amp;IF(MATCHED!BG93=15,MATCHED!$P93,IF(MATCHED!BG93=16,MATCHED!$Q93,IF(MATCHED!BG93=17,MATCHED!$R93,IF(MATCHED!BG93=18,MATCHED!$S93,IF(MATCHED!BG93=19,MATCHED!$T93,IF(MATCHED!BG93=20,MATCHED!$U93,IF(MATCHED!BG93=21,MATCHED!$V93,)))))))&amp;IF(MATCHED!BG93=22,MATCHED!$W93,IF(MATCHED!BG93=23,MATCHED!$X93,IF(MATCHED!BG93=24,MATCHED!$Y93,IF(MATCHED!BG93=25,MATCHED!$Z93,IF(MATCHED!BG93=26,MATCHED!$AA93,IF(MATCHED!BG93=27,MATCHED!$AB93,"."))))))</f>
        <v>#N/A</v>
      </c>
      <c r="AF93" s="424" t="e">
        <f>IF(MATCHED!BH93=1,MATCHED!$B93,IF(MATCHED!BH93=2,MATCHED!$C93,IF(MATCHED!BH93=3,MATCHED!$D93,IF(MATCHED!BH93=4,MATCHED!$E93,IF(MATCHED!BH93=3,MATCHED!$F93,IF(MATCHED!BH93=6,MATCHED!$G93,IF(MATCHED!BH93=7,MATCHED!$H93,"")))))))&amp;IF(MATCHED!BH93=8,MATCHED!$I93,IF(MATCHED!BH93=9,MATCHED!$J93,IF(MATCHED!BH93=10,MATCHED!$K93,IF(MATCHED!BH93=11,MATCHED!$L93,IF(MATCHED!BH93=12,MATCHED!$M93,IF(MATCHED!BH93=13,MATCHED!$N93,IF(MATCHED!BH93=14,MATCHED!$O93,"")))))))&amp;IF(MATCHED!BH93=15,MATCHED!$P93,IF(MATCHED!BH93=16,MATCHED!$Q93,IF(MATCHED!BH93=17,MATCHED!$R93,IF(MATCHED!BH93=18,MATCHED!$S93,IF(MATCHED!BH93=19,MATCHED!$T93,IF(MATCHED!BH93=20,MATCHED!$U93,IF(MATCHED!BH93=21,MATCHED!$V93,)))))))&amp;IF(MATCHED!BH93=22,MATCHED!$W93,IF(MATCHED!BH93=23,MATCHED!$X93,IF(MATCHED!BH93=24,MATCHED!$Y93,IF(MATCHED!BH93=25,MATCHED!$Z93,IF(MATCHED!BH93=26,MATCHED!$AA93,IF(MATCHED!BH93=27,MATCHED!$AB93,"."))))))</f>
        <v>#N/A</v>
      </c>
      <c r="AG93" s="424" t="e">
        <f>IF(MATCHED!BI93=1,MATCHED!$B93,IF(MATCHED!BI93=2,MATCHED!$C93,IF(MATCHED!BI93=3,MATCHED!$D93,IF(MATCHED!BI93=4,MATCHED!$E93,IF(MATCHED!BI93=3,MATCHED!$F93,IF(MATCHED!BI93=6,MATCHED!$G93,IF(MATCHED!BI93=7,MATCHED!$H93,"")))))))&amp;IF(MATCHED!BI93=8,MATCHED!$I93,IF(MATCHED!BI93=9,MATCHED!$J93,IF(MATCHED!BI93=10,MATCHED!$K93,IF(MATCHED!BI93=11,MATCHED!$L93,IF(MATCHED!BI93=12,MATCHED!$M93,IF(MATCHED!BI93=13,MATCHED!$N93,IF(MATCHED!BI93=14,MATCHED!$O93,"")))))))&amp;IF(MATCHED!BI93=15,MATCHED!$P93,IF(MATCHED!BI93=16,MATCHED!$Q93,IF(MATCHED!BI93=17,MATCHED!$R93,IF(MATCHED!BI93=18,MATCHED!$S93,IF(MATCHED!BI93=19,MATCHED!$T93,IF(MATCHED!BI93=20,MATCHED!$U93,IF(MATCHED!BI93=21,MATCHED!$V93,)))))))&amp;IF(MATCHED!BI93=22,MATCHED!$W93,IF(MATCHED!BI93=23,MATCHED!$X93,IF(MATCHED!BI93=24,MATCHED!$Y93,IF(MATCHED!BI93=25,MATCHED!$Z93,IF(MATCHED!BI93=26,MATCHED!$AA93,IF(MATCHED!BI93=27,MATCHED!$AB93,"."))))))</f>
        <v>#N/A</v>
      </c>
      <c r="AH93" s="424" t="e">
        <f>IF(MATCHED!BJ93=1,MATCHED!$B93,IF(MATCHED!BJ93=2,MATCHED!$C93,IF(MATCHED!BJ93=3,MATCHED!$D93,IF(MATCHED!BJ93=4,MATCHED!$E93,IF(MATCHED!BJ93=3,MATCHED!$F93,IF(MATCHED!BJ93=6,MATCHED!$G93,IF(MATCHED!BJ93=7,MATCHED!$H93,"")))))))&amp;IF(MATCHED!BJ93=8,MATCHED!$I93,IF(MATCHED!BJ93=9,MATCHED!$J93,IF(MATCHED!BJ93=10,MATCHED!$K93,IF(MATCHED!BJ93=11,MATCHED!$L93,IF(MATCHED!BJ93=12,MATCHED!$M93,IF(MATCHED!BJ93=13,MATCHED!$N93,IF(MATCHED!BJ93=14,MATCHED!$O93,"")))))))&amp;IF(MATCHED!BJ93=15,MATCHED!$P93,IF(MATCHED!BJ93=16,MATCHED!$Q93,IF(MATCHED!BJ93=17,MATCHED!$R93,IF(MATCHED!BJ93=18,MATCHED!$S93,IF(MATCHED!BJ93=19,MATCHED!$T93,IF(MATCHED!BJ93=20,MATCHED!$U93,IF(MATCHED!BJ93=21,MATCHED!$V93,)))))))&amp;IF(MATCHED!BJ93=22,MATCHED!$W93,IF(MATCHED!BJ93=23,MATCHED!$X93,IF(MATCHED!BJ93=24,MATCHED!$Y93,IF(MATCHED!BJ93=25,MATCHED!$Z93,IF(MATCHED!BJ93=26,MATCHED!$AA93,IF(MATCHED!BJ93=27,MATCHED!$AB93,"."))))))</f>
        <v>#N/A</v>
      </c>
      <c r="AI93" s="424" t="e">
        <f>IF(MATCHED!BK93=1,MATCHED!$B93,IF(MATCHED!BK93=2,MATCHED!$C93,IF(MATCHED!BK93=3,MATCHED!$D93,IF(MATCHED!BK93=4,MATCHED!$E93,IF(MATCHED!BK93=3,MATCHED!$F93,IF(MATCHED!BK93=6,MATCHED!$G93,IF(MATCHED!BK93=7,MATCHED!$H93,"")))))))&amp;IF(MATCHED!BK93=8,MATCHED!$I93,IF(MATCHED!BK93=9,MATCHED!$J93,IF(MATCHED!BK93=10,MATCHED!$K93,IF(MATCHED!BK93=11,MATCHED!$L93,IF(MATCHED!BK93=12,MATCHED!$M93,IF(MATCHED!BK93=13,MATCHED!$N93,IF(MATCHED!BK93=14,MATCHED!$O93,"")))))))&amp;IF(MATCHED!BK93=15,MATCHED!$P93,IF(MATCHED!BK93=16,MATCHED!$Q93,IF(MATCHED!BK93=17,MATCHED!$R93,IF(MATCHED!BK93=18,MATCHED!$S93,IF(MATCHED!BK93=19,MATCHED!$T93,IF(MATCHED!BK93=20,MATCHED!$U93,IF(MATCHED!BK93=21,MATCHED!$V93,)))))))&amp;IF(MATCHED!BK93=22,MATCHED!$W93,IF(MATCHED!BK93=23,MATCHED!$X93,IF(MATCHED!BK93=24,MATCHED!$Y93,IF(MATCHED!BK93=25,MATCHED!$Z93,IF(MATCHED!BK93=26,MATCHED!$AA93,IF(MATCHED!BK93=27,MATCHED!$AB93,"."))))))</f>
        <v>#N/A</v>
      </c>
      <c r="AJ93" s="535"/>
    </row>
    <row r="94" spans="1:36" s="338" customFormat="1" x14ac:dyDescent="0.25">
      <c r="A94" s="535"/>
      <c r="B94" s="424" t="e">
        <f>IF(MATCHED!AD94=1,MATCHED!$B94,IF(MATCHED!AD94=2,MATCHED!$C94,IF(MATCHED!AD94=3,MATCHED!$D94,IF(MATCHED!AD94=4,MATCHED!$E94,IF(MATCHED!AD94=3,MATCHED!$F94,IF(MATCHED!AD94=6,MATCHED!$G94,IF(MATCHED!AD94=7,MATCHED!$H94,"")))))))&amp;IF(MATCHED!AD94=8,MATCHED!$I94,IF(MATCHED!AD94=9,MATCHED!$J94,IF(MATCHED!AD94=10,MATCHED!$K94,IF(MATCHED!AD94=11,MATCHED!$L94,IF(MATCHED!AD94=12,MATCHED!$M94,IF(MATCHED!AD94=13,MATCHED!$N94,IF(MATCHED!AD94=14,MATCHED!$O94,"")))))))&amp;IF(MATCHED!AD94=15,MATCHED!$P94,IF(MATCHED!AD94=16,MATCHED!$Q94,IF(MATCHED!AD94=17,MATCHED!$R94,IF(MATCHED!AD94=18,MATCHED!$S94,IF(MATCHED!AD94=19,MATCHED!$T94,IF(MATCHED!AD94=20,MATCHED!$U94,IF(MATCHED!AD94=21,MATCHED!$V94,)))))))&amp;IF(MATCHED!AD94=22,MATCHED!$W94,IF(MATCHED!AD94=23,MATCHED!$X94,IF(MATCHED!AD94=24,MATCHED!$Y94,IF(MATCHED!AD94=25,MATCHED!$Z94,IF(MATCHED!AD94=26,MATCHED!$AA94,IF(MATCHED!AD94=27,MATCHED!$AB94,"."))))))</f>
        <v>#N/A</v>
      </c>
      <c r="C94" s="424" t="e">
        <f>IF(MATCHED!AE94=1,MATCHED!$B94,IF(MATCHED!AE94=2,MATCHED!$C94,IF(MATCHED!AE94=3,MATCHED!$D94,IF(MATCHED!AE94=4,MATCHED!$E94,IF(MATCHED!AE94=3,MATCHED!$F94,IF(MATCHED!AE94=6,MATCHED!$G94,IF(MATCHED!AE94=7,MATCHED!$H94,"")))))))&amp;IF(MATCHED!AE94=8,MATCHED!$I94,IF(MATCHED!AE94=9,MATCHED!$J94,IF(MATCHED!AE94=10,MATCHED!$K94,IF(MATCHED!AE94=11,MATCHED!$L94,IF(MATCHED!AE94=12,MATCHED!$M94,IF(MATCHED!AE94=13,MATCHED!$N94,IF(MATCHED!AE94=14,MATCHED!$O94,"")))))))&amp;IF(MATCHED!AE94=15,MATCHED!$P94,IF(MATCHED!AE94=16,MATCHED!$Q94,IF(MATCHED!AE94=17,MATCHED!$R94,IF(MATCHED!AE94=18,MATCHED!$S94,IF(MATCHED!AE94=19,MATCHED!$T94,IF(MATCHED!AE94=20,MATCHED!$U94,IF(MATCHED!AE94=21,MATCHED!$V94,)))))))&amp;IF(MATCHED!AE94=22,MATCHED!$W94,IF(MATCHED!AE94=23,MATCHED!$X94,IF(MATCHED!AE94=24,MATCHED!$Y94,IF(MATCHED!AE94=25,MATCHED!$Z94,IF(MATCHED!AE94=26,MATCHED!$AA94,IF(MATCHED!AE94=27,MATCHED!$AB94,"."))))))</f>
        <v>#N/A</v>
      </c>
      <c r="D94" s="424" t="e">
        <f>IF(MATCHED!AF94=1,MATCHED!$B94,IF(MATCHED!AF94=2,MATCHED!$C94,IF(MATCHED!AF94=3,MATCHED!$D94,IF(MATCHED!AF94=4,MATCHED!$E94,IF(MATCHED!AF94=3,MATCHED!$F94,IF(MATCHED!AF94=6,MATCHED!$G94,IF(MATCHED!AF94=7,MATCHED!$H94,"")))))))&amp;IF(MATCHED!AF94=8,MATCHED!$I94,IF(MATCHED!AF94=9,MATCHED!$J94,IF(MATCHED!AF94=10,MATCHED!$K94,IF(MATCHED!AF94=11,MATCHED!$L94,IF(MATCHED!AF94=12,MATCHED!$M94,IF(MATCHED!AF94=13,MATCHED!$N94,IF(MATCHED!AF94=14,MATCHED!$O94,"")))))))&amp;IF(MATCHED!AF94=15,MATCHED!$P94,IF(MATCHED!AF94=16,MATCHED!$Q94,IF(MATCHED!AF94=17,MATCHED!$R94,IF(MATCHED!AF94=18,MATCHED!$S94,IF(MATCHED!AF94=19,MATCHED!$T94,IF(MATCHED!AF94=20,MATCHED!$U94,IF(MATCHED!AF94=21,MATCHED!$V94,)))))))&amp;IF(MATCHED!AF94=22,MATCHED!$W94,IF(MATCHED!AF94=23,MATCHED!$X94,IF(MATCHED!AF94=24,MATCHED!$Y94,IF(MATCHED!AF94=25,MATCHED!$Z94,IF(MATCHED!AF94=26,MATCHED!$AA94,IF(MATCHED!AF94=27,MATCHED!$AB94,"."))))))</f>
        <v>#N/A</v>
      </c>
      <c r="E94" s="424" t="e">
        <f>IF(MATCHED!AG94=1,MATCHED!$B94,IF(MATCHED!AG94=2,MATCHED!$C94,IF(MATCHED!AG94=3,MATCHED!$D94,IF(MATCHED!AG94=4,MATCHED!$E94,IF(MATCHED!AG94=3,MATCHED!$F94,IF(MATCHED!AG94=6,MATCHED!$G94,IF(MATCHED!AG94=7,MATCHED!$H94,"")))))))&amp;IF(MATCHED!AG94=8,MATCHED!$I94,IF(MATCHED!AG94=9,MATCHED!$J94,IF(MATCHED!AG94=10,MATCHED!$K94,IF(MATCHED!AG94=11,MATCHED!$L94,IF(MATCHED!AG94=12,MATCHED!$M94,IF(MATCHED!AG94=13,MATCHED!$N94,IF(MATCHED!AG94=14,MATCHED!$O94,"")))))))&amp;IF(MATCHED!AG94=15,MATCHED!$P94,IF(MATCHED!AG94=16,MATCHED!$Q94,IF(MATCHED!AG94=17,MATCHED!$R94,IF(MATCHED!AG94=18,MATCHED!$S94,IF(MATCHED!AG94=19,MATCHED!$T94,IF(MATCHED!AG94=20,MATCHED!$U94,IF(MATCHED!AG94=21,MATCHED!$V94,)))))))&amp;IF(MATCHED!AG94=22,MATCHED!$W94,IF(MATCHED!AG94=23,MATCHED!$X94,IF(MATCHED!AG94=24,MATCHED!$Y94,IF(MATCHED!AG94=25,MATCHED!$Z94,IF(MATCHED!AG94=26,MATCHED!$AA94,IF(MATCHED!AG94=27,MATCHED!$AB94,"."))))))</f>
        <v>#N/A</v>
      </c>
      <c r="F94" s="424" t="e">
        <f>IF(MATCHED!AH94=1,MATCHED!$B94,IF(MATCHED!AH94=2,MATCHED!$C94,IF(MATCHED!AH94=3,MATCHED!$D94,IF(MATCHED!AH94=4,MATCHED!$E94,IF(MATCHED!AH94=3,MATCHED!$F94,IF(MATCHED!AH94=6,MATCHED!$G94,IF(MATCHED!AH94=7,MATCHED!$H94,"")))))))&amp;IF(MATCHED!AH94=8,MATCHED!$I94,IF(MATCHED!AH94=9,MATCHED!$J94,IF(MATCHED!AH94=10,MATCHED!$K94,IF(MATCHED!AH94=11,MATCHED!$L94,IF(MATCHED!AH94=12,MATCHED!$M94,IF(MATCHED!AH94=13,MATCHED!$N94,IF(MATCHED!AH94=14,MATCHED!$O94,"")))))))&amp;IF(MATCHED!AH94=15,MATCHED!$P94,IF(MATCHED!AH94=16,MATCHED!$Q94,IF(MATCHED!AH94=17,MATCHED!$R94,IF(MATCHED!AH94=18,MATCHED!$S94,IF(MATCHED!AH94=19,MATCHED!$T94,IF(MATCHED!AH94=20,MATCHED!$U94,IF(MATCHED!AH94=21,MATCHED!$V94,)))))))&amp;IF(MATCHED!AH94=22,MATCHED!$W94,IF(MATCHED!AH94=23,MATCHED!$X94,IF(MATCHED!AH94=24,MATCHED!$Y94,IF(MATCHED!AH94=25,MATCHED!$Z94,IF(MATCHED!AH94=26,MATCHED!$AA94,IF(MATCHED!AH94=27,MATCHED!$AB94,"."))))))</f>
        <v>#N/A</v>
      </c>
      <c r="G94" s="424" t="e">
        <f>IF(MATCHED!AI94=1,MATCHED!$B94,IF(MATCHED!AI94=2,MATCHED!$C94,IF(MATCHED!AI94=3,MATCHED!$D94,IF(MATCHED!AI94=4,MATCHED!$E94,IF(MATCHED!AI94=3,MATCHED!$F94,IF(MATCHED!AI94=6,MATCHED!$G94,IF(MATCHED!AI94=7,MATCHED!$H94,"")))))))&amp;IF(MATCHED!AI94=8,MATCHED!$I94,IF(MATCHED!AI94=9,MATCHED!$J94,IF(MATCHED!AI94=10,MATCHED!$K94,IF(MATCHED!AI94=11,MATCHED!$L94,IF(MATCHED!AI94=12,MATCHED!$M94,IF(MATCHED!AI94=13,MATCHED!$N94,IF(MATCHED!AI94=14,MATCHED!$O94,"")))))))&amp;IF(MATCHED!AI94=15,MATCHED!$P94,IF(MATCHED!AI94=16,MATCHED!$Q94,IF(MATCHED!AI94=17,MATCHED!$R94,IF(MATCHED!AI94=18,MATCHED!$S94,IF(MATCHED!AI94=19,MATCHED!$T94,IF(MATCHED!AI94=20,MATCHED!$U94,IF(MATCHED!AI94=21,MATCHED!$V94,)))))))&amp;IF(MATCHED!AI94=22,MATCHED!$W94,IF(MATCHED!AI94=23,MATCHED!$X94,IF(MATCHED!AI94=24,MATCHED!$Y94,IF(MATCHED!AI94=25,MATCHED!$Z94,IF(MATCHED!AI94=26,MATCHED!$AA94,IF(MATCHED!AI94=27,MATCHED!$AB94,"."))))))</f>
        <v>#N/A</v>
      </c>
      <c r="H94" s="424" t="e">
        <f>IF(MATCHED!AJ94=1,MATCHED!$B94,IF(MATCHED!AJ94=2,MATCHED!$C94,IF(MATCHED!AJ94=3,MATCHED!$D94,IF(MATCHED!AJ94=4,MATCHED!$E94,IF(MATCHED!AJ94=3,MATCHED!$F94,IF(MATCHED!AJ94=6,MATCHED!$G94,IF(MATCHED!AJ94=7,MATCHED!$H94,"")))))))&amp;IF(MATCHED!AJ94=8,MATCHED!$I94,IF(MATCHED!AJ94=9,MATCHED!$J94,IF(MATCHED!AJ94=10,MATCHED!$K94,IF(MATCHED!AJ94=11,MATCHED!$L94,IF(MATCHED!AJ94=12,MATCHED!$M94,IF(MATCHED!AJ94=13,MATCHED!$N94,IF(MATCHED!AJ94=14,MATCHED!$O94,"")))))))&amp;IF(MATCHED!AJ94=15,MATCHED!$P94,IF(MATCHED!AJ94=16,MATCHED!$Q94,IF(MATCHED!AJ94=17,MATCHED!$R94,IF(MATCHED!AJ94=18,MATCHED!$S94,IF(MATCHED!AJ94=19,MATCHED!$T94,IF(MATCHED!AJ94=20,MATCHED!$U94,IF(MATCHED!AJ94=21,MATCHED!$V94,)))))))&amp;IF(MATCHED!AJ94=22,MATCHED!$W94,IF(MATCHED!AJ94=23,MATCHED!$X94,IF(MATCHED!AJ94=24,MATCHED!$Y94,IF(MATCHED!AJ94=25,MATCHED!$Z94,IF(MATCHED!AJ94=26,MATCHED!$AA94,IF(MATCHED!AJ94=27,MATCHED!$AB94,"."))))))</f>
        <v>#N/A</v>
      </c>
      <c r="I94" s="424" t="e">
        <f>IF(MATCHED!AK94=1,MATCHED!$B94,IF(MATCHED!AK94=2,MATCHED!$C94,IF(MATCHED!AK94=3,MATCHED!$D94,IF(MATCHED!AK94=4,MATCHED!$E94,IF(MATCHED!AK94=3,MATCHED!$F94,IF(MATCHED!AK94=6,MATCHED!$G94,IF(MATCHED!AK94=7,MATCHED!$H94,"")))))))&amp;IF(MATCHED!AK94=8,MATCHED!$I94,IF(MATCHED!AK94=9,MATCHED!$J94,IF(MATCHED!AK94=10,MATCHED!$K94,IF(MATCHED!AK94=11,MATCHED!$L94,IF(MATCHED!AK94=12,MATCHED!$M94,IF(MATCHED!AK94=13,MATCHED!$N94,IF(MATCHED!AK94=14,MATCHED!$O94,"")))))))&amp;IF(MATCHED!AK94=15,MATCHED!$P94,IF(MATCHED!AK94=16,MATCHED!$Q94,IF(MATCHED!AK94=17,MATCHED!$R94,IF(MATCHED!AK94=18,MATCHED!$S94,IF(MATCHED!AK94=19,MATCHED!$T94,IF(MATCHED!AK94=20,MATCHED!$U94,IF(MATCHED!AK94=21,MATCHED!$V94,)))))))&amp;IF(MATCHED!AK94=22,MATCHED!$W94,IF(MATCHED!AK94=23,MATCHED!$X94,IF(MATCHED!AK94=24,MATCHED!$Y94,IF(MATCHED!AK94=25,MATCHED!$Z94,IF(MATCHED!AK94=26,MATCHED!$AA94,IF(MATCHED!AK94=27,MATCHED!$AB94,"."))))))</f>
        <v>#N/A</v>
      </c>
      <c r="J94" s="424" t="e">
        <f>IF(MATCHED!AL94=1,MATCHED!$B94,IF(MATCHED!AL94=2,MATCHED!$C94,IF(MATCHED!AL94=3,MATCHED!$D94,IF(MATCHED!AL94=4,MATCHED!$E94,IF(MATCHED!AL94=3,MATCHED!$F94,IF(MATCHED!AL94=6,MATCHED!$G94,IF(MATCHED!AL94=7,MATCHED!$H94,"")))))))&amp;IF(MATCHED!AL94=8,MATCHED!$I94,IF(MATCHED!AL94=9,MATCHED!$J94,IF(MATCHED!AL94=10,MATCHED!$K94,IF(MATCHED!AL94=11,MATCHED!$L94,IF(MATCHED!AL94=12,MATCHED!$M94,IF(MATCHED!AL94=13,MATCHED!$N94,IF(MATCHED!AL94=14,MATCHED!$O94,"")))))))&amp;IF(MATCHED!AL94=15,MATCHED!$P94,IF(MATCHED!AL94=16,MATCHED!$Q94,IF(MATCHED!AL94=17,MATCHED!$R94,IF(MATCHED!AL94=18,MATCHED!$S94,IF(MATCHED!AL94=19,MATCHED!$T94,IF(MATCHED!AL94=20,MATCHED!$U94,IF(MATCHED!AL94=21,MATCHED!$V94,)))))))&amp;IF(MATCHED!AL94=22,MATCHED!$W94,IF(MATCHED!AL94=23,MATCHED!$X94,IF(MATCHED!AL94=24,MATCHED!$Y94,IF(MATCHED!AL94=25,MATCHED!$Z94,IF(MATCHED!AL94=26,MATCHED!$AA94,IF(MATCHED!AL94=27,MATCHED!$AB94,"."))))))</f>
        <v>#N/A</v>
      </c>
      <c r="K94" s="424" t="e">
        <f>IF(MATCHED!AM94=1,MATCHED!$B94,IF(MATCHED!AM94=2,MATCHED!$C94,IF(MATCHED!AM94=3,MATCHED!$D94,IF(MATCHED!AM94=4,MATCHED!$E94,IF(MATCHED!AM94=3,MATCHED!$F94,IF(MATCHED!AM94=6,MATCHED!$G94,IF(MATCHED!AM94=7,MATCHED!$H94,"")))))))&amp;IF(MATCHED!AM94=8,MATCHED!$I94,IF(MATCHED!AM94=9,MATCHED!$J94,IF(MATCHED!AM94=10,MATCHED!$K94,IF(MATCHED!AM94=11,MATCHED!$L94,IF(MATCHED!AM94=12,MATCHED!$M94,IF(MATCHED!AM94=13,MATCHED!$N94,IF(MATCHED!AM94=14,MATCHED!$O94,"")))))))&amp;IF(MATCHED!AM94=15,MATCHED!$P94,IF(MATCHED!AM94=16,MATCHED!$Q94,IF(MATCHED!AM94=17,MATCHED!$R94,IF(MATCHED!AM94=18,MATCHED!$S94,IF(MATCHED!AM94=19,MATCHED!$T94,IF(MATCHED!AM94=20,MATCHED!$U94,IF(MATCHED!AM94=21,MATCHED!$V94,)))))))&amp;IF(MATCHED!AM94=22,MATCHED!$W94,IF(MATCHED!AM94=23,MATCHED!$X94,IF(MATCHED!AM94=24,MATCHED!$Y94,IF(MATCHED!AM94=25,MATCHED!$Z94,IF(MATCHED!AM94=26,MATCHED!$AA94,IF(MATCHED!AM94=27,MATCHED!$AB94,"."))))))</f>
        <v>#N/A</v>
      </c>
      <c r="L94" s="424" t="e">
        <f>IF(MATCHED!AN94=1,MATCHED!$B94,IF(MATCHED!AN94=2,MATCHED!$C94,IF(MATCHED!AN94=3,MATCHED!$D94,IF(MATCHED!AN94=4,MATCHED!$E94,IF(MATCHED!AN94=3,MATCHED!$F94,IF(MATCHED!AN94=6,MATCHED!$G94,IF(MATCHED!AN94=7,MATCHED!$H94,"")))))))&amp;IF(MATCHED!AN94=8,MATCHED!$I94,IF(MATCHED!AN94=9,MATCHED!$J94,IF(MATCHED!AN94=10,MATCHED!$K94,IF(MATCHED!AN94=11,MATCHED!$L94,IF(MATCHED!AN94=12,MATCHED!$M94,IF(MATCHED!AN94=13,MATCHED!$N94,IF(MATCHED!AN94=14,MATCHED!$O94,"")))))))&amp;IF(MATCHED!AN94=15,MATCHED!$P94,IF(MATCHED!AN94=16,MATCHED!$Q94,IF(MATCHED!AN94=17,MATCHED!$R94,IF(MATCHED!AN94=18,MATCHED!$S94,IF(MATCHED!AN94=19,MATCHED!$T94,IF(MATCHED!AN94=20,MATCHED!$U94,IF(MATCHED!AN94=21,MATCHED!$V94,)))))))&amp;IF(MATCHED!AN94=22,MATCHED!$W94,IF(MATCHED!AN94=23,MATCHED!$X94,IF(MATCHED!AN94=24,MATCHED!$Y94,IF(MATCHED!AN94=25,MATCHED!$Z94,IF(MATCHED!AN94=26,MATCHED!$AA94,IF(MATCHED!AN94=27,MATCHED!$AB94,"."))))))</f>
        <v>#N/A</v>
      </c>
      <c r="M94" s="424" t="e">
        <f>IF(MATCHED!AO94=1,MATCHED!$B94,IF(MATCHED!AO94=2,MATCHED!$C94,IF(MATCHED!AO94=3,MATCHED!$D94,IF(MATCHED!AO94=4,MATCHED!$E94,IF(MATCHED!AO94=3,MATCHED!$F94,IF(MATCHED!AO94=6,MATCHED!$G94,IF(MATCHED!AO94=7,MATCHED!$H94,"")))))))&amp;IF(MATCHED!AO94=8,MATCHED!$I94,IF(MATCHED!AO94=9,MATCHED!$J94,IF(MATCHED!AO94=10,MATCHED!$K94,IF(MATCHED!AO94=11,MATCHED!$L94,IF(MATCHED!AO94=12,MATCHED!$M94,IF(MATCHED!AO94=13,MATCHED!$N94,IF(MATCHED!AO94=14,MATCHED!$O94,"")))))))&amp;IF(MATCHED!AO94=15,MATCHED!$P94,IF(MATCHED!AO94=16,MATCHED!$Q94,IF(MATCHED!AO94=17,MATCHED!$R94,IF(MATCHED!AO94=18,MATCHED!$S94,IF(MATCHED!AO94=19,MATCHED!$T94,IF(MATCHED!AO94=20,MATCHED!$U94,IF(MATCHED!AO94=21,MATCHED!$V94,)))))))&amp;IF(MATCHED!AO94=22,MATCHED!$W94,IF(MATCHED!AO94=23,MATCHED!$X94,IF(MATCHED!AO94=24,MATCHED!$Y94,IF(MATCHED!AO94=25,MATCHED!$Z94,IF(MATCHED!AO94=26,MATCHED!$AA94,IF(MATCHED!AO94=27,MATCHED!$AB94,"."))))))</f>
        <v>#N/A</v>
      </c>
      <c r="N94" s="424" t="e">
        <f>IF(MATCHED!AP94=1,MATCHED!$B94,IF(MATCHED!AP94=2,MATCHED!$C94,IF(MATCHED!AP94=3,MATCHED!$D94,IF(MATCHED!AP94=4,MATCHED!$E94,IF(MATCHED!AP94=3,MATCHED!$F94,IF(MATCHED!AP94=6,MATCHED!$G94,IF(MATCHED!AP94=7,MATCHED!$H94,"")))))))&amp;IF(MATCHED!AP94=8,MATCHED!$I94,IF(MATCHED!AP94=9,MATCHED!$J94,IF(MATCHED!AP94=10,MATCHED!$K94,IF(MATCHED!AP94=11,MATCHED!$L94,IF(MATCHED!AP94=12,MATCHED!$M94,IF(MATCHED!AP94=13,MATCHED!$N94,IF(MATCHED!AP94=14,MATCHED!$O94,"")))))))&amp;IF(MATCHED!AP94=15,MATCHED!$P94,IF(MATCHED!AP94=16,MATCHED!$Q94,IF(MATCHED!AP94=17,MATCHED!$R94,IF(MATCHED!AP94=18,MATCHED!$S94,IF(MATCHED!AP94=19,MATCHED!$T94,IF(MATCHED!AP94=20,MATCHED!$U94,IF(MATCHED!AP94=21,MATCHED!$V94,)))))))&amp;IF(MATCHED!AP94=22,MATCHED!$W94,IF(MATCHED!AP94=23,MATCHED!$X94,IF(MATCHED!AP94=24,MATCHED!$Y94,IF(MATCHED!AP94=25,MATCHED!$Z94,IF(MATCHED!AP94=26,MATCHED!$AA94,IF(MATCHED!AP94=27,MATCHED!$AB94,"."))))))</f>
        <v>#N/A</v>
      </c>
      <c r="O94" s="424" t="e">
        <f>IF(MATCHED!AQ94=1,MATCHED!$B94,IF(MATCHED!AQ94=2,MATCHED!$C94,IF(MATCHED!AQ94=3,MATCHED!$D94,IF(MATCHED!AQ94=4,MATCHED!$E94,IF(MATCHED!AQ94=3,MATCHED!$F94,IF(MATCHED!AQ94=6,MATCHED!$G94,IF(MATCHED!AQ94=7,MATCHED!$H94,"")))))))&amp;IF(MATCHED!AQ94=8,MATCHED!$I94,IF(MATCHED!AQ94=9,MATCHED!$J94,IF(MATCHED!AQ94=10,MATCHED!$K94,IF(MATCHED!AQ94=11,MATCHED!$L94,IF(MATCHED!AQ94=12,MATCHED!$M94,IF(MATCHED!AQ94=13,MATCHED!$N94,IF(MATCHED!AQ94=14,MATCHED!$O94,"")))))))&amp;IF(MATCHED!AQ94=15,MATCHED!$P94,IF(MATCHED!AQ94=16,MATCHED!$Q94,IF(MATCHED!AQ94=17,MATCHED!$R94,IF(MATCHED!AQ94=18,MATCHED!$S94,IF(MATCHED!AQ94=19,MATCHED!$T94,IF(MATCHED!AQ94=20,MATCHED!$U94,IF(MATCHED!AQ94=21,MATCHED!$V94,)))))))&amp;IF(MATCHED!AQ94=22,MATCHED!$W94,IF(MATCHED!AQ94=23,MATCHED!$X94,IF(MATCHED!AQ94=24,MATCHED!$Y94,IF(MATCHED!AQ94=25,MATCHED!$Z94,IF(MATCHED!AQ94=26,MATCHED!$AA94,IF(MATCHED!AQ94=27,MATCHED!$AB94,"."))))))</f>
        <v>#N/A</v>
      </c>
      <c r="P94" s="424" t="e">
        <f>IF(MATCHED!AR94=1,MATCHED!$B94,IF(MATCHED!AR94=2,MATCHED!$C94,IF(MATCHED!AR94=3,MATCHED!$D94,IF(MATCHED!AR94=4,MATCHED!$E94,IF(MATCHED!AR94=3,MATCHED!$F94,IF(MATCHED!AR94=6,MATCHED!$G94,IF(MATCHED!AR94=7,MATCHED!$H94,"")))))))&amp;IF(MATCHED!AR94=8,MATCHED!$I94,IF(MATCHED!AR94=9,MATCHED!$J94,IF(MATCHED!AR94=10,MATCHED!$K94,IF(MATCHED!AR94=11,MATCHED!$L94,IF(MATCHED!AR94=12,MATCHED!$M94,IF(MATCHED!AR94=13,MATCHED!$N94,IF(MATCHED!AR94=14,MATCHED!$O94,"")))))))&amp;IF(MATCHED!AR94=15,MATCHED!$P94,IF(MATCHED!AR94=16,MATCHED!$Q94,IF(MATCHED!AR94=17,MATCHED!$R94,IF(MATCHED!AR94=18,MATCHED!$S94,IF(MATCHED!AR94=19,MATCHED!$T94,IF(MATCHED!AR94=20,MATCHED!$U94,IF(MATCHED!AR94=21,MATCHED!$V94,)))))))&amp;IF(MATCHED!AR94=22,MATCHED!$W94,IF(MATCHED!AR94=23,MATCHED!$X94,IF(MATCHED!AR94=24,MATCHED!$Y94,IF(MATCHED!AR94=25,MATCHED!$Z94,IF(MATCHED!AR94=26,MATCHED!$AA94,IF(MATCHED!AR94=27,MATCHED!$AB94,"."))))))</f>
        <v>#N/A</v>
      </c>
      <c r="Q94" s="424" t="e">
        <f>IF(MATCHED!AS94=1,MATCHED!$B94,IF(MATCHED!AS94=2,MATCHED!$C94,IF(MATCHED!AS94=3,MATCHED!$D94,IF(MATCHED!AS94=4,MATCHED!$E94,IF(MATCHED!AS94=3,MATCHED!$F94,IF(MATCHED!AS94=6,MATCHED!$G94,IF(MATCHED!AS94=7,MATCHED!$H94,"")))))))&amp;IF(MATCHED!AS94=8,MATCHED!$I94,IF(MATCHED!AS94=9,MATCHED!$J94,IF(MATCHED!AS94=10,MATCHED!$K94,IF(MATCHED!AS94=11,MATCHED!$L94,IF(MATCHED!AS94=12,MATCHED!$M94,IF(MATCHED!AS94=13,MATCHED!$N94,IF(MATCHED!AS94=14,MATCHED!$O94,"")))))))&amp;IF(MATCHED!AS94=15,MATCHED!$P94,IF(MATCHED!AS94=16,MATCHED!$Q94,IF(MATCHED!AS94=17,MATCHED!$R94,IF(MATCHED!AS94=18,MATCHED!$S94,IF(MATCHED!AS94=19,MATCHED!$T94,IF(MATCHED!AS94=20,MATCHED!$U94,IF(MATCHED!AS94=21,MATCHED!$V94,)))))))&amp;IF(MATCHED!AS94=22,MATCHED!$W94,IF(MATCHED!AS94=23,MATCHED!$X94,IF(MATCHED!AS94=24,MATCHED!$Y94,IF(MATCHED!AS94=25,MATCHED!$Z94,IF(MATCHED!AS94=26,MATCHED!$AA94,IF(MATCHED!AS94=27,MATCHED!$AB94,"."))))))</f>
        <v>#N/A</v>
      </c>
      <c r="R94" s="424" t="e">
        <f>IF(MATCHED!AT94=1,MATCHED!$B94,IF(MATCHED!AT94=2,MATCHED!$C94,IF(MATCHED!AT94=3,MATCHED!$D94,IF(MATCHED!AT94=4,MATCHED!$E94,IF(MATCHED!AT94=3,MATCHED!$F94,IF(MATCHED!AT94=6,MATCHED!$G94,IF(MATCHED!AT94=7,MATCHED!$H94,"")))))))&amp;IF(MATCHED!AT94=8,MATCHED!$I94,IF(MATCHED!AT94=9,MATCHED!$J94,IF(MATCHED!AT94=10,MATCHED!$K94,IF(MATCHED!AT94=11,MATCHED!$L94,IF(MATCHED!AT94=12,MATCHED!$M94,IF(MATCHED!AT94=13,MATCHED!$N94,IF(MATCHED!AT94=14,MATCHED!$O94,"")))))))&amp;IF(MATCHED!AT94=15,MATCHED!$P94,IF(MATCHED!AT94=16,MATCHED!$Q94,IF(MATCHED!AT94=17,MATCHED!$R94,IF(MATCHED!AT94=18,MATCHED!$S94,IF(MATCHED!AT94=19,MATCHED!$T94,IF(MATCHED!AT94=20,MATCHED!$U94,IF(MATCHED!AT94=21,MATCHED!$V94,)))))))&amp;IF(MATCHED!AT94=22,MATCHED!$W94,IF(MATCHED!AT94=23,MATCHED!$X94,IF(MATCHED!AT94=24,MATCHED!$Y94,IF(MATCHED!AT94=25,MATCHED!$Z94,IF(MATCHED!AT94=26,MATCHED!$AA94,IF(MATCHED!AT94=27,MATCHED!$AB94,"."))))))</f>
        <v>#N/A</v>
      </c>
      <c r="S94" s="424" t="e">
        <f>IF(MATCHED!AU94=1,MATCHED!$B94,IF(MATCHED!AU94=2,MATCHED!$C94,IF(MATCHED!AU94=3,MATCHED!$D94,IF(MATCHED!AU94=4,MATCHED!$E94,IF(MATCHED!AU94=3,MATCHED!$F94,IF(MATCHED!AU94=6,MATCHED!$G94,IF(MATCHED!AU94=7,MATCHED!$H94,"")))))))&amp;IF(MATCHED!AU94=8,MATCHED!$I94,IF(MATCHED!AU94=9,MATCHED!$J94,IF(MATCHED!AU94=10,MATCHED!$K94,IF(MATCHED!AU94=11,MATCHED!$L94,IF(MATCHED!AU94=12,MATCHED!$M94,IF(MATCHED!AU94=13,MATCHED!$N94,IF(MATCHED!AU94=14,MATCHED!$O94,"")))))))&amp;IF(MATCHED!AU94=15,MATCHED!$P94,IF(MATCHED!AU94=16,MATCHED!$Q94,IF(MATCHED!AU94=17,MATCHED!$R94,IF(MATCHED!AU94=18,MATCHED!$S94,IF(MATCHED!AU94=19,MATCHED!$T94,IF(MATCHED!AU94=20,MATCHED!$U94,IF(MATCHED!AU94=21,MATCHED!$V94,)))))))&amp;IF(MATCHED!AU94=22,MATCHED!$W94,IF(MATCHED!AU94=23,MATCHED!$X94,IF(MATCHED!AU94=24,MATCHED!$Y94,IF(MATCHED!AU94=25,MATCHED!$Z94,IF(MATCHED!AU94=26,MATCHED!$AA94,IF(MATCHED!AU94=27,MATCHED!$AB94,"."))))))</f>
        <v>#N/A</v>
      </c>
      <c r="T94" s="424" t="e">
        <f>IF(MATCHED!AV94=1,MATCHED!$B94,IF(MATCHED!AV94=2,MATCHED!$C94,IF(MATCHED!AV94=3,MATCHED!$D94,IF(MATCHED!AV94=4,MATCHED!$E94,IF(MATCHED!AV94=3,MATCHED!$F94,IF(MATCHED!AV94=6,MATCHED!$G94,IF(MATCHED!AV94=7,MATCHED!$H94,"")))))))&amp;IF(MATCHED!AV94=8,MATCHED!$I94,IF(MATCHED!AV94=9,MATCHED!$J94,IF(MATCHED!AV94=10,MATCHED!$K94,IF(MATCHED!AV94=11,MATCHED!$L94,IF(MATCHED!AV94=12,MATCHED!$M94,IF(MATCHED!AV94=13,MATCHED!$N94,IF(MATCHED!AV94=14,MATCHED!$O94,"")))))))&amp;IF(MATCHED!AV94=15,MATCHED!$P94,IF(MATCHED!AV94=16,MATCHED!$Q94,IF(MATCHED!AV94=17,MATCHED!$R94,IF(MATCHED!AV94=18,MATCHED!$S94,IF(MATCHED!AV94=19,MATCHED!$T94,IF(MATCHED!AV94=20,MATCHED!$U94,IF(MATCHED!AV94=21,MATCHED!$V94,)))))))&amp;IF(MATCHED!AV94=22,MATCHED!$W94,IF(MATCHED!AV94=23,MATCHED!$X94,IF(MATCHED!AV94=24,MATCHED!$Y94,IF(MATCHED!AV94=25,MATCHED!$Z94,IF(MATCHED!AV94=26,MATCHED!$AA94,IF(MATCHED!AV94=27,MATCHED!$AB94,"."))))))</f>
        <v>#N/A</v>
      </c>
      <c r="U94" s="424" t="e">
        <f>IF(MATCHED!AW94=1,MATCHED!$B94,IF(MATCHED!AW94=2,MATCHED!$C94,IF(MATCHED!AW94=3,MATCHED!$D94,IF(MATCHED!AW94=4,MATCHED!$E94,IF(MATCHED!AW94=3,MATCHED!$F94,IF(MATCHED!AW94=6,MATCHED!$G94,IF(MATCHED!AW94=7,MATCHED!$H94,"")))))))&amp;IF(MATCHED!AW94=8,MATCHED!$I94,IF(MATCHED!AW94=9,MATCHED!$J94,IF(MATCHED!AW94=10,MATCHED!$K94,IF(MATCHED!AW94=11,MATCHED!$L94,IF(MATCHED!AW94=12,MATCHED!$M94,IF(MATCHED!AW94=13,MATCHED!$N94,IF(MATCHED!AW94=14,MATCHED!$O94,"")))))))&amp;IF(MATCHED!AW94=15,MATCHED!$P94,IF(MATCHED!AW94=16,MATCHED!$Q94,IF(MATCHED!AW94=17,MATCHED!$R94,IF(MATCHED!AW94=18,MATCHED!$S94,IF(MATCHED!AW94=19,MATCHED!$T94,IF(MATCHED!AW94=20,MATCHED!$U94,IF(MATCHED!AW94=21,MATCHED!$V94,)))))))&amp;IF(MATCHED!AW94=22,MATCHED!$W94,IF(MATCHED!AW94=23,MATCHED!$X94,IF(MATCHED!AW94=24,MATCHED!$Y94,IF(MATCHED!AW94=25,MATCHED!$Z94,IF(MATCHED!AW94=26,MATCHED!$AA94,IF(MATCHED!AW94=27,MATCHED!$AB94,"."))))))</f>
        <v>#N/A</v>
      </c>
      <c r="V94" s="424" t="e">
        <f>IF(MATCHED!AX94=1,MATCHED!$B94,IF(MATCHED!AX94=2,MATCHED!$C94,IF(MATCHED!AX94=3,MATCHED!$D94,IF(MATCHED!AX94=4,MATCHED!$E94,IF(MATCHED!AX94=3,MATCHED!$F94,IF(MATCHED!AX94=6,MATCHED!$G94,IF(MATCHED!AX94=7,MATCHED!$H94,"")))))))&amp;IF(MATCHED!AX94=8,MATCHED!$I94,IF(MATCHED!AX94=9,MATCHED!$J94,IF(MATCHED!AX94=10,MATCHED!$K94,IF(MATCHED!AX94=11,MATCHED!$L94,IF(MATCHED!AX94=12,MATCHED!$M94,IF(MATCHED!AX94=13,MATCHED!$N94,IF(MATCHED!AX94=14,MATCHED!$O94,"")))))))&amp;IF(MATCHED!AX94=15,MATCHED!$P94,IF(MATCHED!AX94=16,MATCHED!$Q94,IF(MATCHED!AX94=17,MATCHED!$R94,IF(MATCHED!AX94=18,MATCHED!$S94,IF(MATCHED!AX94=19,MATCHED!$T94,IF(MATCHED!AX94=20,MATCHED!$U94,IF(MATCHED!AX94=21,MATCHED!$V94,)))))))&amp;IF(MATCHED!AX94=22,MATCHED!$W94,IF(MATCHED!AX94=23,MATCHED!$X94,IF(MATCHED!AX94=24,MATCHED!$Y94,IF(MATCHED!AX94=25,MATCHED!$Z94,IF(MATCHED!AX94=26,MATCHED!$AA94,IF(MATCHED!AX94=27,MATCHED!$AB94,"."))))))</f>
        <v>#N/A</v>
      </c>
      <c r="W94" s="424" t="e">
        <f>IF(MATCHED!AY94=1,MATCHED!$B94,IF(MATCHED!AY94=2,MATCHED!$C94,IF(MATCHED!AY94=3,MATCHED!$D94,IF(MATCHED!AY94=4,MATCHED!$E94,IF(MATCHED!AY94=3,MATCHED!$F94,IF(MATCHED!AY94=6,MATCHED!$G94,IF(MATCHED!AY94=7,MATCHED!$H94,"")))))))&amp;IF(MATCHED!AY94=8,MATCHED!$I94,IF(MATCHED!AY94=9,MATCHED!$J94,IF(MATCHED!AY94=10,MATCHED!$K94,IF(MATCHED!AY94=11,MATCHED!$L94,IF(MATCHED!AY94=12,MATCHED!$M94,IF(MATCHED!AY94=13,MATCHED!$N94,IF(MATCHED!AY94=14,MATCHED!$O94,"")))))))&amp;IF(MATCHED!AY94=15,MATCHED!$P94,IF(MATCHED!AY94=16,MATCHED!$Q94,IF(MATCHED!AY94=17,MATCHED!$R94,IF(MATCHED!AY94=18,MATCHED!$S94,IF(MATCHED!AY94=19,MATCHED!$T94,IF(MATCHED!AY94=20,MATCHED!$U94,IF(MATCHED!AY94=21,MATCHED!$V94,)))))))&amp;IF(MATCHED!AY94=22,MATCHED!$W94,IF(MATCHED!AY94=23,MATCHED!$X94,IF(MATCHED!AY94=24,MATCHED!$Y94,IF(MATCHED!AY94=25,MATCHED!$Z94,IF(MATCHED!AY94=26,MATCHED!$AA94,IF(MATCHED!AY94=27,MATCHED!$AB94,"."))))))</f>
        <v>#N/A</v>
      </c>
      <c r="X94" s="424" t="e">
        <f>IF(MATCHED!AZ94=1,MATCHED!$B94,IF(MATCHED!AZ94=2,MATCHED!$C94,IF(MATCHED!AZ94=3,MATCHED!$D94,IF(MATCHED!AZ94=4,MATCHED!$E94,IF(MATCHED!AZ94=3,MATCHED!$F94,IF(MATCHED!AZ94=6,MATCHED!$G94,IF(MATCHED!AZ94=7,MATCHED!$H94,"")))))))&amp;IF(MATCHED!AZ94=8,MATCHED!$I94,IF(MATCHED!AZ94=9,MATCHED!$J94,IF(MATCHED!AZ94=10,MATCHED!$K94,IF(MATCHED!AZ94=11,MATCHED!$L94,IF(MATCHED!AZ94=12,MATCHED!$M94,IF(MATCHED!AZ94=13,MATCHED!$N94,IF(MATCHED!AZ94=14,MATCHED!$O94,"")))))))&amp;IF(MATCHED!AZ94=15,MATCHED!$P94,IF(MATCHED!AZ94=16,MATCHED!$Q94,IF(MATCHED!AZ94=17,MATCHED!$R94,IF(MATCHED!AZ94=18,MATCHED!$S94,IF(MATCHED!AZ94=19,MATCHED!$T94,IF(MATCHED!AZ94=20,MATCHED!$U94,IF(MATCHED!AZ94=21,MATCHED!$V94,)))))))&amp;IF(MATCHED!AZ94=22,MATCHED!$W94,IF(MATCHED!AZ94=23,MATCHED!$X94,IF(MATCHED!AZ94=24,MATCHED!$Y94,IF(MATCHED!AZ94=25,MATCHED!$Z94,IF(MATCHED!AZ94=26,MATCHED!$AA94,IF(MATCHED!AZ94=27,MATCHED!$AB94,"."))))))</f>
        <v>#N/A</v>
      </c>
      <c r="Y94" s="424" t="e">
        <f>IF(MATCHED!BA94=1,MATCHED!$B94,IF(MATCHED!BA94=2,MATCHED!$C94,IF(MATCHED!BA94=3,MATCHED!$D94,IF(MATCHED!BA94=4,MATCHED!$E94,IF(MATCHED!BA94=3,MATCHED!$F94,IF(MATCHED!BA94=6,MATCHED!$G94,IF(MATCHED!BA94=7,MATCHED!$H94,"")))))))&amp;IF(MATCHED!BA94=8,MATCHED!$I94,IF(MATCHED!BA94=9,MATCHED!$J94,IF(MATCHED!BA94=10,MATCHED!$K94,IF(MATCHED!BA94=11,MATCHED!$L94,IF(MATCHED!BA94=12,MATCHED!$M94,IF(MATCHED!BA94=13,MATCHED!$N94,IF(MATCHED!BA94=14,MATCHED!$O94,"")))))))&amp;IF(MATCHED!BA94=15,MATCHED!$P94,IF(MATCHED!BA94=16,MATCHED!$Q94,IF(MATCHED!BA94=17,MATCHED!$R94,IF(MATCHED!BA94=18,MATCHED!$S94,IF(MATCHED!BA94=19,MATCHED!$T94,IF(MATCHED!BA94=20,MATCHED!$U94,IF(MATCHED!BA94=21,MATCHED!$V94,)))))))&amp;IF(MATCHED!BA94=22,MATCHED!$W94,IF(MATCHED!BA94=23,MATCHED!$X94,IF(MATCHED!BA94=24,MATCHED!$Y94,IF(MATCHED!BA94=25,MATCHED!$Z94,IF(MATCHED!BA94=26,MATCHED!$AA94,IF(MATCHED!BA94=27,MATCHED!$AB94,"."))))))</f>
        <v>#N/A</v>
      </c>
      <c r="Z94" s="424" t="e">
        <f>IF(MATCHED!BB94=1,MATCHED!$B94,IF(MATCHED!BB94=2,MATCHED!$C94,IF(MATCHED!BB94=3,MATCHED!$D94,IF(MATCHED!BB94=4,MATCHED!$E94,IF(MATCHED!BB94=3,MATCHED!$F94,IF(MATCHED!BB94=6,MATCHED!$G94,IF(MATCHED!BB94=7,MATCHED!$H94,"")))))))&amp;IF(MATCHED!BB94=8,MATCHED!$I94,IF(MATCHED!BB94=9,MATCHED!$J94,IF(MATCHED!BB94=10,MATCHED!$K94,IF(MATCHED!BB94=11,MATCHED!$L94,IF(MATCHED!BB94=12,MATCHED!$M94,IF(MATCHED!BB94=13,MATCHED!$N94,IF(MATCHED!BB94=14,MATCHED!$O94,"")))))))&amp;IF(MATCHED!BB94=15,MATCHED!$P94,IF(MATCHED!BB94=16,MATCHED!$Q94,IF(MATCHED!BB94=17,MATCHED!$R94,IF(MATCHED!BB94=18,MATCHED!$S94,IF(MATCHED!BB94=19,MATCHED!$T94,IF(MATCHED!BB94=20,MATCHED!$U94,IF(MATCHED!BB94=21,MATCHED!$V94,)))))))&amp;IF(MATCHED!BB94=22,MATCHED!$W94,IF(MATCHED!BB94=23,MATCHED!$X94,IF(MATCHED!BB94=24,MATCHED!$Y94,IF(MATCHED!BB94=25,MATCHED!$Z94,IF(MATCHED!BB94=26,MATCHED!$AA94,IF(MATCHED!BB94=27,MATCHED!$AB94,"."))))))</f>
        <v>#N/A</v>
      </c>
      <c r="AA94" s="424" t="e">
        <f>IF(MATCHED!BC94=1,MATCHED!$B94,IF(MATCHED!BC94=2,MATCHED!$C94,IF(MATCHED!BC94=3,MATCHED!$D94,IF(MATCHED!BC94=4,MATCHED!$E94,IF(MATCHED!BC94=3,MATCHED!$F94,IF(MATCHED!BC94=6,MATCHED!$G94,IF(MATCHED!BC94=7,MATCHED!$H94,"")))))))&amp;IF(MATCHED!BC94=8,MATCHED!$I94,IF(MATCHED!BC94=9,MATCHED!$J94,IF(MATCHED!BC94=10,MATCHED!$K94,IF(MATCHED!BC94=11,MATCHED!$L94,IF(MATCHED!BC94=12,MATCHED!$M94,IF(MATCHED!BC94=13,MATCHED!$N94,IF(MATCHED!BC94=14,MATCHED!$O94,"")))))))&amp;IF(MATCHED!BC94=15,MATCHED!$P94,IF(MATCHED!BC94=16,MATCHED!$Q94,IF(MATCHED!BC94=17,MATCHED!$R94,IF(MATCHED!BC94=18,MATCHED!$S94,IF(MATCHED!BC94=19,MATCHED!$T94,IF(MATCHED!BC94=20,MATCHED!$U94,IF(MATCHED!BC94=21,MATCHED!$V94,)))))))&amp;IF(MATCHED!BC94=22,MATCHED!$W94,IF(MATCHED!BC94=23,MATCHED!$X94,IF(MATCHED!BC94=24,MATCHED!$Y94,IF(MATCHED!BC94=25,MATCHED!$Z94,IF(MATCHED!BC94=26,MATCHED!$AA94,IF(MATCHED!BC94=27,MATCHED!$AB94,"."))))))</f>
        <v>#N/A</v>
      </c>
      <c r="AB94" s="424" t="e">
        <f>IF(MATCHED!BD94=1,MATCHED!$B94,IF(MATCHED!BD94=2,MATCHED!$C94,IF(MATCHED!BD94=3,MATCHED!$D94,IF(MATCHED!BD94=4,MATCHED!$E94,IF(MATCHED!BD94=3,MATCHED!$F94,IF(MATCHED!BD94=6,MATCHED!$G94,IF(MATCHED!BD94=7,MATCHED!$H94,"")))))))&amp;IF(MATCHED!BD94=8,MATCHED!$I94,IF(MATCHED!BD94=9,MATCHED!$J94,IF(MATCHED!BD94=10,MATCHED!$K94,IF(MATCHED!BD94=11,MATCHED!$L94,IF(MATCHED!BD94=12,MATCHED!$M94,IF(MATCHED!BD94=13,MATCHED!$N94,IF(MATCHED!BD94=14,MATCHED!$O94,"")))))))&amp;IF(MATCHED!BD94=15,MATCHED!$P94,IF(MATCHED!BD94=16,MATCHED!$Q94,IF(MATCHED!BD94=17,MATCHED!$R94,IF(MATCHED!BD94=18,MATCHED!$S94,IF(MATCHED!BD94=19,MATCHED!$T94,IF(MATCHED!BD94=20,MATCHED!$U94,IF(MATCHED!BD94=21,MATCHED!$V94,)))))))&amp;IF(MATCHED!BD94=22,MATCHED!$W94,IF(MATCHED!BD94=23,MATCHED!$X94,IF(MATCHED!BD94=24,MATCHED!$Y94,IF(MATCHED!BD94=25,MATCHED!$Z94,IF(MATCHED!BD94=26,MATCHED!$AA94,IF(MATCHED!BD94=27,MATCHED!$AB94,"."))))))</f>
        <v>#N/A</v>
      </c>
      <c r="AC94" s="424" t="e">
        <f>IF(MATCHED!BE94=1,MATCHED!$B94,IF(MATCHED!BE94=2,MATCHED!$C94,IF(MATCHED!BE94=3,MATCHED!$D94,IF(MATCHED!BE94=4,MATCHED!$E94,IF(MATCHED!BE94=3,MATCHED!$F94,IF(MATCHED!BE94=6,MATCHED!$G94,IF(MATCHED!BE94=7,MATCHED!$H94,"")))))))&amp;IF(MATCHED!BE94=8,MATCHED!$I94,IF(MATCHED!BE94=9,MATCHED!$J94,IF(MATCHED!BE94=10,MATCHED!$K94,IF(MATCHED!BE94=11,MATCHED!$L94,IF(MATCHED!BE94=12,MATCHED!$M94,IF(MATCHED!BE94=13,MATCHED!$N94,IF(MATCHED!BE94=14,MATCHED!$O94,"")))))))&amp;IF(MATCHED!BE94=15,MATCHED!$P94,IF(MATCHED!BE94=16,MATCHED!$Q94,IF(MATCHED!BE94=17,MATCHED!$R94,IF(MATCHED!BE94=18,MATCHED!$S94,IF(MATCHED!BE94=19,MATCHED!$T94,IF(MATCHED!BE94=20,MATCHED!$U94,IF(MATCHED!BE94=21,MATCHED!$V94,)))))))&amp;IF(MATCHED!BE94=22,MATCHED!$W94,IF(MATCHED!BE94=23,MATCHED!$X94,IF(MATCHED!BE94=24,MATCHED!$Y94,IF(MATCHED!BE94=25,MATCHED!$Z94,IF(MATCHED!BE94=26,MATCHED!$AA94,IF(MATCHED!BE94=27,MATCHED!$AB94,"."))))))</f>
        <v>#N/A</v>
      </c>
      <c r="AD94" s="424" t="e">
        <f>IF(MATCHED!BF94=1,MATCHED!$B94,IF(MATCHED!BF94=2,MATCHED!$C94,IF(MATCHED!BF94=3,MATCHED!$D94,IF(MATCHED!BF94=4,MATCHED!$E94,IF(MATCHED!BF94=3,MATCHED!$F94,IF(MATCHED!BF94=6,MATCHED!$G94,IF(MATCHED!BF94=7,MATCHED!$H94,"")))))))&amp;IF(MATCHED!BF94=8,MATCHED!$I94,IF(MATCHED!BF94=9,MATCHED!$J94,IF(MATCHED!BF94=10,MATCHED!$K94,IF(MATCHED!BF94=11,MATCHED!$L94,IF(MATCHED!BF94=12,MATCHED!$M94,IF(MATCHED!BF94=13,MATCHED!$N94,IF(MATCHED!BF94=14,MATCHED!$O94,"")))))))&amp;IF(MATCHED!BF94=15,MATCHED!$P94,IF(MATCHED!BF94=16,MATCHED!$Q94,IF(MATCHED!BF94=17,MATCHED!$R94,IF(MATCHED!BF94=18,MATCHED!$S94,IF(MATCHED!BF94=19,MATCHED!$T94,IF(MATCHED!BF94=20,MATCHED!$U94,IF(MATCHED!BF94=21,MATCHED!$V94,)))))))&amp;IF(MATCHED!BF94=22,MATCHED!$W94,IF(MATCHED!BF94=23,MATCHED!$X94,IF(MATCHED!BF94=24,MATCHED!$Y94,IF(MATCHED!BF94=25,MATCHED!$Z94,IF(MATCHED!BF94=26,MATCHED!$AA94,IF(MATCHED!BF94=27,MATCHED!$AB94,"."))))))</f>
        <v>#N/A</v>
      </c>
      <c r="AE94" s="424" t="e">
        <f>IF(MATCHED!BG94=1,MATCHED!$B94,IF(MATCHED!BG94=2,MATCHED!$C94,IF(MATCHED!BG94=3,MATCHED!$D94,IF(MATCHED!BG94=4,MATCHED!$E94,IF(MATCHED!BG94=3,MATCHED!$F94,IF(MATCHED!BG94=6,MATCHED!$G94,IF(MATCHED!BG94=7,MATCHED!$H94,"")))))))&amp;IF(MATCHED!BG94=8,MATCHED!$I94,IF(MATCHED!BG94=9,MATCHED!$J94,IF(MATCHED!BG94=10,MATCHED!$K94,IF(MATCHED!BG94=11,MATCHED!$L94,IF(MATCHED!BG94=12,MATCHED!$M94,IF(MATCHED!BG94=13,MATCHED!$N94,IF(MATCHED!BG94=14,MATCHED!$O94,"")))))))&amp;IF(MATCHED!BG94=15,MATCHED!$P94,IF(MATCHED!BG94=16,MATCHED!$Q94,IF(MATCHED!BG94=17,MATCHED!$R94,IF(MATCHED!BG94=18,MATCHED!$S94,IF(MATCHED!BG94=19,MATCHED!$T94,IF(MATCHED!BG94=20,MATCHED!$U94,IF(MATCHED!BG94=21,MATCHED!$V94,)))))))&amp;IF(MATCHED!BG94=22,MATCHED!$W94,IF(MATCHED!BG94=23,MATCHED!$X94,IF(MATCHED!BG94=24,MATCHED!$Y94,IF(MATCHED!BG94=25,MATCHED!$Z94,IF(MATCHED!BG94=26,MATCHED!$AA94,IF(MATCHED!BG94=27,MATCHED!$AB94,"."))))))</f>
        <v>#N/A</v>
      </c>
      <c r="AF94" s="424" t="e">
        <f>IF(MATCHED!BH94=1,MATCHED!$B94,IF(MATCHED!BH94=2,MATCHED!$C94,IF(MATCHED!BH94=3,MATCHED!$D94,IF(MATCHED!BH94=4,MATCHED!$E94,IF(MATCHED!BH94=3,MATCHED!$F94,IF(MATCHED!BH94=6,MATCHED!$G94,IF(MATCHED!BH94=7,MATCHED!$H94,"")))))))&amp;IF(MATCHED!BH94=8,MATCHED!$I94,IF(MATCHED!BH94=9,MATCHED!$J94,IF(MATCHED!BH94=10,MATCHED!$K94,IF(MATCHED!BH94=11,MATCHED!$L94,IF(MATCHED!BH94=12,MATCHED!$M94,IF(MATCHED!BH94=13,MATCHED!$N94,IF(MATCHED!BH94=14,MATCHED!$O94,"")))))))&amp;IF(MATCHED!BH94=15,MATCHED!$P94,IF(MATCHED!BH94=16,MATCHED!$Q94,IF(MATCHED!BH94=17,MATCHED!$R94,IF(MATCHED!BH94=18,MATCHED!$S94,IF(MATCHED!BH94=19,MATCHED!$T94,IF(MATCHED!BH94=20,MATCHED!$U94,IF(MATCHED!BH94=21,MATCHED!$V94,)))))))&amp;IF(MATCHED!BH94=22,MATCHED!$W94,IF(MATCHED!BH94=23,MATCHED!$X94,IF(MATCHED!BH94=24,MATCHED!$Y94,IF(MATCHED!BH94=25,MATCHED!$Z94,IF(MATCHED!BH94=26,MATCHED!$AA94,IF(MATCHED!BH94=27,MATCHED!$AB94,"."))))))</f>
        <v>#N/A</v>
      </c>
      <c r="AG94" s="424" t="e">
        <f>IF(MATCHED!BI94=1,MATCHED!$B94,IF(MATCHED!BI94=2,MATCHED!$C94,IF(MATCHED!BI94=3,MATCHED!$D94,IF(MATCHED!BI94=4,MATCHED!$E94,IF(MATCHED!BI94=3,MATCHED!$F94,IF(MATCHED!BI94=6,MATCHED!$G94,IF(MATCHED!BI94=7,MATCHED!$H94,"")))))))&amp;IF(MATCHED!BI94=8,MATCHED!$I94,IF(MATCHED!BI94=9,MATCHED!$J94,IF(MATCHED!BI94=10,MATCHED!$K94,IF(MATCHED!BI94=11,MATCHED!$L94,IF(MATCHED!BI94=12,MATCHED!$M94,IF(MATCHED!BI94=13,MATCHED!$N94,IF(MATCHED!BI94=14,MATCHED!$O94,"")))))))&amp;IF(MATCHED!BI94=15,MATCHED!$P94,IF(MATCHED!BI94=16,MATCHED!$Q94,IF(MATCHED!BI94=17,MATCHED!$R94,IF(MATCHED!BI94=18,MATCHED!$S94,IF(MATCHED!BI94=19,MATCHED!$T94,IF(MATCHED!BI94=20,MATCHED!$U94,IF(MATCHED!BI94=21,MATCHED!$V94,)))))))&amp;IF(MATCHED!BI94=22,MATCHED!$W94,IF(MATCHED!BI94=23,MATCHED!$X94,IF(MATCHED!BI94=24,MATCHED!$Y94,IF(MATCHED!BI94=25,MATCHED!$Z94,IF(MATCHED!BI94=26,MATCHED!$AA94,IF(MATCHED!BI94=27,MATCHED!$AB94,"."))))))</f>
        <v>#N/A</v>
      </c>
      <c r="AH94" s="424" t="e">
        <f>IF(MATCHED!BJ94=1,MATCHED!$B94,IF(MATCHED!BJ94=2,MATCHED!$C94,IF(MATCHED!BJ94=3,MATCHED!$D94,IF(MATCHED!BJ94=4,MATCHED!$E94,IF(MATCHED!BJ94=3,MATCHED!$F94,IF(MATCHED!BJ94=6,MATCHED!$G94,IF(MATCHED!BJ94=7,MATCHED!$H94,"")))))))&amp;IF(MATCHED!BJ94=8,MATCHED!$I94,IF(MATCHED!BJ94=9,MATCHED!$J94,IF(MATCHED!BJ94=10,MATCHED!$K94,IF(MATCHED!BJ94=11,MATCHED!$L94,IF(MATCHED!BJ94=12,MATCHED!$M94,IF(MATCHED!BJ94=13,MATCHED!$N94,IF(MATCHED!BJ94=14,MATCHED!$O94,"")))))))&amp;IF(MATCHED!BJ94=15,MATCHED!$P94,IF(MATCHED!BJ94=16,MATCHED!$Q94,IF(MATCHED!BJ94=17,MATCHED!$R94,IF(MATCHED!BJ94=18,MATCHED!$S94,IF(MATCHED!BJ94=19,MATCHED!$T94,IF(MATCHED!BJ94=20,MATCHED!$U94,IF(MATCHED!BJ94=21,MATCHED!$V94,)))))))&amp;IF(MATCHED!BJ94=22,MATCHED!$W94,IF(MATCHED!BJ94=23,MATCHED!$X94,IF(MATCHED!BJ94=24,MATCHED!$Y94,IF(MATCHED!BJ94=25,MATCHED!$Z94,IF(MATCHED!BJ94=26,MATCHED!$AA94,IF(MATCHED!BJ94=27,MATCHED!$AB94,"."))))))</f>
        <v>#N/A</v>
      </c>
      <c r="AI94" s="424" t="e">
        <f>IF(MATCHED!BK94=1,MATCHED!$B94,IF(MATCHED!BK94=2,MATCHED!$C94,IF(MATCHED!BK94=3,MATCHED!$D94,IF(MATCHED!BK94=4,MATCHED!$E94,IF(MATCHED!BK94=3,MATCHED!$F94,IF(MATCHED!BK94=6,MATCHED!$G94,IF(MATCHED!BK94=7,MATCHED!$H94,"")))))))&amp;IF(MATCHED!BK94=8,MATCHED!$I94,IF(MATCHED!BK94=9,MATCHED!$J94,IF(MATCHED!BK94=10,MATCHED!$K94,IF(MATCHED!BK94=11,MATCHED!$L94,IF(MATCHED!BK94=12,MATCHED!$M94,IF(MATCHED!BK94=13,MATCHED!$N94,IF(MATCHED!BK94=14,MATCHED!$O94,"")))))))&amp;IF(MATCHED!BK94=15,MATCHED!$P94,IF(MATCHED!BK94=16,MATCHED!$Q94,IF(MATCHED!BK94=17,MATCHED!$R94,IF(MATCHED!BK94=18,MATCHED!$S94,IF(MATCHED!BK94=19,MATCHED!$T94,IF(MATCHED!BK94=20,MATCHED!$U94,IF(MATCHED!BK94=21,MATCHED!$V94,)))))))&amp;IF(MATCHED!BK94=22,MATCHED!$W94,IF(MATCHED!BK94=23,MATCHED!$X94,IF(MATCHED!BK94=24,MATCHED!$Y94,IF(MATCHED!BK94=25,MATCHED!$Z94,IF(MATCHED!BK94=26,MATCHED!$AA94,IF(MATCHED!BK94=27,MATCHED!$AB94,"."))))))</f>
        <v>#N/A</v>
      </c>
      <c r="AJ94" s="535"/>
    </row>
    <row r="95" spans="1:36" s="338" customFormat="1" x14ac:dyDescent="0.25">
      <c r="A95" s="535"/>
      <c r="B95" s="424" t="e">
        <f>IF(MATCHED!AD95=1,MATCHED!$B95,IF(MATCHED!AD95=2,MATCHED!$C95,IF(MATCHED!AD95=3,MATCHED!$D95,IF(MATCHED!AD95=4,MATCHED!$E95,IF(MATCHED!AD95=3,MATCHED!$F95,IF(MATCHED!AD95=6,MATCHED!$G95,IF(MATCHED!AD95=7,MATCHED!$H95,"")))))))&amp;IF(MATCHED!AD95=8,MATCHED!$I95,IF(MATCHED!AD95=9,MATCHED!$J95,IF(MATCHED!AD95=10,MATCHED!$K95,IF(MATCHED!AD95=11,MATCHED!$L95,IF(MATCHED!AD95=12,MATCHED!$M95,IF(MATCHED!AD95=13,MATCHED!$N95,IF(MATCHED!AD95=14,MATCHED!$O95,"")))))))&amp;IF(MATCHED!AD95=15,MATCHED!$P95,IF(MATCHED!AD95=16,MATCHED!$Q95,IF(MATCHED!AD95=17,MATCHED!$R95,IF(MATCHED!AD95=18,MATCHED!$S95,IF(MATCHED!AD95=19,MATCHED!$T95,IF(MATCHED!AD95=20,MATCHED!$U95,IF(MATCHED!AD95=21,MATCHED!$V95,)))))))&amp;IF(MATCHED!AD95=22,MATCHED!$W95,IF(MATCHED!AD95=23,MATCHED!$X95,IF(MATCHED!AD95=24,MATCHED!$Y95,IF(MATCHED!AD95=25,MATCHED!$Z95,IF(MATCHED!AD95=26,MATCHED!$AA95,IF(MATCHED!AD95=27,MATCHED!$AB95,"."))))))</f>
        <v>#N/A</v>
      </c>
      <c r="C95" s="424" t="e">
        <f>IF(MATCHED!AE95=1,MATCHED!$B95,IF(MATCHED!AE95=2,MATCHED!$C95,IF(MATCHED!AE95=3,MATCHED!$D95,IF(MATCHED!AE95=4,MATCHED!$E95,IF(MATCHED!AE95=3,MATCHED!$F95,IF(MATCHED!AE95=6,MATCHED!$G95,IF(MATCHED!AE95=7,MATCHED!$H95,"")))))))&amp;IF(MATCHED!AE95=8,MATCHED!$I95,IF(MATCHED!AE95=9,MATCHED!$J95,IF(MATCHED!AE95=10,MATCHED!$K95,IF(MATCHED!AE95=11,MATCHED!$L95,IF(MATCHED!AE95=12,MATCHED!$M95,IF(MATCHED!AE95=13,MATCHED!$N95,IF(MATCHED!AE95=14,MATCHED!$O95,"")))))))&amp;IF(MATCHED!AE95=15,MATCHED!$P95,IF(MATCHED!AE95=16,MATCHED!$Q95,IF(MATCHED!AE95=17,MATCHED!$R95,IF(MATCHED!AE95=18,MATCHED!$S95,IF(MATCHED!AE95=19,MATCHED!$T95,IF(MATCHED!AE95=20,MATCHED!$U95,IF(MATCHED!AE95=21,MATCHED!$V95,)))))))&amp;IF(MATCHED!AE95=22,MATCHED!$W95,IF(MATCHED!AE95=23,MATCHED!$X95,IF(MATCHED!AE95=24,MATCHED!$Y95,IF(MATCHED!AE95=25,MATCHED!$Z95,IF(MATCHED!AE95=26,MATCHED!$AA95,IF(MATCHED!AE95=27,MATCHED!$AB95,"."))))))</f>
        <v>#N/A</v>
      </c>
      <c r="D95" s="424" t="e">
        <f>IF(MATCHED!AF95=1,MATCHED!$B95,IF(MATCHED!AF95=2,MATCHED!$C95,IF(MATCHED!AF95=3,MATCHED!$D95,IF(MATCHED!AF95=4,MATCHED!$E95,IF(MATCHED!AF95=3,MATCHED!$F95,IF(MATCHED!AF95=6,MATCHED!$G95,IF(MATCHED!AF95=7,MATCHED!$H95,"")))))))&amp;IF(MATCHED!AF95=8,MATCHED!$I95,IF(MATCHED!AF95=9,MATCHED!$J95,IF(MATCHED!AF95=10,MATCHED!$K95,IF(MATCHED!AF95=11,MATCHED!$L95,IF(MATCHED!AF95=12,MATCHED!$M95,IF(MATCHED!AF95=13,MATCHED!$N95,IF(MATCHED!AF95=14,MATCHED!$O95,"")))))))&amp;IF(MATCHED!AF95=15,MATCHED!$P95,IF(MATCHED!AF95=16,MATCHED!$Q95,IF(MATCHED!AF95=17,MATCHED!$R95,IF(MATCHED!AF95=18,MATCHED!$S95,IF(MATCHED!AF95=19,MATCHED!$T95,IF(MATCHED!AF95=20,MATCHED!$U95,IF(MATCHED!AF95=21,MATCHED!$V95,)))))))&amp;IF(MATCHED!AF95=22,MATCHED!$W95,IF(MATCHED!AF95=23,MATCHED!$X95,IF(MATCHED!AF95=24,MATCHED!$Y95,IF(MATCHED!AF95=25,MATCHED!$Z95,IF(MATCHED!AF95=26,MATCHED!$AA95,IF(MATCHED!AF95=27,MATCHED!$AB95,"."))))))</f>
        <v>#N/A</v>
      </c>
      <c r="E95" s="424" t="e">
        <f>IF(MATCHED!AG95=1,MATCHED!$B95,IF(MATCHED!AG95=2,MATCHED!$C95,IF(MATCHED!AG95=3,MATCHED!$D95,IF(MATCHED!AG95=4,MATCHED!$E95,IF(MATCHED!AG95=3,MATCHED!$F95,IF(MATCHED!AG95=6,MATCHED!$G95,IF(MATCHED!AG95=7,MATCHED!$H95,"")))))))&amp;IF(MATCHED!AG95=8,MATCHED!$I95,IF(MATCHED!AG95=9,MATCHED!$J95,IF(MATCHED!AG95=10,MATCHED!$K95,IF(MATCHED!AG95=11,MATCHED!$L95,IF(MATCHED!AG95=12,MATCHED!$M95,IF(MATCHED!AG95=13,MATCHED!$N95,IF(MATCHED!AG95=14,MATCHED!$O95,"")))))))&amp;IF(MATCHED!AG95=15,MATCHED!$P95,IF(MATCHED!AG95=16,MATCHED!$Q95,IF(MATCHED!AG95=17,MATCHED!$R95,IF(MATCHED!AG95=18,MATCHED!$S95,IF(MATCHED!AG95=19,MATCHED!$T95,IF(MATCHED!AG95=20,MATCHED!$U95,IF(MATCHED!AG95=21,MATCHED!$V95,)))))))&amp;IF(MATCHED!AG95=22,MATCHED!$W95,IF(MATCHED!AG95=23,MATCHED!$X95,IF(MATCHED!AG95=24,MATCHED!$Y95,IF(MATCHED!AG95=25,MATCHED!$Z95,IF(MATCHED!AG95=26,MATCHED!$AA95,IF(MATCHED!AG95=27,MATCHED!$AB95,"."))))))</f>
        <v>#N/A</v>
      </c>
      <c r="F95" s="424" t="e">
        <f>IF(MATCHED!AH95=1,MATCHED!$B95,IF(MATCHED!AH95=2,MATCHED!$C95,IF(MATCHED!AH95=3,MATCHED!$D95,IF(MATCHED!AH95=4,MATCHED!$E95,IF(MATCHED!AH95=3,MATCHED!$F95,IF(MATCHED!AH95=6,MATCHED!$G95,IF(MATCHED!AH95=7,MATCHED!$H95,"")))))))&amp;IF(MATCHED!AH95=8,MATCHED!$I95,IF(MATCHED!AH95=9,MATCHED!$J95,IF(MATCHED!AH95=10,MATCHED!$K95,IF(MATCHED!AH95=11,MATCHED!$L95,IF(MATCHED!AH95=12,MATCHED!$M95,IF(MATCHED!AH95=13,MATCHED!$N95,IF(MATCHED!AH95=14,MATCHED!$O95,"")))))))&amp;IF(MATCHED!AH95=15,MATCHED!$P95,IF(MATCHED!AH95=16,MATCHED!$Q95,IF(MATCHED!AH95=17,MATCHED!$R95,IF(MATCHED!AH95=18,MATCHED!$S95,IF(MATCHED!AH95=19,MATCHED!$T95,IF(MATCHED!AH95=20,MATCHED!$U95,IF(MATCHED!AH95=21,MATCHED!$V95,)))))))&amp;IF(MATCHED!AH95=22,MATCHED!$W95,IF(MATCHED!AH95=23,MATCHED!$X95,IF(MATCHED!AH95=24,MATCHED!$Y95,IF(MATCHED!AH95=25,MATCHED!$Z95,IF(MATCHED!AH95=26,MATCHED!$AA95,IF(MATCHED!AH95=27,MATCHED!$AB95,"."))))))</f>
        <v>#N/A</v>
      </c>
      <c r="G95" s="424" t="e">
        <f>IF(MATCHED!AI95=1,MATCHED!$B95,IF(MATCHED!AI95=2,MATCHED!$C95,IF(MATCHED!AI95=3,MATCHED!$D95,IF(MATCHED!AI95=4,MATCHED!$E95,IF(MATCHED!AI95=3,MATCHED!$F95,IF(MATCHED!AI95=6,MATCHED!$G95,IF(MATCHED!AI95=7,MATCHED!$H95,"")))))))&amp;IF(MATCHED!AI95=8,MATCHED!$I95,IF(MATCHED!AI95=9,MATCHED!$J95,IF(MATCHED!AI95=10,MATCHED!$K95,IF(MATCHED!AI95=11,MATCHED!$L95,IF(MATCHED!AI95=12,MATCHED!$M95,IF(MATCHED!AI95=13,MATCHED!$N95,IF(MATCHED!AI95=14,MATCHED!$O95,"")))))))&amp;IF(MATCHED!AI95=15,MATCHED!$P95,IF(MATCHED!AI95=16,MATCHED!$Q95,IF(MATCHED!AI95=17,MATCHED!$R95,IF(MATCHED!AI95=18,MATCHED!$S95,IF(MATCHED!AI95=19,MATCHED!$T95,IF(MATCHED!AI95=20,MATCHED!$U95,IF(MATCHED!AI95=21,MATCHED!$V95,)))))))&amp;IF(MATCHED!AI95=22,MATCHED!$W95,IF(MATCHED!AI95=23,MATCHED!$X95,IF(MATCHED!AI95=24,MATCHED!$Y95,IF(MATCHED!AI95=25,MATCHED!$Z95,IF(MATCHED!AI95=26,MATCHED!$AA95,IF(MATCHED!AI95=27,MATCHED!$AB95,"."))))))</f>
        <v>#N/A</v>
      </c>
      <c r="H95" s="424" t="e">
        <f>IF(MATCHED!AJ95=1,MATCHED!$B95,IF(MATCHED!AJ95=2,MATCHED!$C95,IF(MATCHED!AJ95=3,MATCHED!$D95,IF(MATCHED!AJ95=4,MATCHED!$E95,IF(MATCHED!AJ95=3,MATCHED!$F95,IF(MATCHED!AJ95=6,MATCHED!$G95,IF(MATCHED!AJ95=7,MATCHED!$H95,"")))))))&amp;IF(MATCHED!AJ95=8,MATCHED!$I95,IF(MATCHED!AJ95=9,MATCHED!$J95,IF(MATCHED!AJ95=10,MATCHED!$K95,IF(MATCHED!AJ95=11,MATCHED!$L95,IF(MATCHED!AJ95=12,MATCHED!$M95,IF(MATCHED!AJ95=13,MATCHED!$N95,IF(MATCHED!AJ95=14,MATCHED!$O95,"")))))))&amp;IF(MATCHED!AJ95=15,MATCHED!$P95,IF(MATCHED!AJ95=16,MATCHED!$Q95,IF(MATCHED!AJ95=17,MATCHED!$R95,IF(MATCHED!AJ95=18,MATCHED!$S95,IF(MATCHED!AJ95=19,MATCHED!$T95,IF(MATCHED!AJ95=20,MATCHED!$U95,IF(MATCHED!AJ95=21,MATCHED!$V95,)))))))&amp;IF(MATCHED!AJ95=22,MATCHED!$W95,IF(MATCHED!AJ95=23,MATCHED!$X95,IF(MATCHED!AJ95=24,MATCHED!$Y95,IF(MATCHED!AJ95=25,MATCHED!$Z95,IF(MATCHED!AJ95=26,MATCHED!$AA95,IF(MATCHED!AJ95=27,MATCHED!$AB95,"."))))))</f>
        <v>#N/A</v>
      </c>
      <c r="I95" s="424" t="e">
        <f>IF(MATCHED!AK95=1,MATCHED!$B95,IF(MATCHED!AK95=2,MATCHED!$C95,IF(MATCHED!AK95=3,MATCHED!$D95,IF(MATCHED!AK95=4,MATCHED!$E95,IF(MATCHED!AK95=3,MATCHED!$F95,IF(MATCHED!AK95=6,MATCHED!$G95,IF(MATCHED!AK95=7,MATCHED!$H95,"")))))))&amp;IF(MATCHED!AK95=8,MATCHED!$I95,IF(MATCHED!AK95=9,MATCHED!$J95,IF(MATCHED!AK95=10,MATCHED!$K95,IF(MATCHED!AK95=11,MATCHED!$L95,IF(MATCHED!AK95=12,MATCHED!$M95,IF(MATCHED!AK95=13,MATCHED!$N95,IF(MATCHED!AK95=14,MATCHED!$O95,"")))))))&amp;IF(MATCHED!AK95=15,MATCHED!$P95,IF(MATCHED!AK95=16,MATCHED!$Q95,IF(MATCHED!AK95=17,MATCHED!$R95,IF(MATCHED!AK95=18,MATCHED!$S95,IF(MATCHED!AK95=19,MATCHED!$T95,IF(MATCHED!AK95=20,MATCHED!$U95,IF(MATCHED!AK95=21,MATCHED!$V95,)))))))&amp;IF(MATCHED!AK95=22,MATCHED!$W95,IF(MATCHED!AK95=23,MATCHED!$X95,IF(MATCHED!AK95=24,MATCHED!$Y95,IF(MATCHED!AK95=25,MATCHED!$Z95,IF(MATCHED!AK95=26,MATCHED!$AA95,IF(MATCHED!AK95=27,MATCHED!$AB95,"."))))))</f>
        <v>#N/A</v>
      </c>
      <c r="J95" s="424" t="e">
        <f>IF(MATCHED!AL95=1,MATCHED!$B95,IF(MATCHED!AL95=2,MATCHED!$C95,IF(MATCHED!AL95=3,MATCHED!$D95,IF(MATCHED!AL95=4,MATCHED!$E95,IF(MATCHED!AL95=3,MATCHED!$F95,IF(MATCHED!AL95=6,MATCHED!$G95,IF(MATCHED!AL95=7,MATCHED!$H95,"")))))))&amp;IF(MATCHED!AL95=8,MATCHED!$I95,IF(MATCHED!AL95=9,MATCHED!$J95,IF(MATCHED!AL95=10,MATCHED!$K95,IF(MATCHED!AL95=11,MATCHED!$L95,IF(MATCHED!AL95=12,MATCHED!$M95,IF(MATCHED!AL95=13,MATCHED!$N95,IF(MATCHED!AL95=14,MATCHED!$O95,"")))))))&amp;IF(MATCHED!AL95=15,MATCHED!$P95,IF(MATCHED!AL95=16,MATCHED!$Q95,IF(MATCHED!AL95=17,MATCHED!$R95,IF(MATCHED!AL95=18,MATCHED!$S95,IF(MATCHED!AL95=19,MATCHED!$T95,IF(MATCHED!AL95=20,MATCHED!$U95,IF(MATCHED!AL95=21,MATCHED!$V95,)))))))&amp;IF(MATCHED!AL95=22,MATCHED!$W95,IF(MATCHED!AL95=23,MATCHED!$X95,IF(MATCHED!AL95=24,MATCHED!$Y95,IF(MATCHED!AL95=25,MATCHED!$Z95,IF(MATCHED!AL95=26,MATCHED!$AA95,IF(MATCHED!AL95=27,MATCHED!$AB95,"."))))))</f>
        <v>#N/A</v>
      </c>
      <c r="K95" s="424" t="e">
        <f>IF(MATCHED!AM95=1,MATCHED!$B95,IF(MATCHED!AM95=2,MATCHED!$C95,IF(MATCHED!AM95=3,MATCHED!$D95,IF(MATCHED!AM95=4,MATCHED!$E95,IF(MATCHED!AM95=3,MATCHED!$F95,IF(MATCHED!AM95=6,MATCHED!$G95,IF(MATCHED!AM95=7,MATCHED!$H95,"")))))))&amp;IF(MATCHED!AM95=8,MATCHED!$I95,IF(MATCHED!AM95=9,MATCHED!$J95,IF(MATCHED!AM95=10,MATCHED!$K95,IF(MATCHED!AM95=11,MATCHED!$L95,IF(MATCHED!AM95=12,MATCHED!$M95,IF(MATCHED!AM95=13,MATCHED!$N95,IF(MATCHED!AM95=14,MATCHED!$O95,"")))))))&amp;IF(MATCHED!AM95=15,MATCHED!$P95,IF(MATCHED!AM95=16,MATCHED!$Q95,IF(MATCHED!AM95=17,MATCHED!$R95,IF(MATCHED!AM95=18,MATCHED!$S95,IF(MATCHED!AM95=19,MATCHED!$T95,IF(MATCHED!AM95=20,MATCHED!$U95,IF(MATCHED!AM95=21,MATCHED!$V95,)))))))&amp;IF(MATCHED!AM95=22,MATCHED!$W95,IF(MATCHED!AM95=23,MATCHED!$X95,IF(MATCHED!AM95=24,MATCHED!$Y95,IF(MATCHED!AM95=25,MATCHED!$Z95,IF(MATCHED!AM95=26,MATCHED!$AA95,IF(MATCHED!AM95=27,MATCHED!$AB95,"."))))))</f>
        <v>#N/A</v>
      </c>
      <c r="L95" s="424" t="e">
        <f>IF(MATCHED!AN95=1,MATCHED!$B95,IF(MATCHED!AN95=2,MATCHED!$C95,IF(MATCHED!AN95=3,MATCHED!$D95,IF(MATCHED!AN95=4,MATCHED!$E95,IF(MATCHED!AN95=3,MATCHED!$F95,IF(MATCHED!AN95=6,MATCHED!$G95,IF(MATCHED!AN95=7,MATCHED!$H95,"")))))))&amp;IF(MATCHED!AN95=8,MATCHED!$I95,IF(MATCHED!AN95=9,MATCHED!$J95,IF(MATCHED!AN95=10,MATCHED!$K95,IF(MATCHED!AN95=11,MATCHED!$L95,IF(MATCHED!AN95=12,MATCHED!$M95,IF(MATCHED!AN95=13,MATCHED!$N95,IF(MATCHED!AN95=14,MATCHED!$O95,"")))))))&amp;IF(MATCHED!AN95=15,MATCHED!$P95,IF(MATCHED!AN95=16,MATCHED!$Q95,IF(MATCHED!AN95=17,MATCHED!$R95,IF(MATCHED!AN95=18,MATCHED!$S95,IF(MATCHED!AN95=19,MATCHED!$T95,IF(MATCHED!AN95=20,MATCHED!$U95,IF(MATCHED!AN95=21,MATCHED!$V95,)))))))&amp;IF(MATCHED!AN95=22,MATCHED!$W95,IF(MATCHED!AN95=23,MATCHED!$X95,IF(MATCHED!AN95=24,MATCHED!$Y95,IF(MATCHED!AN95=25,MATCHED!$Z95,IF(MATCHED!AN95=26,MATCHED!$AA95,IF(MATCHED!AN95=27,MATCHED!$AB95,"."))))))</f>
        <v>#N/A</v>
      </c>
      <c r="M95" s="424" t="e">
        <f>IF(MATCHED!AO95=1,MATCHED!$B95,IF(MATCHED!AO95=2,MATCHED!$C95,IF(MATCHED!AO95=3,MATCHED!$D95,IF(MATCHED!AO95=4,MATCHED!$E95,IF(MATCHED!AO95=3,MATCHED!$F95,IF(MATCHED!AO95=6,MATCHED!$G95,IF(MATCHED!AO95=7,MATCHED!$H95,"")))))))&amp;IF(MATCHED!AO95=8,MATCHED!$I95,IF(MATCHED!AO95=9,MATCHED!$J95,IF(MATCHED!AO95=10,MATCHED!$K95,IF(MATCHED!AO95=11,MATCHED!$L95,IF(MATCHED!AO95=12,MATCHED!$M95,IF(MATCHED!AO95=13,MATCHED!$N95,IF(MATCHED!AO95=14,MATCHED!$O95,"")))))))&amp;IF(MATCHED!AO95=15,MATCHED!$P95,IF(MATCHED!AO95=16,MATCHED!$Q95,IF(MATCHED!AO95=17,MATCHED!$R95,IF(MATCHED!AO95=18,MATCHED!$S95,IF(MATCHED!AO95=19,MATCHED!$T95,IF(MATCHED!AO95=20,MATCHED!$U95,IF(MATCHED!AO95=21,MATCHED!$V95,)))))))&amp;IF(MATCHED!AO95=22,MATCHED!$W95,IF(MATCHED!AO95=23,MATCHED!$X95,IF(MATCHED!AO95=24,MATCHED!$Y95,IF(MATCHED!AO95=25,MATCHED!$Z95,IF(MATCHED!AO95=26,MATCHED!$AA95,IF(MATCHED!AO95=27,MATCHED!$AB95,"."))))))</f>
        <v>#N/A</v>
      </c>
      <c r="N95" s="424" t="e">
        <f>IF(MATCHED!AP95=1,MATCHED!$B95,IF(MATCHED!AP95=2,MATCHED!$C95,IF(MATCHED!AP95=3,MATCHED!$D95,IF(MATCHED!AP95=4,MATCHED!$E95,IF(MATCHED!AP95=3,MATCHED!$F95,IF(MATCHED!AP95=6,MATCHED!$G95,IF(MATCHED!AP95=7,MATCHED!$H95,"")))))))&amp;IF(MATCHED!AP95=8,MATCHED!$I95,IF(MATCHED!AP95=9,MATCHED!$J95,IF(MATCHED!AP95=10,MATCHED!$K95,IF(MATCHED!AP95=11,MATCHED!$L95,IF(MATCHED!AP95=12,MATCHED!$M95,IF(MATCHED!AP95=13,MATCHED!$N95,IF(MATCHED!AP95=14,MATCHED!$O95,"")))))))&amp;IF(MATCHED!AP95=15,MATCHED!$P95,IF(MATCHED!AP95=16,MATCHED!$Q95,IF(MATCHED!AP95=17,MATCHED!$R95,IF(MATCHED!AP95=18,MATCHED!$S95,IF(MATCHED!AP95=19,MATCHED!$T95,IF(MATCHED!AP95=20,MATCHED!$U95,IF(MATCHED!AP95=21,MATCHED!$V95,)))))))&amp;IF(MATCHED!AP95=22,MATCHED!$W95,IF(MATCHED!AP95=23,MATCHED!$X95,IF(MATCHED!AP95=24,MATCHED!$Y95,IF(MATCHED!AP95=25,MATCHED!$Z95,IF(MATCHED!AP95=26,MATCHED!$AA95,IF(MATCHED!AP95=27,MATCHED!$AB95,"."))))))</f>
        <v>#N/A</v>
      </c>
      <c r="O95" s="424" t="e">
        <f>IF(MATCHED!AQ95=1,MATCHED!$B95,IF(MATCHED!AQ95=2,MATCHED!$C95,IF(MATCHED!AQ95=3,MATCHED!$D95,IF(MATCHED!AQ95=4,MATCHED!$E95,IF(MATCHED!AQ95=3,MATCHED!$F95,IF(MATCHED!AQ95=6,MATCHED!$G95,IF(MATCHED!AQ95=7,MATCHED!$H95,"")))))))&amp;IF(MATCHED!AQ95=8,MATCHED!$I95,IF(MATCHED!AQ95=9,MATCHED!$J95,IF(MATCHED!AQ95=10,MATCHED!$K95,IF(MATCHED!AQ95=11,MATCHED!$L95,IF(MATCHED!AQ95=12,MATCHED!$M95,IF(MATCHED!AQ95=13,MATCHED!$N95,IF(MATCHED!AQ95=14,MATCHED!$O95,"")))))))&amp;IF(MATCHED!AQ95=15,MATCHED!$P95,IF(MATCHED!AQ95=16,MATCHED!$Q95,IF(MATCHED!AQ95=17,MATCHED!$R95,IF(MATCHED!AQ95=18,MATCHED!$S95,IF(MATCHED!AQ95=19,MATCHED!$T95,IF(MATCHED!AQ95=20,MATCHED!$U95,IF(MATCHED!AQ95=21,MATCHED!$V95,)))))))&amp;IF(MATCHED!AQ95=22,MATCHED!$W95,IF(MATCHED!AQ95=23,MATCHED!$X95,IF(MATCHED!AQ95=24,MATCHED!$Y95,IF(MATCHED!AQ95=25,MATCHED!$Z95,IF(MATCHED!AQ95=26,MATCHED!$AA95,IF(MATCHED!AQ95=27,MATCHED!$AB95,"."))))))</f>
        <v>#N/A</v>
      </c>
      <c r="P95" s="424" t="e">
        <f>IF(MATCHED!AR95=1,MATCHED!$B95,IF(MATCHED!AR95=2,MATCHED!$C95,IF(MATCHED!AR95=3,MATCHED!$D95,IF(MATCHED!AR95=4,MATCHED!$E95,IF(MATCHED!AR95=3,MATCHED!$F95,IF(MATCHED!AR95=6,MATCHED!$G95,IF(MATCHED!AR95=7,MATCHED!$H95,"")))))))&amp;IF(MATCHED!AR95=8,MATCHED!$I95,IF(MATCHED!AR95=9,MATCHED!$J95,IF(MATCHED!AR95=10,MATCHED!$K95,IF(MATCHED!AR95=11,MATCHED!$L95,IF(MATCHED!AR95=12,MATCHED!$M95,IF(MATCHED!AR95=13,MATCHED!$N95,IF(MATCHED!AR95=14,MATCHED!$O95,"")))))))&amp;IF(MATCHED!AR95=15,MATCHED!$P95,IF(MATCHED!AR95=16,MATCHED!$Q95,IF(MATCHED!AR95=17,MATCHED!$R95,IF(MATCHED!AR95=18,MATCHED!$S95,IF(MATCHED!AR95=19,MATCHED!$T95,IF(MATCHED!AR95=20,MATCHED!$U95,IF(MATCHED!AR95=21,MATCHED!$V95,)))))))&amp;IF(MATCHED!AR95=22,MATCHED!$W95,IF(MATCHED!AR95=23,MATCHED!$X95,IF(MATCHED!AR95=24,MATCHED!$Y95,IF(MATCHED!AR95=25,MATCHED!$Z95,IF(MATCHED!AR95=26,MATCHED!$AA95,IF(MATCHED!AR95=27,MATCHED!$AB95,"."))))))</f>
        <v>#N/A</v>
      </c>
      <c r="Q95" s="424" t="e">
        <f>IF(MATCHED!AS95=1,MATCHED!$B95,IF(MATCHED!AS95=2,MATCHED!$C95,IF(MATCHED!AS95=3,MATCHED!$D95,IF(MATCHED!AS95=4,MATCHED!$E95,IF(MATCHED!AS95=3,MATCHED!$F95,IF(MATCHED!AS95=6,MATCHED!$G95,IF(MATCHED!AS95=7,MATCHED!$H95,"")))))))&amp;IF(MATCHED!AS95=8,MATCHED!$I95,IF(MATCHED!AS95=9,MATCHED!$J95,IF(MATCHED!AS95=10,MATCHED!$K95,IF(MATCHED!AS95=11,MATCHED!$L95,IF(MATCHED!AS95=12,MATCHED!$M95,IF(MATCHED!AS95=13,MATCHED!$N95,IF(MATCHED!AS95=14,MATCHED!$O95,"")))))))&amp;IF(MATCHED!AS95=15,MATCHED!$P95,IF(MATCHED!AS95=16,MATCHED!$Q95,IF(MATCHED!AS95=17,MATCHED!$R95,IF(MATCHED!AS95=18,MATCHED!$S95,IF(MATCHED!AS95=19,MATCHED!$T95,IF(MATCHED!AS95=20,MATCHED!$U95,IF(MATCHED!AS95=21,MATCHED!$V95,)))))))&amp;IF(MATCHED!AS95=22,MATCHED!$W95,IF(MATCHED!AS95=23,MATCHED!$X95,IF(MATCHED!AS95=24,MATCHED!$Y95,IF(MATCHED!AS95=25,MATCHED!$Z95,IF(MATCHED!AS95=26,MATCHED!$AA95,IF(MATCHED!AS95=27,MATCHED!$AB95,"."))))))</f>
        <v>#N/A</v>
      </c>
      <c r="R95" s="424" t="e">
        <f>IF(MATCHED!AT95=1,MATCHED!$B95,IF(MATCHED!AT95=2,MATCHED!$C95,IF(MATCHED!AT95=3,MATCHED!$D95,IF(MATCHED!AT95=4,MATCHED!$E95,IF(MATCHED!AT95=3,MATCHED!$F95,IF(MATCHED!AT95=6,MATCHED!$G95,IF(MATCHED!AT95=7,MATCHED!$H95,"")))))))&amp;IF(MATCHED!AT95=8,MATCHED!$I95,IF(MATCHED!AT95=9,MATCHED!$J95,IF(MATCHED!AT95=10,MATCHED!$K95,IF(MATCHED!AT95=11,MATCHED!$L95,IF(MATCHED!AT95=12,MATCHED!$M95,IF(MATCHED!AT95=13,MATCHED!$N95,IF(MATCHED!AT95=14,MATCHED!$O95,"")))))))&amp;IF(MATCHED!AT95=15,MATCHED!$P95,IF(MATCHED!AT95=16,MATCHED!$Q95,IF(MATCHED!AT95=17,MATCHED!$R95,IF(MATCHED!AT95=18,MATCHED!$S95,IF(MATCHED!AT95=19,MATCHED!$T95,IF(MATCHED!AT95=20,MATCHED!$U95,IF(MATCHED!AT95=21,MATCHED!$V95,)))))))&amp;IF(MATCHED!AT95=22,MATCHED!$W95,IF(MATCHED!AT95=23,MATCHED!$X95,IF(MATCHED!AT95=24,MATCHED!$Y95,IF(MATCHED!AT95=25,MATCHED!$Z95,IF(MATCHED!AT95=26,MATCHED!$AA95,IF(MATCHED!AT95=27,MATCHED!$AB95,"."))))))</f>
        <v>#N/A</v>
      </c>
      <c r="S95" s="424" t="e">
        <f>IF(MATCHED!AU95=1,MATCHED!$B95,IF(MATCHED!AU95=2,MATCHED!$C95,IF(MATCHED!AU95=3,MATCHED!$D95,IF(MATCHED!AU95=4,MATCHED!$E95,IF(MATCHED!AU95=3,MATCHED!$F95,IF(MATCHED!AU95=6,MATCHED!$G95,IF(MATCHED!AU95=7,MATCHED!$H95,"")))))))&amp;IF(MATCHED!AU95=8,MATCHED!$I95,IF(MATCHED!AU95=9,MATCHED!$J95,IF(MATCHED!AU95=10,MATCHED!$K95,IF(MATCHED!AU95=11,MATCHED!$L95,IF(MATCHED!AU95=12,MATCHED!$M95,IF(MATCHED!AU95=13,MATCHED!$N95,IF(MATCHED!AU95=14,MATCHED!$O95,"")))))))&amp;IF(MATCHED!AU95=15,MATCHED!$P95,IF(MATCHED!AU95=16,MATCHED!$Q95,IF(MATCHED!AU95=17,MATCHED!$R95,IF(MATCHED!AU95=18,MATCHED!$S95,IF(MATCHED!AU95=19,MATCHED!$T95,IF(MATCHED!AU95=20,MATCHED!$U95,IF(MATCHED!AU95=21,MATCHED!$V95,)))))))&amp;IF(MATCHED!AU95=22,MATCHED!$W95,IF(MATCHED!AU95=23,MATCHED!$X95,IF(MATCHED!AU95=24,MATCHED!$Y95,IF(MATCHED!AU95=25,MATCHED!$Z95,IF(MATCHED!AU95=26,MATCHED!$AA95,IF(MATCHED!AU95=27,MATCHED!$AB95,"."))))))</f>
        <v>#N/A</v>
      </c>
      <c r="T95" s="424" t="e">
        <f>IF(MATCHED!AV95=1,MATCHED!$B95,IF(MATCHED!AV95=2,MATCHED!$C95,IF(MATCHED!AV95=3,MATCHED!$D95,IF(MATCHED!AV95=4,MATCHED!$E95,IF(MATCHED!AV95=3,MATCHED!$F95,IF(MATCHED!AV95=6,MATCHED!$G95,IF(MATCHED!AV95=7,MATCHED!$H95,"")))))))&amp;IF(MATCHED!AV95=8,MATCHED!$I95,IF(MATCHED!AV95=9,MATCHED!$J95,IF(MATCHED!AV95=10,MATCHED!$K95,IF(MATCHED!AV95=11,MATCHED!$L95,IF(MATCHED!AV95=12,MATCHED!$M95,IF(MATCHED!AV95=13,MATCHED!$N95,IF(MATCHED!AV95=14,MATCHED!$O95,"")))))))&amp;IF(MATCHED!AV95=15,MATCHED!$P95,IF(MATCHED!AV95=16,MATCHED!$Q95,IF(MATCHED!AV95=17,MATCHED!$R95,IF(MATCHED!AV95=18,MATCHED!$S95,IF(MATCHED!AV95=19,MATCHED!$T95,IF(MATCHED!AV95=20,MATCHED!$U95,IF(MATCHED!AV95=21,MATCHED!$V95,)))))))&amp;IF(MATCHED!AV95=22,MATCHED!$W95,IF(MATCHED!AV95=23,MATCHED!$X95,IF(MATCHED!AV95=24,MATCHED!$Y95,IF(MATCHED!AV95=25,MATCHED!$Z95,IF(MATCHED!AV95=26,MATCHED!$AA95,IF(MATCHED!AV95=27,MATCHED!$AB95,"."))))))</f>
        <v>#N/A</v>
      </c>
      <c r="U95" s="424" t="e">
        <f>IF(MATCHED!AW95=1,MATCHED!$B95,IF(MATCHED!AW95=2,MATCHED!$C95,IF(MATCHED!AW95=3,MATCHED!$D95,IF(MATCHED!AW95=4,MATCHED!$E95,IF(MATCHED!AW95=3,MATCHED!$F95,IF(MATCHED!AW95=6,MATCHED!$G95,IF(MATCHED!AW95=7,MATCHED!$H95,"")))))))&amp;IF(MATCHED!AW95=8,MATCHED!$I95,IF(MATCHED!AW95=9,MATCHED!$J95,IF(MATCHED!AW95=10,MATCHED!$K95,IF(MATCHED!AW95=11,MATCHED!$L95,IF(MATCHED!AW95=12,MATCHED!$M95,IF(MATCHED!AW95=13,MATCHED!$N95,IF(MATCHED!AW95=14,MATCHED!$O95,"")))))))&amp;IF(MATCHED!AW95=15,MATCHED!$P95,IF(MATCHED!AW95=16,MATCHED!$Q95,IF(MATCHED!AW95=17,MATCHED!$R95,IF(MATCHED!AW95=18,MATCHED!$S95,IF(MATCHED!AW95=19,MATCHED!$T95,IF(MATCHED!AW95=20,MATCHED!$U95,IF(MATCHED!AW95=21,MATCHED!$V95,)))))))&amp;IF(MATCHED!AW95=22,MATCHED!$W95,IF(MATCHED!AW95=23,MATCHED!$X95,IF(MATCHED!AW95=24,MATCHED!$Y95,IF(MATCHED!AW95=25,MATCHED!$Z95,IF(MATCHED!AW95=26,MATCHED!$AA95,IF(MATCHED!AW95=27,MATCHED!$AB95,"."))))))</f>
        <v>#N/A</v>
      </c>
      <c r="V95" s="424" t="e">
        <f>IF(MATCHED!AX95=1,MATCHED!$B95,IF(MATCHED!AX95=2,MATCHED!$C95,IF(MATCHED!AX95=3,MATCHED!$D95,IF(MATCHED!AX95=4,MATCHED!$E95,IF(MATCHED!AX95=3,MATCHED!$F95,IF(MATCHED!AX95=6,MATCHED!$G95,IF(MATCHED!AX95=7,MATCHED!$H95,"")))))))&amp;IF(MATCHED!AX95=8,MATCHED!$I95,IF(MATCHED!AX95=9,MATCHED!$J95,IF(MATCHED!AX95=10,MATCHED!$K95,IF(MATCHED!AX95=11,MATCHED!$L95,IF(MATCHED!AX95=12,MATCHED!$M95,IF(MATCHED!AX95=13,MATCHED!$N95,IF(MATCHED!AX95=14,MATCHED!$O95,"")))))))&amp;IF(MATCHED!AX95=15,MATCHED!$P95,IF(MATCHED!AX95=16,MATCHED!$Q95,IF(MATCHED!AX95=17,MATCHED!$R95,IF(MATCHED!AX95=18,MATCHED!$S95,IF(MATCHED!AX95=19,MATCHED!$T95,IF(MATCHED!AX95=20,MATCHED!$U95,IF(MATCHED!AX95=21,MATCHED!$V95,)))))))&amp;IF(MATCHED!AX95=22,MATCHED!$W95,IF(MATCHED!AX95=23,MATCHED!$X95,IF(MATCHED!AX95=24,MATCHED!$Y95,IF(MATCHED!AX95=25,MATCHED!$Z95,IF(MATCHED!AX95=26,MATCHED!$AA95,IF(MATCHED!AX95=27,MATCHED!$AB95,"."))))))</f>
        <v>#N/A</v>
      </c>
      <c r="W95" s="424" t="e">
        <f>IF(MATCHED!AY95=1,MATCHED!$B95,IF(MATCHED!AY95=2,MATCHED!$C95,IF(MATCHED!AY95=3,MATCHED!$D95,IF(MATCHED!AY95=4,MATCHED!$E95,IF(MATCHED!AY95=3,MATCHED!$F95,IF(MATCHED!AY95=6,MATCHED!$G95,IF(MATCHED!AY95=7,MATCHED!$H95,"")))))))&amp;IF(MATCHED!AY95=8,MATCHED!$I95,IF(MATCHED!AY95=9,MATCHED!$J95,IF(MATCHED!AY95=10,MATCHED!$K95,IF(MATCHED!AY95=11,MATCHED!$L95,IF(MATCHED!AY95=12,MATCHED!$M95,IF(MATCHED!AY95=13,MATCHED!$N95,IF(MATCHED!AY95=14,MATCHED!$O95,"")))))))&amp;IF(MATCHED!AY95=15,MATCHED!$P95,IF(MATCHED!AY95=16,MATCHED!$Q95,IF(MATCHED!AY95=17,MATCHED!$R95,IF(MATCHED!AY95=18,MATCHED!$S95,IF(MATCHED!AY95=19,MATCHED!$T95,IF(MATCHED!AY95=20,MATCHED!$U95,IF(MATCHED!AY95=21,MATCHED!$V95,)))))))&amp;IF(MATCHED!AY95=22,MATCHED!$W95,IF(MATCHED!AY95=23,MATCHED!$X95,IF(MATCHED!AY95=24,MATCHED!$Y95,IF(MATCHED!AY95=25,MATCHED!$Z95,IF(MATCHED!AY95=26,MATCHED!$AA95,IF(MATCHED!AY95=27,MATCHED!$AB95,"."))))))</f>
        <v>#N/A</v>
      </c>
      <c r="X95" s="424" t="e">
        <f>IF(MATCHED!AZ95=1,MATCHED!$B95,IF(MATCHED!AZ95=2,MATCHED!$C95,IF(MATCHED!AZ95=3,MATCHED!$D95,IF(MATCHED!AZ95=4,MATCHED!$E95,IF(MATCHED!AZ95=3,MATCHED!$F95,IF(MATCHED!AZ95=6,MATCHED!$G95,IF(MATCHED!AZ95=7,MATCHED!$H95,"")))))))&amp;IF(MATCHED!AZ95=8,MATCHED!$I95,IF(MATCHED!AZ95=9,MATCHED!$J95,IF(MATCHED!AZ95=10,MATCHED!$K95,IF(MATCHED!AZ95=11,MATCHED!$L95,IF(MATCHED!AZ95=12,MATCHED!$M95,IF(MATCHED!AZ95=13,MATCHED!$N95,IF(MATCHED!AZ95=14,MATCHED!$O95,"")))))))&amp;IF(MATCHED!AZ95=15,MATCHED!$P95,IF(MATCHED!AZ95=16,MATCHED!$Q95,IF(MATCHED!AZ95=17,MATCHED!$R95,IF(MATCHED!AZ95=18,MATCHED!$S95,IF(MATCHED!AZ95=19,MATCHED!$T95,IF(MATCHED!AZ95=20,MATCHED!$U95,IF(MATCHED!AZ95=21,MATCHED!$V95,)))))))&amp;IF(MATCHED!AZ95=22,MATCHED!$W95,IF(MATCHED!AZ95=23,MATCHED!$X95,IF(MATCHED!AZ95=24,MATCHED!$Y95,IF(MATCHED!AZ95=25,MATCHED!$Z95,IF(MATCHED!AZ95=26,MATCHED!$AA95,IF(MATCHED!AZ95=27,MATCHED!$AB95,"."))))))</f>
        <v>#N/A</v>
      </c>
      <c r="Y95" s="424" t="e">
        <f>IF(MATCHED!BA95=1,MATCHED!$B95,IF(MATCHED!BA95=2,MATCHED!$C95,IF(MATCHED!BA95=3,MATCHED!$D95,IF(MATCHED!BA95=4,MATCHED!$E95,IF(MATCHED!BA95=3,MATCHED!$F95,IF(MATCHED!BA95=6,MATCHED!$G95,IF(MATCHED!BA95=7,MATCHED!$H95,"")))))))&amp;IF(MATCHED!BA95=8,MATCHED!$I95,IF(MATCHED!BA95=9,MATCHED!$J95,IF(MATCHED!BA95=10,MATCHED!$K95,IF(MATCHED!BA95=11,MATCHED!$L95,IF(MATCHED!BA95=12,MATCHED!$M95,IF(MATCHED!BA95=13,MATCHED!$N95,IF(MATCHED!BA95=14,MATCHED!$O95,"")))))))&amp;IF(MATCHED!BA95=15,MATCHED!$P95,IF(MATCHED!BA95=16,MATCHED!$Q95,IF(MATCHED!BA95=17,MATCHED!$R95,IF(MATCHED!BA95=18,MATCHED!$S95,IF(MATCHED!BA95=19,MATCHED!$T95,IF(MATCHED!BA95=20,MATCHED!$U95,IF(MATCHED!BA95=21,MATCHED!$V95,)))))))&amp;IF(MATCHED!BA95=22,MATCHED!$W95,IF(MATCHED!BA95=23,MATCHED!$X95,IF(MATCHED!BA95=24,MATCHED!$Y95,IF(MATCHED!BA95=25,MATCHED!$Z95,IF(MATCHED!BA95=26,MATCHED!$AA95,IF(MATCHED!BA95=27,MATCHED!$AB95,"."))))))</f>
        <v>#N/A</v>
      </c>
      <c r="Z95" s="424" t="e">
        <f>IF(MATCHED!BB95=1,MATCHED!$B95,IF(MATCHED!BB95=2,MATCHED!$C95,IF(MATCHED!BB95=3,MATCHED!$D95,IF(MATCHED!BB95=4,MATCHED!$E95,IF(MATCHED!BB95=3,MATCHED!$F95,IF(MATCHED!BB95=6,MATCHED!$G95,IF(MATCHED!BB95=7,MATCHED!$H95,"")))))))&amp;IF(MATCHED!BB95=8,MATCHED!$I95,IF(MATCHED!BB95=9,MATCHED!$J95,IF(MATCHED!BB95=10,MATCHED!$K95,IF(MATCHED!BB95=11,MATCHED!$L95,IF(MATCHED!BB95=12,MATCHED!$M95,IF(MATCHED!BB95=13,MATCHED!$N95,IF(MATCHED!BB95=14,MATCHED!$O95,"")))))))&amp;IF(MATCHED!BB95=15,MATCHED!$P95,IF(MATCHED!BB95=16,MATCHED!$Q95,IF(MATCHED!BB95=17,MATCHED!$R95,IF(MATCHED!BB95=18,MATCHED!$S95,IF(MATCHED!BB95=19,MATCHED!$T95,IF(MATCHED!BB95=20,MATCHED!$U95,IF(MATCHED!BB95=21,MATCHED!$V95,)))))))&amp;IF(MATCHED!BB95=22,MATCHED!$W95,IF(MATCHED!BB95=23,MATCHED!$X95,IF(MATCHED!BB95=24,MATCHED!$Y95,IF(MATCHED!BB95=25,MATCHED!$Z95,IF(MATCHED!BB95=26,MATCHED!$AA95,IF(MATCHED!BB95=27,MATCHED!$AB95,"."))))))</f>
        <v>#N/A</v>
      </c>
      <c r="AA95" s="424" t="e">
        <f>IF(MATCHED!BC95=1,MATCHED!$B95,IF(MATCHED!BC95=2,MATCHED!$C95,IF(MATCHED!BC95=3,MATCHED!$D95,IF(MATCHED!BC95=4,MATCHED!$E95,IF(MATCHED!BC95=3,MATCHED!$F95,IF(MATCHED!BC95=6,MATCHED!$G95,IF(MATCHED!BC95=7,MATCHED!$H95,"")))))))&amp;IF(MATCHED!BC95=8,MATCHED!$I95,IF(MATCHED!BC95=9,MATCHED!$J95,IF(MATCHED!BC95=10,MATCHED!$K95,IF(MATCHED!BC95=11,MATCHED!$L95,IF(MATCHED!BC95=12,MATCHED!$M95,IF(MATCHED!BC95=13,MATCHED!$N95,IF(MATCHED!BC95=14,MATCHED!$O95,"")))))))&amp;IF(MATCHED!BC95=15,MATCHED!$P95,IF(MATCHED!BC95=16,MATCHED!$Q95,IF(MATCHED!BC95=17,MATCHED!$R95,IF(MATCHED!BC95=18,MATCHED!$S95,IF(MATCHED!BC95=19,MATCHED!$T95,IF(MATCHED!BC95=20,MATCHED!$U95,IF(MATCHED!BC95=21,MATCHED!$V95,)))))))&amp;IF(MATCHED!BC95=22,MATCHED!$W95,IF(MATCHED!BC95=23,MATCHED!$X95,IF(MATCHED!BC95=24,MATCHED!$Y95,IF(MATCHED!BC95=25,MATCHED!$Z95,IF(MATCHED!BC95=26,MATCHED!$AA95,IF(MATCHED!BC95=27,MATCHED!$AB95,"."))))))</f>
        <v>#N/A</v>
      </c>
      <c r="AB95" s="424" t="e">
        <f>IF(MATCHED!BD95=1,MATCHED!$B95,IF(MATCHED!BD95=2,MATCHED!$C95,IF(MATCHED!BD95=3,MATCHED!$D95,IF(MATCHED!BD95=4,MATCHED!$E95,IF(MATCHED!BD95=3,MATCHED!$F95,IF(MATCHED!BD95=6,MATCHED!$G95,IF(MATCHED!BD95=7,MATCHED!$H95,"")))))))&amp;IF(MATCHED!BD95=8,MATCHED!$I95,IF(MATCHED!BD95=9,MATCHED!$J95,IF(MATCHED!BD95=10,MATCHED!$K95,IF(MATCHED!BD95=11,MATCHED!$L95,IF(MATCHED!BD95=12,MATCHED!$M95,IF(MATCHED!BD95=13,MATCHED!$N95,IF(MATCHED!BD95=14,MATCHED!$O95,"")))))))&amp;IF(MATCHED!BD95=15,MATCHED!$P95,IF(MATCHED!BD95=16,MATCHED!$Q95,IF(MATCHED!BD95=17,MATCHED!$R95,IF(MATCHED!BD95=18,MATCHED!$S95,IF(MATCHED!BD95=19,MATCHED!$T95,IF(MATCHED!BD95=20,MATCHED!$U95,IF(MATCHED!BD95=21,MATCHED!$V95,)))))))&amp;IF(MATCHED!BD95=22,MATCHED!$W95,IF(MATCHED!BD95=23,MATCHED!$X95,IF(MATCHED!BD95=24,MATCHED!$Y95,IF(MATCHED!BD95=25,MATCHED!$Z95,IF(MATCHED!BD95=26,MATCHED!$AA95,IF(MATCHED!BD95=27,MATCHED!$AB95,"."))))))</f>
        <v>#N/A</v>
      </c>
      <c r="AC95" s="424" t="e">
        <f>IF(MATCHED!BE95=1,MATCHED!$B95,IF(MATCHED!BE95=2,MATCHED!$C95,IF(MATCHED!BE95=3,MATCHED!$D95,IF(MATCHED!BE95=4,MATCHED!$E95,IF(MATCHED!BE95=3,MATCHED!$F95,IF(MATCHED!BE95=6,MATCHED!$G95,IF(MATCHED!BE95=7,MATCHED!$H95,"")))))))&amp;IF(MATCHED!BE95=8,MATCHED!$I95,IF(MATCHED!BE95=9,MATCHED!$J95,IF(MATCHED!BE95=10,MATCHED!$K95,IF(MATCHED!BE95=11,MATCHED!$L95,IF(MATCHED!BE95=12,MATCHED!$M95,IF(MATCHED!BE95=13,MATCHED!$N95,IF(MATCHED!BE95=14,MATCHED!$O95,"")))))))&amp;IF(MATCHED!BE95=15,MATCHED!$P95,IF(MATCHED!BE95=16,MATCHED!$Q95,IF(MATCHED!BE95=17,MATCHED!$R95,IF(MATCHED!BE95=18,MATCHED!$S95,IF(MATCHED!BE95=19,MATCHED!$T95,IF(MATCHED!BE95=20,MATCHED!$U95,IF(MATCHED!BE95=21,MATCHED!$V95,)))))))&amp;IF(MATCHED!BE95=22,MATCHED!$W95,IF(MATCHED!BE95=23,MATCHED!$X95,IF(MATCHED!BE95=24,MATCHED!$Y95,IF(MATCHED!BE95=25,MATCHED!$Z95,IF(MATCHED!BE95=26,MATCHED!$AA95,IF(MATCHED!BE95=27,MATCHED!$AB95,"."))))))</f>
        <v>#N/A</v>
      </c>
      <c r="AD95" s="424" t="e">
        <f>IF(MATCHED!BF95=1,MATCHED!$B95,IF(MATCHED!BF95=2,MATCHED!$C95,IF(MATCHED!BF95=3,MATCHED!$D95,IF(MATCHED!BF95=4,MATCHED!$E95,IF(MATCHED!BF95=3,MATCHED!$F95,IF(MATCHED!BF95=6,MATCHED!$G95,IF(MATCHED!BF95=7,MATCHED!$H95,"")))))))&amp;IF(MATCHED!BF95=8,MATCHED!$I95,IF(MATCHED!BF95=9,MATCHED!$J95,IF(MATCHED!BF95=10,MATCHED!$K95,IF(MATCHED!BF95=11,MATCHED!$L95,IF(MATCHED!BF95=12,MATCHED!$M95,IF(MATCHED!BF95=13,MATCHED!$N95,IF(MATCHED!BF95=14,MATCHED!$O95,"")))))))&amp;IF(MATCHED!BF95=15,MATCHED!$P95,IF(MATCHED!BF95=16,MATCHED!$Q95,IF(MATCHED!BF95=17,MATCHED!$R95,IF(MATCHED!BF95=18,MATCHED!$S95,IF(MATCHED!BF95=19,MATCHED!$T95,IF(MATCHED!BF95=20,MATCHED!$U95,IF(MATCHED!BF95=21,MATCHED!$V95,)))))))&amp;IF(MATCHED!BF95=22,MATCHED!$W95,IF(MATCHED!BF95=23,MATCHED!$X95,IF(MATCHED!BF95=24,MATCHED!$Y95,IF(MATCHED!BF95=25,MATCHED!$Z95,IF(MATCHED!BF95=26,MATCHED!$AA95,IF(MATCHED!BF95=27,MATCHED!$AB95,"."))))))</f>
        <v>#N/A</v>
      </c>
      <c r="AE95" s="424" t="e">
        <f>IF(MATCHED!BG95=1,MATCHED!$B95,IF(MATCHED!BG95=2,MATCHED!$C95,IF(MATCHED!BG95=3,MATCHED!$D95,IF(MATCHED!BG95=4,MATCHED!$E95,IF(MATCHED!BG95=3,MATCHED!$F95,IF(MATCHED!BG95=6,MATCHED!$G95,IF(MATCHED!BG95=7,MATCHED!$H95,"")))))))&amp;IF(MATCHED!BG95=8,MATCHED!$I95,IF(MATCHED!BG95=9,MATCHED!$J95,IF(MATCHED!BG95=10,MATCHED!$K95,IF(MATCHED!BG95=11,MATCHED!$L95,IF(MATCHED!BG95=12,MATCHED!$M95,IF(MATCHED!BG95=13,MATCHED!$N95,IF(MATCHED!BG95=14,MATCHED!$O95,"")))))))&amp;IF(MATCHED!BG95=15,MATCHED!$P95,IF(MATCHED!BG95=16,MATCHED!$Q95,IF(MATCHED!BG95=17,MATCHED!$R95,IF(MATCHED!BG95=18,MATCHED!$S95,IF(MATCHED!BG95=19,MATCHED!$T95,IF(MATCHED!BG95=20,MATCHED!$U95,IF(MATCHED!BG95=21,MATCHED!$V95,)))))))&amp;IF(MATCHED!BG95=22,MATCHED!$W95,IF(MATCHED!BG95=23,MATCHED!$X95,IF(MATCHED!BG95=24,MATCHED!$Y95,IF(MATCHED!BG95=25,MATCHED!$Z95,IF(MATCHED!BG95=26,MATCHED!$AA95,IF(MATCHED!BG95=27,MATCHED!$AB95,"."))))))</f>
        <v>#N/A</v>
      </c>
      <c r="AF95" s="424" t="e">
        <f>IF(MATCHED!BH95=1,MATCHED!$B95,IF(MATCHED!BH95=2,MATCHED!$C95,IF(MATCHED!BH95=3,MATCHED!$D95,IF(MATCHED!BH95=4,MATCHED!$E95,IF(MATCHED!BH95=3,MATCHED!$F95,IF(MATCHED!BH95=6,MATCHED!$G95,IF(MATCHED!BH95=7,MATCHED!$H95,"")))))))&amp;IF(MATCHED!BH95=8,MATCHED!$I95,IF(MATCHED!BH95=9,MATCHED!$J95,IF(MATCHED!BH95=10,MATCHED!$K95,IF(MATCHED!BH95=11,MATCHED!$L95,IF(MATCHED!BH95=12,MATCHED!$M95,IF(MATCHED!BH95=13,MATCHED!$N95,IF(MATCHED!BH95=14,MATCHED!$O95,"")))))))&amp;IF(MATCHED!BH95=15,MATCHED!$P95,IF(MATCHED!BH95=16,MATCHED!$Q95,IF(MATCHED!BH95=17,MATCHED!$R95,IF(MATCHED!BH95=18,MATCHED!$S95,IF(MATCHED!BH95=19,MATCHED!$T95,IF(MATCHED!BH95=20,MATCHED!$U95,IF(MATCHED!BH95=21,MATCHED!$V95,)))))))&amp;IF(MATCHED!BH95=22,MATCHED!$W95,IF(MATCHED!BH95=23,MATCHED!$X95,IF(MATCHED!BH95=24,MATCHED!$Y95,IF(MATCHED!BH95=25,MATCHED!$Z95,IF(MATCHED!BH95=26,MATCHED!$AA95,IF(MATCHED!BH95=27,MATCHED!$AB95,"."))))))</f>
        <v>#N/A</v>
      </c>
      <c r="AG95" s="424" t="e">
        <f>IF(MATCHED!BI95=1,MATCHED!$B95,IF(MATCHED!BI95=2,MATCHED!$C95,IF(MATCHED!BI95=3,MATCHED!$D95,IF(MATCHED!BI95=4,MATCHED!$E95,IF(MATCHED!BI95=3,MATCHED!$F95,IF(MATCHED!BI95=6,MATCHED!$G95,IF(MATCHED!BI95=7,MATCHED!$H95,"")))))))&amp;IF(MATCHED!BI95=8,MATCHED!$I95,IF(MATCHED!BI95=9,MATCHED!$J95,IF(MATCHED!BI95=10,MATCHED!$K95,IF(MATCHED!BI95=11,MATCHED!$L95,IF(MATCHED!BI95=12,MATCHED!$M95,IF(MATCHED!BI95=13,MATCHED!$N95,IF(MATCHED!BI95=14,MATCHED!$O95,"")))))))&amp;IF(MATCHED!BI95=15,MATCHED!$P95,IF(MATCHED!BI95=16,MATCHED!$Q95,IF(MATCHED!BI95=17,MATCHED!$R95,IF(MATCHED!BI95=18,MATCHED!$S95,IF(MATCHED!BI95=19,MATCHED!$T95,IF(MATCHED!BI95=20,MATCHED!$U95,IF(MATCHED!BI95=21,MATCHED!$V95,)))))))&amp;IF(MATCHED!BI95=22,MATCHED!$W95,IF(MATCHED!BI95=23,MATCHED!$X95,IF(MATCHED!BI95=24,MATCHED!$Y95,IF(MATCHED!BI95=25,MATCHED!$Z95,IF(MATCHED!BI95=26,MATCHED!$AA95,IF(MATCHED!BI95=27,MATCHED!$AB95,"."))))))</f>
        <v>#N/A</v>
      </c>
      <c r="AH95" s="424" t="e">
        <f>IF(MATCHED!BJ95=1,MATCHED!$B95,IF(MATCHED!BJ95=2,MATCHED!$C95,IF(MATCHED!BJ95=3,MATCHED!$D95,IF(MATCHED!BJ95=4,MATCHED!$E95,IF(MATCHED!BJ95=3,MATCHED!$F95,IF(MATCHED!BJ95=6,MATCHED!$G95,IF(MATCHED!BJ95=7,MATCHED!$H95,"")))))))&amp;IF(MATCHED!BJ95=8,MATCHED!$I95,IF(MATCHED!BJ95=9,MATCHED!$J95,IF(MATCHED!BJ95=10,MATCHED!$K95,IF(MATCHED!BJ95=11,MATCHED!$L95,IF(MATCHED!BJ95=12,MATCHED!$M95,IF(MATCHED!BJ95=13,MATCHED!$N95,IF(MATCHED!BJ95=14,MATCHED!$O95,"")))))))&amp;IF(MATCHED!BJ95=15,MATCHED!$P95,IF(MATCHED!BJ95=16,MATCHED!$Q95,IF(MATCHED!BJ95=17,MATCHED!$R95,IF(MATCHED!BJ95=18,MATCHED!$S95,IF(MATCHED!BJ95=19,MATCHED!$T95,IF(MATCHED!BJ95=20,MATCHED!$U95,IF(MATCHED!BJ95=21,MATCHED!$V95,)))))))&amp;IF(MATCHED!BJ95=22,MATCHED!$W95,IF(MATCHED!BJ95=23,MATCHED!$X95,IF(MATCHED!BJ95=24,MATCHED!$Y95,IF(MATCHED!BJ95=25,MATCHED!$Z95,IF(MATCHED!BJ95=26,MATCHED!$AA95,IF(MATCHED!BJ95=27,MATCHED!$AB95,"."))))))</f>
        <v>#N/A</v>
      </c>
      <c r="AI95" s="424" t="e">
        <f>IF(MATCHED!BK95=1,MATCHED!$B95,IF(MATCHED!BK95=2,MATCHED!$C95,IF(MATCHED!BK95=3,MATCHED!$D95,IF(MATCHED!BK95=4,MATCHED!$E95,IF(MATCHED!BK95=3,MATCHED!$F95,IF(MATCHED!BK95=6,MATCHED!$G95,IF(MATCHED!BK95=7,MATCHED!$H95,"")))))))&amp;IF(MATCHED!BK95=8,MATCHED!$I95,IF(MATCHED!BK95=9,MATCHED!$J95,IF(MATCHED!BK95=10,MATCHED!$K95,IF(MATCHED!BK95=11,MATCHED!$L95,IF(MATCHED!BK95=12,MATCHED!$M95,IF(MATCHED!BK95=13,MATCHED!$N95,IF(MATCHED!BK95=14,MATCHED!$O95,"")))))))&amp;IF(MATCHED!BK95=15,MATCHED!$P95,IF(MATCHED!BK95=16,MATCHED!$Q95,IF(MATCHED!BK95=17,MATCHED!$R95,IF(MATCHED!BK95=18,MATCHED!$S95,IF(MATCHED!BK95=19,MATCHED!$T95,IF(MATCHED!BK95=20,MATCHED!$U95,IF(MATCHED!BK95=21,MATCHED!$V95,)))))))&amp;IF(MATCHED!BK95=22,MATCHED!$W95,IF(MATCHED!BK95=23,MATCHED!$X95,IF(MATCHED!BK95=24,MATCHED!$Y95,IF(MATCHED!BK95=25,MATCHED!$Z95,IF(MATCHED!BK95=26,MATCHED!$AA95,IF(MATCHED!BK95=27,MATCHED!$AB95,"."))))))</f>
        <v>#N/A</v>
      </c>
      <c r="AJ95" s="535"/>
    </row>
    <row r="96" spans="1:36" s="338" customFormat="1" x14ac:dyDescent="0.25">
      <c r="A96" s="535"/>
      <c r="B96" s="424" t="e">
        <f>IF(MATCHED!AD96=1,MATCHED!$B96,IF(MATCHED!AD96=2,MATCHED!$C96,IF(MATCHED!AD96=3,MATCHED!$D96,IF(MATCHED!AD96=4,MATCHED!$E96,IF(MATCHED!AD96=3,MATCHED!$F96,IF(MATCHED!AD96=6,MATCHED!$G96,IF(MATCHED!AD96=7,MATCHED!$H96,"")))))))&amp;IF(MATCHED!AD96=8,MATCHED!$I96,IF(MATCHED!AD96=9,MATCHED!$J96,IF(MATCHED!AD96=10,MATCHED!$K96,IF(MATCHED!AD96=11,MATCHED!$L96,IF(MATCHED!AD96=12,MATCHED!$M96,IF(MATCHED!AD96=13,MATCHED!$N96,IF(MATCHED!AD96=14,MATCHED!$O96,"")))))))&amp;IF(MATCHED!AD96=15,MATCHED!$P96,IF(MATCHED!AD96=16,MATCHED!$Q96,IF(MATCHED!AD96=17,MATCHED!$R96,IF(MATCHED!AD96=18,MATCHED!$S96,IF(MATCHED!AD96=19,MATCHED!$T96,IF(MATCHED!AD96=20,MATCHED!$U96,IF(MATCHED!AD96=21,MATCHED!$V96,)))))))&amp;IF(MATCHED!AD96=22,MATCHED!$W96,IF(MATCHED!AD96=23,MATCHED!$X96,IF(MATCHED!AD96=24,MATCHED!$Y96,IF(MATCHED!AD96=25,MATCHED!$Z96,IF(MATCHED!AD96=26,MATCHED!$AA96,IF(MATCHED!AD96=27,MATCHED!$AB96,"."))))))</f>
        <v>#N/A</v>
      </c>
      <c r="C96" s="424" t="e">
        <f>IF(MATCHED!AE96=1,MATCHED!$B96,IF(MATCHED!AE96=2,MATCHED!$C96,IF(MATCHED!AE96=3,MATCHED!$D96,IF(MATCHED!AE96=4,MATCHED!$E96,IF(MATCHED!AE96=3,MATCHED!$F96,IF(MATCHED!AE96=6,MATCHED!$G96,IF(MATCHED!AE96=7,MATCHED!$H96,"")))))))&amp;IF(MATCHED!AE96=8,MATCHED!$I96,IF(MATCHED!AE96=9,MATCHED!$J96,IF(MATCHED!AE96=10,MATCHED!$K96,IF(MATCHED!AE96=11,MATCHED!$L96,IF(MATCHED!AE96=12,MATCHED!$M96,IF(MATCHED!AE96=13,MATCHED!$N96,IF(MATCHED!AE96=14,MATCHED!$O96,"")))))))&amp;IF(MATCHED!AE96=15,MATCHED!$P96,IF(MATCHED!AE96=16,MATCHED!$Q96,IF(MATCHED!AE96=17,MATCHED!$R96,IF(MATCHED!AE96=18,MATCHED!$S96,IF(MATCHED!AE96=19,MATCHED!$T96,IF(MATCHED!AE96=20,MATCHED!$U96,IF(MATCHED!AE96=21,MATCHED!$V96,)))))))&amp;IF(MATCHED!AE96=22,MATCHED!$W96,IF(MATCHED!AE96=23,MATCHED!$X96,IF(MATCHED!AE96=24,MATCHED!$Y96,IF(MATCHED!AE96=25,MATCHED!$Z96,IF(MATCHED!AE96=26,MATCHED!$AA96,IF(MATCHED!AE96=27,MATCHED!$AB96,"."))))))</f>
        <v>#N/A</v>
      </c>
      <c r="D96" s="424" t="e">
        <f>IF(MATCHED!AF96=1,MATCHED!$B96,IF(MATCHED!AF96=2,MATCHED!$C96,IF(MATCHED!AF96=3,MATCHED!$D96,IF(MATCHED!AF96=4,MATCHED!$E96,IF(MATCHED!AF96=3,MATCHED!$F96,IF(MATCHED!AF96=6,MATCHED!$G96,IF(MATCHED!AF96=7,MATCHED!$H96,"")))))))&amp;IF(MATCHED!AF96=8,MATCHED!$I96,IF(MATCHED!AF96=9,MATCHED!$J96,IF(MATCHED!AF96=10,MATCHED!$K96,IF(MATCHED!AF96=11,MATCHED!$L96,IF(MATCHED!AF96=12,MATCHED!$M96,IF(MATCHED!AF96=13,MATCHED!$N96,IF(MATCHED!AF96=14,MATCHED!$O96,"")))))))&amp;IF(MATCHED!AF96=15,MATCHED!$P96,IF(MATCHED!AF96=16,MATCHED!$Q96,IF(MATCHED!AF96=17,MATCHED!$R96,IF(MATCHED!AF96=18,MATCHED!$S96,IF(MATCHED!AF96=19,MATCHED!$T96,IF(MATCHED!AF96=20,MATCHED!$U96,IF(MATCHED!AF96=21,MATCHED!$V96,)))))))&amp;IF(MATCHED!AF96=22,MATCHED!$W96,IF(MATCHED!AF96=23,MATCHED!$X96,IF(MATCHED!AF96=24,MATCHED!$Y96,IF(MATCHED!AF96=25,MATCHED!$Z96,IF(MATCHED!AF96=26,MATCHED!$AA96,IF(MATCHED!AF96=27,MATCHED!$AB96,"."))))))</f>
        <v>#N/A</v>
      </c>
      <c r="E96" s="424" t="e">
        <f>IF(MATCHED!AG96=1,MATCHED!$B96,IF(MATCHED!AG96=2,MATCHED!$C96,IF(MATCHED!AG96=3,MATCHED!$D96,IF(MATCHED!AG96=4,MATCHED!$E96,IF(MATCHED!AG96=3,MATCHED!$F96,IF(MATCHED!AG96=6,MATCHED!$G96,IF(MATCHED!AG96=7,MATCHED!$H96,"")))))))&amp;IF(MATCHED!AG96=8,MATCHED!$I96,IF(MATCHED!AG96=9,MATCHED!$J96,IF(MATCHED!AG96=10,MATCHED!$K96,IF(MATCHED!AG96=11,MATCHED!$L96,IF(MATCHED!AG96=12,MATCHED!$M96,IF(MATCHED!AG96=13,MATCHED!$N96,IF(MATCHED!AG96=14,MATCHED!$O96,"")))))))&amp;IF(MATCHED!AG96=15,MATCHED!$P96,IF(MATCHED!AG96=16,MATCHED!$Q96,IF(MATCHED!AG96=17,MATCHED!$R96,IF(MATCHED!AG96=18,MATCHED!$S96,IF(MATCHED!AG96=19,MATCHED!$T96,IF(MATCHED!AG96=20,MATCHED!$U96,IF(MATCHED!AG96=21,MATCHED!$V96,)))))))&amp;IF(MATCHED!AG96=22,MATCHED!$W96,IF(MATCHED!AG96=23,MATCHED!$X96,IF(MATCHED!AG96=24,MATCHED!$Y96,IF(MATCHED!AG96=25,MATCHED!$Z96,IF(MATCHED!AG96=26,MATCHED!$AA96,IF(MATCHED!AG96=27,MATCHED!$AB96,"."))))))</f>
        <v>#N/A</v>
      </c>
      <c r="F96" s="424" t="e">
        <f>IF(MATCHED!AH96=1,MATCHED!$B96,IF(MATCHED!AH96=2,MATCHED!$C96,IF(MATCHED!AH96=3,MATCHED!$D96,IF(MATCHED!AH96=4,MATCHED!$E96,IF(MATCHED!AH96=3,MATCHED!$F96,IF(MATCHED!AH96=6,MATCHED!$G96,IF(MATCHED!AH96=7,MATCHED!$H96,"")))))))&amp;IF(MATCHED!AH96=8,MATCHED!$I96,IF(MATCHED!AH96=9,MATCHED!$J96,IF(MATCHED!AH96=10,MATCHED!$K96,IF(MATCHED!AH96=11,MATCHED!$L96,IF(MATCHED!AH96=12,MATCHED!$M96,IF(MATCHED!AH96=13,MATCHED!$N96,IF(MATCHED!AH96=14,MATCHED!$O96,"")))))))&amp;IF(MATCHED!AH96=15,MATCHED!$P96,IF(MATCHED!AH96=16,MATCHED!$Q96,IF(MATCHED!AH96=17,MATCHED!$R96,IF(MATCHED!AH96=18,MATCHED!$S96,IF(MATCHED!AH96=19,MATCHED!$T96,IF(MATCHED!AH96=20,MATCHED!$U96,IF(MATCHED!AH96=21,MATCHED!$V96,)))))))&amp;IF(MATCHED!AH96=22,MATCHED!$W96,IF(MATCHED!AH96=23,MATCHED!$X96,IF(MATCHED!AH96=24,MATCHED!$Y96,IF(MATCHED!AH96=25,MATCHED!$Z96,IF(MATCHED!AH96=26,MATCHED!$AA96,IF(MATCHED!AH96=27,MATCHED!$AB96,"."))))))</f>
        <v>#N/A</v>
      </c>
      <c r="G96" s="424" t="e">
        <f>IF(MATCHED!AI96=1,MATCHED!$B96,IF(MATCHED!AI96=2,MATCHED!$C96,IF(MATCHED!AI96=3,MATCHED!$D96,IF(MATCHED!AI96=4,MATCHED!$E96,IF(MATCHED!AI96=3,MATCHED!$F96,IF(MATCHED!AI96=6,MATCHED!$G96,IF(MATCHED!AI96=7,MATCHED!$H96,"")))))))&amp;IF(MATCHED!AI96=8,MATCHED!$I96,IF(MATCHED!AI96=9,MATCHED!$J96,IF(MATCHED!AI96=10,MATCHED!$K96,IF(MATCHED!AI96=11,MATCHED!$L96,IF(MATCHED!AI96=12,MATCHED!$M96,IF(MATCHED!AI96=13,MATCHED!$N96,IF(MATCHED!AI96=14,MATCHED!$O96,"")))))))&amp;IF(MATCHED!AI96=15,MATCHED!$P96,IF(MATCHED!AI96=16,MATCHED!$Q96,IF(MATCHED!AI96=17,MATCHED!$R96,IF(MATCHED!AI96=18,MATCHED!$S96,IF(MATCHED!AI96=19,MATCHED!$T96,IF(MATCHED!AI96=20,MATCHED!$U96,IF(MATCHED!AI96=21,MATCHED!$V96,)))))))&amp;IF(MATCHED!AI96=22,MATCHED!$W96,IF(MATCHED!AI96=23,MATCHED!$X96,IF(MATCHED!AI96=24,MATCHED!$Y96,IF(MATCHED!AI96=25,MATCHED!$Z96,IF(MATCHED!AI96=26,MATCHED!$AA96,IF(MATCHED!AI96=27,MATCHED!$AB96,"."))))))</f>
        <v>#N/A</v>
      </c>
      <c r="H96" s="424" t="e">
        <f>IF(MATCHED!AJ96=1,MATCHED!$B96,IF(MATCHED!AJ96=2,MATCHED!$C96,IF(MATCHED!AJ96=3,MATCHED!$D96,IF(MATCHED!AJ96=4,MATCHED!$E96,IF(MATCHED!AJ96=3,MATCHED!$F96,IF(MATCHED!AJ96=6,MATCHED!$G96,IF(MATCHED!AJ96=7,MATCHED!$H96,"")))))))&amp;IF(MATCHED!AJ96=8,MATCHED!$I96,IF(MATCHED!AJ96=9,MATCHED!$J96,IF(MATCHED!AJ96=10,MATCHED!$K96,IF(MATCHED!AJ96=11,MATCHED!$L96,IF(MATCHED!AJ96=12,MATCHED!$M96,IF(MATCHED!AJ96=13,MATCHED!$N96,IF(MATCHED!AJ96=14,MATCHED!$O96,"")))))))&amp;IF(MATCHED!AJ96=15,MATCHED!$P96,IF(MATCHED!AJ96=16,MATCHED!$Q96,IF(MATCHED!AJ96=17,MATCHED!$R96,IF(MATCHED!AJ96=18,MATCHED!$S96,IF(MATCHED!AJ96=19,MATCHED!$T96,IF(MATCHED!AJ96=20,MATCHED!$U96,IF(MATCHED!AJ96=21,MATCHED!$V96,)))))))&amp;IF(MATCHED!AJ96=22,MATCHED!$W96,IF(MATCHED!AJ96=23,MATCHED!$X96,IF(MATCHED!AJ96=24,MATCHED!$Y96,IF(MATCHED!AJ96=25,MATCHED!$Z96,IF(MATCHED!AJ96=26,MATCHED!$AA96,IF(MATCHED!AJ96=27,MATCHED!$AB96,"."))))))</f>
        <v>#N/A</v>
      </c>
      <c r="I96" s="424" t="e">
        <f>IF(MATCHED!AK96=1,MATCHED!$B96,IF(MATCHED!AK96=2,MATCHED!$C96,IF(MATCHED!AK96=3,MATCHED!$D96,IF(MATCHED!AK96=4,MATCHED!$E96,IF(MATCHED!AK96=3,MATCHED!$F96,IF(MATCHED!AK96=6,MATCHED!$G96,IF(MATCHED!AK96=7,MATCHED!$H96,"")))))))&amp;IF(MATCHED!AK96=8,MATCHED!$I96,IF(MATCHED!AK96=9,MATCHED!$J96,IF(MATCHED!AK96=10,MATCHED!$K96,IF(MATCHED!AK96=11,MATCHED!$L96,IF(MATCHED!AK96=12,MATCHED!$M96,IF(MATCHED!AK96=13,MATCHED!$N96,IF(MATCHED!AK96=14,MATCHED!$O96,"")))))))&amp;IF(MATCHED!AK96=15,MATCHED!$P96,IF(MATCHED!AK96=16,MATCHED!$Q96,IF(MATCHED!AK96=17,MATCHED!$R96,IF(MATCHED!AK96=18,MATCHED!$S96,IF(MATCHED!AK96=19,MATCHED!$T96,IF(MATCHED!AK96=20,MATCHED!$U96,IF(MATCHED!AK96=21,MATCHED!$V96,)))))))&amp;IF(MATCHED!AK96=22,MATCHED!$W96,IF(MATCHED!AK96=23,MATCHED!$X96,IF(MATCHED!AK96=24,MATCHED!$Y96,IF(MATCHED!AK96=25,MATCHED!$Z96,IF(MATCHED!AK96=26,MATCHED!$AA96,IF(MATCHED!AK96=27,MATCHED!$AB96,"."))))))</f>
        <v>#N/A</v>
      </c>
      <c r="J96" s="424" t="e">
        <f>IF(MATCHED!AL96=1,MATCHED!$B96,IF(MATCHED!AL96=2,MATCHED!$C96,IF(MATCHED!AL96=3,MATCHED!$D96,IF(MATCHED!AL96=4,MATCHED!$E96,IF(MATCHED!AL96=3,MATCHED!$F96,IF(MATCHED!AL96=6,MATCHED!$G96,IF(MATCHED!AL96=7,MATCHED!$H96,"")))))))&amp;IF(MATCHED!AL96=8,MATCHED!$I96,IF(MATCHED!AL96=9,MATCHED!$J96,IF(MATCHED!AL96=10,MATCHED!$K96,IF(MATCHED!AL96=11,MATCHED!$L96,IF(MATCHED!AL96=12,MATCHED!$M96,IF(MATCHED!AL96=13,MATCHED!$N96,IF(MATCHED!AL96=14,MATCHED!$O96,"")))))))&amp;IF(MATCHED!AL96=15,MATCHED!$P96,IF(MATCHED!AL96=16,MATCHED!$Q96,IF(MATCHED!AL96=17,MATCHED!$R96,IF(MATCHED!AL96=18,MATCHED!$S96,IF(MATCHED!AL96=19,MATCHED!$T96,IF(MATCHED!AL96=20,MATCHED!$U96,IF(MATCHED!AL96=21,MATCHED!$V96,)))))))&amp;IF(MATCHED!AL96=22,MATCHED!$W96,IF(MATCHED!AL96=23,MATCHED!$X96,IF(MATCHED!AL96=24,MATCHED!$Y96,IF(MATCHED!AL96=25,MATCHED!$Z96,IF(MATCHED!AL96=26,MATCHED!$AA96,IF(MATCHED!AL96=27,MATCHED!$AB96,"."))))))</f>
        <v>#N/A</v>
      </c>
      <c r="K96" s="424" t="e">
        <f>IF(MATCHED!AM96=1,MATCHED!$B96,IF(MATCHED!AM96=2,MATCHED!$C96,IF(MATCHED!AM96=3,MATCHED!$D96,IF(MATCHED!AM96=4,MATCHED!$E96,IF(MATCHED!AM96=3,MATCHED!$F96,IF(MATCHED!AM96=6,MATCHED!$G96,IF(MATCHED!AM96=7,MATCHED!$H96,"")))))))&amp;IF(MATCHED!AM96=8,MATCHED!$I96,IF(MATCHED!AM96=9,MATCHED!$J96,IF(MATCHED!AM96=10,MATCHED!$K96,IF(MATCHED!AM96=11,MATCHED!$L96,IF(MATCHED!AM96=12,MATCHED!$M96,IF(MATCHED!AM96=13,MATCHED!$N96,IF(MATCHED!AM96=14,MATCHED!$O96,"")))))))&amp;IF(MATCHED!AM96=15,MATCHED!$P96,IF(MATCHED!AM96=16,MATCHED!$Q96,IF(MATCHED!AM96=17,MATCHED!$R96,IF(MATCHED!AM96=18,MATCHED!$S96,IF(MATCHED!AM96=19,MATCHED!$T96,IF(MATCHED!AM96=20,MATCHED!$U96,IF(MATCHED!AM96=21,MATCHED!$V96,)))))))&amp;IF(MATCHED!AM96=22,MATCHED!$W96,IF(MATCHED!AM96=23,MATCHED!$X96,IF(MATCHED!AM96=24,MATCHED!$Y96,IF(MATCHED!AM96=25,MATCHED!$Z96,IF(MATCHED!AM96=26,MATCHED!$AA96,IF(MATCHED!AM96=27,MATCHED!$AB96,"."))))))</f>
        <v>#N/A</v>
      </c>
      <c r="L96" s="424" t="e">
        <f>IF(MATCHED!AN96=1,MATCHED!$B96,IF(MATCHED!AN96=2,MATCHED!$C96,IF(MATCHED!AN96=3,MATCHED!$D96,IF(MATCHED!AN96=4,MATCHED!$E96,IF(MATCHED!AN96=3,MATCHED!$F96,IF(MATCHED!AN96=6,MATCHED!$G96,IF(MATCHED!AN96=7,MATCHED!$H96,"")))))))&amp;IF(MATCHED!AN96=8,MATCHED!$I96,IF(MATCHED!AN96=9,MATCHED!$J96,IF(MATCHED!AN96=10,MATCHED!$K96,IF(MATCHED!AN96=11,MATCHED!$L96,IF(MATCHED!AN96=12,MATCHED!$M96,IF(MATCHED!AN96=13,MATCHED!$N96,IF(MATCHED!AN96=14,MATCHED!$O96,"")))))))&amp;IF(MATCHED!AN96=15,MATCHED!$P96,IF(MATCHED!AN96=16,MATCHED!$Q96,IF(MATCHED!AN96=17,MATCHED!$R96,IF(MATCHED!AN96=18,MATCHED!$S96,IF(MATCHED!AN96=19,MATCHED!$T96,IF(MATCHED!AN96=20,MATCHED!$U96,IF(MATCHED!AN96=21,MATCHED!$V96,)))))))&amp;IF(MATCHED!AN96=22,MATCHED!$W96,IF(MATCHED!AN96=23,MATCHED!$X96,IF(MATCHED!AN96=24,MATCHED!$Y96,IF(MATCHED!AN96=25,MATCHED!$Z96,IF(MATCHED!AN96=26,MATCHED!$AA96,IF(MATCHED!AN96=27,MATCHED!$AB96,"."))))))</f>
        <v>#N/A</v>
      </c>
      <c r="M96" s="424" t="e">
        <f>IF(MATCHED!AO96=1,MATCHED!$B96,IF(MATCHED!AO96=2,MATCHED!$C96,IF(MATCHED!AO96=3,MATCHED!$D96,IF(MATCHED!AO96=4,MATCHED!$E96,IF(MATCHED!AO96=3,MATCHED!$F96,IF(MATCHED!AO96=6,MATCHED!$G96,IF(MATCHED!AO96=7,MATCHED!$H96,"")))))))&amp;IF(MATCHED!AO96=8,MATCHED!$I96,IF(MATCHED!AO96=9,MATCHED!$J96,IF(MATCHED!AO96=10,MATCHED!$K96,IF(MATCHED!AO96=11,MATCHED!$L96,IF(MATCHED!AO96=12,MATCHED!$M96,IF(MATCHED!AO96=13,MATCHED!$N96,IF(MATCHED!AO96=14,MATCHED!$O96,"")))))))&amp;IF(MATCHED!AO96=15,MATCHED!$P96,IF(MATCHED!AO96=16,MATCHED!$Q96,IF(MATCHED!AO96=17,MATCHED!$R96,IF(MATCHED!AO96=18,MATCHED!$S96,IF(MATCHED!AO96=19,MATCHED!$T96,IF(MATCHED!AO96=20,MATCHED!$U96,IF(MATCHED!AO96=21,MATCHED!$V96,)))))))&amp;IF(MATCHED!AO96=22,MATCHED!$W96,IF(MATCHED!AO96=23,MATCHED!$X96,IF(MATCHED!AO96=24,MATCHED!$Y96,IF(MATCHED!AO96=25,MATCHED!$Z96,IF(MATCHED!AO96=26,MATCHED!$AA96,IF(MATCHED!AO96=27,MATCHED!$AB96,"."))))))</f>
        <v>#N/A</v>
      </c>
      <c r="N96" s="424" t="e">
        <f>IF(MATCHED!AP96=1,MATCHED!$B96,IF(MATCHED!AP96=2,MATCHED!$C96,IF(MATCHED!AP96=3,MATCHED!$D96,IF(MATCHED!AP96=4,MATCHED!$E96,IF(MATCHED!AP96=3,MATCHED!$F96,IF(MATCHED!AP96=6,MATCHED!$G96,IF(MATCHED!AP96=7,MATCHED!$H96,"")))))))&amp;IF(MATCHED!AP96=8,MATCHED!$I96,IF(MATCHED!AP96=9,MATCHED!$J96,IF(MATCHED!AP96=10,MATCHED!$K96,IF(MATCHED!AP96=11,MATCHED!$L96,IF(MATCHED!AP96=12,MATCHED!$M96,IF(MATCHED!AP96=13,MATCHED!$N96,IF(MATCHED!AP96=14,MATCHED!$O96,"")))))))&amp;IF(MATCHED!AP96=15,MATCHED!$P96,IF(MATCHED!AP96=16,MATCHED!$Q96,IF(MATCHED!AP96=17,MATCHED!$R96,IF(MATCHED!AP96=18,MATCHED!$S96,IF(MATCHED!AP96=19,MATCHED!$T96,IF(MATCHED!AP96=20,MATCHED!$U96,IF(MATCHED!AP96=21,MATCHED!$V96,)))))))&amp;IF(MATCHED!AP96=22,MATCHED!$W96,IF(MATCHED!AP96=23,MATCHED!$X96,IF(MATCHED!AP96=24,MATCHED!$Y96,IF(MATCHED!AP96=25,MATCHED!$Z96,IF(MATCHED!AP96=26,MATCHED!$AA96,IF(MATCHED!AP96=27,MATCHED!$AB96,"."))))))</f>
        <v>#N/A</v>
      </c>
      <c r="O96" s="424" t="e">
        <f>IF(MATCHED!AQ96=1,MATCHED!$B96,IF(MATCHED!AQ96=2,MATCHED!$C96,IF(MATCHED!AQ96=3,MATCHED!$D96,IF(MATCHED!AQ96=4,MATCHED!$E96,IF(MATCHED!AQ96=3,MATCHED!$F96,IF(MATCHED!AQ96=6,MATCHED!$G96,IF(MATCHED!AQ96=7,MATCHED!$H96,"")))))))&amp;IF(MATCHED!AQ96=8,MATCHED!$I96,IF(MATCHED!AQ96=9,MATCHED!$J96,IF(MATCHED!AQ96=10,MATCHED!$K96,IF(MATCHED!AQ96=11,MATCHED!$L96,IF(MATCHED!AQ96=12,MATCHED!$M96,IF(MATCHED!AQ96=13,MATCHED!$N96,IF(MATCHED!AQ96=14,MATCHED!$O96,"")))))))&amp;IF(MATCHED!AQ96=15,MATCHED!$P96,IF(MATCHED!AQ96=16,MATCHED!$Q96,IF(MATCHED!AQ96=17,MATCHED!$R96,IF(MATCHED!AQ96=18,MATCHED!$S96,IF(MATCHED!AQ96=19,MATCHED!$T96,IF(MATCHED!AQ96=20,MATCHED!$U96,IF(MATCHED!AQ96=21,MATCHED!$V96,)))))))&amp;IF(MATCHED!AQ96=22,MATCHED!$W96,IF(MATCHED!AQ96=23,MATCHED!$X96,IF(MATCHED!AQ96=24,MATCHED!$Y96,IF(MATCHED!AQ96=25,MATCHED!$Z96,IF(MATCHED!AQ96=26,MATCHED!$AA96,IF(MATCHED!AQ96=27,MATCHED!$AB96,"."))))))</f>
        <v>#N/A</v>
      </c>
      <c r="P96" s="424" t="e">
        <f>IF(MATCHED!AR96=1,MATCHED!$B96,IF(MATCHED!AR96=2,MATCHED!$C96,IF(MATCHED!AR96=3,MATCHED!$D96,IF(MATCHED!AR96=4,MATCHED!$E96,IF(MATCHED!AR96=3,MATCHED!$F96,IF(MATCHED!AR96=6,MATCHED!$G96,IF(MATCHED!AR96=7,MATCHED!$H96,"")))))))&amp;IF(MATCHED!AR96=8,MATCHED!$I96,IF(MATCHED!AR96=9,MATCHED!$J96,IF(MATCHED!AR96=10,MATCHED!$K96,IF(MATCHED!AR96=11,MATCHED!$L96,IF(MATCHED!AR96=12,MATCHED!$M96,IF(MATCHED!AR96=13,MATCHED!$N96,IF(MATCHED!AR96=14,MATCHED!$O96,"")))))))&amp;IF(MATCHED!AR96=15,MATCHED!$P96,IF(MATCHED!AR96=16,MATCHED!$Q96,IF(MATCHED!AR96=17,MATCHED!$R96,IF(MATCHED!AR96=18,MATCHED!$S96,IF(MATCHED!AR96=19,MATCHED!$T96,IF(MATCHED!AR96=20,MATCHED!$U96,IF(MATCHED!AR96=21,MATCHED!$V96,)))))))&amp;IF(MATCHED!AR96=22,MATCHED!$W96,IF(MATCHED!AR96=23,MATCHED!$X96,IF(MATCHED!AR96=24,MATCHED!$Y96,IF(MATCHED!AR96=25,MATCHED!$Z96,IF(MATCHED!AR96=26,MATCHED!$AA96,IF(MATCHED!AR96=27,MATCHED!$AB96,"."))))))</f>
        <v>#N/A</v>
      </c>
      <c r="Q96" s="424" t="e">
        <f>IF(MATCHED!AS96=1,MATCHED!$B96,IF(MATCHED!AS96=2,MATCHED!$C96,IF(MATCHED!AS96=3,MATCHED!$D96,IF(MATCHED!AS96=4,MATCHED!$E96,IF(MATCHED!AS96=3,MATCHED!$F96,IF(MATCHED!AS96=6,MATCHED!$G96,IF(MATCHED!AS96=7,MATCHED!$H96,"")))))))&amp;IF(MATCHED!AS96=8,MATCHED!$I96,IF(MATCHED!AS96=9,MATCHED!$J96,IF(MATCHED!AS96=10,MATCHED!$K96,IF(MATCHED!AS96=11,MATCHED!$L96,IF(MATCHED!AS96=12,MATCHED!$M96,IF(MATCHED!AS96=13,MATCHED!$N96,IF(MATCHED!AS96=14,MATCHED!$O96,"")))))))&amp;IF(MATCHED!AS96=15,MATCHED!$P96,IF(MATCHED!AS96=16,MATCHED!$Q96,IF(MATCHED!AS96=17,MATCHED!$R96,IF(MATCHED!AS96=18,MATCHED!$S96,IF(MATCHED!AS96=19,MATCHED!$T96,IF(MATCHED!AS96=20,MATCHED!$U96,IF(MATCHED!AS96=21,MATCHED!$V96,)))))))&amp;IF(MATCHED!AS96=22,MATCHED!$W96,IF(MATCHED!AS96=23,MATCHED!$X96,IF(MATCHED!AS96=24,MATCHED!$Y96,IF(MATCHED!AS96=25,MATCHED!$Z96,IF(MATCHED!AS96=26,MATCHED!$AA96,IF(MATCHED!AS96=27,MATCHED!$AB96,"."))))))</f>
        <v>#N/A</v>
      </c>
      <c r="R96" s="424" t="e">
        <f>IF(MATCHED!AT96=1,MATCHED!$B96,IF(MATCHED!AT96=2,MATCHED!$C96,IF(MATCHED!AT96=3,MATCHED!$D96,IF(MATCHED!AT96=4,MATCHED!$E96,IF(MATCHED!AT96=3,MATCHED!$F96,IF(MATCHED!AT96=6,MATCHED!$G96,IF(MATCHED!AT96=7,MATCHED!$H96,"")))))))&amp;IF(MATCHED!AT96=8,MATCHED!$I96,IF(MATCHED!AT96=9,MATCHED!$J96,IF(MATCHED!AT96=10,MATCHED!$K96,IF(MATCHED!AT96=11,MATCHED!$L96,IF(MATCHED!AT96=12,MATCHED!$M96,IF(MATCHED!AT96=13,MATCHED!$N96,IF(MATCHED!AT96=14,MATCHED!$O96,"")))))))&amp;IF(MATCHED!AT96=15,MATCHED!$P96,IF(MATCHED!AT96=16,MATCHED!$Q96,IF(MATCHED!AT96=17,MATCHED!$R96,IF(MATCHED!AT96=18,MATCHED!$S96,IF(MATCHED!AT96=19,MATCHED!$T96,IF(MATCHED!AT96=20,MATCHED!$U96,IF(MATCHED!AT96=21,MATCHED!$V96,)))))))&amp;IF(MATCHED!AT96=22,MATCHED!$W96,IF(MATCHED!AT96=23,MATCHED!$X96,IF(MATCHED!AT96=24,MATCHED!$Y96,IF(MATCHED!AT96=25,MATCHED!$Z96,IF(MATCHED!AT96=26,MATCHED!$AA96,IF(MATCHED!AT96=27,MATCHED!$AB96,"."))))))</f>
        <v>#N/A</v>
      </c>
      <c r="S96" s="424" t="e">
        <f>IF(MATCHED!AU96=1,MATCHED!$B96,IF(MATCHED!AU96=2,MATCHED!$C96,IF(MATCHED!AU96=3,MATCHED!$D96,IF(MATCHED!AU96=4,MATCHED!$E96,IF(MATCHED!AU96=3,MATCHED!$F96,IF(MATCHED!AU96=6,MATCHED!$G96,IF(MATCHED!AU96=7,MATCHED!$H96,"")))))))&amp;IF(MATCHED!AU96=8,MATCHED!$I96,IF(MATCHED!AU96=9,MATCHED!$J96,IF(MATCHED!AU96=10,MATCHED!$K96,IF(MATCHED!AU96=11,MATCHED!$L96,IF(MATCHED!AU96=12,MATCHED!$M96,IF(MATCHED!AU96=13,MATCHED!$N96,IF(MATCHED!AU96=14,MATCHED!$O96,"")))))))&amp;IF(MATCHED!AU96=15,MATCHED!$P96,IF(MATCHED!AU96=16,MATCHED!$Q96,IF(MATCHED!AU96=17,MATCHED!$R96,IF(MATCHED!AU96=18,MATCHED!$S96,IF(MATCHED!AU96=19,MATCHED!$T96,IF(MATCHED!AU96=20,MATCHED!$U96,IF(MATCHED!AU96=21,MATCHED!$V96,)))))))&amp;IF(MATCHED!AU96=22,MATCHED!$W96,IF(MATCHED!AU96=23,MATCHED!$X96,IF(MATCHED!AU96=24,MATCHED!$Y96,IF(MATCHED!AU96=25,MATCHED!$Z96,IF(MATCHED!AU96=26,MATCHED!$AA96,IF(MATCHED!AU96=27,MATCHED!$AB96,"."))))))</f>
        <v>#N/A</v>
      </c>
      <c r="T96" s="424" t="e">
        <f>IF(MATCHED!AV96=1,MATCHED!$B96,IF(MATCHED!AV96=2,MATCHED!$C96,IF(MATCHED!AV96=3,MATCHED!$D96,IF(MATCHED!AV96=4,MATCHED!$E96,IF(MATCHED!AV96=3,MATCHED!$F96,IF(MATCHED!AV96=6,MATCHED!$G96,IF(MATCHED!AV96=7,MATCHED!$H96,"")))))))&amp;IF(MATCHED!AV96=8,MATCHED!$I96,IF(MATCHED!AV96=9,MATCHED!$J96,IF(MATCHED!AV96=10,MATCHED!$K96,IF(MATCHED!AV96=11,MATCHED!$L96,IF(MATCHED!AV96=12,MATCHED!$M96,IF(MATCHED!AV96=13,MATCHED!$N96,IF(MATCHED!AV96=14,MATCHED!$O96,"")))))))&amp;IF(MATCHED!AV96=15,MATCHED!$P96,IF(MATCHED!AV96=16,MATCHED!$Q96,IF(MATCHED!AV96=17,MATCHED!$R96,IF(MATCHED!AV96=18,MATCHED!$S96,IF(MATCHED!AV96=19,MATCHED!$T96,IF(MATCHED!AV96=20,MATCHED!$U96,IF(MATCHED!AV96=21,MATCHED!$V96,)))))))&amp;IF(MATCHED!AV96=22,MATCHED!$W96,IF(MATCHED!AV96=23,MATCHED!$X96,IF(MATCHED!AV96=24,MATCHED!$Y96,IF(MATCHED!AV96=25,MATCHED!$Z96,IF(MATCHED!AV96=26,MATCHED!$AA96,IF(MATCHED!AV96=27,MATCHED!$AB96,"."))))))</f>
        <v>#N/A</v>
      </c>
      <c r="U96" s="424" t="e">
        <f>IF(MATCHED!AW96=1,MATCHED!$B96,IF(MATCHED!AW96=2,MATCHED!$C96,IF(MATCHED!AW96=3,MATCHED!$D96,IF(MATCHED!AW96=4,MATCHED!$E96,IF(MATCHED!AW96=3,MATCHED!$F96,IF(MATCHED!AW96=6,MATCHED!$G96,IF(MATCHED!AW96=7,MATCHED!$H96,"")))))))&amp;IF(MATCHED!AW96=8,MATCHED!$I96,IF(MATCHED!AW96=9,MATCHED!$J96,IF(MATCHED!AW96=10,MATCHED!$K96,IF(MATCHED!AW96=11,MATCHED!$L96,IF(MATCHED!AW96=12,MATCHED!$M96,IF(MATCHED!AW96=13,MATCHED!$N96,IF(MATCHED!AW96=14,MATCHED!$O96,"")))))))&amp;IF(MATCHED!AW96=15,MATCHED!$P96,IF(MATCHED!AW96=16,MATCHED!$Q96,IF(MATCHED!AW96=17,MATCHED!$R96,IF(MATCHED!AW96=18,MATCHED!$S96,IF(MATCHED!AW96=19,MATCHED!$T96,IF(MATCHED!AW96=20,MATCHED!$U96,IF(MATCHED!AW96=21,MATCHED!$V96,)))))))&amp;IF(MATCHED!AW96=22,MATCHED!$W96,IF(MATCHED!AW96=23,MATCHED!$X96,IF(MATCHED!AW96=24,MATCHED!$Y96,IF(MATCHED!AW96=25,MATCHED!$Z96,IF(MATCHED!AW96=26,MATCHED!$AA96,IF(MATCHED!AW96=27,MATCHED!$AB96,"."))))))</f>
        <v>#N/A</v>
      </c>
      <c r="V96" s="424" t="e">
        <f>IF(MATCHED!AX96=1,MATCHED!$B96,IF(MATCHED!AX96=2,MATCHED!$C96,IF(MATCHED!AX96=3,MATCHED!$D96,IF(MATCHED!AX96=4,MATCHED!$E96,IF(MATCHED!AX96=3,MATCHED!$F96,IF(MATCHED!AX96=6,MATCHED!$G96,IF(MATCHED!AX96=7,MATCHED!$H96,"")))))))&amp;IF(MATCHED!AX96=8,MATCHED!$I96,IF(MATCHED!AX96=9,MATCHED!$J96,IF(MATCHED!AX96=10,MATCHED!$K96,IF(MATCHED!AX96=11,MATCHED!$L96,IF(MATCHED!AX96=12,MATCHED!$M96,IF(MATCHED!AX96=13,MATCHED!$N96,IF(MATCHED!AX96=14,MATCHED!$O96,"")))))))&amp;IF(MATCHED!AX96=15,MATCHED!$P96,IF(MATCHED!AX96=16,MATCHED!$Q96,IF(MATCHED!AX96=17,MATCHED!$R96,IF(MATCHED!AX96=18,MATCHED!$S96,IF(MATCHED!AX96=19,MATCHED!$T96,IF(MATCHED!AX96=20,MATCHED!$U96,IF(MATCHED!AX96=21,MATCHED!$V96,)))))))&amp;IF(MATCHED!AX96=22,MATCHED!$W96,IF(MATCHED!AX96=23,MATCHED!$X96,IF(MATCHED!AX96=24,MATCHED!$Y96,IF(MATCHED!AX96=25,MATCHED!$Z96,IF(MATCHED!AX96=26,MATCHED!$AA96,IF(MATCHED!AX96=27,MATCHED!$AB96,"."))))))</f>
        <v>#N/A</v>
      </c>
      <c r="W96" s="424" t="e">
        <f>IF(MATCHED!AY96=1,MATCHED!$B96,IF(MATCHED!AY96=2,MATCHED!$C96,IF(MATCHED!AY96=3,MATCHED!$D96,IF(MATCHED!AY96=4,MATCHED!$E96,IF(MATCHED!AY96=3,MATCHED!$F96,IF(MATCHED!AY96=6,MATCHED!$G96,IF(MATCHED!AY96=7,MATCHED!$H96,"")))))))&amp;IF(MATCHED!AY96=8,MATCHED!$I96,IF(MATCHED!AY96=9,MATCHED!$J96,IF(MATCHED!AY96=10,MATCHED!$K96,IF(MATCHED!AY96=11,MATCHED!$L96,IF(MATCHED!AY96=12,MATCHED!$M96,IF(MATCHED!AY96=13,MATCHED!$N96,IF(MATCHED!AY96=14,MATCHED!$O96,"")))))))&amp;IF(MATCHED!AY96=15,MATCHED!$P96,IF(MATCHED!AY96=16,MATCHED!$Q96,IF(MATCHED!AY96=17,MATCHED!$R96,IF(MATCHED!AY96=18,MATCHED!$S96,IF(MATCHED!AY96=19,MATCHED!$T96,IF(MATCHED!AY96=20,MATCHED!$U96,IF(MATCHED!AY96=21,MATCHED!$V96,)))))))&amp;IF(MATCHED!AY96=22,MATCHED!$W96,IF(MATCHED!AY96=23,MATCHED!$X96,IF(MATCHED!AY96=24,MATCHED!$Y96,IF(MATCHED!AY96=25,MATCHED!$Z96,IF(MATCHED!AY96=26,MATCHED!$AA96,IF(MATCHED!AY96=27,MATCHED!$AB96,"."))))))</f>
        <v>#N/A</v>
      </c>
      <c r="X96" s="424" t="e">
        <f>IF(MATCHED!AZ96=1,MATCHED!$B96,IF(MATCHED!AZ96=2,MATCHED!$C96,IF(MATCHED!AZ96=3,MATCHED!$D96,IF(MATCHED!AZ96=4,MATCHED!$E96,IF(MATCHED!AZ96=3,MATCHED!$F96,IF(MATCHED!AZ96=6,MATCHED!$G96,IF(MATCHED!AZ96=7,MATCHED!$H96,"")))))))&amp;IF(MATCHED!AZ96=8,MATCHED!$I96,IF(MATCHED!AZ96=9,MATCHED!$J96,IF(MATCHED!AZ96=10,MATCHED!$K96,IF(MATCHED!AZ96=11,MATCHED!$L96,IF(MATCHED!AZ96=12,MATCHED!$M96,IF(MATCHED!AZ96=13,MATCHED!$N96,IF(MATCHED!AZ96=14,MATCHED!$O96,"")))))))&amp;IF(MATCHED!AZ96=15,MATCHED!$P96,IF(MATCHED!AZ96=16,MATCHED!$Q96,IF(MATCHED!AZ96=17,MATCHED!$R96,IF(MATCHED!AZ96=18,MATCHED!$S96,IF(MATCHED!AZ96=19,MATCHED!$T96,IF(MATCHED!AZ96=20,MATCHED!$U96,IF(MATCHED!AZ96=21,MATCHED!$V96,)))))))&amp;IF(MATCHED!AZ96=22,MATCHED!$W96,IF(MATCHED!AZ96=23,MATCHED!$X96,IF(MATCHED!AZ96=24,MATCHED!$Y96,IF(MATCHED!AZ96=25,MATCHED!$Z96,IF(MATCHED!AZ96=26,MATCHED!$AA96,IF(MATCHED!AZ96=27,MATCHED!$AB96,"."))))))</f>
        <v>#N/A</v>
      </c>
      <c r="Y96" s="424" t="e">
        <f>IF(MATCHED!BA96=1,MATCHED!$B96,IF(MATCHED!BA96=2,MATCHED!$C96,IF(MATCHED!BA96=3,MATCHED!$D96,IF(MATCHED!BA96=4,MATCHED!$E96,IF(MATCHED!BA96=3,MATCHED!$F96,IF(MATCHED!BA96=6,MATCHED!$G96,IF(MATCHED!BA96=7,MATCHED!$H96,"")))))))&amp;IF(MATCHED!BA96=8,MATCHED!$I96,IF(MATCHED!BA96=9,MATCHED!$J96,IF(MATCHED!BA96=10,MATCHED!$K96,IF(MATCHED!BA96=11,MATCHED!$L96,IF(MATCHED!BA96=12,MATCHED!$M96,IF(MATCHED!BA96=13,MATCHED!$N96,IF(MATCHED!BA96=14,MATCHED!$O96,"")))))))&amp;IF(MATCHED!BA96=15,MATCHED!$P96,IF(MATCHED!BA96=16,MATCHED!$Q96,IF(MATCHED!BA96=17,MATCHED!$R96,IF(MATCHED!BA96=18,MATCHED!$S96,IF(MATCHED!BA96=19,MATCHED!$T96,IF(MATCHED!BA96=20,MATCHED!$U96,IF(MATCHED!BA96=21,MATCHED!$V96,)))))))&amp;IF(MATCHED!BA96=22,MATCHED!$W96,IF(MATCHED!BA96=23,MATCHED!$X96,IF(MATCHED!BA96=24,MATCHED!$Y96,IF(MATCHED!BA96=25,MATCHED!$Z96,IF(MATCHED!BA96=26,MATCHED!$AA96,IF(MATCHED!BA96=27,MATCHED!$AB96,"."))))))</f>
        <v>#N/A</v>
      </c>
      <c r="Z96" s="424" t="e">
        <f>IF(MATCHED!BB96=1,MATCHED!$B96,IF(MATCHED!BB96=2,MATCHED!$C96,IF(MATCHED!BB96=3,MATCHED!$D96,IF(MATCHED!BB96=4,MATCHED!$E96,IF(MATCHED!BB96=3,MATCHED!$F96,IF(MATCHED!BB96=6,MATCHED!$G96,IF(MATCHED!BB96=7,MATCHED!$H96,"")))))))&amp;IF(MATCHED!BB96=8,MATCHED!$I96,IF(MATCHED!BB96=9,MATCHED!$J96,IF(MATCHED!BB96=10,MATCHED!$K96,IF(MATCHED!BB96=11,MATCHED!$L96,IF(MATCHED!BB96=12,MATCHED!$M96,IF(MATCHED!BB96=13,MATCHED!$N96,IF(MATCHED!BB96=14,MATCHED!$O96,"")))))))&amp;IF(MATCHED!BB96=15,MATCHED!$P96,IF(MATCHED!BB96=16,MATCHED!$Q96,IF(MATCHED!BB96=17,MATCHED!$R96,IF(MATCHED!BB96=18,MATCHED!$S96,IF(MATCHED!BB96=19,MATCHED!$T96,IF(MATCHED!BB96=20,MATCHED!$U96,IF(MATCHED!BB96=21,MATCHED!$V96,)))))))&amp;IF(MATCHED!BB96=22,MATCHED!$W96,IF(MATCHED!BB96=23,MATCHED!$X96,IF(MATCHED!BB96=24,MATCHED!$Y96,IF(MATCHED!BB96=25,MATCHED!$Z96,IF(MATCHED!BB96=26,MATCHED!$AA96,IF(MATCHED!BB96=27,MATCHED!$AB96,"."))))))</f>
        <v>#N/A</v>
      </c>
      <c r="AA96" s="424" t="e">
        <f>IF(MATCHED!BC96=1,MATCHED!$B96,IF(MATCHED!BC96=2,MATCHED!$C96,IF(MATCHED!BC96=3,MATCHED!$D96,IF(MATCHED!BC96=4,MATCHED!$E96,IF(MATCHED!BC96=3,MATCHED!$F96,IF(MATCHED!BC96=6,MATCHED!$G96,IF(MATCHED!BC96=7,MATCHED!$H96,"")))))))&amp;IF(MATCHED!BC96=8,MATCHED!$I96,IF(MATCHED!BC96=9,MATCHED!$J96,IF(MATCHED!BC96=10,MATCHED!$K96,IF(MATCHED!BC96=11,MATCHED!$L96,IF(MATCHED!BC96=12,MATCHED!$M96,IF(MATCHED!BC96=13,MATCHED!$N96,IF(MATCHED!BC96=14,MATCHED!$O96,"")))))))&amp;IF(MATCHED!BC96=15,MATCHED!$P96,IF(MATCHED!BC96=16,MATCHED!$Q96,IF(MATCHED!BC96=17,MATCHED!$R96,IF(MATCHED!BC96=18,MATCHED!$S96,IF(MATCHED!BC96=19,MATCHED!$T96,IF(MATCHED!BC96=20,MATCHED!$U96,IF(MATCHED!BC96=21,MATCHED!$V96,)))))))&amp;IF(MATCHED!BC96=22,MATCHED!$W96,IF(MATCHED!BC96=23,MATCHED!$X96,IF(MATCHED!BC96=24,MATCHED!$Y96,IF(MATCHED!BC96=25,MATCHED!$Z96,IF(MATCHED!BC96=26,MATCHED!$AA96,IF(MATCHED!BC96=27,MATCHED!$AB96,"."))))))</f>
        <v>#N/A</v>
      </c>
      <c r="AB96" s="424" t="e">
        <f>IF(MATCHED!BD96=1,MATCHED!$B96,IF(MATCHED!BD96=2,MATCHED!$C96,IF(MATCHED!BD96=3,MATCHED!$D96,IF(MATCHED!BD96=4,MATCHED!$E96,IF(MATCHED!BD96=3,MATCHED!$F96,IF(MATCHED!BD96=6,MATCHED!$G96,IF(MATCHED!BD96=7,MATCHED!$H96,"")))))))&amp;IF(MATCHED!BD96=8,MATCHED!$I96,IF(MATCHED!BD96=9,MATCHED!$J96,IF(MATCHED!BD96=10,MATCHED!$K96,IF(MATCHED!BD96=11,MATCHED!$L96,IF(MATCHED!BD96=12,MATCHED!$M96,IF(MATCHED!BD96=13,MATCHED!$N96,IF(MATCHED!BD96=14,MATCHED!$O96,"")))))))&amp;IF(MATCHED!BD96=15,MATCHED!$P96,IF(MATCHED!BD96=16,MATCHED!$Q96,IF(MATCHED!BD96=17,MATCHED!$R96,IF(MATCHED!BD96=18,MATCHED!$S96,IF(MATCHED!BD96=19,MATCHED!$T96,IF(MATCHED!BD96=20,MATCHED!$U96,IF(MATCHED!BD96=21,MATCHED!$V96,)))))))&amp;IF(MATCHED!BD96=22,MATCHED!$W96,IF(MATCHED!BD96=23,MATCHED!$X96,IF(MATCHED!BD96=24,MATCHED!$Y96,IF(MATCHED!BD96=25,MATCHED!$Z96,IF(MATCHED!BD96=26,MATCHED!$AA96,IF(MATCHED!BD96=27,MATCHED!$AB96,"."))))))</f>
        <v>#N/A</v>
      </c>
      <c r="AC96" s="424" t="e">
        <f>IF(MATCHED!BE96=1,MATCHED!$B96,IF(MATCHED!BE96=2,MATCHED!$C96,IF(MATCHED!BE96=3,MATCHED!$D96,IF(MATCHED!BE96=4,MATCHED!$E96,IF(MATCHED!BE96=3,MATCHED!$F96,IF(MATCHED!BE96=6,MATCHED!$G96,IF(MATCHED!BE96=7,MATCHED!$H96,"")))))))&amp;IF(MATCHED!BE96=8,MATCHED!$I96,IF(MATCHED!BE96=9,MATCHED!$J96,IF(MATCHED!BE96=10,MATCHED!$K96,IF(MATCHED!BE96=11,MATCHED!$L96,IF(MATCHED!BE96=12,MATCHED!$M96,IF(MATCHED!BE96=13,MATCHED!$N96,IF(MATCHED!BE96=14,MATCHED!$O96,"")))))))&amp;IF(MATCHED!BE96=15,MATCHED!$P96,IF(MATCHED!BE96=16,MATCHED!$Q96,IF(MATCHED!BE96=17,MATCHED!$R96,IF(MATCHED!BE96=18,MATCHED!$S96,IF(MATCHED!BE96=19,MATCHED!$T96,IF(MATCHED!BE96=20,MATCHED!$U96,IF(MATCHED!BE96=21,MATCHED!$V96,)))))))&amp;IF(MATCHED!BE96=22,MATCHED!$W96,IF(MATCHED!BE96=23,MATCHED!$X96,IF(MATCHED!BE96=24,MATCHED!$Y96,IF(MATCHED!BE96=25,MATCHED!$Z96,IF(MATCHED!BE96=26,MATCHED!$AA96,IF(MATCHED!BE96=27,MATCHED!$AB96,"."))))))</f>
        <v>#N/A</v>
      </c>
      <c r="AD96" s="424" t="e">
        <f>IF(MATCHED!BF96=1,MATCHED!$B96,IF(MATCHED!BF96=2,MATCHED!$C96,IF(MATCHED!BF96=3,MATCHED!$D96,IF(MATCHED!BF96=4,MATCHED!$E96,IF(MATCHED!BF96=3,MATCHED!$F96,IF(MATCHED!BF96=6,MATCHED!$G96,IF(MATCHED!BF96=7,MATCHED!$H96,"")))))))&amp;IF(MATCHED!BF96=8,MATCHED!$I96,IF(MATCHED!BF96=9,MATCHED!$J96,IF(MATCHED!BF96=10,MATCHED!$K96,IF(MATCHED!BF96=11,MATCHED!$L96,IF(MATCHED!BF96=12,MATCHED!$M96,IF(MATCHED!BF96=13,MATCHED!$N96,IF(MATCHED!BF96=14,MATCHED!$O96,"")))))))&amp;IF(MATCHED!BF96=15,MATCHED!$P96,IF(MATCHED!BF96=16,MATCHED!$Q96,IF(MATCHED!BF96=17,MATCHED!$R96,IF(MATCHED!BF96=18,MATCHED!$S96,IF(MATCHED!BF96=19,MATCHED!$T96,IF(MATCHED!BF96=20,MATCHED!$U96,IF(MATCHED!BF96=21,MATCHED!$V96,)))))))&amp;IF(MATCHED!BF96=22,MATCHED!$W96,IF(MATCHED!BF96=23,MATCHED!$X96,IF(MATCHED!BF96=24,MATCHED!$Y96,IF(MATCHED!BF96=25,MATCHED!$Z96,IF(MATCHED!BF96=26,MATCHED!$AA96,IF(MATCHED!BF96=27,MATCHED!$AB96,"."))))))</f>
        <v>#N/A</v>
      </c>
      <c r="AE96" s="424" t="e">
        <f>IF(MATCHED!BG96=1,MATCHED!$B96,IF(MATCHED!BG96=2,MATCHED!$C96,IF(MATCHED!BG96=3,MATCHED!$D96,IF(MATCHED!BG96=4,MATCHED!$E96,IF(MATCHED!BG96=3,MATCHED!$F96,IF(MATCHED!BG96=6,MATCHED!$G96,IF(MATCHED!BG96=7,MATCHED!$H96,"")))))))&amp;IF(MATCHED!BG96=8,MATCHED!$I96,IF(MATCHED!BG96=9,MATCHED!$J96,IF(MATCHED!BG96=10,MATCHED!$K96,IF(MATCHED!BG96=11,MATCHED!$L96,IF(MATCHED!BG96=12,MATCHED!$M96,IF(MATCHED!BG96=13,MATCHED!$N96,IF(MATCHED!BG96=14,MATCHED!$O96,"")))))))&amp;IF(MATCHED!BG96=15,MATCHED!$P96,IF(MATCHED!BG96=16,MATCHED!$Q96,IF(MATCHED!BG96=17,MATCHED!$R96,IF(MATCHED!BG96=18,MATCHED!$S96,IF(MATCHED!BG96=19,MATCHED!$T96,IF(MATCHED!BG96=20,MATCHED!$U96,IF(MATCHED!BG96=21,MATCHED!$V96,)))))))&amp;IF(MATCHED!BG96=22,MATCHED!$W96,IF(MATCHED!BG96=23,MATCHED!$X96,IF(MATCHED!BG96=24,MATCHED!$Y96,IF(MATCHED!BG96=25,MATCHED!$Z96,IF(MATCHED!BG96=26,MATCHED!$AA96,IF(MATCHED!BG96=27,MATCHED!$AB96,"."))))))</f>
        <v>#N/A</v>
      </c>
      <c r="AF96" s="424" t="e">
        <f>IF(MATCHED!BH96=1,MATCHED!$B96,IF(MATCHED!BH96=2,MATCHED!$C96,IF(MATCHED!BH96=3,MATCHED!$D96,IF(MATCHED!BH96=4,MATCHED!$E96,IF(MATCHED!BH96=3,MATCHED!$F96,IF(MATCHED!BH96=6,MATCHED!$G96,IF(MATCHED!BH96=7,MATCHED!$H96,"")))))))&amp;IF(MATCHED!BH96=8,MATCHED!$I96,IF(MATCHED!BH96=9,MATCHED!$J96,IF(MATCHED!BH96=10,MATCHED!$K96,IF(MATCHED!BH96=11,MATCHED!$L96,IF(MATCHED!BH96=12,MATCHED!$M96,IF(MATCHED!BH96=13,MATCHED!$N96,IF(MATCHED!BH96=14,MATCHED!$O96,"")))))))&amp;IF(MATCHED!BH96=15,MATCHED!$P96,IF(MATCHED!BH96=16,MATCHED!$Q96,IF(MATCHED!BH96=17,MATCHED!$R96,IF(MATCHED!BH96=18,MATCHED!$S96,IF(MATCHED!BH96=19,MATCHED!$T96,IF(MATCHED!BH96=20,MATCHED!$U96,IF(MATCHED!BH96=21,MATCHED!$V96,)))))))&amp;IF(MATCHED!BH96=22,MATCHED!$W96,IF(MATCHED!BH96=23,MATCHED!$X96,IF(MATCHED!BH96=24,MATCHED!$Y96,IF(MATCHED!BH96=25,MATCHED!$Z96,IF(MATCHED!BH96=26,MATCHED!$AA96,IF(MATCHED!BH96=27,MATCHED!$AB96,"."))))))</f>
        <v>#N/A</v>
      </c>
      <c r="AG96" s="424" t="e">
        <f>IF(MATCHED!BI96=1,MATCHED!$B96,IF(MATCHED!BI96=2,MATCHED!$C96,IF(MATCHED!BI96=3,MATCHED!$D96,IF(MATCHED!BI96=4,MATCHED!$E96,IF(MATCHED!BI96=3,MATCHED!$F96,IF(MATCHED!BI96=6,MATCHED!$G96,IF(MATCHED!BI96=7,MATCHED!$H96,"")))))))&amp;IF(MATCHED!BI96=8,MATCHED!$I96,IF(MATCHED!BI96=9,MATCHED!$J96,IF(MATCHED!BI96=10,MATCHED!$K96,IF(MATCHED!BI96=11,MATCHED!$L96,IF(MATCHED!BI96=12,MATCHED!$M96,IF(MATCHED!BI96=13,MATCHED!$N96,IF(MATCHED!BI96=14,MATCHED!$O96,"")))))))&amp;IF(MATCHED!BI96=15,MATCHED!$P96,IF(MATCHED!BI96=16,MATCHED!$Q96,IF(MATCHED!BI96=17,MATCHED!$R96,IF(MATCHED!BI96=18,MATCHED!$S96,IF(MATCHED!BI96=19,MATCHED!$T96,IF(MATCHED!BI96=20,MATCHED!$U96,IF(MATCHED!BI96=21,MATCHED!$V96,)))))))&amp;IF(MATCHED!BI96=22,MATCHED!$W96,IF(MATCHED!BI96=23,MATCHED!$X96,IF(MATCHED!BI96=24,MATCHED!$Y96,IF(MATCHED!BI96=25,MATCHED!$Z96,IF(MATCHED!BI96=26,MATCHED!$AA96,IF(MATCHED!BI96=27,MATCHED!$AB96,"."))))))</f>
        <v>#N/A</v>
      </c>
      <c r="AH96" s="424" t="e">
        <f>IF(MATCHED!BJ96=1,MATCHED!$B96,IF(MATCHED!BJ96=2,MATCHED!$C96,IF(MATCHED!BJ96=3,MATCHED!$D96,IF(MATCHED!BJ96=4,MATCHED!$E96,IF(MATCHED!BJ96=3,MATCHED!$F96,IF(MATCHED!BJ96=6,MATCHED!$G96,IF(MATCHED!BJ96=7,MATCHED!$H96,"")))))))&amp;IF(MATCHED!BJ96=8,MATCHED!$I96,IF(MATCHED!BJ96=9,MATCHED!$J96,IF(MATCHED!BJ96=10,MATCHED!$K96,IF(MATCHED!BJ96=11,MATCHED!$L96,IF(MATCHED!BJ96=12,MATCHED!$M96,IF(MATCHED!BJ96=13,MATCHED!$N96,IF(MATCHED!BJ96=14,MATCHED!$O96,"")))))))&amp;IF(MATCHED!BJ96=15,MATCHED!$P96,IF(MATCHED!BJ96=16,MATCHED!$Q96,IF(MATCHED!BJ96=17,MATCHED!$R96,IF(MATCHED!BJ96=18,MATCHED!$S96,IF(MATCHED!BJ96=19,MATCHED!$T96,IF(MATCHED!BJ96=20,MATCHED!$U96,IF(MATCHED!BJ96=21,MATCHED!$V96,)))))))&amp;IF(MATCHED!BJ96=22,MATCHED!$W96,IF(MATCHED!BJ96=23,MATCHED!$X96,IF(MATCHED!BJ96=24,MATCHED!$Y96,IF(MATCHED!BJ96=25,MATCHED!$Z96,IF(MATCHED!BJ96=26,MATCHED!$AA96,IF(MATCHED!BJ96=27,MATCHED!$AB96,"."))))))</f>
        <v>#N/A</v>
      </c>
      <c r="AI96" s="424" t="e">
        <f>IF(MATCHED!BK96=1,MATCHED!$B96,IF(MATCHED!BK96=2,MATCHED!$C96,IF(MATCHED!BK96=3,MATCHED!$D96,IF(MATCHED!BK96=4,MATCHED!$E96,IF(MATCHED!BK96=3,MATCHED!$F96,IF(MATCHED!BK96=6,MATCHED!$G96,IF(MATCHED!BK96=7,MATCHED!$H96,"")))))))&amp;IF(MATCHED!BK96=8,MATCHED!$I96,IF(MATCHED!BK96=9,MATCHED!$J96,IF(MATCHED!BK96=10,MATCHED!$K96,IF(MATCHED!BK96=11,MATCHED!$L96,IF(MATCHED!BK96=12,MATCHED!$M96,IF(MATCHED!BK96=13,MATCHED!$N96,IF(MATCHED!BK96=14,MATCHED!$O96,"")))))))&amp;IF(MATCHED!BK96=15,MATCHED!$P96,IF(MATCHED!BK96=16,MATCHED!$Q96,IF(MATCHED!BK96=17,MATCHED!$R96,IF(MATCHED!BK96=18,MATCHED!$S96,IF(MATCHED!BK96=19,MATCHED!$T96,IF(MATCHED!BK96=20,MATCHED!$U96,IF(MATCHED!BK96=21,MATCHED!$V96,)))))))&amp;IF(MATCHED!BK96=22,MATCHED!$W96,IF(MATCHED!BK96=23,MATCHED!$X96,IF(MATCHED!BK96=24,MATCHED!$Y96,IF(MATCHED!BK96=25,MATCHED!$Z96,IF(MATCHED!BK96=26,MATCHED!$AA96,IF(MATCHED!BK96=27,MATCHED!$AB96,"."))))))</f>
        <v>#N/A</v>
      </c>
      <c r="AJ96" s="535"/>
    </row>
    <row r="97" spans="1:36" s="338" customFormat="1" x14ac:dyDescent="0.25">
      <c r="A97" s="535"/>
      <c r="B97" s="424" t="e">
        <f>IF(MATCHED!AD97=1,MATCHED!$B97,IF(MATCHED!AD97=2,MATCHED!$C97,IF(MATCHED!AD97=3,MATCHED!$D97,IF(MATCHED!AD97=4,MATCHED!$E97,IF(MATCHED!AD97=3,MATCHED!$F97,IF(MATCHED!AD97=6,MATCHED!$G97,IF(MATCHED!AD97=7,MATCHED!$H97,"")))))))&amp;IF(MATCHED!AD97=8,MATCHED!$I97,IF(MATCHED!AD97=9,MATCHED!$J97,IF(MATCHED!AD97=10,MATCHED!$K97,IF(MATCHED!AD97=11,MATCHED!$L97,IF(MATCHED!AD97=12,MATCHED!$M97,IF(MATCHED!AD97=13,MATCHED!$N97,IF(MATCHED!AD97=14,MATCHED!$O97,"")))))))&amp;IF(MATCHED!AD97=15,MATCHED!$P97,IF(MATCHED!AD97=16,MATCHED!$Q97,IF(MATCHED!AD97=17,MATCHED!$R97,IF(MATCHED!AD97=18,MATCHED!$S97,IF(MATCHED!AD97=19,MATCHED!$T97,IF(MATCHED!AD97=20,MATCHED!$U97,IF(MATCHED!AD97=21,MATCHED!$V97,)))))))&amp;IF(MATCHED!AD97=22,MATCHED!$W97,IF(MATCHED!AD97=23,MATCHED!$X97,IF(MATCHED!AD97=24,MATCHED!$Y97,IF(MATCHED!AD97=25,MATCHED!$Z97,IF(MATCHED!AD97=26,MATCHED!$AA97,IF(MATCHED!AD97=27,MATCHED!$AB97,"."))))))</f>
        <v>#N/A</v>
      </c>
      <c r="C97" s="424" t="e">
        <f>IF(MATCHED!AE97=1,MATCHED!$B97,IF(MATCHED!AE97=2,MATCHED!$C97,IF(MATCHED!AE97=3,MATCHED!$D97,IF(MATCHED!AE97=4,MATCHED!$E97,IF(MATCHED!AE97=3,MATCHED!$F97,IF(MATCHED!AE97=6,MATCHED!$G97,IF(MATCHED!AE97=7,MATCHED!$H97,"")))))))&amp;IF(MATCHED!AE97=8,MATCHED!$I97,IF(MATCHED!AE97=9,MATCHED!$J97,IF(MATCHED!AE97=10,MATCHED!$K97,IF(MATCHED!AE97=11,MATCHED!$L97,IF(MATCHED!AE97=12,MATCHED!$M97,IF(MATCHED!AE97=13,MATCHED!$N97,IF(MATCHED!AE97=14,MATCHED!$O97,"")))))))&amp;IF(MATCHED!AE97=15,MATCHED!$P97,IF(MATCHED!AE97=16,MATCHED!$Q97,IF(MATCHED!AE97=17,MATCHED!$R97,IF(MATCHED!AE97=18,MATCHED!$S97,IF(MATCHED!AE97=19,MATCHED!$T97,IF(MATCHED!AE97=20,MATCHED!$U97,IF(MATCHED!AE97=21,MATCHED!$V97,)))))))&amp;IF(MATCHED!AE97=22,MATCHED!$W97,IF(MATCHED!AE97=23,MATCHED!$X97,IF(MATCHED!AE97=24,MATCHED!$Y97,IF(MATCHED!AE97=25,MATCHED!$Z97,IF(MATCHED!AE97=26,MATCHED!$AA97,IF(MATCHED!AE97=27,MATCHED!$AB97,"."))))))</f>
        <v>#N/A</v>
      </c>
      <c r="D97" s="424" t="e">
        <f>IF(MATCHED!AF97=1,MATCHED!$B97,IF(MATCHED!AF97=2,MATCHED!$C97,IF(MATCHED!AF97=3,MATCHED!$D97,IF(MATCHED!AF97=4,MATCHED!$E97,IF(MATCHED!AF97=3,MATCHED!$F97,IF(MATCHED!AF97=6,MATCHED!$G97,IF(MATCHED!AF97=7,MATCHED!$H97,"")))))))&amp;IF(MATCHED!AF97=8,MATCHED!$I97,IF(MATCHED!AF97=9,MATCHED!$J97,IF(MATCHED!AF97=10,MATCHED!$K97,IF(MATCHED!AF97=11,MATCHED!$L97,IF(MATCHED!AF97=12,MATCHED!$M97,IF(MATCHED!AF97=13,MATCHED!$N97,IF(MATCHED!AF97=14,MATCHED!$O97,"")))))))&amp;IF(MATCHED!AF97=15,MATCHED!$P97,IF(MATCHED!AF97=16,MATCHED!$Q97,IF(MATCHED!AF97=17,MATCHED!$R97,IF(MATCHED!AF97=18,MATCHED!$S97,IF(MATCHED!AF97=19,MATCHED!$T97,IF(MATCHED!AF97=20,MATCHED!$U97,IF(MATCHED!AF97=21,MATCHED!$V97,)))))))&amp;IF(MATCHED!AF97=22,MATCHED!$W97,IF(MATCHED!AF97=23,MATCHED!$X97,IF(MATCHED!AF97=24,MATCHED!$Y97,IF(MATCHED!AF97=25,MATCHED!$Z97,IF(MATCHED!AF97=26,MATCHED!$AA97,IF(MATCHED!AF97=27,MATCHED!$AB97,"."))))))</f>
        <v>#N/A</v>
      </c>
      <c r="E97" s="424" t="e">
        <f>IF(MATCHED!AG97=1,MATCHED!$B97,IF(MATCHED!AG97=2,MATCHED!$C97,IF(MATCHED!AG97=3,MATCHED!$D97,IF(MATCHED!AG97=4,MATCHED!$E97,IF(MATCHED!AG97=3,MATCHED!$F97,IF(MATCHED!AG97=6,MATCHED!$G97,IF(MATCHED!AG97=7,MATCHED!$H97,"")))))))&amp;IF(MATCHED!AG97=8,MATCHED!$I97,IF(MATCHED!AG97=9,MATCHED!$J97,IF(MATCHED!AG97=10,MATCHED!$K97,IF(MATCHED!AG97=11,MATCHED!$L97,IF(MATCHED!AG97=12,MATCHED!$M97,IF(MATCHED!AG97=13,MATCHED!$N97,IF(MATCHED!AG97=14,MATCHED!$O97,"")))))))&amp;IF(MATCHED!AG97=15,MATCHED!$P97,IF(MATCHED!AG97=16,MATCHED!$Q97,IF(MATCHED!AG97=17,MATCHED!$R97,IF(MATCHED!AG97=18,MATCHED!$S97,IF(MATCHED!AG97=19,MATCHED!$T97,IF(MATCHED!AG97=20,MATCHED!$U97,IF(MATCHED!AG97=21,MATCHED!$V97,)))))))&amp;IF(MATCHED!AG97=22,MATCHED!$W97,IF(MATCHED!AG97=23,MATCHED!$X97,IF(MATCHED!AG97=24,MATCHED!$Y97,IF(MATCHED!AG97=25,MATCHED!$Z97,IF(MATCHED!AG97=26,MATCHED!$AA97,IF(MATCHED!AG97=27,MATCHED!$AB97,"."))))))</f>
        <v>#N/A</v>
      </c>
      <c r="F97" s="424" t="e">
        <f>IF(MATCHED!AH97=1,MATCHED!$B97,IF(MATCHED!AH97=2,MATCHED!$C97,IF(MATCHED!AH97=3,MATCHED!$D97,IF(MATCHED!AH97=4,MATCHED!$E97,IF(MATCHED!AH97=3,MATCHED!$F97,IF(MATCHED!AH97=6,MATCHED!$G97,IF(MATCHED!AH97=7,MATCHED!$H97,"")))))))&amp;IF(MATCHED!AH97=8,MATCHED!$I97,IF(MATCHED!AH97=9,MATCHED!$J97,IF(MATCHED!AH97=10,MATCHED!$K97,IF(MATCHED!AH97=11,MATCHED!$L97,IF(MATCHED!AH97=12,MATCHED!$M97,IF(MATCHED!AH97=13,MATCHED!$N97,IF(MATCHED!AH97=14,MATCHED!$O97,"")))))))&amp;IF(MATCHED!AH97=15,MATCHED!$P97,IF(MATCHED!AH97=16,MATCHED!$Q97,IF(MATCHED!AH97=17,MATCHED!$R97,IF(MATCHED!AH97=18,MATCHED!$S97,IF(MATCHED!AH97=19,MATCHED!$T97,IF(MATCHED!AH97=20,MATCHED!$U97,IF(MATCHED!AH97=21,MATCHED!$V97,)))))))&amp;IF(MATCHED!AH97=22,MATCHED!$W97,IF(MATCHED!AH97=23,MATCHED!$X97,IF(MATCHED!AH97=24,MATCHED!$Y97,IF(MATCHED!AH97=25,MATCHED!$Z97,IF(MATCHED!AH97=26,MATCHED!$AA97,IF(MATCHED!AH97=27,MATCHED!$AB97,"."))))))</f>
        <v>#N/A</v>
      </c>
      <c r="G97" s="424" t="e">
        <f>IF(MATCHED!AI97=1,MATCHED!$B97,IF(MATCHED!AI97=2,MATCHED!$C97,IF(MATCHED!AI97=3,MATCHED!$D97,IF(MATCHED!AI97=4,MATCHED!$E97,IF(MATCHED!AI97=3,MATCHED!$F97,IF(MATCHED!AI97=6,MATCHED!$G97,IF(MATCHED!AI97=7,MATCHED!$H97,"")))))))&amp;IF(MATCHED!AI97=8,MATCHED!$I97,IF(MATCHED!AI97=9,MATCHED!$J97,IF(MATCHED!AI97=10,MATCHED!$K97,IF(MATCHED!AI97=11,MATCHED!$L97,IF(MATCHED!AI97=12,MATCHED!$M97,IF(MATCHED!AI97=13,MATCHED!$N97,IF(MATCHED!AI97=14,MATCHED!$O97,"")))))))&amp;IF(MATCHED!AI97=15,MATCHED!$P97,IF(MATCHED!AI97=16,MATCHED!$Q97,IF(MATCHED!AI97=17,MATCHED!$R97,IF(MATCHED!AI97=18,MATCHED!$S97,IF(MATCHED!AI97=19,MATCHED!$T97,IF(MATCHED!AI97=20,MATCHED!$U97,IF(MATCHED!AI97=21,MATCHED!$V97,)))))))&amp;IF(MATCHED!AI97=22,MATCHED!$W97,IF(MATCHED!AI97=23,MATCHED!$X97,IF(MATCHED!AI97=24,MATCHED!$Y97,IF(MATCHED!AI97=25,MATCHED!$Z97,IF(MATCHED!AI97=26,MATCHED!$AA97,IF(MATCHED!AI97=27,MATCHED!$AB97,"."))))))</f>
        <v>#N/A</v>
      </c>
      <c r="H97" s="424" t="e">
        <f>IF(MATCHED!AJ97=1,MATCHED!$B97,IF(MATCHED!AJ97=2,MATCHED!$C97,IF(MATCHED!AJ97=3,MATCHED!$D97,IF(MATCHED!AJ97=4,MATCHED!$E97,IF(MATCHED!AJ97=3,MATCHED!$F97,IF(MATCHED!AJ97=6,MATCHED!$G97,IF(MATCHED!AJ97=7,MATCHED!$H97,"")))))))&amp;IF(MATCHED!AJ97=8,MATCHED!$I97,IF(MATCHED!AJ97=9,MATCHED!$J97,IF(MATCHED!AJ97=10,MATCHED!$K97,IF(MATCHED!AJ97=11,MATCHED!$L97,IF(MATCHED!AJ97=12,MATCHED!$M97,IF(MATCHED!AJ97=13,MATCHED!$N97,IF(MATCHED!AJ97=14,MATCHED!$O97,"")))))))&amp;IF(MATCHED!AJ97=15,MATCHED!$P97,IF(MATCHED!AJ97=16,MATCHED!$Q97,IF(MATCHED!AJ97=17,MATCHED!$R97,IF(MATCHED!AJ97=18,MATCHED!$S97,IF(MATCHED!AJ97=19,MATCHED!$T97,IF(MATCHED!AJ97=20,MATCHED!$U97,IF(MATCHED!AJ97=21,MATCHED!$V97,)))))))&amp;IF(MATCHED!AJ97=22,MATCHED!$W97,IF(MATCHED!AJ97=23,MATCHED!$X97,IF(MATCHED!AJ97=24,MATCHED!$Y97,IF(MATCHED!AJ97=25,MATCHED!$Z97,IF(MATCHED!AJ97=26,MATCHED!$AA97,IF(MATCHED!AJ97=27,MATCHED!$AB97,"."))))))</f>
        <v>#N/A</v>
      </c>
      <c r="I97" s="424" t="e">
        <f>IF(MATCHED!AK97=1,MATCHED!$B97,IF(MATCHED!AK97=2,MATCHED!$C97,IF(MATCHED!AK97=3,MATCHED!$D97,IF(MATCHED!AK97=4,MATCHED!$E97,IF(MATCHED!AK97=3,MATCHED!$F97,IF(MATCHED!AK97=6,MATCHED!$G97,IF(MATCHED!AK97=7,MATCHED!$H97,"")))))))&amp;IF(MATCHED!AK97=8,MATCHED!$I97,IF(MATCHED!AK97=9,MATCHED!$J97,IF(MATCHED!AK97=10,MATCHED!$K97,IF(MATCHED!AK97=11,MATCHED!$L97,IF(MATCHED!AK97=12,MATCHED!$M97,IF(MATCHED!AK97=13,MATCHED!$N97,IF(MATCHED!AK97=14,MATCHED!$O97,"")))))))&amp;IF(MATCHED!AK97=15,MATCHED!$P97,IF(MATCHED!AK97=16,MATCHED!$Q97,IF(MATCHED!AK97=17,MATCHED!$R97,IF(MATCHED!AK97=18,MATCHED!$S97,IF(MATCHED!AK97=19,MATCHED!$T97,IF(MATCHED!AK97=20,MATCHED!$U97,IF(MATCHED!AK97=21,MATCHED!$V97,)))))))&amp;IF(MATCHED!AK97=22,MATCHED!$W97,IF(MATCHED!AK97=23,MATCHED!$X97,IF(MATCHED!AK97=24,MATCHED!$Y97,IF(MATCHED!AK97=25,MATCHED!$Z97,IF(MATCHED!AK97=26,MATCHED!$AA97,IF(MATCHED!AK97=27,MATCHED!$AB97,"."))))))</f>
        <v>#N/A</v>
      </c>
      <c r="J97" s="424" t="e">
        <f>IF(MATCHED!AL97=1,MATCHED!$B97,IF(MATCHED!AL97=2,MATCHED!$C97,IF(MATCHED!AL97=3,MATCHED!$D97,IF(MATCHED!AL97=4,MATCHED!$E97,IF(MATCHED!AL97=3,MATCHED!$F97,IF(MATCHED!AL97=6,MATCHED!$G97,IF(MATCHED!AL97=7,MATCHED!$H97,"")))))))&amp;IF(MATCHED!AL97=8,MATCHED!$I97,IF(MATCHED!AL97=9,MATCHED!$J97,IF(MATCHED!AL97=10,MATCHED!$K97,IF(MATCHED!AL97=11,MATCHED!$L97,IF(MATCHED!AL97=12,MATCHED!$M97,IF(MATCHED!AL97=13,MATCHED!$N97,IF(MATCHED!AL97=14,MATCHED!$O97,"")))))))&amp;IF(MATCHED!AL97=15,MATCHED!$P97,IF(MATCHED!AL97=16,MATCHED!$Q97,IF(MATCHED!AL97=17,MATCHED!$R97,IF(MATCHED!AL97=18,MATCHED!$S97,IF(MATCHED!AL97=19,MATCHED!$T97,IF(MATCHED!AL97=20,MATCHED!$U97,IF(MATCHED!AL97=21,MATCHED!$V97,)))))))&amp;IF(MATCHED!AL97=22,MATCHED!$W97,IF(MATCHED!AL97=23,MATCHED!$X97,IF(MATCHED!AL97=24,MATCHED!$Y97,IF(MATCHED!AL97=25,MATCHED!$Z97,IF(MATCHED!AL97=26,MATCHED!$AA97,IF(MATCHED!AL97=27,MATCHED!$AB97,"."))))))</f>
        <v>#N/A</v>
      </c>
      <c r="K97" s="424" t="e">
        <f>IF(MATCHED!AM97=1,MATCHED!$B97,IF(MATCHED!AM97=2,MATCHED!$C97,IF(MATCHED!AM97=3,MATCHED!$D97,IF(MATCHED!AM97=4,MATCHED!$E97,IF(MATCHED!AM97=3,MATCHED!$F97,IF(MATCHED!AM97=6,MATCHED!$G97,IF(MATCHED!AM97=7,MATCHED!$H97,"")))))))&amp;IF(MATCHED!AM97=8,MATCHED!$I97,IF(MATCHED!AM97=9,MATCHED!$J97,IF(MATCHED!AM97=10,MATCHED!$K97,IF(MATCHED!AM97=11,MATCHED!$L97,IF(MATCHED!AM97=12,MATCHED!$M97,IF(MATCHED!AM97=13,MATCHED!$N97,IF(MATCHED!AM97=14,MATCHED!$O97,"")))))))&amp;IF(MATCHED!AM97=15,MATCHED!$P97,IF(MATCHED!AM97=16,MATCHED!$Q97,IF(MATCHED!AM97=17,MATCHED!$R97,IF(MATCHED!AM97=18,MATCHED!$S97,IF(MATCHED!AM97=19,MATCHED!$T97,IF(MATCHED!AM97=20,MATCHED!$U97,IF(MATCHED!AM97=21,MATCHED!$V97,)))))))&amp;IF(MATCHED!AM97=22,MATCHED!$W97,IF(MATCHED!AM97=23,MATCHED!$X97,IF(MATCHED!AM97=24,MATCHED!$Y97,IF(MATCHED!AM97=25,MATCHED!$Z97,IF(MATCHED!AM97=26,MATCHED!$AA97,IF(MATCHED!AM97=27,MATCHED!$AB97,"."))))))</f>
        <v>#N/A</v>
      </c>
      <c r="L97" s="424" t="e">
        <f>IF(MATCHED!AN97=1,MATCHED!$B97,IF(MATCHED!AN97=2,MATCHED!$C97,IF(MATCHED!AN97=3,MATCHED!$D97,IF(MATCHED!AN97=4,MATCHED!$E97,IF(MATCHED!AN97=3,MATCHED!$F97,IF(MATCHED!AN97=6,MATCHED!$G97,IF(MATCHED!AN97=7,MATCHED!$H97,"")))))))&amp;IF(MATCHED!AN97=8,MATCHED!$I97,IF(MATCHED!AN97=9,MATCHED!$J97,IF(MATCHED!AN97=10,MATCHED!$K97,IF(MATCHED!AN97=11,MATCHED!$L97,IF(MATCHED!AN97=12,MATCHED!$M97,IF(MATCHED!AN97=13,MATCHED!$N97,IF(MATCHED!AN97=14,MATCHED!$O97,"")))))))&amp;IF(MATCHED!AN97=15,MATCHED!$P97,IF(MATCHED!AN97=16,MATCHED!$Q97,IF(MATCHED!AN97=17,MATCHED!$R97,IF(MATCHED!AN97=18,MATCHED!$S97,IF(MATCHED!AN97=19,MATCHED!$T97,IF(MATCHED!AN97=20,MATCHED!$U97,IF(MATCHED!AN97=21,MATCHED!$V97,)))))))&amp;IF(MATCHED!AN97=22,MATCHED!$W97,IF(MATCHED!AN97=23,MATCHED!$X97,IF(MATCHED!AN97=24,MATCHED!$Y97,IF(MATCHED!AN97=25,MATCHED!$Z97,IF(MATCHED!AN97=26,MATCHED!$AA97,IF(MATCHED!AN97=27,MATCHED!$AB97,"."))))))</f>
        <v>#N/A</v>
      </c>
      <c r="M97" s="424" t="e">
        <f>IF(MATCHED!AO97=1,MATCHED!$B97,IF(MATCHED!AO97=2,MATCHED!$C97,IF(MATCHED!AO97=3,MATCHED!$D97,IF(MATCHED!AO97=4,MATCHED!$E97,IF(MATCHED!AO97=3,MATCHED!$F97,IF(MATCHED!AO97=6,MATCHED!$G97,IF(MATCHED!AO97=7,MATCHED!$H97,"")))))))&amp;IF(MATCHED!AO97=8,MATCHED!$I97,IF(MATCHED!AO97=9,MATCHED!$J97,IF(MATCHED!AO97=10,MATCHED!$K97,IF(MATCHED!AO97=11,MATCHED!$L97,IF(MATCHED!AO97=12,MATCHED!$M97,IF(MATCHED!AO97=13,MATCHED!$N97,IF(MATCHED!AO97=14,MATCHED!$O97,"")))))))&amp;IF(MATCHED!AO97=15,MATCHED!$P97,IF(MATCHED!AO97=16,MATCHED!$Q97,IF(MATCHED!AO97=17,MATCHED!$R97,IF(MATCHED!AO97=18,MATCHED!$S97,IF(MATCHED!AO97=19,MATCHED!$T97,IF(MATCHED!AO97=20,MATCHED!$U97,IF(MATCHED!AO97=21,MATCHED!$V97,)))))))&amp;IF(MATCHED!AO97=22,MATCHED!$W97,IF(MATCHED!AO97=23,MATCHED!$X97,IF(MATCHED!AO97=24,MATCHED!$Y97,IF(MATCHED!AO97=25,MATCHED!$Z97,IF(MATCHED!AO97=26,MATCHED!$AA97,IF(MATCHED!AO97=27,MATCHED!$AB97,"."))))))</f>
        <v>#N/A</v>
      </c>
      <c r="N97" s="424" t="e">
        <f>IF(MATCHED!AP97=1,MATCHED!$B97,IF(MATCHED!AP97=2,MATCHED!$C97,IF(MATCHED!AP97=3,MATCHED!$D97,IF(MATCHED!AP97=4,MATCHED!$E97,IF(MATCHED!AP97=3,MATCHED!$F97,IF(MATCHED!AP97=6,MATCHED!$G97,IF(MATCHED!AP97=7,MATCHED!$H97,"")))))))&amp;IF(MATCHED!AP97=8,MATCHED!$I97,IF(MATCHED!AP97=9,MATCHED!$J97,IF(MATCHED!AP97=10,MATCHED!$K97,IF(MATCHED!AP97=11,MATCHED!$L97,IF(MATCHED!AP97=12,MATCHED!$M97,IF(MATCHED!AP97=13,MATCHED!$N97,IF(MATCHED!AP97=14,MATCHED!$O97,"")))))))&amp;IF(MATCHED!AP97=15,MATCHED!$P97,IF(MATCHED!AP97=16,MATCHED!$Q97,IF(MATCHED!AP97=17,MATCHED!$R97,IF(MATCHED!AP97=18,MATCHED!$S97,IF(MATCHED!AP97=19,MATCHED!$T97,IF(MATCHED!AP97=20,MATCHED!$U97,IF(MATCHED!AP97=21,MATCHED!$V97,)))))))&amp;IF(MATCHED!AP97=22,MATCHED!$W97,IF(MATCHED!AP97=23,MATCHED!$X97,IF(MATCHED!AP97=24,MATCHED!$Y97,IF(MATCHED!AP97=25,MATCHED!$Z97,IF(MATCHED!AP97=26,MATCHED!$AA97,IF(MATCHED!AP97=27,MATCHED!$AB97,"."))))))</f>
        <v>#N/A</v>
      </c>
      <c r="O97" s="424" t="e">
        <f>IF(MATCHED!AQ97=1,MATCHED!$B97,IF(MATCHED!AQ97=2,MATCHED!$C97,IF(MATCHED!AQ97=3,MATCHED!$D97,IF(MATCHED!AQ97=4,MATCHED!$E97,IF(MATCHED!AQ97=3,MATCHED!$F97,IF(MATCHED!AQ97=6,MATCHED!$G97,IF(MATCHED!AQ97=7,MATCHED!$H97,"")))))))&amp;IF(MATCHED!AQ97=8,MATCHED!$I97,IF(MATCHED!AQ97=9,MATCHED!$J97,IF(MATCHED!AQ97=10,MATCHED!$K97,IF(MATCHED!AQ97=11,MATCHED!$L97,IF(MATCHED!AQ97=12,MATCHED!$M97,IF(MATCHED!AQ97=13,MATCHED!$N97,IF(MATCHED!AQ97=14,MATCHED!$O97,"")))))))&amp;IF(MATCHED!AQ97=15,MATCHED!$P97,IF(MATCHED!AQ97=16,MATCHED!$Q97,IF(MATCHED!AQ97=17,MATCHED!$R97,IF(MATCHED!AQ97=18,MATCHED!$S97,IF(MATCHED!AQ97=19,MATCHED!$T97,IF(MATCHED!AQ97=20,MATCHED!$U97,IF(MATCHED!AQ97=21,MATCHED!$V97,)))))))&amp;IF(MATCHED!AQ97=22,MATCHED!$W97,IF(MATCHED!AQ97=23,MATCHED!$X97,IF(MATCHED!AQ97=24,MATCHED!$Y97,IF(MATCHED!AQ97=25,MATCHED!$Z97,IF(MATCHED!AQ97=26,MATCHED!$AA97,IF(MATCHED!AQ97=27,MATCHED!$AB97,"."))))))</f>
        <v>#N/A</v>
      </c>
      <c r="P97" s="424" t="e">
        <f>IF(MATCHED!AR97=1,MATCHED!$B97,IF(MATCHED!AR97=2,MATCHED!$C97,IF(MATCHED!AR97=3,MATCHED!$D97,IF(MATCHED!AR97=4,MATCHED!$E97,IF(MATCHED!AR97=3,MATCHED!$F97,IF(MATCHED!AR97=6,MATCHED!$G97,IF(MATCHED!AR97=7,MATCHED!$H97,"")))))))&amp;IF(MATCHED!AR97=8,MATCHED!$I97,IF(MATCHED!AR97=9,MATCHED!$J97,IF(MATCHED!AR97=10,MATCHED!$K97,IF(MATCHED!AR97=11,MATCHED!$L97,IF(MATCHED!AR97=12,MATCHED!$M97,IF(MATCHED!AR97=13,MATCHED!$N97,IF(MATCHED!AR97=14,MATCHED!$O97,"")))))))&amp;IF(MATCHED!AR97=15,MATCHED!$P97,IF(MATCHED!AR97=16,MATCHED!$Q97,IF(MATCHED!AR97=17,MATCHED!$R97,IF(MATCHED!AR97=18,MATCHED!$S97,IF(MATCHED!AR97=19,MATCHED!$T97,IF(MATCHED!AR97=20,MATCHED!$U97,IF(MATCHED!AR97=21,MATCHED!$V97,)))))))&amp;IF(MATCHED!AR97=22,MATCHED!$W97,IF(MATCHED!AR97=23,MATCHED!$X97,IF(MATCHED!AR97=24,MATCHED!$Y97,IF(MATCHED!AR97=25,MATCHED!$Z97,IF(MATCHED!AR97=26,MATCHED!$AA97,IF(MATCHED!AR97=27,MATCHED!$AB97,"."))))))</f>
        <v>#N/A</v>
      </c>
      <c r="Q97" s="424" t="e">
        <f>IF(MATCHED!AS97=1,MATCHED!$B97,IF(MATCHED!AS97=2,MATCHED!$C97,IF(MATCHED!AS97=3,MATCHED!$D97,IF(MATCHED!AS97=4,MATCHED!$E97,IF(MATCHED!AS97=3,MATCHED!$F97,IF(MATCHED!AS97=6,MATCHED!$G97,IF(MATCHED!AS97=7,MATCHED!$H97,"")))))))&amp;IF(MATCHED!AS97=8,MATCHED!$I97,IF(MATCHED!AS97=9,MATCHED!$J97,IF(MATCHED!AS97=10,MATCHED!$K97,IF(MATCHED!AS97=11,MATCHED!$L97,IF(MATCHED!AS97=12,MATCHED!$M97,IF(MATCHED!AS97=13,MATCHED!$N97,IF(MATCHED!AS97=14,MATCHED!$O97,"")))))))&amp;IF(MATCHED!AS97=15,MATCHED!$P97,IF(MATCHED!AS97=16,MATCHED!$Q97,IF(MATCHED!AS97=17,MATCHED!$R97,IF(MATCHED!AS97=18,MATCHED!$S97,IF(MATCHED!AS97=19,MATCHED!$T97,IF(MATCHED!AS97=20,MATCHED!$U97,IF(MATCHED!AS97=21,MATCHED!$V97,)))))))&amp;IF(MATCHED!AS97=22,MATCHED!$W97,IF(MATCHED!AS97=23,MATCHED!$X97,IF(MATCHED!AS97=24,MATCHED!$Y97,IF(MATCHED!AS97=25,MATCHED!$Z97,IF(MATCHED!AS97=26,MATCHED!$AA97,IF(MATCHED!AS97=27,MATCHED!$AB97,"."))))))</f>
        <v>#N/A</v>
      </c>
      <c r="R97" s="424" t="e">
        <f>IF(MATCHED!AT97=1,MATCHED!$B97,IF(MATCHED!AT97=2,MATCHED!$C97,IF(MATCHED!AT97=3,MATCHED!$D97,IF(MATCHED!AT97=4,MATCHED!$E97,IF(MATCHED!AT97=3,MATCHED!$F97,IF(MATCHED!AT97=6,MATCHED!$G97,IF(MATCHED!AT97=7,MATCHED!$H97,"")))))))&amp;IF(MATCHED!AT97=8,MATCHED!$I97,IF(MATCHED!AT97=9,MATCHED!$J97,IF(MATCHED!AT97=10,MATCHED!$K97,IF(MATCHED!AT97=11,MATCHED!$L97,IF(MATCHED!AT97=12,MATCHED!$M97,IF(MATCHED!AT97=13,MATCHED!$N97,IF(MATCHED!AT97=14,MATCHED!$O97,"")))))))&amp;IF(MATCHED!AT97=15,MATCHED!$P97,IF(MATCHED!AT97=16,MATCHED!$Q97,IF(MATCHED!AT97=17,MATCHED!$R97,IF(MATCHED!AT97=18,MATCHED!$S97,IF(MATCHED!AT97=19,MATCHED!$T97,IF(MATCHED!AT97=20,MATCHED!$U97,IF(MATCHED!AT97=21,MATCHED!$V97,)))))))&amp;IF(MATCHED!AT97=22,MATCHED!$W97,IF(MATCHED!AT97=23,MATCHED!$X97,IF(MATCHED!AT97=24,MATCHED!$Y97,IF(MATCHED!AT97=25,MATCHED!$Z97,IF(MATCHED!AT97=26,MATCHED!$AA97,IF(MATCHED!AT97=27,MATCHED!$AB97,"."))))))</f>
        <v>#N/A</v>
      </c>
      <c r="S97" s="424" t="e">
        <f>IF(MATCHED!AU97=1,MATCHED!$B97,IF(MATCHED!AU97=2,MATCHED!$C97,IF(MATCHED!AU97=3,MATCHED!$D97,IF(MATCHED!AU97=4,MATCHED!$E97,IF(MATCHED!AU97=3,MATCHED!$F97,IF(MATCHED!AU97=6,MATCHED!$G97,IF(MATCHED!AU97=7,MATCHED!$H97,"")))))))&amp;IF(MATCHED!AU97=8,MATCHED!$I97,IF(MATCHED!AU97=9,MATCHED!$J97,IF(MATCHED!AU97=10,MATCHED!$K97,IF(MATCHED!AU97=11,MATCHED!$L97,IF(MATCHED!AU97=12,MATCHED!$M97,IF(MATCHED!AU97=13,MATCHED!$N97,IF(MATCHED!AU97=14,MATCHED!$O97,"")))))))&amp;IF(MATCHED!AU97=15,MATCHED!$P97,IF(MATCHED!AU97=16,MATCHED!$Q97,IF(MATCHED!AU97=17,MATCHED!$R97,IF(MATCHED!AU97=18,MATCHED!$S97,IF(MATCHED!AU97=19,MATCHED!$T97,IF(MATCHED!AU97=20,MATCHED!$U97,IF(MATCHED!AU97=21,MATCHED!$V97,)))))))&amp;IF(MATCHED!AU97=22,MATCHED!$W97,IF(MATCHED!AU97=23,MATCHED!$X97,IF(MATCHED!AU97=24,MATCHED!$Y97,IF(MATCHED!AU97=25,MATCHED!$Z97,IF(MATCHED!AU97=26,MATCHED!$AA97,IF(MATCHED!AU97=27,MATCHED!$AB97,"."))))))</f>
        <v>#N/A</v>
      </c>
      <c r="T97" s="424" t="e">
        <f>IF(MATCHED!AV97=1,MATCHED!$B97,IF(MATCHED!AV97=2,MATCHED!$C97,IF(MATCHED!AV97=3,MATCHED!$D97,IF(MATCHED!AV97=4,MATCHED!$E97,IF(MATCHED!AV97=3,MATCHED!$F97,IF(MATCHED!AV97=6,MATCHED!$G97,IF(MATCHED!AV97=7,MATCHED!$H97,"")))))))&amp;IF(MATCHED!AV97=8,MATCHED!$I97,IF(MATCHED!AV97=9,MATCHED!$J97,IF(MATCHED!AV97=10,MATCHED!$K97,IF(MATCHED!AV97=11,MATCHED!$L97,IF(MATCHED!AV97=12,MATCHED!$M97,IF(MATCHED!AV97=13,MATCHED!$N97,IF(MATCHED!AV97=14,MATCHED!$O97,"")))))))&amp;IF(MATCHED!AV97=15,MATCHED!$P97,IF(MATCHED!AV97=16,MATCHED!$Q97,IF(MATCHED!AV97=17,MATCHED!$R97,IF(MATCHED!AV97=18,MATCHED!$S97,IF(MATCHED!AV97=19,MATCHED!$T97,IF(MATCHED!AV97=20,MATCHED!$U97,IF(MATCHED!AV97=21,MATCHED!$V97,)))))))&amp;IF(MATCHED!AV97=22,MATCHED!$W97,IF(MATCHED!AV97=23,MATCHED!$X97,IF(MATCHED!AV97=24,MATCHED!$Y97,IF(MATCHED!AV97=25,MATCHED!$Z97,IF(MATCHED!AV97=26,MATCHED!$AA97,IF(MATCHED!AV97=27,MATCHED!$AB97,"."))))))</f>
        <v>#N/A</v>
      </c>
      <c r="U97" s="424" t="e">
        <f>IF(MATCHED!AW97=1,MATCHED!$B97,IF(MATCHED!AW97=2,MATCHED!$C97,IF(MATCHED!AW97=3,MATCHED!$D97,IF(MATCHED!AW97=4,MATCHED!$E97,IF(MATCHED!AW97=3,MATCHED!$F97,IF(MATCHED!AW97=6,MATCHED!$G97,IF(MATCHED!AW97=7,MATCHED!$H97,"")))))))&amp;IF(MATCHED!AW97=8,MATCHED!$I97,IF(MATCHED!AW97=9,MATCHED!$J97,IF(MATCHED!AW97=10,MATCHED!$K97,IF(MATCHED!AW97=11,MATCHED!$L97,IF(MATCHED!AW97=12,MATCHED!$M97,IF(MATCHED!AW97=13,MATCHED!$N97,IF(MATCHED!AW97=14,MATCHED!$O97,"")))))))&amp;IF(MATCHED!AW97=15,MATCHED!$P97,IF(MATCHED!AW97=16,MATCHED!$Q97,IF(MATCHED!AW97=17,MATCHED!$R97,IF(MATCHED!AW97=18,MATCHED!$S97,IF(MATCHED!AW97=19,MATCHED!$T97,IF(MATCHED!AW97=20,MATCHED!$U97,IF(MATCHED!AW97=21,MATCHED!$V97,)))))))&amp;IF(MATCHED!AW97=22,MATCHED!$W97,IF(MATCHED!AW97=23,MATCHED!$X97,IF(MATCHED!AW97=24,MATCHED!$Y97,IF(MATCHED!AW97=25,MATCHED!$Z97,IF(MATCHED!AW97=26,MATCHED!$AA97,IF(MATCHED!AW97=27,MATCHED!$AB97,"."))))))</f>
        <v>#N/A</v>
      </c>
      <c r="V97" s="424" t="e">
        <f>IF(MATCHED!AX97=1,MATCHED!$B97,IF(MATCHED!AX97=2,MATCHED!$C97,IF(MATCHED!AX97=3,MATCHED!$D97,IF(MATCHED!AX97=4,MATCHED!$E97,IF(MATCHED!AX97=3,MATCHED!$F97,IF(MATCHED!AX97=6,MATCHED!$G97,IF(MATCHED!AX97=7,MATCHED!$H97,"")))))))&amp;IF(MATCHED!AX97=8,MATCHED!$I97,IF(MATCHED!AX97=9,MATCHED!$J97,IF(MATCHED!AX97=10,MATCHED!$K97,IF(MATCHED!AX97=11,MATCHED!$L97,IF(MATCHED!AX97=12,MATCHED!$M97,IF(MATCHED!AX97=13,MATCHED!$N97,IF(MATCHED!AX97=14,MATCHED!$O97,"")))))))&amp;IF(MATCHED!AX97=15,MATCHED!$P97,IF(MATCHED!AX97=16,MATCHED!$Q97,IF(MATCHED!AX97=17,MATCHED!$R97,IF(MATCHED!AX97=18,MATCHED!$S97,IF(MATCHED!AX97=19,MATCHED!$T97,IF(MATCHED!AX97=20,MATCHED!$U97,IF(MATCHED!AX97=21,MATCHED!$V97,)))))))&amp;IF(MATCHED!AX97=22,MATCHED!$W97,IF(MATCHED!AX97=23,MATCHED!$X97,IF(MATCHED!AX97=24,MATCHED!$Y97,IF(MATCHED!AX97=25,MATCHED!$Z97,IF(MATCHED!AX97=26,MATCHED!$AA97,IF(MATCHED!AX97=27,MATCHED!$AB97,"."))))))</f>
        <v>#N/A</v>
      </c>
      <c r="W97" s="424" t="e">
        <f>IF(MATCHED!AY97=1,MATCHED!$B97,IF(MATCHED!AY97=2,MATCHED!$C97,IF(MATCHED!AY97=3,MATCHED!$D97,IF(MATCHED!AY97=4,MATCHED!$E97,IF(MATCHED!AY97=3,MATCHED!$F97,IF(MATCHED!AY97=6,MATCHED!$G97,IF(MATCHED!AY97=7,MATCHED!$H97,"")))))))&amp;IF(MATCHED!AY97=8,MATCHED!$I97,IF(MATCHED!AY97=9,MATCHED!$J97,IF(MATCHED!AY97=10,MATCHED!$K97,IF(MATCHED!AY97=11,MATCHED!$L97,IF(MATCHED!AY97=12,MATCHED!$M97,IF(MATCHED!AY97=13,MATCHED!$N97,IF(MATCHED!AY97=14,MATCHED!$O97,"")))))))&amp;IF(MATCHED!AY97=15,MATCHED!$P97,IF(MATCHED!AY97=16,MATCHED!$Q97,IF(MATCHED!AY97=17,MATCHED!$R97,IF(MATCHED!AY97=18,MATCHED!$S97,IF(MATCHED!AY97=19,MATCHED!$T97,IF(MATCHED!AY97=20,MATCHED!$U97,IF(MATCHED!AY97=21,MATCHED!$V97,)))))))&amp;IF(MATCHED!AY97=22,MATCHED!$W97,IF(MATCHED!AY97=23,MATCHED!$X97,IF(MATCHED!AY97=24,MATCHED!$Y97,IF(MATCHED!AY97=25,MATCHED!$Z97,IF(MATCHED!AY97=26,MATCHED!$AA97,IF(MATCHED!AY97=27,MATCHED!$AB97,"."))))))</f>
        <v>#N/A</v>
      </c>
      <c r="X97" s="424" t="e">
        <f>IF(MATCHED!AZ97=1,MATCHED!$B97,IF(MATCHED!AZ97=2,MATCHED!$C97,IF(MATCHED!AZ97=3,MATCHED!$D97,IF(MATCHED!AZ97=4,MATCHED!$E97,IF(MATCHED!AZ97=3,MATCHED!$F97,IF(MATCHED!AZ97=6,MATCHED!$G97,IF(MATCHED!AZ97=7,MATCHED!$H97,"")))))))&amp;IF(MATCHED!AZ97=8,MATCHED!$I97,IF(MATCHED!AZ97=9,MATCHED!$J97,IF(MATCHED!AZ97=10,MATCHED!$K97,IF(MATCHED!AZ97=11,MATCHED!$L97,IF(MATCHED!AZ97=12,MATCHED!$M97,IF(MATCHED!AZ97=13,MATCHED!$N97,IF(MATCHED!AZ97=14,MATCHED!$O97,"")))))))&amp;IF(MATCHED!AZ97=15,MATCHED!$P97,IF(MATCHED!AZ97=16,MATCHED!$Q97,IF(MATCHED!AZ97=17,MATCHED!$R97,IF(MATCHED!AZ97=18,MATCHED!$S97,IF(MATCHED!AZ97=19,MATCHED!$T97,IF(MATCHED!AZ97=20,MATCHED!$U97,IF(MATCHED!AZ97=21,MATCHED!$V97,)))))))&amp;IF(MATCHED!AZ97=22,MATCHED!$W97,IF(MATCHED!AZ97=23,MATCHED!$X97,IF(MATCHED!AZ97=24,MATCHED!$Y97,IF(MATCHED!AZ97=25,MATCHED!$Z97,IF(MATCHED!AZ97=26,MATCHED!$AA97,IF(MATCHED!AZ97=27,MATCHED!$AB97,"."))))))</f>
        <v>#N/A</v>
      </c>
      <c r="Y97" s="424" t="e">
        <f>IF(MATCHED!BA97=1,MATCHED!$B97,IF(MATCHED!BA97=2,MATCHED!$C97,IF(MATCHED!BA97=3,MATCHED!$D97,IF(MATCHED!BA97=4,MATCHED!$E97,IF(MATCHED!BA97=3,MATCHED!$F97,IF(MATCHED!BA97=6,MATCHED!$G97,IF(MATCHED!BA97=7,MATCHED!$H97,"")))))))&amp;IF(MATCHED!BA97=8,MATCHED!$I97,IF(MATCHED!BA97=9,MATCHED!$J97,IF(MATCHED!BA97=10,MATCHED!$K97,IF(MATCHED!BA97=11,MATCHED!$L97,IF(MATCHED!BA97=12,MATCHED!$M97,IF(MATCHED!BA97=13,MATCHED!$N97,IF(MATCHED!BA97=14,MATCHED!$O97,"")))))))&amp;IF(MATCHED!BA97=15,MATCHED!$P97,IF(MATCHED!BA97=16,MATCHED!$Q97,IF(MATCHED!BA97=17,MATCHED!$R97,IF(MATCHED!BA97=18,MATCHED!$S97,IF(MATCHED!BA97=19,MATCHED!$T97,IF(MATCHED!BA97=20,MATCHED!$U97,IF(MATCHED!BA97=21,MATCHED!$V97,)))))))&amp;IF(MATCHED!BA97=22,MATCHED!$W97,IF(MATCHED!BA97=23,MATCHED!$X97,IF(MATCHED!BA97=24,MATCHED!$Y97,IF(MATCHED!BA97=25,MATCHED!$Z97,IF(MATCHED!BA97=26,MATCHED!$AA97,IF(MATCHED!BA97=27,MATCHED!$AB97,"."))))))</f>
        <v>#N/A</v>
      </c>
      <c r="Z97" s="424" t="e">
        <f>IF(MATCHED!BB97=1,MATCHED!$B97,IF(MATCHED!BB97=2,MATCHED!$C97,IF(MATCHED!BB97=3,MATCHED!$D97,IF(MATCHED!BB97=4,MATCHED!$E97,IF(MATCHED!BB97=3,MATCHED!$F97,IF(MATCHED!BB97=6,MATCHED!$G97,IF(MATCHED!BB97=7,MATCHED!$H97,"")))))))&amp;IF(MATCHED!BB97=8,MATCHED!$I97,IF(MATCHED!BB97=9,MATCHED!$J97,IF(MATCHED!BB97=10,MATCHED!$K97,IF(MATCHED!BB97=11,MATCHED!$L97,IF(MATCHED!BB97=12,MATCHED!$M97,IF(MATCHED!BB97=13,MATCHED!$N97,IF(MATCHED!BB97=14,MATCHED!$O97,"")))))))&amp;IF(MATCHED!BB97=15,MATCHED!$P97,IF(MATCHED!BB97=16,MATCHED!$Q97,IF(MATCHED!BB97=17,MATCHED!$R97,IF(MATCHED!BB97=18,MATCHED!$S97,IF(MATCHED!BB97=19,MATCHED!$T97,IF(MATCHED!BB97=20,MATCHED!$U97,IF(MATCHED!BB97=21,MATCHED!$V97,)))))))&amp;IF(MATCHED!BB97=22,MATCHED!$W97,IF(MATCHED!BB97=23,MATCHED!$X97,IF(MATCHED!BB97=24,MATCHED!$Y97,IF(MATCHED!BB97=25,MATCHED!$Z97,IF(MATCHED!BB97=26,MATCHED!$AA97,IF(MATCHED!BB97=27,MATCHED!$AB97,"."))))))</f>
        <v>#N/A</v>
      </c>
      <c r="AA97" s="424" t="e">
        <f>IF(MATCHED!BC97=1,MATCHED!$B97,IF(MATCHED!BC97=2,MATCHED!$C97,IF(MATCHED!BC97=3,MATCHED!$D97,IF(MATCHED!BC97=4,MATCHED!$E97,IF(MATCHED!BC97=3,MATCHED!$F97,IF(MATCHED!BC97=6,MATCHED!$G97,IF(MATCHED!BC97=7,MATCHED!$H97,"")))))))&amp;IF(MATCHED!BC97=8,MATCHED!$I97,IF(MATCHED!BC97=9,MATCHED!$J97,IF(MATCHED!BC97=10,MATCHED!$K97,IF(MATCHED!BC97=11,MATCHED!$L97,IF(MATCHED!BC97=12,MATCHED!$M97,IF(MATCHED!BC97=13,MATCHED!$N97,IF(MATCHED!BC97=14,MATCHED!$O97,"")))))))&amp;IF(MATCHED!BC97=15,MATCHED!$P97,IF(MATCHED!BC97=16,MATCHED!$Q97,IF(MATCHED!BC97=17,MATCHED!$R97,IF(MATCHED!BC97=18,MATCHED!$S97,IF(MATCHED!BC97=19,MATCHED!$T97,IF(MATCHED!BC97=20,MATCHED!$U97,IF(MATCHED!BC97=21,MATCHED!$V97,)))))))&amp;IF(MATCHED!BC97=22,MATCHED!$W97,IF(MATCHED!BC97=23,MATCHED!$X97,IF(MATCHED!BC97=24,MATCHED!$Y97,IF(MATCHED!BC97=25,MATCHED!$Z97,IF(MATCHED!BC97=26,MATCHED!$AA97,IF(MATCHED!BC97=27,MATCHED!$AB97,"."))))))</f>
        <v>#N/A</v>
      </c>
      <c r="AB97" s="424" t="e">
        <f>IF(MATCHED!BD97=1,MATCHED!$B97,IF(MATCHED!BD97=2,MATCHED!$C97,IF(MATCHED!BD97=3,MATCHED!$D97,IF(MATCHED!BD97=4,MATCHED!$E97,IF(MATCHED!BD97=3,MATCHED!$F97,IF(MATCHED!BD97=6,MATCHED!$G97,IF(MATCHED!BD97=7,MATCHED!$H97,"")))))))&amp;IF(MATCHED!BD97=8,MATCHED!$I97,IF(MATCHED!BD97=9,MATCHED!$J97,IF(MATCHED!BD97=10,MATCHED!$K97,IF(MATCHED!BD97=11,MATCHED!$L97,IF(MATCHED!BD97=12,MATCHED!$M97,IF(MATCHED!BD97=13,MATCHED!$N97,IF(MATCHED!BD97=14,MATCHED!$O97,"")))))))&amp;IF(MATCHED!BD97=15,MATCHED!$P97,IF(MATCHED!BD97=16,MATCHED!$Q97,IF(MATCHED!BD97=17,MATCHED!$R97,IF(MATCHED!BD97=18,MATCHED!$S97,IF(MATCHED!BD97=19,MATCHED!$T97,IF(MATCHED!BD97=20,MATCHED!$U97,IF(MATCHED!BD97=21,MATCHED!$V97,)))))))&amp;IF(MATCHED!BD97=22,MATCHED!$W97,IF(MATCHED!BD97=23,MATCHED!$X97,IF(MATCHED!BD97=24,MATCHED!$Y97,IF(MATCHED!BD97=25,MATCHED!$Z97,IF(MATCHED!BD97=26,MATCHED!$AA97,IF(MATCHED!BD97=27,MATCHED!$AB97,"."))))))</f>
        <v>#N/A</v>
      </c>
      <c r="AC97" s="424" t="e">
        <f>IF(MATCHED!BE97=1,MATCHED!$B97,IF(MATCHED!BE97=2,MATCHED!$C97,IF(MATCHED!BE97=3,MATCHED!$D97,IF(MATCHED!BE97=4,MATCHED!$E97,IF(MATCHED!BE97=3,MATCHED!$F97,IF(MATCHED!BE97=6,MATCHED!$G97,IF(MATCHED!BE97=7,MATCHED!$H97,"")))))))&amp;IF(MATCHED!BE97=8,MATCHED!$I97,IF(MATCHED!BE97=9,MATCHED!$J97,IF(MATCHED!BE97=10,MATCHED!$K97,IF(MATCHED!BE97=11,MATCHED!$L97,IF(MATCHED!BE97=12,MATCHED!$M97,IF(MATCHED!BE97=13,MATCHED!$N97,IF(MATCHED!BE97=14,MATCHED!$O97,"")))))))&amp;IF(MATCHED!BE97=15,MATCHED!$P97,IF(MATCHED!BE97=16,MATCHED!$Q97,IF(MATCHED!BE97=17,MATCHED!$R97,IF(MATCHED!BE97=18,MATCHED!$S97,IF(MATCHED!BE97=19,MATCHED!$T97,IF(MATCHED!BE97=20,MATCHED!$U97,IF(MATCHED!BE97=21,MATCHED!$V97,)))))))&amp;IF(MATCHED!BE97=22,MATCHED!$W97,IF(MATCHED!BE97=23,MATCHED!$X97,IF(MATCHED!BE97=24,MATCHED!$Y97,IF(MATCHED!BE97=25,MATCHED!$Z97,IF(MATCHED!BE97=26,MATCHED!$AA97,IF(MATCHED!BE97=27,MATCHED!$AB97,"."))))))</f>
        <v>#N/A</v>
      </c>
      <c r="AD97" s="424" t="e">
        <f>IF(MATCHED!BF97=1,MATCHED!$B97,IF(MATCHED!BF97=2,MATCHED!$C97,IF(MATCHED!BF97=3,MATCHED!$D97,IF(MATCHED!BF97=4,MATCHED!$E97,IF(MATCHED!BF97=3,MATCHED!$F97,IF(MATCHED!BF97=6,MATCHED!$G97,IF(MATCHED!BF97=7,MATCHED!$H97,"")))))))&amp;IF(MATCHED!BF97=8,MATCHED!$I97,IF(MATCHED!BF97=9,MATCHED!$J97,IF(MATCHED!BF97=10,MATCHED!$K97,IF(MATCHED!BF97=11,MATCHED!$L97,IF(MATCHED!BF97=12,MATCHED!$M97,IF(MATCHED!BF97=13,MATCHED!$N97,IF(MATCHED!BF97=14,MATCHED!$O97,"")))))))&amp;IF(MATCHED!BF97=15,MATCHED!$P97,IF(MATCHED!BF97=16,MATCHED!$Q97,IF(MATCHED!BF97=17,MATCHED!$R97,IF(MATCHED!BF97=18,MATCHED!$S97,IF(MATCHED!BF97=19,MATCHED!$T97,IF(MATCHED!BF97=20,MATCHED!$U97,IF(MATCHED!BF97=21,MATCHED!$V97,)))))))&amp;IF(MATCHED!BF97=22,MATCHED!$W97,IF(MATCHED!BF97=23,MATCHED!$X97,IF(MATCHED!BF97=24,MATCHED!$Y97,IF(MATCHED!BF97=25,MATCHED!$Z97,IF(MATCHED!BF97=26,MATCHED!$AA97,IF(MATCHED!BF97=27,MATCHED!$AB97,"."))))))</f>
        <v>#N/A</v>
      </c>
      <c r="AE97" s="424" t="e">
        <f>IF(MATCHED!BG97=1,MATCHED!$B97,IF(MATCHED!BG97=2,MATCHED!$C97,IF(MATCHED!BG97=3,MATCHED!$D97,IF(MATCHED!BG97=4,MATCHED!$E97,IF(MATCHED!BG97=3,MATCHED!$F97,IF(MATCHED!BG97=6,MATCHED!$G97,IF(MATCHED!BG97=7,MATCHED!$H97,"")))))))&amp;IF(MATCHED!BG97=8,MATCHED!$I97,IF(MATCHED!BG97=9,MATCHED!$J97,IF(MATCHED!BG97=10,MATCHED!$K97,IF(MATCHED!BG97=11,MATCHED!$L97,IF(MATCHED!BG97=12,MATCHED!$M97,IF(MATCHED!BG97=13,MATCHED!$N97,IF(MATCHED!BG97=14,MATCHED!$O97,"")))))))&amp;IF(MATCHED!BG97=15,MATCHED!$P97,IF(MATCHED!BG97=16,MATCHED!$Q97,IF(MATCHED!BG97=17,MATCHED!$R97,IF(MATCHED!BG97=18,MATCHED!$S97,IF(MATCHED!BG97=19,MATCHED!$T97,IF(MATCHED!BG97=20,MATCHED!$U97,IF(MATCHED!BG97=21,MATCHED!$V97,)))))))&amp;IF(MATCHED!BG97=22,MATCHED!$W97,IF(MATCHED!BG97=23,MATCHED!$X97,IF(MATCHED!BG97=24,MATCHED!$Y97,IF(MATCHED!BG97=25,MATCHED!$Z97,IF(MATCHED!BG97=26,MATCHED!$AA97,IF(MATCHED!BG97=27,MATCHED!$AB97,"."))))))</f>
        <v>#N/A</v>
      </c>
      <c r="AF97" s="424" t="e">
        <f>IF(MATCHED!BH97=1,MATCHED!$B97,IF(MATCHED!BH97=2,MATCHED!$C97,IF(MATCHED!BH97=3,MATCHED!$D97,IF(MATCHED!BH97=4,MATCHED!$E97,IF(MATCHED!BH97=3,MATCHED!$F97,IF(MATCHED!BH97=6,MATCHED!$G97,IF(MATCHED!BH97=7,MATCHED!$H97,"")))))))&amp;IF(MATCHED!BH97=8,MATCHED!$I97,IF(MATCHED!BH97=9,MATCHED!$J97,IF(MATCHED!BH97=10,MATCHED!$K97,IF(MATCHED!BH97=11,MATCHED!$L97,IF(MATCHED!BH97=12,MATCHED!$M97,IF(MATCHED!BH97=13,MATCHED!$N97,IF(MATCHED!BH97=14,MATCHED!$O97,"")))))))&amp;IF(MATCHED!BH97=15,MATCHED!$P97,IF(MATCHED!BH97=16,MATCHED!$Q97,IF(MATCHED!BH97=17,MATCHED!$R97,IF(MATCHED!BH97=18,MATCHED!$S97,IF(MATCHED!BH97=19,MATCHED!$T97,IF(MATCHED!BH97=20,MATCHED!$U97,IF(MATCHED!BH97=21,MATCHED!$V97,)))))))&amp;IF(MATCHED!BH97=22,MATCHED!$W97,IF(MATCHED!BH97=23,MATCHED!$X97,IF(MATCHED!BH97=24,MATCHED!$Y97,IF(MATCHED!BH97=25,MATCHED!$Z97,IF(MATCHED!BH97=26,MATCHED!$AA97,IF(MATCHED!BH97=27,MATCHED!$AB97,"."))))))</f>
        <v>#N/A</v>
      </c>
      <c r="AG97" s="424" t="e">
        <f>IF(MATCHED!BI97=1,MATCHED!$B97,IF(MATCHED!BI97=2,MATCHED!$C97,IF(MATCHED!BI97=3,MATCHED!$D97,IF(MATCHED!BI97=4,MATCHED!$E97,IF(MATCHED!BI97=3,MATCHED!$F97,IF(MATCHED!BI97=6,MATCHED!$G97,IF(MATCHED!BI97=7,MATCHED!$H97,"")))))))&amp;IF(MATCHED!BI97=8,MATCHED!$I97,IF(MATCHED!BI97=9,MATCHED!$J97,IF(MATCHED!BI97=10,MATCHED!$K97,IF(MATCHED!BI97=11,MATCHED!$L97,IF(MATCHED!BI97=12,MATCHED!$M97,IF(MATCHED!BI97=13,MATCHED!$N97,IF(MATCHED!BI97=14,MATCHED!$O97,"")))))))&amp;IF(MATCHED!BI97=15,MATCHED!$P97,IF(MATCHED!BI97=16,MATCHED!$Q97,IF(MATCHED!BI97=17,MATCHED!$R97,IF(MATCHED!BI97=18,MATCHED!$S97,IF(MATCHED!BI97=19,MATCHED!$T97,IF(MATCHED!BI97=20,MATCHED!$U97,IF(MATCHED!BI97=21,MATCHED!$V97,)))))))&amp;IF(MATCHED!BI97=22,MATCHED!$W97,IF(MATCHED!BI97=23,MATCHED!$X97,IF(MATCHED!BI97=24,MATCHED!$Y97,IF(MATCHED!BI97=25,MATCHED!$Z97,IF(MATCHED!BI97=26,MATCHED!$AA97,IF(MATCHED!BI97=27,MATCHED!$AB97,"."))))))</f>
        <v>#N/A</v>
      </c>
      <c r="AH97" s="424" t="e">
        <f>IF(MATCHED!BJ97=1,MATCHED!$B97,IF(MATCHED!BJ97=2,MATCHED!$C97,IF(MATCHED!BJ97=3,MATCHED!$D97,IF(MATCHED!BJ97=4,MATCHED!$E97,IF(MATCHED!BJ97=3,MATCHED!$F97,IF(MATCHED!BJ97=6,MATCHED!$G97,IF(MATCHED!BJ97=7,MATCHED!$H97,"")))))))&amp;IF(MATCHED!BJ97=8,MATCHED!$I97,IF(MATCHED!BJ97=9,MATCHED!$J97,IF(MATCHED!BJ97=10,MATCHED!$K97,IF(MATCHED!BJ97=11,MATCHED!$L97,IF(MATCHED!BJ97=12,MATCHED!$M97,IF(MATCHED!BJ97=13,MATCHED!$N97,IF(MATCHED!BJ97=14,MATCHED!$O97,"")))))))&amp;IF(MATCHED!BJ97=15,MATCHED!$P97,IF(MATCHED!BJ97=16,MATCHED!$Q97,IF(MATCHED!BJ97=17,MATCHED!$R97,IF(MATCHED!BJ97=18,MATCHED!$S97,IF(MATCHED!BJ97=19,MATCHED!$T97,IF(MATCHED!BJ97=20,MATCHED!$U97,IF(MATCHED!BJ97=21,MATCHED!$V97,)))))))&amp;IF(MATCHED!BJ97=22,MATCHED!$W97,IF(MATCHED!BJ97=23,MATCHED!$X97,IF(MATCHED!BJ97=24,MATCHED!$Y97,IF(MATCHED!BJ97=25,MATCHED!$Z97,IF(MATCHED!BJ97=26,MATCHED!$AA97,IF(MATCHED!BJ97=27,MATCHED!$AB97,"."))))))</f>
        <v>#N/A</v>
      </c>
      <c r="AI97" s="424" t="e">
        <f>IF(MATCHED!BK97=1,MATCHED!$B97,IF(MATCHED!BK97=2,MATCHED!$C97,IF(MATCHED!BK97=3,MATCHED!$D97,IF(MATCHED!BK97=4,MATCHED!$E97,IF(MATCHED!BK97=3,MATCHED!$F97,IF(MATCHED!BK97=6,MATCHED!$G97,IF(MATCHED!BK97=7,MATCHED!$H97,"")))))))&amp;IF(MATCHED!BK97=8,MATCHED!$I97,IF(MATCHED!BK97=9,MATCHED!$J97,IF(MATCHED!BK97=10,MATCHED!$K97,IF(MATCHED!BK97=11,MATCHED!$L97,IF(MATCHED!BK97=12,MATCHED!$M97,IF(MATCHED!BK97=13,MATCHED!$N97,IF(MATCHED!BK97=14,MATCHED!$O97,"")))))))&amp;IF(MATCHED!BK97=15,MATCHED!$P97,IF(MATCHED!BK97=16,MATCHED!$Q97,IF(MATCHED!BK97=17,MATCHED!$R97,IF(MATCHED!BK97=18,MATCHED!$S97,IF(MATCHED!BK97=19,MATCHED!$T97,IF(MATCHED!BK97=20,MATCHED!$U97,IF(MATCHED!BK97=21,MATCHED!$V97,)))))))&amp;IF(MATCHED!BK97=22,MATCHED!$W97,IF(MATCHED!BK97=23,MATCHED!$X97,IF(MATCHED!BK97=24,MATCHED!$Y97,IF(MATCHED!BK97=25,MATCHED!$Z97,IF(MATCHED!BK97=26,MATCHED!$AA97,IF(MATCHED!BK97=27,MATCHED!$AB97,"."))))))</f>
        <v>#N/A</v>
      </c>
      <c r="AJ97" s="535"/>
    </row>
    <row r="98" spans="1:36" s="338" customFormat="1" x14ac:dyDescent="0.25">
      <c r="A98" s="535"/>
      <c r="B98" s="424" t="e">
        <f>IF(MATCHED!AD98=1,MATCHED!$B98,IF(MATCHED!AD98=2,MATCHED!$C98,IF(MATCHED!AD98=3,MATCHED!$D98,IF(MATCHED!AD98=4,MATCHED!$E98,IF(MATCHED!AD98=3,MATCHED!$F98,IF(MATCHED!AD98=6,MATCHED!$G98,IF(MATCHED!AD98=7,MATCHED!$H98,"")))))))&amp;IF(MATCHED!AD98=8,MATCHED!$I98,IF(MATCHED!AD98=9,MATCHED!$J98,IF(MATCHED!AD98=10,MATCHED!$K98,IF(MATCHED!AD98=11,MATCHED!$L98,IF(MATCHED!AD98=12,MATCHED!$M98,IF(MATCHED!AD98=13,MATCHED!$N98,IF(MATCHED!AD98=14,MATCHED!$O98,"")))))))&amp;IF(MATCHED!AD98=15,MATCHED!$P98,IF(MATCHED!AD98=16,MATCHED!$Q98,IF(MATCHED!AD98=17,MATCHED!$R98,IF(MATCHED!AD98=18,MATCHED!$S98,IF(MATCHED!AD98=19,MATCHED!$T98,IF(MATCHED!AD98=20,MATCHED!$U98,IF(MATCHED!AD98=21,MATCHED!$V98,)))))))&amp;IF(MATCHED!AD98=22,MATCHED!$W98,IF(MATCHED!AD98=23,MATCHED!$X98,IF(MATCHED!AD98=24,MATCHED!$Y98,IF(MATCHED!AD98=25,MATCHED!$Z98,IF(MATCHED!AD98=26,MATCHED!$AA98,IF(MATCHED!AD98=27,MATCHED!$AB98,"."))))))</f>
        <v>#N/A</v>
      </c>
      <c r="C98" s="424" t="e">
        <f>IF(MATCHED!AE98=1,MATCHED!$B98,IF(MATCHED!AE98=2,MATCHED!$C98,IF(MATCHED!AE98=3,MATCHED!$D98,IF(MATCHED!AE98=4,MATCHED!$E98,IF(MATCHED!AE98=3,MATCHED!$F98,IF(MATCHED!AE98=6,MATCHED!$G98,IF(MATCHED!AE98=7,MATCHED!$H98,"")))))))&amp;IF(MATCHED!AE98=8,MATCHED!$I98,IF(MATCHED!AE98=9,MATCHED!$J98,IF(MATCHED!AE98=10,MATCHED!$K98,IF(MATCHED!AE98=11,MATCHED!$L98,IF(MATCHED!AE98=12,MATCHED!$M98,IF(MATCHED!AE98=13,MATCHED!$N98,IF(MATCHED!AE98=14,MATCHED!$O98,"")))))))&amp;IF(MATCHED!AE98=15,MATCHED!$P98,IF(MATCHED!AE98=16,MATCHED!$Q98,IF(MATCHED!AE98=17,MATCHED!$R98,IF(MATCHED!AE98=18,MATCHED!$S98,IF(MATCHED!AE98=19,MATCHED!$T98,IF(MATCHED!AE98=20,MATCHED!$U98,IF(MATCHED!AE98=21,MATCHED!$V98,)))))))&amp;IF(MATCHED!AE98=22,MATCHED!$W98,IF(MATCHED!AE98=23,MATCHED!$X98,IF(MATCHED!AE98=24,MATCHED!$Y98,IF(MATCHED!AE98=25,MATCHED!$Z98,IF(MATCHED!AE98=26,MATCHED!$AA98,IF(MATCHED!AE98=27,MATCHED!$AB98,"."))))))</f>
        <v>#N/A</v>
      </c>
      <c r="D98" s="424" t="e">
        <f>IF(MATCHED!AF98=1,MATCHED!$B98,IF(MATCHED!AF98=2,MATCHED!$C98,IF(MATCHED!AF98=3,MATCHED!$D98,IF(MATCHED!AF98=4,MATCHED!$E98,IF(MATCHED!AF98=3,MATCHED!$F98,IF(MATCHED!AF98=6,MATCHED!$G98,IF(MATCHED!AF98=7,MATCHED!$H98,"")))))))&amp;IF(MATCHED!AF98=8,MATCHED!$I98,IF(MATCHED!AF98=9,MATCHED!$J98,IF(MATCHED!AF98=10,MATCHED!$K98,IF(MATCHED!AF98=11,MATCHED!$L98,IF(MATCHED!AF98=12,MATCHED!$M98,IF(MATCHED!AF98=13,MATCHED!$N98,IF(MATCHED!AF98=14,MATCHED!$O98,"")))))))&amp;IF(MATCHED!AF98=15,MATCHED!$P98,IF(MATCHED!AF98=16,MATCHED!$Q98,IF(MATCHED!AF98=17,MATCHED!$R98,IF(MATCHED!AF98=18,MATCHED!$S98,IF(MATCHED!AF98=19,MATCHED!$T98,IF(MATCHED!AF98=20,MATCHED!$U98,IF(MATCHED!AF98=21,MATCHED!$V98,)))))))&amp;IF(MATCHED!AF98=22,MATCHED!$W98,IF(MATCHED!AF98=23,MATCHED!$X98,IF(MATCHED!AF98=24,MATCHED!$Y98,IF(MATCHED!AF98=25,MATCHED!$Z98,IF(MATCHED!AF98=26,MATCHED!$AA98,IF(MATCHED!AF98=27,MATCHED!$AB98,"."))))))</f>
        <v>#N/A</v>
      </c>
      <c r="E98" s="424" t="e">
        <f>IF(MATCHED!AG98=1,MATCHED!$B98,IF(MATCHED!AG98=2,MATCHED!$C98,IF(MATCHED!AG98=3,MATCHED!$D98,IF(MATCHED!AG98=4,MATCHED!$E98,IF(MATCHED!AG98=3,MATCHED!$F98,IF(MATCHED!AG98=6,MATCHED!$G98,IF(MATCHED!AG98=7,MATCHED!$H98,"")))))))&amp;IF(MATCHED!AG98=8,MATCHED!$I98,IF(MATCHED!AG98=9,MATCHED!$J98,IF(MATCHED!AG98=10,MATCHED!$K98,IF(MATCHED!AG98=11,MATCHED!$L98,IF(MATCHED!AG98=12,MATCHED!$M98,IF(MATCHED!AG98=13,MATCHED!$N98,IF(MATCHED!AG98=14,MATCHED!$O98,"")))))))&amp;IF(MATCHED!AG98=15,MATCHED!$P98,IF(MATCHED!AG98=16,MATCHED!$Q98,IF(MATCHED!AG98=17,MATCHED!$R98,IF(MATCHED!AG98=18,MATCHED!$S98,IF(MATCHED!AG98=19,MATCHED!$T98,IF(MATCHED!AG98=20,MATCHED!$U98,IF(MATCHED!AG98=21,MATCHED!$V98,)))))))&amp;IF(MATCHED!AG98=22,MATCHED!$W98,IF(MATCHED!AG98=23,MATCHED!$X98,IF(MATCHED!AG98=24,MATCHED!$Y98,IF(MATCHED!AG98=25,MATCHED!$Z98,IF(MATCHED!AG98=26,MATCHED!$AA98,IF(MATCHED!AG98=27,MATCHED!$AB98,"."))))))</f>
        <v>#N/A</v>
      </c>
      <c r="F98" s="424" t="e">
        <f>IF(MATCHED!AH98=1,MATCHED!$B98,IF(MATCHED!AH98=2,MATCHED!$C98,IF(MATCHED!AH98=3,MATCHED!$D98,IF(MATCHED!AH98=4,MATCHED!$E98,IF(MATCHED!AH98=3,MATCHED!$F98,IF(MATCHED!AH98=6,MATCHED!$G98,IF(MATCHED!AH98=7,MATCHED!$H98,"")))))))&amp;IF(MATCHED!AH98=8,MATCHED!$I98,IF(MATCHED!AH98=9,MATCHED!$J98,IF(MATCHED!AH98=10,MATCHED!$K98,IF(MATCHED!AH98=11,MATCHED!$L98,IF(MATCHED!AH98=12,MATCHED!$M98,IF(MATCHED!AH98=13,MATCHED!$N98,IF(MATCHED!AH98=14,MATCHED!$O98,"")))))))&amp;IF(MATCHED!AH98=15,MATCHED!$P98,IF(MATCHED!AH98=16,MATCHED!$Q98,IF(MATCHED!AH98=17,MATCHED!$R98,IF(MATCHED!AH98=18,MATCHED!$S98,IF(MATCHED!AH98=19,MATCHED!$T98,IF(MATCHED!AH98=20,MATCHED!$U98,IF(MATCHED!AH98=21,MATCHED!$V98,)))))))&amp;IF(MATCHED!AH98=22,MATCHED!$W98,IF(MATCHED!AH98=23,MATCHED!$X98,IF(MATCHED!AH98=24,MATCHED!$Y98,IF(MATCHED!AH98=25,MATCHED!$Z98,IF(MATCHED!AH98=26,MATCHED!$AA98,IF(MATCHED!AH98=27,MATCHED!$AB98,"."))))))</f>
        <v>#N/A</v>
      </c>
      <c r="G98" s="424" t="e">
        <f>IF(MATCHED!AI98=1,MATCHED!$B98,IF(MATCHED!AI98=2,MATCHED!$C98,IF(MATCHED!AI98=3,MATCHED!$D98,IF(MATCHED!AI98=4,MATCHED!$E98,IF(MATCHED!AI98=3,MATCHED!$F98,IF(MATCHED!AI98=6,MATCHED!$G98,IF(MATCHED!AI98=7,MATCHED!$H98,"")))))))&amp;IF(MATCHED!AI98=8,MATCHED!$I98,IF(MATCHED!AI98=9,MATCHED!$J98,IF(MATCHED!AI98=10,MATCHED!$K98,IF(MATCHED!AI98=11,MATCHED!$L98,IF(MATCHED!AI98=12,MATCHED!$M98,IF(MATCHED!AI98=13,MATCHED!$N98,IF(MATCHED!AI98=14,MATCHED!$O98,"")))))))&amp;IF(MATCHED!AI98=15,MATCHED!$P98,IF(MATCHED!AI98=16,MATCHED!$Q98,IF(MATCHED!AI98=17,MATCHED!$R98,IF(MATCHED!AI98=18,MATCHED!$S98,IF(MATCHED!AI98=19,MATCHED!$T98,IF(MATCHED!AI98=20,MATCHED!$U98,IF(MATCHED!AI98=21,MATCHED!$V98,)))))))&amp;IF(MATCHED!AI98=22,MATCHED!$W98,IF(MATCHED!AI98=23,MATCHED!$X98,IF(MATCHED!AI98=24,MATCHED!$Y98,IF(MATCHED!AI98=25,MATCHED!$Z98,IF(MATCHED!AI98=26,MATCHED!$AA98,IF(MATCHED!AI98=27,MATCHED!$AB98,"."))))))</f>
        <v>#N/A</v>
      </c>
      <c r="H98" s="424" t="e">
        <f>IF(MATCHED!AJ98=1,MATCHED!$B98,IF(MATCHED!AJ98=2,MATCHED!$C98,IF(MATCHED!AJ98=3,MATCHED!$D98,IF(MATCHED!AJ98=4,MATCHED!$E98,IF(MATCHED!AJ98=3,MATCHED!$F98,IF(MATCHED!AJ98=6,MATCHED!$G98,IF(MATCHED!AJ98=7,MATCHED!$H98,"")))))))&amp;IF(MATCHED!AJ98=8,MATCHED!$I98,IF(MATCHED!AJ98=9,MATCHED!$J98,IF(MATCHED!AJ98=10,MATCHED!$K98,IF(MATCHED!AJ98=11,MATCHED!$L98,IF(MATCHED!AJ98=12,MATCHED!$M98,IF(MATCHED!AJ98=13,MATCHED!$N98,IF(MATCHED!AJ98=14,MATCHED!$O98,"")))))))&amp;IF(MATCHED!AJ98=15,MATCHED!$P98,IF(MATCHED!AJ98=16,MATCHED!$Q98,IF(MATCHED!AJ98=17,MATCHED!$R98,IF(MATCHED!AJ98=18,MATCHED!$S98,IF(MATCHED!AJ98=19,MATCHED!$T98,IF(MATCHED!AJ98=20,MATCHED!$U98,IF(MATCHED!AJ98=21,MATCHED!$V98,)))))))&amp;IF(MATCHED!AJ98=22,MATCHED!$W98,IF(MATCHED!AJ98=23,MATCHED!$X98,IF(MATCHED!AJ98=24,MATCHED!$Y98,IF(MATCHED!AJ98=25,MATCHED!$Z98,IF(MATCHED!AJ98=26,MATCHED!$AA98,IF(MATCHED!AJ98=27,MATCHED!$AB98,"."))))))</f>
        <v>#N/A</v>
      </c>
      <c r="I98" s="424" t="e">
        <f>IF(MATCHED!AK98=1,MATCHED!$B98,IF(MATCHED!AK98=2,MATCHED!$C98,IF(MATCHED!AK98=3,MATCHED!$D98,IF(MATCHED!AK98=4,MATCHED!$E98,IF(MATCHED!AK98=3,MATCHED!$F98,IF(MATCHED!AK98=6,MATCHED!$G98,IF(MATCHED!AK98=7,MATCHED!$H98,"")))))))&amp;IF(MATCHED!AK98=8,MATCHED!$I98,IF(MATCHED!AK98=9,MATCHED!$J98,IF(MATCHED!AK98=10,MATCHED!$K98,IF(MATCHED!AK98=11,MATCHED!$L98,IF(MATCHED!AK98=12,MATCHED!$M98,IF(MATCHED!AK98=13,MATCHED!$N98,IF(MATCHED!AK98=14,MATCHED!$O98,"")))))))&amp;IF(MATCHED!AK98=15,MATCHED!$P98,IF(MATCHED!AK98=16,MATCHED!$Q98,IF(MATCHED!AK98=17,MATCHED!$R98,IF(MATCHED!AK98=18,MATCHED!$S98,IF(MATCHED!AK98=19,MATCHED!$T98,IF(MATCHED!AK98=20,MATCHED!$U98,IF(MATCHED!AK98=21,MATCHED!$V98,)))))))&amp;IF(MATCHED!AK98=22,MATCHED!$W98,IF(MATCHED!AK98=23,MATCHED!$X98,IF(MATCHED!AK98=24,MATCHED!$Y98,IF(MATCHED!AK98=25,MATCHED!$Z98,IF(MATCHED!AK98=26,MATCHED!$AA98,IF(MATCHED!AK98=27,MATCHED!$AB98,"."))))))</f>
        <v>#N/A</v>
      </c>
      <c r="J98" s="424" t="e">
        <f>IF(MATCHED!AL98=1,MATCHED!$B98,IF(MATCHED!AL98=2,MATCHED!$C98,IF(MATCHED!AL98=3,MATCHED!$D98,IF(MATCHED!AL98=4,MATCHED!$E98,IF(MATCHED!AL98=3,MATCHED!$F98,IF(MATCHED!AL98=6,MATCHED!$G98,IF(MATCHED!AL98=7,MATCHED!$H98,"")))))))&amp;IF(MATCHED!AL98=8,MATCHED!$I98,IF(MATCHED!AL98=9,MATCHED!$J98,IF(MATCHED!AL98=10,MATCHED!$K98,IF(MATCHED!AL98=11,MATCHED!$L98,IF(MATCHED!AL98=12,MATCHED!$M98,IF(MATCHED!AL98=13,MATCHED!$N98,IF(MATCHED!AL98=14,MATCHED!$O98,"")))))))&amp;IF(MATCHED!AL98=15,MATCHED!$P98,IF(MATCHED!AL98=16,MATCHED!$Q98,IF(MATCHED!AL98=17,MATCHED!$R98,IF(MATCHED!AL98=18,MATCHED!$S98,IF(MATCHED!AL98=19,MATCHED!$T98,IF(MATCHED!AL98=20,MATCHED!$U98,IF(MATCHED!AL98=21,MATCHED!$V98,)))))))&amp;IF(MATCHED!AL98=22,MATCHED!$W98,IF(MATCHED!AL98=23,MATCHED!$X98,IF(MATCHED!AL98=24,MATCHED!$Y98,IF(MATCHED!AL98=25,MATCHED!$Z98,IF(MATCHED!AL98=26,MATCHED!$AA98,IF(MATCHED!AL98=27,MATCHED!$AB98,"."))))))</f>
        <v>#N/A</v>
      </c>
      <c r="K98" s="424" t="e">
        <f>IF(MATCHED!AM98=1,MATCHED!$B98,IF(MATCHED!AM98=2,MATCHED!$C98,IF(MATCHED!AM98=3,MATCHED!$D98,IF(MATCHED!AM98=4,MATCHED!$E98,IF(MATCHED!AM98=3,MATCHED!$F98,IF(MATCHED!AM98=6,MATCHED!$G98,IF(MATCHED!AM98=7,MATCHED!$H98,"")))))))&amp;IF(MATCHED!AM98=8,MATCHED!$I98,IF(MATCHED!AM98=9,MATCHED!$J98,IF(MATCHED!AM98=10,MATCHED!$K98,IF(MATCHED!AM98=11,MATCHED!$L98,IF(MATCHED!AM98=12,MATCHED!$M98,IF(MATCHED!AM98=13,MATCHED!$N98,IF(MATCHED!AM98=14,MATCHED!$O98,"")))))))&amp;IF(MATCHED!AM98=15,MATCHED!$P98,IF(MATCHED!AM98=16,MATCHED!$Q98,IF(MATCHED!AM98=17,MATCHED!$R98,IF(MATCHED!AM98=18,MATCHED!$S98,IF(MATCHED!AM98=19,MATCHED!$T98,IF(MATCHED!AM98=20,MATCHED!$U98,IF(MATCHED!AM98=21,MATCHED!$V98,)))))))&amp;IF(MATCHED!AM98=22,MATCHED!$W98,IF(MATCHED!AM98=23,MATCHED!$X98,IF(MATCHED!AM98=24,MATCHED!$Y98,IF(MATCHED!AM98=25,MATCHED!$Z98,IF(MATCHED!AM98=26,MATCHED!$AA98,IF(MATCHED!AM98=27,MATCHED!$AB98,"."))))))</f>
        <v>#N/A</v>
      </c>
      <c r="L98" s="424" t="e">
        <f>IF(MATCHED!AN98=1,MATCHED!$B98,IF(MATCHED!AN98=2,MATCHED!$C98,IF(MATCHED!AN98=3,MATCHED!$D98,IF(MATCHED!AN98=4,MATCHED!$E98,IF(MATCHED!AN98=3,MATCHED!$F98,IF(MATCHED!AN98=6,MATCHED!$G98,IF(MATCHED!AN98=7,MATCHED!$H98,"")))))))&amp;IF(MATCHED!AN98=8,MATCHED!$I98,IF(MATCHED!AN98=9,MATCHED!$J98,IF(MATCHED!AN98=10,MATCHED!$K98,IF(MATCHED!AN98=11,MATCHED!$L98,IF(MATCHED!AN98=12,MATCHED!$M98,IF(MATCHED!AN98=13,MATCHED!$N98,IF(MATCHED!AN98=14,MATCHED!$O98,"")))))))&amp;IF(MATCHED!AN98=15,MATCHED!$P98,IF(MATCHED!AN98=16,MATCHED!$Q98,IF(MATCHED!AN98=17,MATCHED!$R98,IF(MATCHED!AN98=18,MATCHED!$S98,IF(MATCHED!AN98=19,MATCHED!$T98,IF(MATCHED!AN98=20,MATCHED!$U98,IF(MATCHED!AN98=21,MATCHED!$V98,)))))))&amp;IF(MATCHED!AN98=22,MATCHED!$W98,IF(MATCHED!AN98=23,MATCHED!$X98,IF(MATCHED!AN98=24,MATCHED!$Y98,IF(MATCHED!AN98=25,MATCHED!$Z98,IF(MATCHED!AN98=26,MATCHED!$AA98,IF(MATCHED!AN98=27,MATCHED!$AB98,"."))))))</f>
        <v>#N/A</v>
      </c>
      <c r="M98" s="424" t="e">
        <f>IF(MATCHED!AO98=1,MATCHED!$B98,IF(MATCHED!AO98=2,MATCHED!$C98,IF(MATCHED!AO98=3,MATCHED!$D98,IF(MATCHED!AO98=4,MATCHED!$E98,IF(MATCHED!AO98=3,MATCHED!$F98,IF(MATCHED!AO98=6,MATCHED!$G98,IF(MATCHED!AO98=7,MATCHED!$H98,"")))))))&amp;IF(MATCHED!AO98=8,MATCHED!$I98,IF(MATCHED!AO98=9,MATCHED!$J98,IF(MATCHED!AO98=10,MATCHED!$K98,IF(MATCHED!AO98=11,MATCHED!$L98,IF(MATCHED!AO98=12,MATCHED!$M98,IF(MATCHED!AO98=13,MATCHED!$N98,IF(MATCHED!AO98=14,MATCHED!$O98,"")))))))&amp;IF(MATCHED!AO98=15,MATCHED!$P98,IF(MATCHED!AO98=16,MATCHED!$Q98,IF(MATCHED!AO98=17,MATCHED!$R98,IF(MATCHED!AO98=18,MATCHED!$S98,IF(MATCHED!AO98=19,MATCHED!$T98,IF(MATCHED!AO98=20,MATCHED!$U98,IF(MATCHED!AO98=21,MATCHED!$V98,)))))))&amp;IF(MATCHED!AO98=22,MATCHED!$W98,IF(MATCHED!AO98=23,MATCHED!$X98,IF(MATCHED!AO98=24,MATCHED!$Y98,IF(MATCHED!AO98=25,MATCHED!$Z98,IF(MATCHED!AO98=26,MATCHED!$AA98,IF(MATCHED!AO98=27,MATCHED!$AB98,"."))))))</f>
        <v>#N/A</v>
      </c>
      <c r="N98" s="424" t="e">
        <f>IF(MATCHED!AP98=1,MATCHED!$B98,IF(MATCHED!AP98=2,MATCHED!$C98,IF(MATCHED!AP98=3,MATCHED!$D98,IF(MATCHED!AP98=4,MATCHED!$E98,IF(MATCHED!AP98=3,MATCHED!$F98,IF(MATCHED!AP98=6,MATCHED!$G98,IF(MATCHED!AP98=7,MATCHED!$H98,"")))))))&amp;IF(MATCHED!AP98=8,MATCHED!$I98,IF(MATCHED!AP98=9,MATCHED!$J98,IF(MATCHED!AP98=10,MATCHED!$K98,IF(MATCHED!AP98=11,MATCHED!$L98,IF(MATCHED!AP98=12,MATCHED!$M98,IF(MATCHED!AP98=13,MATCHED!$N98,IF(MATCHED!AP98=14,MATCHED!$O98,"")))))))&amp;IF(MATCHED!AP98=15,MATCHED!$P98,IF(MATCHED!AP98=16,MATCHED!$Q98,IF(MATCHED!AP98=17,MATCHED!$R98,IF(MATCHED!AP98=18,MATCHED!$S98,IF(MATCHED!AP98=19,MATCHED!$T98,IF(MATCHED!AP98=20,MATCHED!$U98,IF(MATCHED!AP98=21,MATCHED!$V98,)))))))&amp;IF(MATCHED!AP98=22,MATCHED!$W98,IF(MATCHED!AP98=23,MATCHED!$X98,IF(MATCHED!AP98=24,MATCHED!$Y98,IF(MATCHED!AP98=25,MATCHED!$Z98,IF(MATCHED!AP98=26,MATCHED!$AA98,IF(MATCHED!AP98=27,MATCHED!$AB98,"."))))))</f>
        <v>#N/A</v>
      </c>
      <c r="O98" s="424" t="e">
        <f>IF(MATCHED!AQ98=1,MATCHED!$B98,IF(MATCHED!AQ98=2,MATCHED!$C98,IF(MATCHED!AQ98=3,MATCHED!$D98,IF(MATCHED!AQ98=4,MATCHED!$E98,IF(MATCHED!AQ98=3,MATCHED!$F98,IF(MATCHED!AQ98=6,MATCHED!$G98,IF(MATCHED!AQ98=7,MATCHED!$H98,"")))))))&amp;IF(MATCHED!AQ98=8,MATCHED!$I98,IF(MATCHED!AQ98=9,MATCHED!$J98,IF(MATCHED!AQ98=10,MATCHED!$K98,IF(MATCHED!AQ98=11,MATCHED!$L98,IF(MATCHED!AQ98=12,MATCHED!$M98,IF(MATCHED!AQ98=13,MATCHED!$N98,IF(MATCHED!AQ98=14,MATCHED!$O98,"")))))))&amp;IF(MATCHED!AQ98=15,MATCHED!$P98,IF(MATCHED!AQ98=16,MATCHED!$Q98,IF(MATCHED!AQ98=17,MATCHED!$R98,IF(MATCHED!AQ98=18,MATCHED!$S98,IF(MATCHED!AQ98=19,MATCHED!$T98,IF(MATCHED!AQ98=20,MATCHED!$U98,IF(MATCHED!AQ98=21,MATCHED!$V98,)))))))&amp;IF(MATCHED!AQ98=22,MATCHED!$W98,IF(MATCHED!AQ98=23,MATCHED!$X98,IF(MATCHED!AQ98=24,MATCHED!$Y98,IF(MATCHED!AQ98=25,MATCHED!$Z98,IF(MATCHED!AQ98=26,MATCHED!$AA98,IF(MATCHED!AQ98=27,MATCHED!$AB98,"."))))))</f>
        <v>#N/A</v>
      </c>
      <c r="P98" s="424" t="e">
        <f>IF(MATCHED!AR98=1,MATCHED!$B98,IF(MATCHED!AR98=2,MATCHED!$C98,IF(MATCHED!AR98=3,MATCHED!$D98,IF(MATCHED!AR98=4,MATCHED!$E98,IF(MATCHED!AR98=3,MATCHED!$F98,IF(MATCHED!AR98=6,MATCHED!$G98,IF(MATCHED!AR98=7,MATCHED!$H98,"")))))))&amp;IF(MATCHED!AR98=8,MATCHED!$I98,IF(MATCHED!AR98=9,MATCHED!$J98,IF(MATCHED!AR98=10,MATCHED!$K98,IF(MATCHED!AR98=11,MATCHED!$L98,IF(MATCHED!AR98=12,MATCHED!$M98,IF(MATCHED!AR98=13,MATCHED!$N98,IF(MATCHED!AR98=14,MATCHED!$O98,"")))))))&amp;IF(MATCHED!AR98=15,MATCHED!$P98,IF(MATCHED!AR98=16,MATCHED!$Q98,IF(MATCHED!AR98=17,MATCHED!$R98,IF(MATCHED!AR98=18,MATCHED!$S98,IF(MATCHED!AR98=19,MATCHED!$T98,IF(MATCHED!AR98=20,MATCHED!$U98,IF(MATCHED!AR98=21,MATCHED!$V98,)))))))&amp;IF(MATCHED!AR98=22,MATCHED!$W98,IF(MATCHED!AR98=23,MATCHED!$X98,IF(MATCHED!AR98=24,MATCHED!$Y98,IF(MATCHED!AR98=25,MATCHED!$Z98,IF(MATCHED!AR98=26,MATCHED!$AA98,IF(MATCHED!AR98=27,MATCHED!$AB98,"."))))))</f>
        <v>#N/A</v>
      </c>
      <c r="Q98" s="424" t="e">
        <f>IF(MATCHED!AS98=1,MATCHED!$B98,IF(MATCHED!AS98=2,MATCHED!$C98,IF(MATCHED!AS98=3,MATCHED!$D98,IF(MATCHED!AS98=4,MATCHED!$E98,IF(MATCHED!AS98=3,MATCHED!$F98,IF(MATCHED!AS98=6,MATCHED!$G98,IF(MATCHED!AS98=7,MATCHED!$H98,"")))))))&amp;IF(MATCHED!AS98=8,MATCHED!$I98,IF(MATCHED!AS98=9,MATCHED!$J98,IF(MATCHED!AS98=10,MATCHED!$K98,IF(MATCHED!AS98=11,MATCHED!$L98,IF(MATCHED!AS98=12,MATCHED!$M98,IF(MATCHED!AS98=13,MATCHED!$N98,IF(MATCHED!AS98=14,MATCHED!$O98,"")))))))&amp;IF(MATCHED!AS98=15,MATCHED!$P98,IF(MATCHED!AS98=16,MATCHED!$Q98,IF(MATCHED!AS98=17,MATCHED!$R98,IF(MATCHED!AS98=18,MATCHED!$S98,IF(MATCHED!AS98=19,MATCHED!$T98,IF(MATCHED!AS98=20,MATCHED!$U98,IF(MATCHED!AS98=21,MATCHED!$V98,)))))))&amp;IF(MATCHED!AS98=22,MATCHED!$W98,IF(MATCHED!AS98=23,MATCHED!$X98,IF(MATCHED!AS98=24,MATCHED!$Y98,IF(MATCHED!AS98=25,MATCHED!$Z98,IF(MATCHED!AS98=26,MATCHED!$AA98,IF(MATCHED!AS98=27,MATCHED!$AB98,"."))))))</f>
        <v>#N/A</v>
      </c>
      <c r="R98" s="424" t="e">
        <f>IF(MATCHED!AT98=1,MATCHED!$B98,IF(MATCHED!AT98=2,MATCHED!$C98,IF(MATCHED!AT98=3,MATCHED!$D98,IF(MATCHED!AT98=4,MATCHED!$E98,IF(MATCHED!AT98=3,MATCHED!$F98,IF(MATCHED!AT98=6,MATCHED!$G98,IF(MATCHED!AT98=7,MATCHED!$H98,"")))))))&amp;IF(MATCHED!AT98=8,MATCHED!$I98,IF(MATCHED!AT98=9,MATCHED!$J98,IF(MATCHED!AT98=10,MATCHED!$K98,IF(MATCHED!AT98=11,MATCHED!$L98,IF(MATCHED!AT98=12,MATCHED!$M98,IF(MATCHED!AT98=13,MATCHED!$N98,IF(MATCHED!AT98=14,MATCHED!$O98,"")))))))&amp;IF(MATCHED!AT98=15,MATCHED!$P98,IF(MATCHED!AT98=16,MATCHED!$Q98,IF(MATCHED!AT98=17,MATCHED!$R98,IF(MATCHED!AT98=18,MATCHED!$S98,IF(MATCHED!AT98=19,MATCHED!$T98,IF(MATCHED!AT98=20,MATCHED!$U98,IF(MATCHED!AT98=21,MATCHED!$V98,)))))))&amp;IF(MATCHED!AT98=22,MATCHED!$W98,IF(MATCHED!AT98=23,MATCHED!$X98,IF(MATCHED!AT98=24,MATCHED!$Y98,IF(MATCHED!AT98=25,MATCHED!$Z98,IF(MATCHED!AT98=26,MATCHED!$AA98,IF(MATCHED!AT98=27,MATCHED!$AB98,"."))))))</f>
        <v>#N/A</v>
      </c>
      <c r="S98" s="424" t="e">
        <f>IF(MATCHED!AU98=1,MATCHED!$B98,IF(MATCHED!AU98=2,MATCHED!$C98,IF(MATCHED!AU98=3,MATCHED!$D98,IF(MATCHED!AU98=4,MATCHED!$E98,IF(MATCHED!AU98=3,MATCHED!$F98,IF(MATCHED!AU98=6,MATCHED!$G98,IF(MATCHED!AU98=7,MATCHED!$H98,"")))))))&amp;IF(MATCHED!AU98=8,MATCHED!$I98,IF(MATCHED!AU98=9,MATCHED!$J98,IF(MATCHED!AU98=10,MATCHED!$K98,IF(MATCHED!AU98=11,MATCHED!$L98,IF(MATCHED!AU98=12,MATCHED!$M98,IF(MATCHED!AU98=13,MATCHED!$N98,IF(MATCHED!AU98=14,MATCHED!$O98,"")))))))&amp;IF(MATCHED!AU98=15,MATCHED!$P98,IF(MATCHED!AU98=16,MATCHED!$Q98,IF(MATCHED!AU98=17,MATCHED!$R98,IF(MATCHED!AU98=18,MATCHED!$S98,IF(MATCHED!AU98=19,MATCHED!$T98,IF(MATCHED!AU98=20,MATCHED!$U98,IF(MATCHED!AU98=21,MATCHED!$V98,)))))))&amp;IF(MATCHED!AU98=22,MATCHED!$W98,IF(MATCHED!AU98=23,MATCHED!$X98,IF(MATCHED!AU98=24,MATCHED!$Y98,IF(MATCHED!AU98=25,MATCHED!$Z98,IF(MATCHED!AU98=26,MATCHED!$AA98,IF(MATCHED!AU98=27,MATCHED!$AB98,"."))))))</f>
        <v>#N/A</v>
      </c>
      <c r="T98" s="424" t="e">
        <f>IF(MATCHED!AV98=1,MATCHED!$B98,IF(MATCHED!AV98=2,MATCHED!$C98,IF(MATCHED!AV98=3,MATCHED!$D98,IF(MATCHED!AV98=4,MATCHED!$E98,IF(MATCHED!AV98=3,MATCHED!$F98,IF(MATCHED!AV98=6,MATCHED!$G98,IF(MATCHED!AV98=7,MATCHED!$H98,"")))))))&amp;IF(MATCHED!AV98=8,MATCHED!$I98,IF(MATCHED!AV98=9,MATCHED!$J98,IF(MATCHED!AV98=10,MATCHED!$K98,IF(MATCHED!AV98=11,MATCHED!$L98,IF(MATCHED!AV98=12,MATCHED!$M98,IF(MATCHED!AV98=13,MATCHED!$N98,IF(MATCHED!AV98=14,MATCHED!$O98,"")))))))&amp;IF(MATCHED!AV98=15,MATCHED!$P98,IF(MATCHED!AV98=16,MATCHED!$Q98,IF(MATCHED!AV98=17,MATCHED!$R98,IF(MATCHED!AV98=18,MATCHED!$S98,IF(MATCHED!AV98=19,MATCHED!$T98,IF(MATCHED!AV98=20,MATCHED!$U98,IF(MATCHED!AV98=21,MATCHED!$V98,)))))))&amp;IF(MATCHED!AV98=22,MATCHED!$W98,IF(MATCHED!AV98=23,MATCHED!$X98,IF(MATCHED!AV98=24,MATCHED!$Y98,IF(MATCHED!AV98=25,MATCHED!$Z98,IF(MATCHED!AV98=26,MATCHED!$AA98,IF(MATCHED!AV98=27,MATCHED!$AB98,"."))))))</f>
        <v>#N/A</v>
      </c>
      <c r="U98" s="424" t="e">
        <f>IF(MATCHED!AW98=1,MATCHED!$B98,IF(MATCHED!AW98=2,MATCHED!$C98,IF(MATCHED!AW98=3,MATCHED!$D98,IF(MATCHED!AW98=4,MATCHED!$E98,IF(MATCHED!AW98=3,MATCHED!$F98,IF(MATCHED!AW98=6,MATCHED!$G98,IF(MATCHED!AW98=7,MATCHED!$H98,"")))))))&amp;IF(MATCHED!AW98=8,MATCHED!$I98,IF(MATCHED!AW98=9,MATCHED!$J98,IF(MATCHED!AW98=10,MATCHED!$K98,IF(MATCHED!AW98=11,MATCHED!$L98,IF(MATCHED!AW98=12,MATCHED!$M98,IF(MATCHED!AW98=13,MATCHED!$N98,IF(MATCHED!AW98=14,MATCHED!$O98,"")))))))&amp;IF(MATCHED!AW98=15,MATCHED!$P98,IF(MATCHED!AW98=16,MATCHED!$Q98,IF(MATCHED!AW98=17,MATCHED!$R98,IF(MATCHED!AW98=18,MATCHED!$S98,IF(MATCHED!AW98=19,MATCHED!$T98,IF(MATCHED!AW98=20,MATCHED!$U98,IF(MATCHED!AW98=21,MATCHED!$V98,)))))))&amp;IF(MATCHED!AW98=22,MATCHED!$W98,IF(MATCHED!AW98=23,MATCHED!$X98,IF(MATCHED!AW98=24,MATCHED!$Y98,IF(MATCHED!AW98=25,MATCHED!$Z98,IF(MATCHED!AW98=26,MATCHED!$AA98,IF(MATCHED!AW98=27,MATCHED!$AB98,"."))))))</f>
        <v>#N/A</v>
      </c>
      <c r="V98" s="424" t="e">
        <f>IF(MATCHED!AX98=1,MATCHED!$B98,IF(MATCHED!AX98=2,MATCHED!$C98,IF(MATCHED!AX98=3,MATCHED!$D98,IF(MATCHED!AX98=4,MATCHED!$E98,IF(MATCHED!AX98=3,MATCHED!$F98,IF(MATCHED!AX98=6,MATCHED!$G98,IF(MATCHED!AX98=7,MATCHED!$H98,"")))))))&amp;IF(MATCHED!AX98=8,MATCHED!$I98,IF(MATCHED!AX98=9,MATCHED!$J98,IF(MATCHED!AX98=10,MATCHED!$K98,IF(MATCHED!AX98=11,MATCHED!$L98,IF(MATCHED!AX98=12,MATCHED!$M98,IF(MATCHED!AX98=13,MATCHED!$N98,IF(MATCHED!AX98=14,MATCHED!$O98,"")))))))&amp;IF(MATCHED!AX98=15,MATCHED!$P98,IF(MATCHED!AX98=16,MATCHED!$Q98,IF(MATCHED!AX98=17,MATCHED!$R98,IF(MATCHED!AX98=18,MATCHED!$S98,IF(MATCHED!AX98=19,MATCHED!$T98,IF(MATCHED!AX98=20,MATCHED!$U98,IF(MATCHED!AX98=21,MATCHED!$V98,)))))))&amp;IF(MATCHED!AX98=22,MATCHED!$W98,IF(MATCHED!AX98=23,MATCHED!$X98,IF(MATCHED!AX98=24,MATCHED!$Y98,IF(MATCHED!AX98=25,MATCHED!$Z98,IF(MATCHED!AX98=26,MATCHED!$AA98,IF(MATCHED!AX98=27,MATCHED!$AB98,"."))))))</f>
        <v>#N/A</v>
      </c>
      <c r="W98" s="424" t="e">
        <f>IF(MATCHED!AY98=1,MATCHED!$B98,IF(MATCHED!AY98=2,MATCHED!$C98,IF(MATCHED!AY98=3,MATCHED!$D98,IF(MATCHED!AY98=4,MATCHED!$E98,IF(MATCHED!AY98=3,MATCHED!$F98,IF(MATCHED!AY98=6,MATCHED!$G98,IF(MATCHED!AY98=7,MATCHED!$H98,"")))))))&amp;IF(MATCHED!AY98=8,MATCHED!$I98,IF(MATCHED!AY98=9,MATCHED!$J98,IF(MATCHED!AY98=10,MATCHED!$K98,IF(MATCHED!AY98=11,MATCHED!$L98,IF(MATCHED!AY98=12,MATCHED!$M98,IF(MATCHED!AY98=13,MATCHED!$N98,IF(MATCHED!AY98=14,MATCHED!$O98,"")))))))&amp;IF(MATCHED!AY98=15,MATCHED!$P98,IF(MATCHED!AY98=16,MATCHED!$Q98,IF(MATCHED!AY98=17,MATCHED!$R98,IF(MATCHED!AY98=18,MATCHED!$S98,IF(MATCHED!AY98=19,MATCHED!$T98,IF(MATCHED!AY98=20,MATCHED!$U98,IF(MATCHED!AY98=21,MATCHED!$V98,)))))))&amp;IF(MATCHED!AY98=22,MATCHED!$W98,IF(MATCHED!AY98=23,MATCHED!$X98,IF(MATCHED!AY98=24,MATCHED!$Y98,IF(MATCHED!AY98=25,MATCHED!$Z98,IF(MATCHED!AY98=26,MATCHED!$AA98,IF(MATCHED!AY98=27,MATCHED!$AB98,"."))))))</f>
        <v>#N/A</v>
      </c>
      <c r="X98" s="424" t="e">
        <f>IF(MATCHED!AZ98=1,MATCHED!$B98,IF(MATCHED!AZ98=2,MATCHED!$C98,IF(MATCHED!AZ98=3,MATCHED!$D98,IF(MATCHED!AZ98=4,MATCHED!$E98,IF(MATCHED!AZ98=3,MATCHED!$F98,IF(MATCHED!AZ98=6,MATCHED!$G98,IF(MATCHED!AZ98=7,MATCHED!$H98,"")))))))&amp;IF(MATCHED!AZ98=8,MATCHED!$I98,IF(MATCHED!AZ98=9,MATCHED!$J98,IF(MATCHED!AZ98=10,MATCHED!$K98,IF(MATCHED!AZ98=11,MATCHED!$L98,IF(MATCHED!AZ98=12,MATCHED!$M98,IF(MATCHED!AZ98=13,MATCHED!$N98,IF(MATCHED!AZ98=14,MATCHED!$O98,"")))))))&amp;IF(MATCHED!AZ98=15,MATCHED!$P98,IF(MATCHED!AZ98=16,MATCHED!$Q98,IF(MATCHED!AZ98=17,MATCHED!$R98,IF(MATCHED!AZ98=18,MATCHED!$S98,IF(MATCHED!AZ98=19,MATCHED!$T98,IF(MATCHED!AZ98=20,MATCHED!$U98,IF(MATCHED!AZ98=21,MATCHED!$V98,)))))))&amp;IF(MATCHED!AZ98=22,MATCHED!$W98,IF(MATCHED!AZ98=23,MATCHED!$X98,IF(MATCHED!AZ98=24,MATCHED!$Y98,IF(MATCHED!AZ98=25,MATCHED!$Z98,IF(MATCHED!AZ98=26,MATCHED!$AA98,IF(MATCHED!AZ98=27,MATCHED!$AB98,"."))))))</f>
        <v>#N/A</v>
      </c>
      <c r="Y98" s="424" t="e">
        <f>IF(MATCHED!BA98=1,MATCHED!$B98,IF(MATCHED!BA98=2,MATCHED!$C98,IF(MATCHED!BA98=3,MATCHED!$D98,IF(MATCHED!BA98=4,MATCHED!$E98,IF(MATCHED!BA98=3,MATCHED!$F98,IF(MATCHED!BA98=6,MATCHED!$G98,IF(MATCHED!BA98=7,MATCHED!$H98,"")))))))&amp;IF(MATCHED!BA98=8,MATCHED!$I98,IF(MATCHED!BA98=9,MATCHED!$J98,IF(MATCHED!BA98=10,MATCHED!$K98,IF(MATCHED!BA98=11,MATCHED!$L98,IF(MATCHED!BA98=12,MATCHED!$M98,IF(MATCHED!BA98=13,MATCHED!$N98,IF(MATCHED!BA98=14,MATCHED!$O98,"")))))))&amp;IF(MATCHED!BA98=15,MATCHED!$P98,IF(MATCHED!BA98=16,MATCHED!$Q98,IF(MATCHED!BA98=17,MATCHED!$R98,IF(MATCHED!BA98=18,MATCHED!$S98,IF(MATCHED!BA98=19,MATCHED!$T98,IF(MATCHED!BA98=20,MATCHED!$U98,IF(MATCHED!BA98=21,MATCHED!$V98,)))))))&amp;IF(MATCHED!BA98=22,MATCHED!$W98,IF(MATCHED!BA98=23,MATCHED!$X98,IF(MATCHED!BA98=24,MATCHED!$Y98,IF(MATCHED!BA98=25,MATCHED!$Z98,IF(MATCHED!BA98=26,MATCHED!$AA98,IF(MATCHED!BA98=27,MATCHED!$AB98,"."))))))</f>
        <v>#N/A</v>
      </c>
      <c r="Z98" s="424" t="e">
        <f>IF(MATCHED!BB98=1,MATCHED!$B98,IF(MATCHED!BB98=2,MATCHED!$C98,IF(MATCHED!BB98=3,MATCHED!$D98,IF(MATCHED!BB98=4,MATCHED!$E98,IF(MATCHED!BB98=3,MATCHED!$F98,IF(MATCHED!BB98=6,MATCHED!$G98,IF(MATCHED!BB98=7,MATCHED!$H98,"")))))))&amp;IF(MATCHED!BB98=8,MATCHED!$I98,IF(MATCHED!BB98=9,MATCHED!$J98,IF(MATCHED!BB98=10,MATCHED!$K98,IF(MATCHED!BB98=11,MATCHED!$L98,IF(MATCHED!BB98=12,MATCHED!$M98,IF(MATCHED!BB98=13,MATCHED!$N98,IF(MATCHED!BB98=14,MATCHED!$O98,"")))))))&amp;IF(MATCHED!BB98=15,MATCHED!$P98,IF(MATCHED!BB98=16,MATCHED!$Q98,IF(MATCHED!BB98=17,MATCHED!$R98,IF(MATCHED!BB98=18,MATCHED!$S98,IF(MATCHED!BB98=19,MATCHED!$T98,IF(MATCHED!BB98=20,MATCHED!$U98,IF(MATCHED!BB98=21,MATCHED!$V98,)))))))&amp;IF(MATCHED!BB98=22,MATCHED!$W98,IF(MATCHED!BB98=23,MATCHED!$X98,IF(MATCHED!BB98=24,MATCHED!$Y98,IF(MATCHED!BB98=25,MATCHED!$Z98,IF(MATCHED!BB98=26,MATCHED!$AA98,IF(MATCHED!BB98=27,MATCHED!$AB98,"."))))))</f>
        <v>#N/A</v>
      </c>
      <c r="AA98" s="424" t="e">
        <f>IF(MATCHED!BC98=1,MATCHED!$B98,IF(MATCHED!BC98=2,MATCHED!$C98,IF(MATCHED!BC98=3,MATCHED!$D98,IF(MATCHED!BC98=4,MATCHED!$E98,IF(MATCHED!BC98=3,MATCHED!$F98,IF(MATCHED!BC98=6,MATCHED!$G98,IF(MATCHED!BC98=7,MATCHED!$H98,"")))))))&amp;IF(MATCHED!BC98=8,MATCHED!$I98,IF(MATCHED!BC98=9,MATCHED!$J98,IF(MATCHED!BC98=10,MATCHED!$K98,IF(MATCHED!BC98=11,MATCHED!$L98,IF(MATCHED!BC98=12,MATCHED!$M98,IF(MATCHED!BC98=13,MATCHED!$N98,IF(MATCHED!BC98=14,MATCHED!$O98,"")))))))&amp;IF(MATCHED!BC98=15,MATCHED!$P98,IF(MATCHED!BC98=16,MATCHED!$Q98,IF(MATCHED!BC98=17,MATCHED!$R98,IF(MATCHED!BC98=18,MATCHED!$S98,IF(MATCHED!BC98=19,MATCHED!$T98,IF(MATCHED!BC98=20,MATCHED!$U98,IF(MATCHED!BC98=21,MATCHED!$V98,)))))))&amp;IF(MATCHED!BC98=22,MATCHED!$W98,IF(MATCHED!BC98=23,MATCHED!$X98,IF(MATCHED!BC98=24,MATCHED!$Y98,IF(MATCHED!BC98=25,MATCHED!$Z98,IF(MATCHED!BC98=26,MATCHED!$AA98,IF(MATCHED!BC98=27,MATCHED!$AB98,"."))))))</f>
        <v>#N/A</v>
      </c>
      <c r="AB98" s="424" t="e">
        <f>IF(MATCHED!BD98=1,MATCHED!$B98,IF(MATCHED!BD98=2,MATCHED!$C98,IF(MATCHED!BD98=3,MATCHED!$D98,IF(MATCHED!BD98=4,MATCHED!$E98,IF(MATCHED!BD98=3,MATCHED!$F98,IF(MATCHED!BD98=6,MATCHED!$G98,IF(MATCHED!BD98=7,MATCHED!$H98,"")))))))&amp;IF(MATCHED!BD98=8,MATCHED!$I98,IF(MATCHED!BD98=9,MATCHED!$J98,IF(MATCHED!BD98=10,MATCHED!$K98,IF(MATCHED!BD98=11,MATCHED!$L98,IF(MATCHED!BD98=12,MATCHED!$M98,IF(MATCHED!BD98=13,MATCHED!$N98,IF(MATCHED!BD98=14,MATCHED!$O98,"")))))))&amp;IF(MATCHED!BD98=15,MATCHED!$P98,IF(MATCHED!BD98=16,MATCHED!$Q98,IF(MATCHED!BD98=17,MATCHED!$R98,IF(MATCHED!BD98=18,MATCHED!$S98,IF(MATCHED!BD98=19,MATCHED!$T98,IF(MATCHED!BD98=20,MATCHED!$U98,IF(MATCHED!BD98=21,MATCHED!$V98,)))))))&amp;IF(MATCHED!BD98=22,MATCHED!$W98,IF(MATCHED!BD98=23,MATCHED!$X98,IF(MATCHED!BD98=24,MATCHED!$Y98,IF(MATCHED!BD98=25,MATCHED!$Z98,IF(MATCHED!BD98=26,MATCHED!$AA98,IF(MATCHED!BD98=27,MATCHED!$AB98,"."))))))</f>
        <v>#N/A</v>
      </c>
      <c r="AC98" s="424" t="e">
        <f>IF(MATCHED!BE98=1,MATCHED!$B98,IF(MATCHED!BE98=2,MATCHED!$C98,IF(MATCHED!BE98=3,MATCHED!$D98,IF(MATCHED!BE98=4,MATCHED!$E98,IF(MATCHED!BE98=3,MATCHED!$F98,IF(MATCHED!BE98=6,MATCHED!$G98,IF(MATCHED!BE98=7,MATCHED!$H98,"")))))))&amp;IF(MATCHED!BE98=8,MATCHED!$I98,IF(MATCHED!BE98=9,MATCHED!$J98,IF(MATCHED!BE98=10,MATCHED!$K98,IF(MATCHED!BE98=11,MATCHED!$L98,IF(MATCHED!BE98=12,MATCHED!$M98,IF(MATCHED!BE98=13,MATCHED!$N98,IF(MATCHED!BE98=14,MATCHED!$O98,"")))))))&amp;IF(MATCHED!BE98=15,MATCHED!$P98,IF(MATCHED!BE98=16,MATCHED!$Q98,IF(MATCHED!BE98=17,MATCHED!$R98,IF(MATCHED!BE98=18,MATCHED!$S98,IF(MATCHED!BE98=19,MATCHED!$T98,IF(MATCHED!BE98=20,MATCHED!$U98,IF(MATCHED!BE98=21,MATCHED!$V98,)))))))&amp;IF(MATCHED!BE98=22,MATCHED!$W98,IF(MATCHED!BE98=23,MATCHED!$X98,IF(MATCHED!BE98=24,MATCHED!$Y98,IF(MATCHED!BE98=25,MATCHED!$Z98,IF(MATCHED!BE98=26,MATCHED!$AA98,IF(MATCHED!BE98=27,MATCHED!$AB98,"."))))))</f>
        <v>#N/A</v>
      </c>
      <c r="AD98" s="424" t="e">
        <f>IF(MATCHED!BF98=1,MATCHED!$B98,IF(MATCHED!BF98=2,MATCHED!$C98,IF(MATCHED!BF98=3,MATCHED!$D98,IF(MATCHED!BF98=4,MATCHED!$E98,IF(MATCHED!BF98=3,MATCHED!$F98,IF(MATCHED!BF98=6,MATCHED!$G98,IF(MATCHED!BF98=7,MATCHED!$H98,"")))))))&amp;IF(MATCHED!BF98=8,MATCHED!$I98,IF(MATCHED!BF98=9,MATCHED!$J98,IF(MATCHED!BF98=10,MATCHED!$K98,IF(MATCHED!BF98=11,MATCHED!$L98,IF(MATCHED!BF98=12,MATCHED!$M98,IF(MATCHED!BF98=13,MATCHED!$N98,IF(MATCHED!BF98=14,MATCHED!$O98,"")))))))&amp;IF(MATCHED!BF98=15,MATCHED!$P98,IF(MATCHED!BF98=16,MATCHED!$Q98,IF(MATCHED!BF98=17,MATCHED!$R98,IF(MATCHED!BF98=18,MATCHED!$S98,IF(MATCHED!BF98=19,MATCHED!$T98,IF(MATCHED!BF98=20,MATCHED!$U98,IF(MATCHED!BF98=21,MATCHED!$V98,)))))))&amp;IF(MATCHED!BF98=22,MATCHED!$W98,IF(MATCHED!BF98=23,MATCHED!$X98,IF(MATCHED!BF98=24,MATCHED!$Y98,IF(MATCHED!BF98=25,MATCHED!$Z98,IF(MATCHED!BF98=26,MATCHED!$AA98,IF(MATCHED!BF98=27,MATCHED!$AB98,"."))))))</f>
        <v>#N/A</v>
      </c>
      <c r="AE98" s="424" t="e">
        <f>IF(MATCHED!BG98=1,MATCHED!$B98,IF(MATCHED!BG98=2,MATCHED!$C98,IF(MATCHED!BG98=3,MATCHED!$D98,IF(MATCHED!BG98=4,MATCHED!$E98,IF(MATCHED!BG98=3,MATCHED!$F98,IF(MATCHED!BG98=6,MATCHED!$G98,IF(MATCHED!BG98=7,MATCHED!$H98,"")))))))&amp;IF(MATCHED!BG98=8,MATCHED!$I98,IF(MATCHED!BG98=9,MATCHED!$J98,IF(MATCHED!BG98=10,MATCHED!$K98,IF(MATCHED!BG98=11,MATCHED!$L98,IF(MATCHED!BG98=12,MATCHED!$M98,IF(MATCHED!BG98=13,MATCHED!$N98,IF(MATCHED!BG98=14,MATCHED!$O98,"")))))))&amp;IF(MATCHED!BG98=15,MATCHED!$P98,IF(MATCHED!BG98=16,MATCHED!$Q98,IF(MATCHED!BG98=17,MATCHED!$R98,IF(MATCHED!BG98=18,MATCHED!$S98,IF(MATCHED!BG98=19,MATCHED!$T98,IF(MATCHED!BG98=20,MATCHED!$U98,IF(MATCHED!BG98=21,MATCHED!$V98,)))))))&amp;IF(MATCHED!BG98=22,MATCHED!$W98,IF(MATCHED!BG98=23,MATCHED!$X98,IF(MATCHED!BG98=24,MATCHED!$Y98,IF(MATCHED!BG98=25,MATCHED!$Z98,IF(MATCHED!BG98=26,MATCHED!$AA98,IF(MATCHED!BG98=27,MATCHED!$AB98,"."))))))</f>
        <v>#N/A</v>
      </c>
      <c r="AF98" s="424" t="e">
        <f>IF(MATCHED!BH98=1,MATCHED!$B98,IF(MATCHED!BH98=2,MATCHED!$C98,IF(MATCHED!BH98=3,MATCHED!$D98,IF(MATCHED!BH98=4,MATCHED!$E98,IF(MATCHED!BH98=3,MATCHED!$F98,IF(MATCHED!BH98=6,MATCHED!$G98,IF(MATCHED!BH98=7,MATCHED!$H98,"")))))))&amp;IF(MATCHED!BH98=8,MATCHED!$I98,IF(MATCHED!BH98=9,MATCHED!$J98,IF(MATCHED!BH98=10,MATCHED!$K98,IF(MATCHED!BH98=11,MATCHED!$L98,IF(MATCHED!BH98=12,MATCHED!$M98,IF(MATCHED!BH98=13,MATCHED!$N98,IF(MATCHED!BH98=14,MATCHED!$O98,"")))))))&amp;IF(MATCHED!BH98=15,MATCHED!$P98,IF(MATCHED!BH98=16,MATCHED!$Q98,IF(MATCHED!BH98=17,MATCHED!$R98,IF(MATCHED!BH98=18,MATCHED!$S98,IF(MATCHED!BH98=19,MATCHED!$T98,IF(MATCHED!BH98=20,MATCHED!$U98,IF(MATCHED!BH98=21,MATCHED!$V98,)))))))&amp;IF(MATCHED!BH98=22,MATCHED!$W98,IF(MATCHED!BH98=23,MATCHED!$X98,IF(MATCHED!BH98=24,MATCHED!$Y98,IF(MATCHED!BH98=25,MATCHED!$Z98,IF(MATCHED!BH98=26,MATCHED!$AA98,IF(MATCHED!BH98=27,MATCHED!$AB98,"."))))))</f>
        <v>#N/A</v>
      </c>
      <c r="AG98" s="424" t="e">
        <f>IF(MATCHED!BI98=1,MATCHED!$B98,IF(MATCHED!BI98=2,MATCHED!$C98,IF(MATCHED!BI98=3,MATCHED!$D98,IF(MATCHED!BI98=4,MATCHED!$E98,IF(MATCHED!BI98=3,MATCHED!$F98,IF(MATCHED!BI98=6,MATCHED!$G98,IF(MATCHED!BI98=7,MATCHED!$H98,"")))))))&amp;IF(MATCHED!BI98=8,MATCHED!$I98,IF(MATCHED!BI98=9,MATCHED!$J98,IF(MATCHED!BI98=10,MATCHED!$K98,IF(MATCHED!BI98=11,MATCHED!$L98,IF(MATCHED!BI98=12,MATCHED!$M98,IF(MATCHED!BI98=13,MATCHED!$N98,IF(MATCHED!BI98=14,MATCHED!$O98,"")))))))&amp;IF(MATCHED!BI98=15,MATCHED!$P98,IF(MATCHED!BI98=16,MATCHED!$Q98,IF(MATCHED!BI98=17,MATCHED!$R98,IF(MATCHED!BI98=18,MATCHED!$S98,IF(MATCHED!BI98=19,MATCHED!$T98,IF(MATCHED!BI98=20,MATCHED!$U98,IF(MATCHED!BI98=21,MATCHED!$V98,)))))))&amp;IF(MATCHED!BI98=22,MATCHED!$W98,IF(MATCHED!BI98=23,MATCHED!$X98,IF(MATCHED!BI98=24,MATCHED!$Y98,IF(MATCHED!BI98=25,MATCHED!$Z98,IF(MATCHED!BI98=26,MATCHED!$AA98,IF(MATCHED!BI98=27,MATCHED!$AB98,"."))))))</f>
        <v>#N/A</v>
      </c>
      <c r="AH98" s="424" t="e">
        <f>IF(MATCHED!BJ98=1,MATCHED!$B98,IF(MATCHED!BJ98=2,MATCHED!$C98,IF(MATCHED!BJ98=3,MATCHED!$D98,IF(MATCHED!BJ98=4,MATCHED!$E98,IF(MATCHED!BJ98=3,MATCHED!$F98,IF(MATCHED!BJ98=6,MATCHED!$G98,IF(MATCHED!BJ98=7,MATCHED!$H98,"")))))))&amp;IF(MATCHED!BJ98=8,MATCHED!$I98,IF(MATCHED!BJ98=9,MATCHED!$J98,IF(MATCHED!BJ98=10,MATCHED!$K98,IF(MATCHED!BJ98=11,MATCHED!$L98,IF(MATCHED!BJ98=12,MATCHED!$M98,IF(MATCHED!BJ98=13,MATCHED!$N98,IF(MATCHED!BJ98=14,MATCHED!$O98,"")))))))&amp;IF(MATCHED!BJ98=15,MATCHED!$P98,IF(MATCHED!BJ98=16,MATCHED!$Q98,IF(MATCHED!BJ98=17,MATCHED!$R98,IF(MATCHED!BJ98=18,MATCHED!$S98,IF(MATCHED!BJ98=19,MATCHED!$T98,IF(MATCHED!BJ98=20,MATCHED!$U98,IF(MATCHED!BJ98=21,MATCHED!$V98,)))))))&amp;IF(MATCHED!BJ98=22,MATCHED!$W98,IF(MATCHED!BJ98=23,MATCHED!$X98,IF(MATCHED!BJ98=24,MATCHED!$Y98,IF(MATCHED!BJ98=25,MATCHED!$Z98,IF(MATCHED!BJ98=26,MATCHED!$AA98,IF(MATCHED!BJ98=27,MATCHED!$AB98,"."))))))</f>
        <v>#N/A</v>
      </c>
      <c r="AI98" s="424" t="e">
        <f>IF(MATCHED!BK98=1,MATCHED!$B98,IF(MATCHED!BK98=2,MATCHED!$C98,IF(MATCHED!BK98=3,MATCHED!$D98,IF(MATCHED!BK98=4,MATCHED!$E98,IF(MATCHED!BK98=3,MATCHED!$F98,IF(MATCHED!BK98=6,MATCHED!$G98,IF(MATCHED!BK98=7,MATCHED!$H98,"")))))))&amp;IF(MATCHED!BK98=8,MATCHED!$I98,IF(MATCHED!BK98=9,MATCHED!$J98,IF(MATCHED!BK98=10,MATCHED!$K98,IF(MATCHED!BK98=11,MATCHED!$L98,IF(MATCHED!BK98=12,MATCHED!$M98,IF(MATCHED!BK98=13,MATCHED!$N98,IF(MATCHED!BK98=14,MATCHED!$O98,"")))))))&amp;IF(MATCHED!BK98=15,MATCHED!$P98,IF(MATCHED!BK98=16,MATCHED!$Q98,IF(MATCHED!BK98=17,MATCHED!$R98,IF(MATCHED!BK98=18,MATCHED!$S98,IF(MATCHED!BK98=19,MATCHED!$T98,IF(MATCHED!BK98=20,MATCHED!$U98,IF(MATCHED!BK98=21,MATCHED!$V98,)))))))&amp;IF(MATCHED!BK98=22,MATCHED!$W98,IF(MATCHED!BK98=23,MATCHED!$X98,IF(MATCHED!BK98=24,MATCHED!$Y98,IF(MATCHED!BK98=25,MATCHED!$Z98,IF(MATCHED!BK98=26,MATCHED!$AA98,IF(MATCHED!BK98=27,MATCHED!$AB98,"."))))))</f>
        <v>#N/A</v>
      </c>
      <c r="AJ98" s="535"/>
    </row>
    <row r="99" spans="1:36" s="338" customFormat="1" x14ac:dyDescent="0.25">
      <c r="A99" s="535"/>
      <c r="B99" s="424" t="e">
        <f>IF(MATCHED!AD99=1,MATCHED!$B99,IF(MATCHED!AD99=2,MATCHED!$C99,IF(MATCHED!AD99=3,MATCHED!$D99,IF(MATCHED!AD99=4,MATCHED!$E99,IF(MATCHED!AD99=3,MATCHED!$F99,IF(MATCHED!AD99=6,MATCHED!$G99,IF(MATCHED!AD99=7,MATCHED!$H99,"")))))))&amp;IF(MATCHED!AD99=8,MATCHED!$I99,IF(MATCHED!AD99=9,MATCHED!$J99,IF(MATCHED!AD99=10,MATCHED!$K99,IF(MATCHED!AD99=11,MATCHED!$L99,IF(MATCHED!AD99=12,MATCHED!$M99,IF(MATCHED!AD99=13,MATCHED!$N99,IF(MATCHED!AD99=14,MATCHED!$O99,"")))))))&amp;IF(MATCHED!AD99=15,MATCHED!$P99,IF(MATCHED!AD99=16,MATCHED!$Q99,IF(MATCHED!AD99=17,MATCHED!$R99,IF(MATCHED!AD99=18,MATCHED!$S99,IF(MATCHED!AD99=19,MATCHED!$T99,IF(MATCHED!AD99=20,MATCHED!$U99,IF(MATCHED!AD99=21,MATCHED!$V99,)))))))&amp;IF(MATCHED!AD99=22,MATCHED!$W99,IF(MATCHED!AD99=23,MATCHED!$X99,IF(MATCHED!AD99=24,MATCHED!$Y99,IF(MATCHED!AD99=25,MATCHED!$Z99,IF(MATCHED!AD99=26,MATCHED!$AA99,IF(MATCHED!AD99=27,MATCHED!$AB99,"."))))))</f>
        <v>#N/A</v>
      </c>
      <c r="C99" s="424" t="e">
        <f>IF(MATCHED!AE99=1,MATCHED!$B99,IF(MATCHED!AE99=2,MATCHED!$C99,IF(MATCHED!AE99=3,MATCHED!$D99,IF(MATCHED!AE99=4,MATCHED!$E99,IF(MATCHED!AE99=3,MATCHED!$F99,IF(MATCHED!AE99=6,MATCHED!$G99,IF(MATCHED!AE99=7,MATCHED!$H99,"")))))))&amp;IF(MATCHED!AE99=8,MATCHED!$I99,IF(MATCHED!AE99=9,MATCHED!$J99,IF(MATCHED!AE99=10,MATCHED!$K99,IF(MATCHED!AE99=11,MATCHED!$L99,IF(MATCHED!AE99=12,MATCHED!$M99,IF(MATCHED!AE99=13,MATCHED!$N99,IF(MATCHED!AE99=14,MATCHED!$O99,"")))))))&amp;IF(MATCHED!AE99=15,MATCHED!$P99,IF(MATCHED!AE99=16,MATCHED!$Q99,IF(MATCHED!AE99=17,MATCHED!$R99,IF(MATCHED!AE99=18,MATCHED!$S99,IF(MATCHED!AE99=19,MATCHED!$T99,IF(MATCHED!AE99=20,MATCHED!$U99,IF(MATCHED!AE99=21,MATCHED!$V99,)))))))&amp;IF(MATCHED!AE99=22,MATCHED!$W99,IF(MATCHED!AE99=23,MATCHED!$X99,IF(MATCHED!AE99=24,MATCHED!$Y99,IF(MATCHED!AE99=25,MATCHED!$Z99,IF(MATCHED!AE99=26,MATCHED!$AA99,IF(MATCHED!AE99=27,MATCHED!$AB99,"."))))))</f>
        <v>#N/A</v>
      </c>
      <c r="D99" s="424" t="e">
        <f>IF(MATCHED!AF99=1,MATCHED!$B99,IF(MATCHED!AF99=2,MATCHED!$C99,IF(MATCHED!AF99=3,MATCHED!$D99,IF(MATCHED!AF99=4,MATCHED!$E99,IF(MATCHED!AF99=3,MATCHED!$F99,IF(MATCHED!AF99=6,MATCHED!$G99,IF(MATCHED!AF99=7,MATCHED!$H99,"")))))))&amp;IF(MATCHED!AF99=8,MATCHED!$I99,IF(MATCHED!AF99=9,MATCHED!$J99,IF(MATCHED!AF99=10,MATCHED!$K99,IF(MATCHED!AF99=11,MATCHED!$L99,IF(MATCHED!AF99=12,MATCHED!$M99,IF(MATCHED!AF99=13,MATCHED!$N99,IF(MATCHED!AF99=14,MATCHED!$O99,"")))))))&amp;IF(MATCHED!AF99=15,MATCHED!$P99,IF(MATCHED!AF99=16,MATCHED!$Q99,IF(MATCHED!AF99=17,MATCHED!$R99,IF(MATCHED!AF99=18,MATCHED!$S99,IF(MATCHED!AF99=19,MATCHED!$T99,IF(MATCHED!AF99=20,MATCHED!$U99,IF(MATCHED!AF99=21,MATCHED!$V99,)))))))&amp;IF(MATCHED!AF99=22,MATCHED!$W99,IF(MATCHED!AF99=23,MATCHED!$X99,IF(MATCHED!AF99=24,MATCHED!$Y99,IF(MATCHED!AF99=25,MATCHED!$Z99,IF(MATCHED!AF99=26,MATCHED!$AA99,IF(MATCHED!AF99=27,MATCHED!$AB99,"."))))))</f>
        <v>#N/A</v>
      </c>
      <c r="E99" s="424" t="e">
        <f>IF(MATCHED!AG99=1,MATCHED!$B99,IF(MATCHED!AG99=2,MATCHED!$C99,IF(MATCHED!AG99=3,MATCHED!$D99,IF(MATCHED!AG99=4,MATCHED!$E99,IF(MATCHED!AG99=3,MATCHED!$F99,IF(MATCHED!AG99=6,MATCHED!$G99,IF(MATCHED!AG99=7,MATCHED!$H99,"")))))))&amp;IF(MATCHED!AG99=8,MATCHED!$I99,IF(MATCHED!AG99=9,MATCHED!$J99,IF(MATCHED!AG99=10,MATCHED!$K99,IF(MATCHED!AG99=11,MATCHED!$L99,IF(MATCHED!AG99=12,MATCHED!$M99,IF(MATCHED!AG99=13,MATCHED!$N99,IF(MATCHED!AG99=14,MATCHED!$O99,"")))))))&amp;IF(MATCHED!AG99=15,MATCHED!$P99,IF(MATCHED!AG99=16,MATCHED!$Q99,IF(MATCHED!AG99=17,MATCHED!$R99,IF(MATCHED!AG99=18,MATCHED!$S99,IF(MATCHED!AG99=19,MATCHED!$T99,IF(MATCHED!AG99=20,MATCHED!$U99,IF(MATCHED!AG99=21,MATCHED!$V99,)))))))&amp;IF(MATCHED!AG99=22,MATCHED!$W99,IF(MATCHED!AG99=23,MATCHED!$X99,IF(MATCHED!AG99=24,MATCHED!$Y99,IF(MATCHED!AG99=25,MATCHED!$Z99,IF(MATCHED!AG99=26,MATCHED!$AA99,IF(MATCHED!AG99=27,MATCHED!$AB99,"."))))))</f>
        <v>#N/A</v>
      </c>
      <c r="F99" s="424" t="e">
        <f>IF(MATCHED!AH99=1,MATCHED!$B99,IF(MATCHED!AH99=2,MATCHED!$C99,IF(MATCHED!AH99=3,MATCHED!$D99,IF(MATCHED!AH99=4,MATCHED!$E99,IF(MATCHED!AH99=3,MATCHED!$F99,IF(MATCHED!AH99=6,MATCHED!$G99,IF(MATCHED!AH99=7,MATCHED!$H99,"")))))))&amp;IF(MATCHED!AH99=8,MATCHED!$I99,IF(MATCHED!AH99=9,MATCHED!$J99,IF(MATCHED!AH99=10,MATCHED!$K99,IF(MATCHED!AH99=11,MATCHED!$L99,IF(MATCHED!AH99=12,MATCHED!$M99,IF(MATCHED!AH99=13,MATCHED!$N99,IF(MATCHED!AH99=14,MATCHED!$O99,"")))))))&amp;IF(MATCHED!AH99=15,MATCHED!$P99,IF(MATCHED!AH99=16,MATCHED!$Q99,IF(MATCHED!AH99=17,MATCHED!$R99,IF(MATCHED!AH99=18,MATCHED!$S99,IF(MATCHED!AH99=19,MATCHED!$T99,IF(MATCHED!AH99=20,MATCHED!$U99,IF(MATCHED!AH99=21,MATCHED!$V99,)))))))&amp;IF(MATCHED!AH99=22,MATCHED!$W99,IF(MATCHED!AH99=23,MATCHED!$X99,IF(MATCHED!AH99=24,MATCHED!$Y99,IF(MATCHED!AH99=25,MATCHED!$Z99,IF(MATCHED!AH99=26,MATCHED!$AA99,IF(MATCHED!AH99=27,MATCHED!$AB99,"."))))))</f>
        <v>#N/A</v>
      </c>
      <c r="G99" s="424" t="e">
        <f>IF(MATCHED!AI99=1,MATCHED!$B99,IF(MATCHED!AI99=2,MATCHED!$C99,IF(MATCHED!AI99=3,MATCHED!$D99,IF(MATCHED!AI99=4,MATCHED!$E99,IF(MATCHED!AI99=3,MATCHED!$F99,IF(MATCHED!AI99=6,MATCHED!$G99,IF(MATCHED!AI99=7,MATCHED!$H99,"")))))))&amp;IF(MATCHED!AI99=8,MATCHED!$I99,IF(MATCHED!AI99=9,MATCHED!$J99,IF(MATCHED!AI99=10,MATCHED!$K99,IF(MATCHED!AI99=11,MATCHED!$L99,IF(MATCHED!AI99=12,MATCHED!$M99,IF(MATCHED!AI99=13,MATCHED!$N99,IF(MATCHED!AI99=14,MATCHED!$O99,"")))))))&amp;IF(MATCHED!AI99=15,MATCHED!$P99,IF(MATCHED!AI99=16,MATCHED!$Q99,IF(MATCHED!AI99=17,MATCHED!$R99,IF(MATCHED!AI99=18,MATCHED!$S99,IF(MATCHED!AI99=19,MATCHED!$T99,IF(MATCHED!AI99=20,MATCHED!$U99,IF(MATCHED!AI99=21,MATCHED!$V99,)))))))&amp;IF(MATCHED!AI99=22,MATCHED!$W99,IF(MATCHED!AI99=23,MATCHED!$X99,IF(MATCHED!AI99=24,MATCHED!$Y99,IF(MATCHED!AI99=25,MATCHED!$Z99,IF(MATCHED!AI99=26,MATCHED!$AA99,IF(MATCHED!AI99=27,MATCHED!$AB99,"."))))))</f>
        <v>#N/A</v>
      </c>
      <c r="H99" s="424" t="e">
        <f>IF(MATCHED!AJ99=1,MATCHED!$B99,IF(MATCHED!AJ99=2,MATCHED!$C99,IF(MATCHED!AJ99=3,MATCHED!$D99,IF(MATCHED!AJ99=4,MATCHED!$E99,IF(MATCHED!AJ99=3,MATCHED!$F99,IF(MATCHED!AJ99=6,MATCHED!$G99,IF(MATCHED!AJ99=7,MATCHED!$H99,"")))))))&amp;IF(MATCHED!AJ99=8,MATCHED!$I99,IF(MATCHED!AJ99=9,MATCHED!$J99,IF(MATCHED!AJ99=10,MATCHED!$K99,IF(MATCHED!AJ99=11,MATCHED!$L99,IF(MATCHED!AJ99=12,MATCHED!$M99,IF(MATCHED!AJ99=13,MATCHED!$N99,IF(MATCHED!AJ99=14,MATCHED!$O99,"")))))))&amp;IF(MATCHED!AJ99=15,MATCHED!$P99,IF(MATCHED!AJ99=16,MATCHED!$Q99,IF(MATCHED!AJ99=17,MATCHED!$R99,IF(MATCHED!AJ99=18,MATCHED!$S99,IF(MATCHED!AJ99=19,MATCHED!$T99,IF(MATCHED!AJ99=20,MATCHED!$U99,IF(MATCHED!AJ99=21,MATCHED!$V99,)))))))&amp;IF(MATCHED!AJ99=22,MATCHED!$W99,IF(MATCHED!AJ99=23,MATCHED!$X99,IF(MATCHED!AJ99=24,MATCHED!$Y99,IF(MATCHED!AJ99=25,MATCHED!$Z99,IF(MATCHED!AJ99=26,MATCHED!$AA99,IF(MATCHED!AJ99=27,MATCHED!$AB99,"."))))))</f>
        <v>#N/A</v>
      </c>
      <c r="I99" s="424" t="e">
        <f>IF(MATCHED!AK99=1,MATCHED!$B99,IF(MATCHED!AK99=2,MATCHED!$C99,IF(MATCHED!AK99=3,MATCHED!$D99,IF(MATCHED!AK99=4,MATCHED!$E99,IF(MATCHED!AK99=3,MATCHED!$F99,IF(MATCHED!AK99=6,MATCHED!$G99,IF(MATCHED!AK99=7,MATCHED!$H99,"")))))))&amp;IF(MATCHED!AK99=8,MATCHED!$I99,IF(MATCHED!AK99=9,MATCHED!$J99,IF(MATCHED!AK99=10,MATCHED!$K99,IF(MATCHED!AK99=11,MATCHED!$L99,IF(MATCHED!AK99=12,MATCHED!$M99,IF(MATCHED!AK99=13,MATCHED!$N99,IF(MATCHED!AK99=14,MATCHED!$O99,"")))))))&amp;IF(MATCHED!AK99=15,MATCHED!$P99,IF(MATCHED!AK99=16,MATCHED!$Q99,IF(MATCHED!AK99=17,MATCHED!$R99,IF(MATCHED!AK99=18,MATCHED!$S99,IF(MATCHED!AK99=19,MATCHED!$T99,IF(MATCHED!AK99=20,MATCHED!$U99,IF(MATCHED!AK99=21,MATCHED!$V99,)))))))&amp;IF(MATCHED!AK99=22,MATCHED!$W99,IF(MATCHED!AK99=23,MATCHED!$X99,IF(MATCHED!AK99=24,MATCHED!$Y99,IF(MATCHED!AK99=25,MATCHED!$Z99,IF(MATCHED!AK99=26,MATCHED!$AA99,IF(MATCHED!AK99=27,MATCHED!$AB99,"."))))))</f>
        <v>#N/A</v>
      </c>
      <c r="J99" s="424" t="e">
        <f>IF(MATCHED!AL99=1,MATCHED!$B99,IF(MATCHED!AL99=2,MATCHED!$C99,IF(MATCHED!AL99=3,MATCHED!$D99,IF(MATCHED!AL99=4,MATCHED!$E99,IF(MATCHED!AL99=3,MATCHED!$F99,IF(MATCHED!AL99=6,MATCHED!$G99,IF(MATCHED!AL99=7,MATCHED!$H99,"")))))))&amp;IF(MATCHED!AL99=8,MATCHED!$I99,IF(MATCHED!AL99=9,MATCHED!$J99,IF(MATCHED!AL99=10,MATCHED!$K99,IF(MATCHED!AL99=11,MATCHED!$L99,IF(MATCHED!AL99=12,MATCHED!$M99,IF(MATCHED!AL99=13,MATCHED!$N99,IF(MATCHED!AL99=14,MATCHED!$O99,"")))))))&amp;IF(MATCHED!AL99=15,MATCHED!$P99,IF(MATCHED!AL99=16,MATCHED!$Q99,IF(MATCHED!AL99=17,MATCHED!$R99,IF(MATCHED!AL99=18,MATCHED!$S99,IF(MATCHED!AL99=19,MATCHED!$T99,IF(MATCHED!AL99=20,MATCHED!$U99,IF(MATCHED!AL99=21,MATCHED!$V99,)))))))&amp;IF(MATCHED!AL99=22,MATCHED!$W99,IF(MATCHED!AL99=23,MATCHED!$X99,IF(MATCHED!AL99=24,MATCHED!$Y99,IF(MATCHED!AL99=25,MATCHED!$Z99,IF(MATCHED!AL99=26,MATCHED!$AA99,IF(MATCHED!AL99=27,MATCHED!$AB99,"."))))))</f>
        <v>#N/A</v>
      </c>
      <c r="K99" s="424" t="e">
        <f>IF(MATCHED!AM99=1,MATCHED!$B99,IF(MATCHED!AM99=2,MATCHED!$C99,IF(MATCHED!AM99=3,MATCHED!$D99,IF(MATCHED!AM99=4,MATCHED!$E99,IF(MATCHED!AM99=3,MATCHED!$F99,IF(MATCHED!AM99=6,MATCHED!$G99,IF(MATCHED!AM99=7,MATCHED!$H99,"")))))))&amp;IF(MATCHED!AM99=8,MATCHED!$I99,IF(MATCHED!AM99=9,MATCHED!$J99,IF(MATCHED!AM99=10,MATCHED!$K99,IF(MATCHED!AM99=11,MATCHED!$L99,IF(MATCHED!AM99=12,MATCHED!$M99,IF(MATCHED!AM99=13,MATCHED!$N99,IF(MATCHED!AM99=14,MATCHED!$O99,"")))))))&amp;IF(MATCHED!AM99=15,MATCHED!$P99,IF(MATCHED!AM99=16,MATCHED!$Q99,IF(MATCHED!AM99=17,MATCHED!$R99,IF(MATCHED!AM99=18,MATCHED!$S99,IF(MATCHED!AM99=19,MATCHED!$T99,IF(MATCHED!AM99=20,MATCHED!$U99,IF(MATCHED!AM99=21,MATCHED!$V99,)))))))&amp;IF(MATCHED!AM99=22,MATCHED!$W99,IF(MATCHED!AM99=23,MATCHED!$X99,IF(MATCHED!AM99=24,MATCHED!$Y99,IF(MATCHED!AM99=25,MATCHED!$Z99,IF(MATCHED!AM99=26,MATCHED!$AA99,IF(MATCHED!AM99=27,MATCHED!$AB99,"."))))))</f>
        <v>#N/A</v>
      </c>
      <c r="L99" s="424" t="e">
        <f>IF(MATCHED!AN99=1,MATCHED!$B99,IF(MATCHED!AN99=2,MATCHED!$C99,IF(MATCHED!AN99=3,MATCHED!$D99,IF(MATCHED!AN99=4,MATCHED!$E99,IF(MATCHED!AN99=3,MATCHED!$F99,IF(MATCHED!AN99=6,MATCHED!$G99,IF(MATCHED!AN99=7,MATCHED!$H99,"")))))))&amp;IF(MATCHED!AN99=8,MATCHED!$I99,IF(MATCHED!AN99=9,MATCHED!$J99,IF(MATCHED!AN99=10,MATCHED!$K99,IF(MATCHED!AN99=11,MATCHED!$L99,IF(MATCHED!AN99=12,MATCHED!$M99,IF(MATCHED!AN99=13,MATCHED!$N99,IF(MATCHED!AN99=14,MATCHED!$O99,"")))))))&amp;IF(MATCHED!AN99=15,MATCHED!$P99,IF(MATCHED!AN99=16,MATCHED!$Q99,IF(MATCHED!AN99=17,MATCHED!$R99,IF(MATCHED!AN99=18,MATCHED!$S99,IF(MATCHED!AN99=19,MATCHED!$T99,IF(MATCHED!AN99=20,MATCHED!$U99,IF(MATCHED!AN99=21,MATCHED!$V99,)))))))&amp;IF(MATCHED!AN99=22,MATCHED!$W99,IF(MATCHED!AN99=23,MATCHED!$X99,IF(MATCHED!AN99=24,MATCHED!$Y99,IF(MATCHED!AN99=25,MATCHED!$Z99,IF(MATCHED!AN99=26,MATCHED!$AA99,IF(MATCHED!AN99=27,MATCHED!$AB99,"."))))))</f>
        <v>#N/A</v>
      </c>
      <c r="M99" s="424" t="e">
        <f>IF(MATCHED!AO99=1,MATCHED!$B99,IF(MATCHED!AO99=2,MATCHED!$C99,IF(MATCHED!AO99=3,MATCHED!$D99,IF(MATCHED!AO99=4,MATCHED!$E99,IF(MATCHED!AO99=3,MATCHED!$F99,IF(MATCHED!AO99=6,MATCHED!$G99,IF(MATCHED!AO99=7,MATCHED!$H99,"")))))))&amp;IF(MATCHED!AO99=8,MATCHED!$I99,IF(MATCHED!AO99=9,MATCHED!$J99,IF(MATCHED!AO99=10,MATCHED!$K99,IF(MATCHED!AO99=11,MATCHED!$L99,IF(MATCHED!AO99=12,MATCHED!$M99,IF(MATCHED!AO99=13,MATCHED!$N99,IF(MATCHED!AO99=14,MATCHED!$O99,"")))))))&amp;IF(MATCHED!AO99=15,MATCHED!$P99,IF(MATCHED!AO99=16,MATCHED!$Q99,IF(MATCHED!AO99=17,MATCHED!$R99,IF(MATCHED!AO99=18,MATCHED!$S99,IF(MATCHED!AO99=19,MATCHED!$T99,IF(MATCHED!AO99=20,MATCHED!$U99,IF(MATCHED!AO99=21,MATCHED!$V99,)))))))&amp;IF(MATCHED!AO99=22,MATCHED!$W99,IF(MATCHED!AO99=23,MATCHED!$X99,IF(MATCHED!AO99=24,MATCHED!$Y99,IF(MATCHED!AO99=25,MATCHED!$Z99,IF(MATCHED!AO99=26,MATCHED!$AA99,IF(MATCHED!AO99=27,MATCHED!$AB99,"."))))))</f>
        <v>#N/A</v>
      </c>
      <c r="N99" s="424" t="e">
        <f>IF(MATCHED!AP99=1,MATCHED!$B99,IF(MATCHED!AP99=2,MATCHED!$C99,IF(MATCHED!AP99=3,MATCHED!$D99,IF(MATCHED!AP99=4,MATCHED!$E99,IF(MATCHED!AP99=3,MATCHED!$F99,IF(MATCHED!AP99=6,MATCHED!$G99,IF(MATCHED!AP99=7,MATCHED!$H99,"")))))))&amp;IF(MATCHED!AP99=8,MATCHED!$I99,IF(MATCHED!AP99=9,MATCHED!$J99,IF(MATCHED!AP99=10,MATCHED!$K99,IF(MATCHED!AP99=11,MATCHED!$L99,IF(MATCHED!AP99=12,MATCHED!$M99,IF(MATCHED!AP99=13,MATCHED!$N99,IF(MATCHED!AP99=14,MATCHED!$O99,"")))))))&amp;IF(MATCHED!AP99=15,MATCHED!$P99,IF(MATCHED!AP99=16,MATCHED!$Q99,IF(MATCHED!AP99=17,MATCHED!$R99,IF(MATCHED!AP99=18,MATCHED!$S99,IF(MATCHED!AP99=19,MATCHED!$T99,IF(MATCHED!AP99=20,MATCHED!$U99,IF(MATCHED!AP99=21,MATCHED!$V99,)))))))&amp;IF(MATCHED!AP99=22,MATCHED!$W99,IF(MATCHED!AP99=23,MATCHED!$X99,IF(MATCHED!AP99=24,MATCHED!$Y99,IF(MATCHED!AP99=25,MATCHED!$Z99,IF(MATCHED!AP99=26,MATCHED!$AA99,IF(MATCHED!AP99=27,MATCHED!$AB99,"."))))))</f>
        <v>#N/A</v>
      </c>
      <c r="O99" s="424" t="e">
        <f>IF(MATCHED!AQ99=1,MATCHED!$B99,IF(MATCHED!AQ99=2,MATCHED!$C99,IF(MATCHED!AQ99=3,MATCHED!$D99,IF(MATCHED!AQ99=4,MATCHED!$E99,IF(MATCHED!AQ99=3,MATCHED!$F99,IF(MATCHED!AQ99=6,MATCHED!$G99,IF(MATCHED!AQ99=7,MATCHED!$H99,"")))))))&amp;IF(MATCHED!AQ99=8,MATCHED!$I99,IF(MATCHED!AQ99=9,MATCHED!$J99,IF(MATCHED!AQ99=10,MATCHED!$K99,IF(MATCHED!AQ99=11,MATCHED!$L99,IF(MATCHED!AQ99=12,MATCHED!$M99,IF(MATCHED!AQ99=13,MATCHED!$N99,IF(MATCHED!AQ99=14,MATCHED!$O99,"")))))))&amp;IF(MATCHED!AQ99=15,MATCHED!$P99,IF(MATCHED!AQ99=16,MATCHED!$Q99,IF(MATCHED!AQ99=17,MATCHED!$R99,IF(MATCHED!AQ99=18,MATCHED!$S99,IF(MATCHED!AQ99=19,MATCHED!$T99,IF(MATCHED!AQ99=20,MATCHED!$U99,IF(MATCHED!AQ99=21,MATCHED!$V99,)))))))&amp;IF(MATCHED!AQ99=22,MATCHED!$W99,IF(MATCHED!AQ99=23,MATCHED!$X99,IF(MATCHED!AQ99=24,MATCHED!$Y99,IF(MATCHED!AQ99=25,MATCHED!$Z99,IF(MATCHED!AQ99=26,MATCHED!$AA99,IF(MATCHED!AQ99=27,MATCHED!$AB99,"."))))))</f>
        <v>#N/A</v>
      </c>
      <c r="P99" s="424" t="e">
        <f>IF(MATCHED!AR99=1,MATCHED!$B99,IF(MATCHED!AR99=2,MATCHED!$C99,IF(MATCHED!AR99=3,MATCHED!$D99,IF(MATCHED!AR99=4,MATCHED!$E99,IF(MATCHED!AR99=3,MATCHED!$F99,IF(MATCHED!AR99=6,MATCHED!$G99,IF(MATCHED!AR99=7,MATCHED!$H99,"")))))))&amp;IF(MATCHED!AR99=8,MATCHED!$I99,IF(MATCHED!AR99=9,MATCHED!$J99,IF(MATCHED!AR99=10,MATCHED!$K99,IF(MATCHED!AR99=11,MATCHED!$L99,IF(MATCHED!AR99=12,MATCHED!$M99,IF(MATCHED!AR99=13,MATCHED!$N99,IF(MATCHED!AR99=14,MATCHED!$O99,"")))))))&amp;IF(MATCHED!AR99=15,MATCHED!$P99,IF(MATCHED!AR99=16,MATCHED!$Q99,IF(MATCHED!AR99=17,MATCHED!$R99,IF(MATCHED!AR99=18,MATCHED!$S99,IF(MATCHED!AR99=19,MATCHED!$T99,IF(MATCHED!AR99=20,MATCHED!$U99,IF(MATCHED!AR99=21,MATCHED!$V99,)))))))&amp;IF(MATCHED!AR99=22,MATCHED!$W99,IF(MATCHED!AR99=23,MATCHED!$X99,IF(MATCHED!AR99=24,MATCHED!$Y99,IF(MATCHED!AR99=25,MATCHED!$Z99,IF(MATCHED!AR99=26,MATCHED!$AA99,IF(MATCHED!AR99=27,MATCHED!$AB99,"."))))))</f>
        <v>#N/A</v>
      </c>
      <c r="Q99" s="424" t="e">
        <f>IF(MATCHED!AS99=1,MATCHED!$B99,IF(MATCHED!AS99=2,MATCHED!$C99,IF(MATCHED!AS99=3,MATCHED!$D99,IF(MATCHED!AS99=4,MATCHED!$E99,IF(MATCHED!AS99=3,MATCHED!$F99,IF(MATCHED!AS99=6,MATCHED!$G99,IF(MATCHED!AS99=7,MATCHED!$H99,"")))))))&amp;IF(MATCHED!AS99=8,MATCHED!$I99,IF(MATCHED!AS99=9,MATCHED!$J99,IF(MATCHED!AS99=10,MATCHED!$K99,IF(MATCHED!AS99=11,MATCHED!$L99,IF(MATCHED!AS99=12,MATCHED!$M99,IF(MATCHED!AS99=13,MATCHED!$N99,IF(MATCHED!AS99=14,MATCHED!$O99,"")))))))&amp;IF(MATCHED!AS99=15,MATCHED!$P99,IF(MATCHED!AS99=16,MATCHED!$Q99,IF(MATCHED!AS99=17,MATCHED!$R99,IF(MATCHED!AS99=18,MATCHED!$S99,IF(MATCHED!AS99=19,MATCHED!$T99,IF(MATCHED!AS99=20,MATCHED!$U99,IF(MATCHED!AS99=21,MATCHED!$V99,)))))))&amp;IF(MATCHED!AS99=22,MATCHED!$W99,IF(MATCHED!AS99=23,MATCHED!$X99,IF(MATCHED!AS99=24,MATCHED!$Y99,IF(MATCHED!AS99=25,MATCHED!$Z99,IF(MATCHED!AS99=26,MATCHED!$AA99,IF(MATCHED!AS99=27,MATCHED!$AB99,"."))))))</f>
        <v>#N/A</v>
      </c>
      <c r="R99" s="424" t="e">
        <f>IF(MATCHED!AT99=1,MATCHED!$B99,IF(MATCHED!AT99=2,MATCHED!$C99,IF(MATCHED!AT99=3,MATCHED!$D99,IF(MATCHED!AT99=4,MATCHED!$E99,IF(MATCHED!AT99=3,MATCHED!$F99,IF(MATCHED!AT99=6,MATCHED!$G99,IF(MATCHED!AT99=7,MATCHED!$H99,"")))))))&amp;IF(MATCHED!AT99=8,MATCHED!$I99,IF(MATCHED!AT99=9,MATCHED!$J99,IF(MATCHED!AT99=10,MATCHED!$K99,IF(MATCHED!AT99=11,MATCHED!$L99,IF(MATCHED!AT99=12,MATCHED!$M99,IF(MATCHED!AT99=13,MATCHED!$N99,IF(MATCHED!AT99=14,MATCHED!$O99,"")))))))&amp;IF(MATCHED!AT99=15,MATCHED!$P99,IF(MATCHED!AT99=16,MATCHED!$Q99,IF(MATCHED!AT99=17,MATCHED!$R99,IF(MATCHED!AT99=18,MATCHED!$S99,IF(MATCHED!AT99=19,MATCHED!$T99,IF(MATCHED!AT99=20,MATCHED!$U99,IF(MATCHED!AT99=21,MATCHED!$V99,)))))))&amp;IF(MATCHED!AT99=22,MATCHED!$W99,IF(MATCHED!AT99=23,MATCHED!$X99,IF(MATCHED!AT99=24,MATCHED!$Y99,IF(MATCHED!AT99=25,MATCHED!$Z99,IF(MATCHED!AT99=26,MATCHED!$AA99,IF(MATCHED!AT99=27,MATCHED!$AB99,"."))))))</f>
        <v>#N/A</v>
      </c>
      <c r="S99" s="424" t="e">
        <f>IF(MATCHED!AU99=1,MATCHED!$B99,IF(MATCHED!AU99=2,MATCHED!$C99,IF(MATCHED!AU99=3,MATCHED!$D99,IF(MATCHED!AU99=4,MATCHED!$E99,IF(MATCHED!AU99=3,MATCHED!$F99,IF(MATCHED!AU99=6,MATCHED!$G99,IF(MATCHED!AU99=7,MATCHED!$H99,"")))))))&amp;IF(MATCHED!AU99=8,MATCHED!$I99,IF(MATCHED!AU99=9,MATCHED!$J99,IF(MATCHED!AU99=10,MATCHED!$K99,IF(MATCHED!AU99=11,MATCHED!$L99,IF(MATCHED!AU99=12,MATCHED!$M99,IF(MATCHED!AU99=13,MATCHED!$N99,IF(MATCHED!AU99=14,MATCHED!$O99,"")))))))&amp;IF(MATCHED!AU99=15,MATCHED!$P99,IF(MATCHED!AU99=16,MATCHED!$Q99,IF(MATCHED!AU99=17,MATCHED!$R99,IF(MATCHED!AU99=18,MATCHED!$S99,IF(MATCHED!AU99=19,MATCHED!$T99,IF(MATCHED!AU99=20,MATCHED!$U99,IF(MATCHED!AU99=21,MATCHED!$V99,)))))))&amp;IF(MATCHED!AU99=22,MATCHED!$W99,IF(MATCHED!AU99=23,MATCHED!$X99,IF(MATCHED!AU99=24,MATCHED!$Y99,IF(MATCHED!AU99=25,MATCHED!$Z99,IF(MATCHED!AU99=26,MATCHED!$AA99,IF(MATCHED!AU99=27,MATCHED!$AB99,"."))))))</f>
        <v>#N/A</v>
      </c>
      <c r="T99" s="424" t="e">
        <f>IF(MATCHED!AV99=1,MATCHED!$B99,IF(MATCHED!AV99=2,MATCHED!$C99,IF(MATCHED!AV99=3,MATCHED!$D99,IF(MATCHED!AV99=4,MATCHED!$E99,IF(MATCHED!AV99=3,MATCHED!$F99,IF(MATCHED!AV99=6,MATCHED!$G99,IF(MATCHED!AV99=7,MATCHED!$H99,"")))))))&amp;IF(MATCHED!AV99=8,MATCHED!$I99,IF(MATCHED!AV99=9,MATCHED!$J99,IF(MATCHED!AV99=10,MATCHED!$K99,IF(MATCHED!AV99=11,MATCHED!$L99,IF(MATCHED!AV99=12,MATCHED!$M99,IF(MATCHED!AV99=13,MATCHED!$N99,IF(MATCHED!AV99=14,MATCHED!$O99,"")))))))&amp;IF(MATCHED!AV99=15,MATCHED!$P99,IF(MATCHED!AV99=16,MATCHED!$Q99,IF(MATCHED!AV99=17,MATCHED!$R99,IF(MATCHED!AV99=18,MATCHED!$S99,IF(MATCHED!AV99=19,MATCHED!$T99,IF(MATCHED!AV99=20,MATCHED!$U99,IF(MATCHED!AV99=21,MATCHED!$V99,)))))))&amp;IF(MATCHED!AV99=22,MATCHED!$W99,IF(MATCHED!AV99=23,MATCHED!$X99,IF(MATCHED!AV99=24,MATCHED!$Y99,IF(MATCHED!AV99=25,MATCHED!$Z99,IF(MATCHED!AV99=26,MATCHED!$AA99,IF(MATCHED!AV99=27,MATCHED!$AB99,"."))))))</f>
        <v>#N/A</v>
      </c>
      <c r="U99" s="424" t="e">
        <f>IF(MATCHED!AW99=1,MATCHED!$B99,IF(MATCHED!AW99=2,MATCHED!$C99,IF(MATCHED!AW99=3,MATCHED!$D99,IF(MATCHED!AW99=4,MATCHED!$E99,IF(MATCHED!AW99=3,MATCHED!$F99,IF(MATCHED!AW99=6,MATCHED!$G99,IF(MATCHED!AW99=7,MATCHED!$H99,"")))))))&amp;IF(MATCHED!AW99=8,MATCHED!$I99,IF(MATCHED!AW99=9,MATCHED!$J99,IF(MATCHED!AW99=10,MATCHED!$K99,IF(MATCHED!AW99=11,MATCHED!$L99,IF(MATCHED!AW99=12,MATCHED!$M99,IF(MATCHED!AW99=13,MATCHED!$N99,IF(MATCHED!AW99=14,MATCHED!$O99,"")))))))&amp;IF(MATCHED!AW99=15,MATCHED!$P99,IF(MATCHED!AW99=16,MATCHED!$Q99,IF(MATCHED!AW99=17,MATCHED!$R99,IF(MATCHED!AW99=18,MATCHED!$S99,IF(MATCHED!AW99=19,MATCHED!$T99,IF(MATCHED!AW99=20,MATCHED!$U99,IF(MATCHED!AW99=21,MATCHED!$V99,)))))))&amp;IF(MATCHED!AW99=22,MATCHED!$W99,IF(MATCHED!AW99=23,MATCHED!$X99,IF(MATCHED!AW99=24,MATCHED!$Y99,IF(MATCHED!AW99=25,MATCHED!$Z99,IF(MATCHED!AW99=26,MATCHED!$AA99,IF(MATCHED!AW99=27,MATCHED!$AB99,"."))))))</f>
        <v>#N/A</v>
      </c>
      <c r="V99" s="424" t="e">
        <f>IF(MATCHED!AX99=1,MATCHED!$B99,IF(MATCHED!AX99=2,MATCHED!$C99,IF(MATCHED!AX99=3,MATCHED!$D99,IF(MATCHED!AX99=4,MATCHED!$E99,IF(MATCHED!AX99=3,MATCHED!$F99,IF(MATCHED!AX99=6,MATCHED!$G99,IF(MATCHED!AX99=7,MATCHED!$H99,"")))))))&amp;IF(MATCHED!AX99=8,MATCHED!$I99,IF(MATCHED!AX99=9,MATCHED!$J99,IF(MATCHED!AX99=10,MATCHED!$K99,IF(MATCHED!AX99=11,MATCHED!$L99,IF(MATCHED!AX99=12,MATCHED!$M99,IF(MATCHED!AX99=13,MATCHED!$N99,IF(MATCHED!AX99=14,MATCHED!$O99,"")))))))&amp;IF(MATCHED!AX99=15,MATCHED!$P99,IF(MATCHED!AX99=16,MATCHED!$Q99,IF(MATCHED!AX99=17,MATCHED!$R99,IF(MATCHED!AX99=18,MATCHED!$S99,IF(MATCHED!AX99=19,MATCHED!$T99,IF(MATCHED!AX99=20,MATCHED!$U99,IF(MATCHED!AX99=21,MATCHED!$V99,)))))))&amp;IF(MATCHED!AX99=22,MATCHED!$W99,IF(MATCHED!AX99=23,MATCHED!$X99,IF(MATCHED!AX99=24,MATCHED!$Y99,IF(MATCHED!AX99=25,MATCHED!$Z99,IF(MATCHED!AX99=26,MATCHED!$AA99,IF(MATCHED!AX99=27,MATCHED!$AB99,"."))))))</f>
        <v>#N/A</v>
      </c>
      <c r="W99" s="424" t="e">
        <f>IF(MATCHED!AY99=1,MATCHED!$B99,IF(MATCHED!AY99=2,MATCHED!$C99,IF(MATCHED!AY99=3,MATCHED!$D99,IF(MATCHED!AY99=4,MATCHED!$E99,IF(MATCHED!AY99=3,MATCHED!$F99,IF(MATCHED!AY99=6,MATCHED!$G99,IF(MATCHED!AY99=7,MATCHED!$H99,"")))))))&amp;IF(MATCHED!AY99=8,MATCHED!$I99,IF(MATCHED!AY99=9,MATCHED!$J99,IF(MATCHED!AY99=10,MATCHED!$K99,IF(MATCHED!AY99=11,MATCHED!$L99,IF(MATCHED!AY99=12,MATCHED!$M99,IF(MATCHED!AY99=13,MATCHED!$N99,IF(MATCHED!AY99=14,MATCHED!$O99,"")))))))&amp;IF(MATCHED!AY99=15,MATCHED!$P99,IF(MATCHED!AY99=16,MATCHED!$Q99,IF(MATCHED!AY99=17,MATCHED!$R99,IF(MATCHED!AY99=18,MATCHED!$S99,IF(MATCHED!AY99=19,MATCHED!$T99,IF(MATCHED!AY99=20,MATCHED!$U99,IF(MATCHED!AY99=21,MATCHED!$V99,)))))))&amp;IF(MATCHED!AY99=22,MATCHED!$W99,IF(MATCHED!AY99=23,MATCHED!$X99,IF(MATCHED!AY99=24,MATCHED!$Y99,IF(MATCHED!AY99=25,MATCHED!$Z99,IF(MATCHED!AY99=26,MATCHED!$AA99,IF(MATCHED!AY99=27,MATCHED!$AB99,"."))))))</f>
        <v>#N/A</v>
      </c>
      <c r="X99" s="424" t="e">
        <f>IF(MATCHED!AZ99=1,MATCHED!$B99,IF(MATCHED!AZ99=2,MATCHED!$C99,IF(MATCHED!AZ99=3,MATCHED!$D99,IF(MATCHED!AZ99=4,MATCHED!$E99,IF(MATCHED!AZ99=3,MATCHED!$F99,IF(MATCHED!AZ99=6,MATCHED!$G99,IF(MATCHED!AZ99=7,MATCHED!$H99,"")))))))&amp;IF(MATCHED!AZ99=8,MATCHED!$I99,IF(MATCHED!AZ99=9,MATCHED!$J99,IF(MATCHED!AZ99=10,MATCHED!$K99,IF(MATCHED!AZ99=11,MATCHED!$L99,IF(MATCHED!AZ99=12,MATCHED!$M99,IF(MATCHED!AZ99=13,MATCHED!$N99,IF(MATCHED!AZ99=14,MATCHED!$O99,"")))))))&amp;IF(MATCHED!AZ99=15,MATCHED!$P99,IF(MATCHED!AZ99=16,MATCHED!$Q99,IF(MATCHED!AZ99=17,MATCHED!$R99,IF(MATCHED!AZ99=18,MATCHED!$S99,IF(MATCHED!AZ99=19,MATCHED!$T99,IF(MATCHED!AZ99=20,MATCHED!$U99,IF(MATCHED!AZ99=21,MATCHED!$V99,)))))))&amp;IF(MATCHED!AZ99=22,MATCHED!$W99,IF(MATCHED!AZ99=23,MATCHED!$X99,IF(MATCHED!AZ99=24,MATCHED!$Y99,IF(MATCHED!AZ99=25,MATCHED!$Z99,IF(MATCHED!AZ99=26,MATCHED!$AA99,IF(MATCHED!AZ99=27,MATCHED!$AB99,"."))))))</f>
        <v>#N/A</v>
      </c>
      <c r="Y99" s="424" t="e">
        <f>IF(MATCHED!BA99=1,MATCHED!$B99,IF(MATCHED!BA99=2,MATCHED!$C99,IF(MATCHED!BA99=3,MATCHED!$D99,IF(MATCHED!BA99=4,MATCHED!$E99,IF(MATCHED!BA99=3,MATCHED!$F99,IF(MATCHED!BA99=6,MATCHED!$G99,IF(MATCHED!BA99=7,MATCHED!$H99,"")))))))&amp;IF(MATCHED!BA99=8,MATCHED!$I99,IF(MATCHED!BA99=9,MATCHED!$J99,IF(MATCHED!BA99=10,MATCHED!$K99,IF(MATCHED!BA99=11,MATCHED!$L99,IF(MATCHED!BA99=12,MATCHED!$M99,IF(MATCHED!BA99=13,MATCHED!$N99,IF(MATCHED!BA99=14,MATCHED!$O99,"")))))))&amp;IF(MATCHED!BA99=15,MATCHED!$P99,IF(MATCHED!BA99=16,MATCHED!$Q99,IF(MATCHED!BA99=17,MATCHED!$R99,IF(MATCHED!BA99=18,MATCHED!$S99,IF(MATCHED!BA99=19,MATCHED!$T99,IF(MATCHED!BA99=20,MATCHED!$U99,IF(MATCHED!BA99=21,MATCHED!$V99,)))))))&amp;IF(MATCHED!BA99=22,MATCHED!$W99,IF(MATCHED!BA99=23,MATCHED!$X99,IF(MATCHED!BA99=24,MATCHED!$Y99,IF(MATCHED!BA99=25,MATCHED!$Z99,IF(MATCHED!BA99=26,MATCHED!$AA99,IF(MATCHED!BA99=27,MATCHED!$AB99,"."))))))</f>
        <v>#N/A</v>
      </c>
      <c r="Z99" s="424" t="e">
        <f>IF(MATCHED!BB99=1,MATCHED!$B99,IF(MATCHED!BB99=2,MATCHED!$C99,IF(MATCHED!BB99=3,MATCHED!$D99,IF(MATCHED!BB99=4,MATCHED!$E99,IF(MATCHED!BB99=3,MATCHED!$F99,IF(MATCHED!BB99=6,MATCHED!$G99,IF(MATCHED!BB99=7,MATCHED!$H99,"")))))))&amp;IF(MATCHED!BB99=8,MATCHED!$I99,IF(MATCHED!BB99=9,MATCHED!$J99,IF(MATCHED!BB99=10,MATCHED!$K99,IF(MATCHED!BB99=11,MATCHED!$L99,IF(MATCHED!BB99=12,MATCHED!$M99,IF(MATCHED!BB99=13,MATCHED!$N99,IF(MATCHED!BB99=14,MATCHED!$O99,"")))))))&amp;IF(MATCHED!BB99=15,MATCHED!$P99,IF(MATCHED!BB99=16,MATCHED!$Q99,IF(MATCHED!BB99=17,MATCHED!$R99,IF(MATCHED!BB99=18,MATCHED!$S99,IF(MATCHED!BB99=19,MATCHED!$T99,IF(MATCHED!BB99=20,MATCHED!$U99,IF(MATCHED!BB99=21,MATCHED!$V99,)))))))&amp;IF(MATCHED!BB99=22,MATCHED!$W99,IF(MATCHED!BB99=23,MATCHED!$X99,IF(MATCHED!BB99=24,MATCHED!$Y99,IF(MATCHED!BB99=25,MATCHED!$Z99,IF(MATCHED!BB99=26,MATCHED!$AA99,IF(MATCHED!BB99=27,MATCHED!$AB99,"."))))))</f>
        <v>#N/A</v>
      </c>
      <c r="AA99" s="424" t="e">
        <f>IF(MATCHED!BC99=1,MATCHED!$B99,IF(MATCHED!BC99=2,MATCHED!$C99,IF(MATCHED!BC99=3,MATCHED!$D99,IF(MATCHED!BC99=4,MATCHED!$E99,IF(MATCHED!BC99=3,MATCHED!$F99,IF(MATCHED!BC99=6,MATCHED!$G99,IF(MATCHED!BC99=7,MATCHED!$H99,"")))))))&amp;IF(MATCHED!BC99=8,MATCHED!$I99,IF(MATCHED!BC99=9,MATCHED!$J99,IF(MATCHED!BC99=10,MATCHED!$K99,IF(MATCHED!BC99=11,MATCHED!$L99,IF(MATCHED!BC99=12,MATCHED!$M99,IF(MATCHED!BC99=13,MATCHED!$N99,IF(MATCHED!BC99=14,MATCHED!$O99,"")))))))&amp;IF(MATCHED!BC99=15,MATCHED!$P99,IF(MATCHED!BC99=16,MATCHED!$Q99,IF(MATCHED!BC99=17,MATCHED!$R99,IF(MATCHED!BC99=18,MATCHED!$S99,IF(MATCHED!BC99=19,MATCHED!$T99,IF(MATCHED!BC99=20,MATCHED!$U99,IF(MATCHED!BC99=21,MATCHED!$V99,)))))))&amp;IF(MATCHED!BC99=22,MATCHED!$W99,IF(MATCHED!BC99=23,MATCHED!$X99,IF(MATCHED!BC99=24,MATCHED!$Y99,IF(MATCHED!BC99=25,MATCHED!$Z99,IF(MATCHED!BC99=26,MATCHED!$AA99,IF(MATCHED!BC99=27,MATCHED!$AB99,"."))))))</f>
        <v>#N/A</v>
      </c>
      <c r="AB99" s="424" t="e">
        <f>IF(MATCHED!BD99=1,MATCHED!$B99,IF(MATCHED!BD99=2,MATCHED!$C99,IF(MATCHED!BD99=3,MATCHED!$D99,IF(MATCHED!BD99=4,MATCHED!$E99,IF(MATCHED!BD99=3,MATCHED!$F99,IF(MATCHED!BD99=6,MATCHED!$G99,IF(MATCHED!BD99=7,MATCHED!$H99,"")))))))&amp;IF(MATCHED!BD99=8,MATCHED!$I99,IF(MATCHED!BD99=9,MATCHED!$J99,IF(MATCHED!BD99=10,MATCHED!$K99,IF(MATCHED!BD99=11,MATCHED!$L99,IF(MATCHED!BD99=12,MATCHED!$M99,IF(MATCHED!BD99=13,MATCHED!$N99,IF(MATCHED!BD99=14,MATCHED!$O99,"")))))))&amp;IF(MATCHED!BD99=15,MATCHED!$P99,IF(MATCHED!BD99=16,MATCHED!$Q99,IF(MATCHED!BD99=17,MATCHED!$R99,IF(MATCHED!BD99=18,MATCHED!$S99,IF(MATCHED!BD99=19,MATCHED!$T99,IF(MATCHED!BD99=20,MATCHED!$U99,IF(MATCHED!BD99=21,MATCHED!$V99,)))))))&amp;IF(MATCHED!BD99=22,MATCHED!$W99,IF(MATCHED!BD99=23,MATCHED!$X99,IF(MATCHED!BD99=24,MATCHED!$Y99,IF(MATCHED!BD99=25,MATCHED!$Z99,IF(MATCHED!BD99=26,MATCHED!$AA99,IF(MATCHED!BD99=27,MATCHED!$AB99,"."))))))</f>
        <v>#N/A</v>
      </c>
      <c r="AC99" s="424" t="e">
        <f>IF(MATCHED!BE99=1,MATCHED!$B99,IF(MATCHED!BE99=2,MATCHED!$C99,IF(MATCHED!BE99=3,MATCHED!$D99,IF(MATCHED!BE99=4,MATCHED!$E99,IF(MATCHED!BE99=3,MATCHED!$F99,IF(MATCHED!BE99=6,MATCHED!$G99,IF(MATCHED!BE99=7,MATCHED!$H99,"")))))))&amp;IF(MATCHED!BE99=8,MATCHED!$I99,IF(MATCHED!BE99=9,MATCHED!$J99,IF(MATCHED!BE99=10,MATCHED!$K99,IF(MATCHED!BE99=11,MATCHED!$L99,IF(MATCHED!BE99=12,MATCHED!$M99,IF(MATCHED!BE99=13,MATCHED!$N99,IF(MATCHED!BE99=14,MATCHED!$O99,"")))))))&amp;IF(MATCHED!BE99=15,MATCHED!$P99,IF(MATCHED!BE99=16,MATCHED!$Q99,IF(MATCHED!BE99=17,MATCHED!$R99,IF(MATCHED!BE99=18,MATCHED!$S99,IF(MATCHED!BE99=19,MATCHED!$T99,IF(MATCHED!BE99=20,MATCHED!$U99,IF(MATCHED!BE99=21,MATCHED!$V99,)))))))&amp;IF(MATCHED!BE99=22,MATCHED!$W99,IF(MATCHED!BE99=23,MATCHED!$X99,IF(MATCHED!BE99=24,MATCHED!$Y99,IF(MATCHED!BE99=25,MATCHED!$Z99,IF(MATCHED!BE99=26,MATCHED!$AA99,IF(MATCHED!BE99=27,MATCHED!$AB99,"."))))))</f>
        <v>#N/A</v>
      </c>
      <c r="AD99" s="424" t="e">
        <f>IF(MATCHED!BF99=1,MATCHED!$B99,IF(MATCHED!BF99=2,MATCHED!$C99,IF(MATCHED!BF99=3,MATCHED!$D99,IF(MATCHED!BF99=4,MATCHED!$E99,IF(MATCHED!BF99=3,MATCHED!$F99,IF(MATCHED!BF99=6,MATCHED!$G99,IF(MATCHED!BF99=7,MATCHED!$H99,"")))))))&amp;IF(MATCHED!BF99=8,MATCHED!$I99,IF(MATCHED!BF99=9,MATCHED!$J99,IF(MATCHED!BF99=10,MATCHED!$K99,IF(MATCHED!BF99=11,MATCHED!$L99,IF(MATCHED!BF99=12,MATCHED!$M99,IF(MATCHED!BF99=13,MATCHED!$N99,IF(MATCHED!BF99=14,MATCHED!$O99,"")))))))&amp;IF(MATCHED!BF99=15,MATCHED!$P99,IF(MATCHED!BF99=16,MATCHED!$Q99,IF(MATCHED!BF99=17,MATCHED!$R99,IF(MATCHED!BF99=18,MATCHED!$S99,IF(MATCHED!BF99=19,MATCHED!$T99,IF(MATCHED!BF99=20,MATCHED!$U99,IF(MATCHED!BF99=21,MATCHED!$V99,)))))))&amp;IF(MATCHED!BF99=22,MATCHED!$W99,IF(MATCHED!BF99=23,MATCHED!$X99,IF(MATCHED!BF99=24,MATCHED!$Y99,IF(MATCHED!BF99=25,MATCHED!$Z99,IF(MATCHED!BF99=26,MATCHED!$AA99,IF(MATCHED!BF99=27,MATCHED!$AB99,"."))))))</f>
        <v>#N/A</v>
      </c>
      <c r="AE99" s="424" t="e">
        <f>IF(MATCHED!BG99=1,MATCHED!$B99,IF(MATCHED!BG99=2,MATCHED!$C99,IF(MATCHED!BG99=3,MATCHED!$D99,IF(MATCHED!BG99=4,MATCHED!$E99,IF(MATCHED!BG99=3,MATCHED!$F99,IF(MATCHED!BG99=6,MATCHED!$G99,IF(MATCHED!BG99=7,MATCHED!$H99,"")))))))&amp;IF(MATCHED!BG99=8,MATCHED!$I99,IF(MATCHED!BG99=9,MATCHED!$J99,IF(MATCHED!BG99=10,MATCHED!$K99,IF(MATCHED!BG99=11,MATCHED!$L99,IF(MATCHED!BG99=12,MATCHED!$M99,IF(MATCHED!BG99=13,MATCHED!$N99,IF(MATCHED!BG99=14,MATCHED!$O99,"")))))))&amp;IF(MATCHED!BG99=15,MATCHED!$P99,IF(MATCHED!BG99=16,MATCHED!$Q99,IF(MATCHED!BG99=17,MATCHED!$R99,IF(MATCHED!BG99=18,MATCHED!$S99,IF(MATCHED!BG99=19,MATCHED!$T99,IF(MATCHED!BG99=20,MATCHED!$U99,IF(MATCHED!BG99=21,MATCHED!$V99,)))))))&amp;IF(MATCHED!BG99=22,MATCHED!$W99,IF(MATCHED!BG99=23,MATCHED!$X99,IF(MATCHED!BG99=24,MATCHED!$Y99,IF(MATCHED!BG99=25,MATCHED!$Z99,IF(MATCHED!BG99=26,MATCHED!$AA99,IF(MATCHED!BG99=27,MATCHED!$AB99,"."))))))</f>
        <v>#N/A</v>
      </c>
      <c r="AF99" s="424" t="e">
        <f>IF(MATCHED!BH99=1,MATCHED!$B99,IF(MATCHED!BH99=2,MATCHED!$C99,IF(MATCHED!BH99=3,MATCHED!$D99,IF(MATCHED!BH99=4,MATCHED!$E99,IF(MATCHED!BH99=3,MATCHED!$F99,IF(MATCHED!BH99=6,MATCHED!$G99,IF(MATCHED!BH99=7,MATCHED!$H99,"")))))))&amp;IF(MATCHED!BH99=8,MATCHED!$I99,IF(MATCHED!BH99=9,MATCHED!$J99,IF(MATCHED!BH99=10,MATCHED!$K99,IF(MATCHED!BH99=11,MATCHED!$L99,IF(MATCHED!BH99=12,MATCHED!$M99,IF(MATCHED!BH99=13,MATCHED!$N99,IF(MATCHED!BH99=14,MATCHED!$O99,"")))))))&amp;IF(MATCHED!BH99=15,MATCHED!$P99,IF(MATCHED!BH99=16,MATCHED!$Q99,IF(MATCHED!BH99=17,MATCHED!$R99,IF(MATCHED!BH99=18,MATCHED!$S99,IF(MATCHED!BH99=19,MATCHED!$T99,IF(MATCHED!BH99=20,MATCHED!$U99,IF(MATCHED!BH99=21,MATCHED!$V99,)))))))&amp;IF(MATCHED!BH99=22,MATCHED!$W99,IF(MATCHED!BH99=23,MATCHED!$X99,IF(MATCHED!BH99=24,MATCHED!$Y99,IF(MATCHED!BH99=25,MATCHED!$Z99,IF(MATCHED!BH99=26,MATCHED!$AA99,IF(MATCHED!BH99=27,MATCHED!$AB99,"."))))))</f>
        <v>#N/A</v>
      </c>
      <c r="AG99" s="424" t="e">
        <f>IF(MATCHED!BI99=1,MATCHED!$B99,IF(MATCHED!BI99=2,MATCHED!$C99,IF(MATCHED!BI99=3,MATCHED!$D99,IF(MATCHED!BI99=4,MATCHED!$E99,IF(MATCHED!BI99=3,MATCHED!$F99,IF(MATCHED!BI99=6,MATCHED!$G99,IF(MATCHED!BI99=7,MATCHED!$H99,"")))))))&amp;IF(MATCHED!BI99=8,MATCHED!$I99,IF(MATCHED!BI99=9,MATCHED!$J99,IF(MATCHED!BI99=10,MATCHED!$K99,IF(MATCHED!BI99=11,MATCHED!$L99,IF(MATCHED!BI99=12,MATCHED!$M99,IF(MATCHED!BI99=13,MATCHED!$N99,IF(MATCHED!BI99=14,MATCHED!$O99,"")))))))&amp;IF(MATCHED!BI99=15,MATCHED!$P99,IF(MATCHED!BI99=16,MATCHED!$Q99,IF(MATCHED!BI99=17,MATCHED!$R99,IF(MATCHED!BI99=18,MATCHED!$S99,IF(MATCHED!BI99=19,MATCHED!$T99,IF(MATCHED!BI99=20,MATCHED!$U99,IF(MATCHED!BI99=21,MATCHED!$V99,)))))))&amp;IF(MATCHED!BI99=22,MATCHED!$W99,IF(MATCHED!BI99=23,MATCHED!$X99,IF(MATCHED!BI99=24,MATCHED!$Y99,IF(MATCHED!BI99=25,MATCHED!$Z99,IF(MATCHED!BI99=26,MATCHED!$AA99,IF(MATCHED!BI99=27,MATCHED!$AB99,"."))))))</f>
        <v>#N/A</v>
      </c>
      <c r="AH99" s="424" t="e">
        <f>IF(MATCHED!BJ99=1,MATCHED!$B99,IF(MATCHED!BJ99=2,MATCHED!$C99,IF(MATCHED!BJ99=3,MATCHED!$D99,IF(MATCHED!BJ99=4,MATCHED!$E99,IF(MATCHED!BJ99=3,MATCHED!$F99,IF(MATCHED!BJ99=6,MATCHED!$G99,IF(MATCHED!BJ99=7,MATCHED!$H99,"")))))))&amp;IF(MATCHED!BJ99=8,MATCHED!$I99,IF(MATCHED!BJ99=9,MATCHED!$J99,IF(MATCHED!BJ99=10,MATCHED!$K99,IF(MATCHED!BJ99=11,MATCHED!$L99,IF(MATCHED!BJ99=12,MATCHED!$M99,IF(MATCHED!BJ99=13,MATCHED!$N99,IF(MATCHED!BJ99=14,MATCHED!$O99,"")))))))&amp;IF(MATCHED!BJ99=15,MATCHED!$P99,IF(MATCHED!BJ99=16,MATCHED!$Q99,IF(MATCHED!BJ99=17,MATCHED!$R99,IF(MATCHED!BJ99=18,MATCHED!$S99,IF(MATCHED!BJ99=19,MATCHED!$T99,IF(MATCHED!BJ99=20,MATCHED!$U99,IF(MATCHED!BJ99=21,MATCHED!$V99,)))))))&amp;IF(MATCHED!BJ99=22,MATCHED!$W99,IF(MATCHED!BJ99=23,MATCHED!$X99,IF(MATCHED!BJ99=24,MATCHED!$Y99,IF(MATCHED!BJ99=25,MATCHED!$Z99,IF(MATCHED!BJ99=26,MATCHED!$AA99,IF(MATCHED!BJ99=27,MATCHED!$AB99,"."))))))</f>
        <v>#N/A</v>
      </c>
      <c r="AI99" s="424" t="e">
        <f>IF(MATCHED!BK99=1,MATCHED!$B99,IF(MATCHED!BK99=2,MATCHED!$C99,IF(MATCHED!BK99=3,MATCHED!$D99,IF(MATCHED!BK99=4,MATCHED!$E99,IF(MATCHED!BK99=3,MATCHED!$F99,IF(MATCHED!BK99=6,MATCHED!$G99,IF(MATCHED!BK99=7,MATCHED!$H99,"")))))))&amp;IF(MATCHED!BK99=8,MATCHED!$I99,IF(MATCHED!BK99=9,MATCHED!$J99,IF(MATCHED!BK99=10,MATCHED!$K99,IF(MATCHED!BK99=11,MATCHED!$L99,IF(MATCHED!BK99=12,MATCHED!$M99,IF(MATCHED!BK99=13,MATCHED!$N99,IF(MATCHED!BK99=14,MATCHED!$O99,"")))))))&amp;IF(MATCHED!BK99=15,MATCHED!$P99,IF(MATCHED!BK99=16,MATCHED!$Q99,IF(MATCHED!BK99=17,MATCHED!$R99,IF(MATCHED!BK99=18,MATCHED!$S99,IF(MATCHED!BK99=19,MATCHED!$T99,IF(MATCHED!BK99=20,MATCHED!$U99,IF(MATCHED!BK99=21,MATCHED!$V99,)))))))&amp;IF(MATCHED!BK99=22,MATCHED!$W99,IF(MATCHED!BK99=23,MATCHED!$X99,IF(MATCHED!BK99=24,MATCHED!$Y99,IF(MATCHED!BK99=25,MATCHED!$Z99,IF(MATCHED!BK99=26,MATCHED!$AA99,IF(MATCHED!BK99=27,MATCHED!$AB99,"."))))))</f>
        <v>#N/A</v>
      </c>
      <c r="AJ99" s="535"/>
    </row>
    <row r="100" spans="1:36" s="338" customFormat="1" x14ac:dyDescent="0.25">
      <c r="A100" s="535"/>
      <c r="B100" s="424" t="e">
        <f>IF(MATCHED!AD100=1,MATCHED!$B100,IF(MATCHED!AD100=2,MATCHED!$C100,IF(MATCHED!AD100=3,MATCHED!$D100,IF(MATCHED!AD100=4,MATCHED!$E100,IF(MATCHED!AD100=3,MATCHED!$F100,IF(MATCHED!AD100=6,MATCHED!$G100,IF(MATCHED!AD100=7,MATCHED!$H100,"")))))))&amp;IF(MATCHED!AD100=8,MATCHED!$I100,IF(MATCHED!AD100=9,MATCHED!$J100,IF(MATCHED!AD100=10,MATCHED!$K100,IF(MATCHED!AD100=11,MATCHED!$L100,IF(MATCHED!AD100=12,MATCHED!$M100,IF(MATCHED!AD100=13,MATCHED!$N100,IF(MATCHED!AD100=14,MATCHED!$O100,"")))))))&amp;IF(MATCHED!AD100=15,MATCHED!$P100,IF(MATCHED!AD100=16,MATCHED!$Q100,IF(MATCHED!AD100=17,MATCHED!$R100,IF(MATCHED!AD100=18,MATCHED!$S100,IF(MATCHED!AD100=19,MATCHED!$T100,IF(MATCHED!AD100=20,MATCHED!$U100,IF(MATCHED!AD100=21,MATCHED!$V100,)))))))&amp;IF(MATCHED!AD100=22,MATCHED!$W100,IF(MATCHED!AD100=23,MATCHED!$X100,IF(MATCHED!AD100=24,MATCHED!$Y100,IF(MATCHED!AD100=25,MATCHED!$Z100,IF(MATCHED!AD100=26,MATCHED!$AA100,IF(MATCHED!AD100=27,MATCHED!$AB100,"."))))))</f>
        <v>#N/A</v>
      </c>
      <c r="C100" s="424" t="e">
        <f>IF(MATCHED!AE100=1,MATCHED!$B100,IF(MATCHED!AE100=2,MATCHED!$C100,IF(MATCHED!AE100=3,MATCHED!$D100,IF(MATCHED!AE100=4,MATCHED!$E100,IF(MATCHED!AE100=3,MATCHED!$F100,IF(MATCHED!AE100=6,MATCHED!$G100,IF(MATCHED!AE100=7,MATCHED!$H100,"")))))))&amp;IF(MATCHED!AE100=8,MATCHED!$I100,IF(MATCHED!AE100=9,MATCHED!$J100,IF(MATCHED!AE100=10,MATCHED!$K100,IF(MATCHED!AE100=11,MATCHED!$L100,IF(MATCHED!AE100=12,MATCHED!$M100,IF(MATCHED!AE100=13,MATCHED!$N100,IF(MATCHED!AE100=14,MATCHED!$O100,"")))))))&amp;IF(MATCHED!AE100=15,MATCHED!$P100,IF(MATCHED!AE100=16,MATCHED!$Q100,IF(MATCHED!AE100=17,MATCHED!$R100,IF(MATCHED!AE100=18,MATCHED!$S100,IF(MATCHED!AE100=19,MATCHED!$T100,IF(MATCHED!AE100=20,MATCHED!$U100,IF(MATCHED!AE100=21,MATCHED!$V100,)))))))&amp;IF(MATCHED!AE100=22,MATCHED!$W100,IF(MATCHED!AE100=23,MATCHED!$X100,IF(MATCHED!AE100=24,MATCHED!$Y100,IF(MATCHED!AE100=25,MATCHED!$Z100,IF(MATCHED!AE100=26,MATCHED!$AA100,IF(MATCHED!AE100=27,MATCHED!$AB100,"."))))))</f>
        <v>#N/A</v>
      </c>
      <c r="D100" s="424" t="e">
        <f>IF(MATCHED!AF100=1,MATCHED!$B100,IF(MATCHED!AF100=2,MATCHED!$C100,IF(MATCHED!AF100=3,MATCHED!$D100,IF(MATCHED!AF100=4,MATCHED!$E100,IF(MATCHED!AF100=3,MATCHED!$F100,IF(MATCHED!AF100=6,MATCHED!$G100,IF(MATCHED!AF100=7,MATCHED!$H100,"")))))))&amp;IF(MATCHED!AF100=8,MATCHED!$I100,IF(MATCHED!AF100=9,MATCHED!$J100,IF(MATCHED!AF100=10,MATCHED!$K100,IF(MATCHED!AF100=11,MATCHED!$L100,IF(MATCHED!AF100=12,MATCHED!$M100,IF(MATCHED!AF100=13,MATCHED!$N100,IF(MATCHED!AF100=14,MATCHED!$O100,"")))))))&amp;IF(MATCHED!AF100=15,MATCHED!$P100,IF(MATCHED!AF100=16,MATCHED!$Q100,IF(MATCHED!AF100=17,MATCHED!$R100,IF(MATCHED!AF100=18,MATCHED!$S100,IF(MATCHED!AF100=19,MATCHED!$T100,IF(MATCHED!AF100=20,MATCHED!$U100,IF(MATCHED!AF100=21,MATCHED!$V100,)))))))&amp;IF(MATCHED!AF100=22,MATCHED!$W100,IF(MATCHED!AF100=23,MATCHED!$X100,IF(MATCHED!AF100=24,MATCHED!$Y100,IF(MATCHED!AF100=25,MATCHED!$Z100,IF(MATCHED!AF100=26,MATCHED!$AA100,IF(MATCHED!AF100=27,MATCHED!$AB100,"."))))))</f>
        <v>#N/A</v>
      </c>
      <c r="E100" s="424" t="e">
        <f>IF(MATCHED!AG100=1,MATCHED!$B100,IF(MATCHED!AG100=2,MATCHED!$C100,IF(MATCHED!AG100=3,MATCHED!$D100,IF(MATCHED!AG100=4,MATCHED!$E100,IF(MATCHED!AG100=3,MATCHED!$F100,IF(MATCHED!AG100=6,MATCHED!$G100,IF(MATCHED!AG100=7,MATCHED!$H100,"")))))))&amp;IF(MATCHED!AG100=8,MATCHED!$I100,IF(MATCHED!AG100=9,MATCHED!$J100,IF(MATCHED!AG100=10,MATCHED!$K100,IF(MATCHED!AG100=11,MATCHED!$L100,IF(MATCHED!AG100=12,MATCHED!$M100,IF(MATCHED!AG100=13,MATCHED!$N100,IF(MATCHED!AG100=14,MATCHED!$O100,"")))))))&amp;IF(MATCHED!AG100=15,MATCHED!$P100,IF(MATCHED!AG100=16,MATCHED!$Q100,IF(MATCHED!AG100=17,MATCHED!$R100,IF(MATCHED!AG100=18,MATCHED!$S100,IF(MATCHED!AG100=19,MATCHED!$T100,IF(MATCHED!AG100=20,MATCHED!$U100,IF(MATCHED!AG100=21,MATCHED!$V100,)))))))&amp;IF(MATCHED!AG100=22,MATCHED!$W100,IF(MATCHED!AG100=23,MATCHED!$X100,IF(MATCHED!AG100=24,MATCHED!$Y100,IF(MATCHED!AG100=25,MATCHED!$Z100,IF(MATCHED!AG100=26,MATCHED!$AA100,IF(MATCHED!AG100=27,MATCHED!$AB100,"."))))))</f>
        <v>#N/A</v>
      </c>
      <c r="F100" s="424" t="e">
        <f>IF(MATCHED!AH100=1,MATCHED!$B100,IF(MATCHED!AH100=2,MATCHED!$C100,IF(MATCHED!AH100=3,MATCHED!$D100,IF(MATCHED!AH100=4,MATCHED!$E100,IF(MATCHED!AH100=3,MATCHED!$F100,IF(MATCHED!AH100=6,MATCHED!$G100,IF(MATCHED!AH100=7,MATCHED!$H100,"")))))))&amp;IF(MATCHED!AH100=8,MATCHED!$I100,IF(MATCHED!AH100=9,MATCHED!$J100,IF(MATCHED!AH100=10,MATCHED!$K100,IF(MATCHED!AH100=11,MATCHED!$L100,IF(MATCHED!AH100=12,MATCHED!$M100,IF(MATCHED!AH100=13,MATCHED!$N100,IF(MATCHED!AH100=14,MATCHED!$O100,"")))))))&amp;IF(MATCHED!AH100=15,MATCHED!$P100,IF(MATCHED!AH100=16,MATCHED!$Q100,IF(MATCHED!AH100=17,MATCHED!$R100,IF(MATCHED!AH100=18,MATCHED!$S100,IF(MATCHED!AH100=19,MATCHED!$T100,IF(MATCHED!AH100=20,MATCHED!$U100,IF(MATCHED!AH100=21,MATCHED!$V100,)))))))&amp;IF(MATCHED!AH100=22,MATCHED!$W100,IF(MATCHED!AH100=23,MATCHED!$X100,IF(MATCHED!AH100=24,MATCHED!$Y100,IF(MATCHED!AH100=25,MATCHED!$Z100,IF(MATCHED!AH100=26,MATCHED!$AA100,IF(MATCHED!AH100=27,MATCHED!$AB100,"."))))))</f>
        <v>#N/A</v>
      </c>
      <c r="G100" s="424" t="e">
        <f>IF(MATCHED!AI100=1,MATCHED!$B100,IF(MATCHED!AI100=2,MATCHED!$C100,IF(MATCHED!AI100=3,MATCHED!$D100,IF(MATCHED!AI100=4,MATCHED!$E100,IF(MATCHED!AI100=3,MATCHED!$F100,IF(MATCHED!AI100=6,MATCHED!$G100,IF(MATCHED!AI100=7,MATCHED!$H100,"")))))))&amp;IF(MATCHED!AI100=8,MATCHED!$I100,IF(MATCHED!AI100=9,MATCHED!$J100,IF(MATCHED!AI100=10,MATCHED!$K100,IF(MATCHED!AI100=11,MATCHED!$L100,IF(MATCHED!AI100=12,MATCHED!$M100,IF(MATCHED!AI100=13,MATCHED!$N100,IF(MATCHED!AI100=14,MATCHED!$O100,"")))))))&amp;IF(MATCHED!AI100=15,MATCHED!$P100,IF(MATCHED!AI100=16,MATCHED!$Q100,IF(MATCHED!AI100=17,MATCHED!$R100,IF(MATCHED!AI100=18,MATCHED!$S100,IF(MATCHED!AI100=19,MATCHED!$T100,IF(MATCHED!AI100=20,MATCHED!$U100,IF(MATCHED!AI100=21,MATCHED!$V100,)))))))&amp;IF(MATCHED!AI100=22,MATCHED!$W100,IF(MATCHED!AI100=23,MATCHED!$X100,IF(MATCHED!AI100=24,MATCHED!$Y100,IF(MATCHED!AI100=25,MATCHED!$Z100,IF(MATCHED!AI100=26,MATCHED!$AA100,IF(MATCHED!AI100=27,MATCHED!$AB100,"."))))))</f>
        <v>#N/A</v>
      </c>
      <c r="H100" s="424" t="e">
        <f>IF(MATCHED!AJ100=1,MATCHED!$B100,IF(MATCHED!AJ100=2,MATCHED!$C100,IF(MATCHED!AJ100=3,MATCHED!$D100,IF(MATCHED!AJ100=4,MATCHED!$E100,IF(MATCHED!AJ100=3,MATCHED!$F100,IF(MATCHED!AJ100=6,MATCHED!$G100,IF(MATCHED!AJ100=7,MATCHED!$H100,"")))))))&amp;IF(MATCHED!AJ100=8,MATCHED!$I100,IF(MATCHED!AJ100=9,MATCHED!$J100,IF(MATCHED!AJ100=10,MATCHED!$K100,IF(MATCHED!AJ100=11,MATCHED!$L100,IF(MATCHED!AJ100=12,MATCHED!$M100,IF(MATCHED!AJ100=13,MATCHED!$N100,IF(MATCHED!AJ100=14,MATCHED!$O100,"")))))))&amp;IF(MATCHED!AJ100=15,MATCHED!$P100,IF(MATCHED!AJ100=16,MATCHED!$Q100,IF(MATCHED!AJ100=17,MATCHED!$R100,IF(MATCHED!AJ100=18,MATCHED!$S100,IF(MATCHED!AJ100=19,MATCHED!$T100,IF(MATCHED!AJ100=20,MATCHED!$U100,IF(MATCHED!AJ100=21,MATCHED!$V100,)))))))&amp;IF(MATCHED!AJ100=22,MATCHED!$W100,IF(MATCHED!AJ100=23,MATCHED!$X100,IF(MATCHED!AJ100=24,MATCHED!$Y100,IF(MATCHED!AJ100=25,MATCHED!$Z100,IF(MATCHED!AJ100=26,MATCHED!$AA100,IF(MATCHED!AJ100=27,MATCHED!$AB100,"."))))))</f>
        <v>#N/A</v>
      </c>
      <c r="I100" s="424" t="e">
        <f>IF(MATCHED!AK100=1,MATCHED!$B100,IF(MATCHED!AK100=2,MATCHED!$C100,IF(MATCHED!AK100=3,MATCHED!$D100,IF(MATCHED!AK100=4,MATCHED!$E100,IF(MATCHED!AK100=3,MATCHED!$F100,IF(MATCHED!AK100=6,MATCHED!$G100,IF(MATCHED!AK100=7,MATCHED!$H100,"")))))))&amp;IF(MATCHED!AK100=8,MATCHED!$I100,IF(MATCHED!AK100=9,MATCHED!$J100,IF(MATCHED!AK100=10,MATCHED!$K100,IF(MATCHED!AK100=11,MATCHED!$L100,IF(MATCHED!AK100=12,MATCHED!$M100,IF(MATCHED!AK100=13,MATCHED!$N100,IF(MATCHED!AK100=14,MATCHED!$O100,"")))))))&amp;IF(MATCHED!AK100=15,MATCHED!$P100,IF(MATCHED!AK100=16,MATCHED!$Q100,IF(MATCHED!AK100=17,MATCHED!$R100,IF(MATCHED!AK100=18,MATCHED!$S100,IF(MATCHED!AK100=19,MATCHED!$T100,IF(MATCHED!AK100=20,MATCHED!$U100,IF(MATCHED!AK100=21,MATCHED!$V100,)))))))&amp;IF(MATCHED!AK100=22,MATCHED!$W100,IF(MATCHED!AK100=23,MATCHED!$X100,IF(MATCHED!AK100=24,MATCHED!$Y100,IF(MATCHED!AK100=25,MATCHED!$Z100,IF(MATCHED!AK100=26,MATCHED!$AA100,IF(MATCHED!AK100=27,MATCHED!$AB100,"."))))))</f>
        <v>#N/A</v>
      </c>
      <c r="J100" s="424" t="e">
        <f>IF(MATCHED!AL100=1,MATCHED!$B100,IF(MATCHED!AL100=2,MATCHED!$C100,IF(MATCHED!AL100=3,MATCHED!$D100,IF(MATCHED!AL100=4,MATCHED!$E100,IF(MATCHED!AL100=3,MATCHED!$F100,IF(MATCHED!AL100=6,MATCHED!$G100,IF(MATCHED!AL100=7,MATCHED!$H100,"")))))))&amp;IF(MATCHED!AL100=8,MATCHED!$I100,IF(MATCHED!AL100=9,MATCHED!$J100,IF(MATCHED!AL100=10,MATCHED!$K100,IF(MATCHED!AL100=11,MATCHED!$L100,IF(MATCHED!AL100=12,MATCHED!$M100,IF(MATCHED!AL100=13,MATCHED!$N100,IF(MATCHED!AL100=14,MATCHED!$O100,"")))))))&amp;IF(MATCHED!AL100=15,MATCHED!$P100,IF(MATCHED!AL100=16,MATCHED!$Q100,IF(MATCHED!AL100=17,MATCHED!$R100,IF(MATCHED!AL100=18,MATCHED!$S100,IF(MATCHED!AL100=19,MATCHED!$T100,IF(MATCHED!AL100=20,MATCHED!$U100,IF(MATCHED!AL100=21,MATCHED!$V100,)))))))&amp;IF(MATCHED!AL100=22,MATCHED!$W100,IF(MATCHED!AL100=23,MATCHED!$X100,IF(MATCHED!AL100=24,MATCHED!$Y100,IF(MATCHED!AL100=25,MATCHED!$Z100,IF(MATCHED!AL100=26,MATCHED!$AA100,IF(MATCHED!AL100=27,MATCHED!$AB100,"."))))))</f>
        <v>#N/A</v>
      </c>
      <c r="K100" s="424" t="e">
        <f>IF(MATCHED!AM100=1,MATCHED!$B100,IF(MATCHED!AM100=2,MATCHED!$C100,IF(MATCHED!AM100=3,MATCHED!$D100,IF(MATCHED!AM100=4,MATCHED!$E100,IF(MATCHED!AM100=3,MATCHED!$F100,IF(MATCHED!AM100=6,MATCHED!$G100,IF(MATCHED!AM100=7,MATCHED!$H100,"")))))))&amp;IF(MATCHED!AM100=8,MATCHED!$I100,IF(MATCHED!AM100=9,MATCHED!$J100,IF(MATCHED!AM100=10,MATCHED!$K100,IF(MATCHED!AM100=11,MATCHED!$L100,IF(MATCHED!AM100=12,MATCHED!$M100,IF(MATCHED!AM100=13,MATCHED!$N100,IF(MATCHED!AM100=14,MATCHED!$O100,"")))))))&amp;IF(MATCHED!AM100=15,MATCHED!$P100,IF(MATCHED!AM100=16,MATCHED!$Q100,IF(MATCHED!AM100=17,MATCHED!$R100,IF(MATCHED!AM100=18,MATCHED!$S100,IF(MATCHED!AM100=19,MATCHED!$T100,IF(MATCHED!AM100=20,MATCHED!$U100,IF(MATCHED!AM100=21,MATCHED!$V100,)))))))&amp;IF(MATCHED!AM100=22,MATCHED!$W100,IF(MATCHED!AM100=23,MATCHED!$X100,IF(MATCHED!AM100=24,MATCHED!$Y100,IF(MATCHED!AM100=25,MATCHED!$Z100,IF(MATCHED!AM100=26,MATCHED!$AA100,IF(MATCHED!AM100=27,MATCHED!$AB100,"."))))))</f>
        <v>#N/A</v>
      </c>
      <c r="L100" s="424" t="e">
        <f>IF(MATCHED!AN100=1,MATCHED!$B100,IF(MATCHED!AN100=2,MATCHED!$C100,IF(MATCHED!AN100=3,MATCHED!$D100,IF(MATCHED!AN100=4,MATCHED!$E100,IF(MATCHED!AN100=3,MATCHED!$F100,IF(MATCHED!AN100=6,MATCHED!$G100,IF(MATCHED!AN100=7,MATCHED!$H100,"")))))))&amp;IF(MATCHED!AN100=8,MATCHED!$I100,IF(MATCHED!AN100=9,MATCHED!$J100,IF(MATCHED!AN100=10,MATCHED!$K100,IF(MATCHED!AN100=11,MATCHED!$L100,IF(MATCHED!AN100=12,MATCHED!$M100,IF(MATCHED!AN100=13,MATCHED!$N100,IF(MATCHED!AN100=14,MATCHED!$O100,"")))))))&amp;IF(MATCHED!AN100=15,MATCHED!$P100,IF(MATCHED!AN100=16,MATCHED!$Q100,IF(MATCHED!AN100=17,MATCHED!$R100,IF(MATCHED!AN100=18,MATCHED!$S100,IF(MATCHED!AN100=19,MATCHED!$T100,IF(MATCHED!AN100=20,MATCHED!$U100,IF(MATCHED!AN100=21,MATCHED!$V100,)))))))&amp;IF(MATCHED!AN100=22,MATCHED!$W100,IF(MATCHED!AN100=23,MATCHED!$X100,IF(MATCHED!AN100=24,MATCHED!$Y100,IF(MATCHED!AN100=25,MATCHED!$Z100,IF(MATCHED!AN100=26,MATCHED!$AA100,IF(MATCHED!AN100=27,MATCHED!$AB100,"."))))))</f>
        <v>#N/A</v>
      </c>
      <c r="M100" s="424" t="e">
        <f>IF(MATCHED!AO100=1,MATCHED!$B100,IF(MATCHED!AO100=2,MATCHED!$C100,IF(MATCHED!AO100=3,MATCHED!$D100,IF(MATCHED!AO100=4,MATCHED!$E100,IF(MATCHED!AO100=3,MATCHED!$F100,IF(MATCHED!AO100=6,MATCHED!$G100,IF(MATCHED!AO100=7,MATCHED!$H100,"")))))))&amp;IF(MATCHED!AO100=8,MATCHED!$I100,IF(MATCHED!AO100=9,MATCHED!$J100,IF(MATCHED!AO100=10,MATCHED!$K100,IF(MATCHED!AO100=11,MATCHED!$L100,IF(MATCHED!AO100=12,MATCHED!$M100,IF(MATCHED!AO100=13,MATCHED!$N100,IF(MATCHED!AO100=14,MATCHED!$O100,"")))))))&amp;IF(MATCHED!AO100=15,MATCHED!$P100,IF(MATCHED!AO100=16,MATCHED!$Q100,IF(MATCHED!AO100=17,MATCHED!$R100,IF(MATCHED!AO100=18,MATCHED!$S100,IF(MATCHED!AO100=19,MATCHED!$T100,IF(MATCHED!AO100=20,MATCHED!$U100,IF(MATCHED!AO100=21,MATCHED!$V100,)))))))&amp;IF(MATCHED!AO100=22,MATCHED!$W100,IF(MATCHED!AO100=23,MATCHED!$X100,IF(MATCHED!AO100=24,MATCHED!$Y100,IF(MATCHED!AO100=25,MATCHED!$Z100,IF(MATCHED!AO100=26,MATCHED!$AA100,IF(MATCHED!AO100=27,MATCHED!$AB100,"."))))))</f>
        <v>#N/A</v>
      </c>
      <c r="N100" s="424" t="e">
        <f>IF(MATCHED!AP100=1,MATCHED!$B100,IF(MATCHED!AP100=2,MATCHED!$C100,IF(MATCHED!AP100=3,MATCHED!$D100,IF(MATCHED!AP100=4,MATCHED!$E100,IF(MATCHED!AP100=3,MATCHED!$F100,IF(MATCHED!AP100=6,MATCHED!$G100,IF(MATCHED!AP100=7,MATCHED!$H100,"")))))))&amp;IF(MATCHED!AP100=8,MATCHED!$I100,IF(MATCHED!AP100=9,MATCHED!$J100,IF(MATCHED!AP100=10,MATCHED!$K100,IF(MATCHED!AP100=11,MATCHED!$L100,IF(MATCHED!AP100=12,MATCHED!$M100,IF(MATCHED!AP100=13,MATCHED!$N100,IF(MATCHED!AP100=14,MATCHED!$O100,"")))))))&amp;IF(MATCHED!AP100=15,MATCHED!$P100,IF(MATCHED!AP100=16,MATCHED!$Q100,IF(MATCHED!AP100=17,MATCHED!$R100,IF(MATCHED!AP100=18,MATCHED!$S100,IF(MATCHED!AP100=19,MATCHED!$T100,IF(MATCHED!AP100=20,MATCHED!$U100,IF(MATCHED!AP100=21,MATCHED!$V100,)))))))&amp;IF(MATCHED!AP100=22,MATCHED!$W100,IF(MATCHED!AP100=23,MATCHED!$X100,IF(MATCHED!AP100=24,MATCHED!$Y100,IF(MATCHED!AP100=25,MATCHED!$Z100,IF(MATCHED!AP100=26,MATCHED!$AA100,IF(MATCHED!AP100=27,MATCHED!$AB100,"."))))))</f>
        <v>#N/A</v>
      </c>
      <c r="O100" s="424" t="e">
        <f>IF(MATCHED!AQ100=1,MATCHED!$B100,IF(MATCHED!AQ100=2,MATCHED!$C100,IF(MATCHED!AQ100=3,MATCHED!$D100,IF(MATCHED!AQ100=4,MATCHED!$E100,IF(MATCHED!AQ100=3,MATCHED!$F100,IF(MATCHED!AQ100=6,MATCHED!$G100,IF(MATCHED!AQ100=7,MATCHED!$H100,"")))))))&amp;IF(MATCHED!AQ100=8,MATCHED!$I100,IF(MATCHED!AQ100=9,MATCHED!$J100,IF(MATCHED!AQ100=10,MATCHED!$K100,IF(MATCHED!AQ100=11,MATCHED!$L100,IF(MATCHED!AQ100=12,MATCHED!$M100,IF(MATCHED!AQ100=13,MATCHED!$N100,IF(MATCHED!AQ100=14,MATCHED!$O100,"")))))))&amp;IF(MATCHED!AQ100=15,MATCHED!$P100,IF(MATCHED!AQ100=16,MATCHED!$Q100,IF(MATCHED!AQ100=17,MATCHED!$R100,IF(MATCHED!AQ100=18,MATCHED!$S100,IF(MATCHED!AQ100=19,MATCHED!$T100,IF(MATCHED!AQ100=20,MATCHED!$U100,IF(MATCHED!AQ100=21,MATCHED!$V100,)))))))&amp;IF(MATCHED!AQ100=22,MATCHED!$W100,IF(MATCHED!AQ100=23,MATCHED!$X100,IF(MATCHED!AQ100=24,MATCHED!$Y100,IF(MATCHED!AQ100=25,MATCHED!$Z100,IF(MATCHED!AQ100=26,MATCHED!$AA100,IF(MATCHED!AQ100=27,MATCHED!$AB100,"."))))))</f>
        <v>#N/A</v>
      </c>
      <c r="P100" s="424" t="e">
        <f>IF(MATCHED!AR100=1,MATCHED!$B100,IF(MATCHED!AR100=2,MATCHED!$C100,IF(MATCHED!AR100=3,MATCHED!$D100,IF(MATCHED!AR100=4,MATCHED!$E100,IF(MATCHED!AR100=3,MATCHED!$F100,IF(MATCHED!AR100=6,MATCHED!$G100,IF(MATCHED!AR100=7,MATCHED!$H100,"")))))))&amp;IF(MATCHED!AR100=8,MATCHED!$I100,IF(MATCHED!AR100=9,MATCHED!$J100,IF(MATCHED!AR100=10,MATCHED!$K100,IF(MATCHED!AR100=11,MATCHED!$L100,IF(MATCHED!AR100=12,MATCHED!$M100,IF(MATCHED!AR100=13,MATCHED!$N100,IF(MATCHED!AR100=14,MATCHED!$O100,"")))))))&amp;IF(MATCHED!AR100=15,MATCHED!$P100,IF(MATCHED!AR100=16,MATCHED!$Q100,IF(MATCHED!AR100=17,MATCHED!$R100,IF(MATCHED!AR100=18,MATCHED!$S100,IF(MATCHED!AR100=19,MATCHED!$T100,IF(MATCHED!AR100=20,MATCHED!$U100,IF(MATCHED!AR100=21,MATCHED!$V100,)))))))&amp;IF(MATCHED!AR100=22,MATCHED!$W100,IF(MATCHED!AR100=23,MATCHED!$X100,IF(MATCHED!AR100=24,MATCHED!$Y100,IF(MATCHED!AR100=25,MATCHED!$Z100,IF(MATCHED!AR100=26,MATCHED!$AA100,IF(MATCHED!AR100=27,MATCHED!$AB100,"."))))))</f>
        <v>#N/A</v>
      </c>
      <c r="Q100" s="424" t="e">
        <f>IF(MATCHED!AS100=1,MATCHED!$B100,IF(MATCHED!AS100=2,MATCHED!$C100,IF(MATCHED!AS100=3,MATCHED!$D100,IF(MATCHED!AS100=4,MATCHED!$E100,IF(MATCHED!AS100=3,MATCHED!$F100,IF(MATCHED!AS100=6,MATCHED!$G100,IF(MATCHED!AS100=7,MATCHED!$H100,"")))))))&amp;IF(MATCHED!AS100=8,MATCHED!$I100,IF(MATCHED!AS100=9,MATCHED!$J100,IF(MATCHED!AS100=10,MATCHED!$K100,IF(MATCHED!AS100=11,MATCHED!$L100,IF(MATCHED!AS100=12,MATCHED!$M100,IF(MATCHED!AS100=13,MATCHED!$N100,IF(MATCHED!AS100=14,MATCHED!$O100,"")))))))&amp;IF(MATCHED!AS100=15,MATCHED!$P100,IF(MATCHED!AS100=16,MATCHED!$Q100,IF(MATCHED!AS100=17,MATCHED!$R100,IF(MATCHED!AS100=18,MATCHED!$S100,IF(MATCHED!AS100=19,MATCHED!$T100,IF(MATCHED!AS100=20,MATCHED!$U100,IF(MATCHED!AS100=21,MATCHED!$V100,)))))))&amp;IF(MATCHED!AS100=22,MATCHED!$W100,IF(MATCHED!AS100=23,MATCHED!$X100,IF(MATCHED!AS100=24,MATCHED!$Y100,IF(MATCHED!AS100=25,MATCHED!$Z100,IF(MATCHED!AS100=26,MATCHED!$AA100,IF(MATCHED!AS100=27,MATCHED!$AB100,"."))))))</f>
        <v>#N/A</v>
      </c>
      <c r="R100" s="424" t="e">
        <f>IF(MATCHED!AT100=1,MATCHED!$B100,IF(MATCHED!AT100=2,MATCHED!$C100,IF(MATCHED!AT100=3,MATCHED!$D100,IF(MATCHED!AT100=4,MATCHED!$E100,IF(MATCHED!AT100=3,MATCHED!$F100,IF(MATCHED!AT100=6,MATCHED!$G100,IF(MATCHED!AT100=7,MATCHED!$H100,"")))))))&amp;IF(MATCHED!AT100=8,MATCHED!$I100,IF(MATCHED!AT100=9,MATCHED!$J100,IF(MATCHED!AT100=10,MATCHED!$K100,IF(MATCHED!AT100=11,MATCHED!$L100,IF(MATCHED!AT100=12,MATCHED!$M100,IF(MATCHED!AT100=13,MATCHED!$N100,IF(MATCHED!AT100=14,MATCHED!$O100,"")))))))&amp;IF(MATCHED!AT100=15,MATCHED!$P100,IF(MATCHED!AT100=16,MATCHED!$Q100,IF(MATCHED!AT100=17,MATCHED!$R100,IF(MATCHED!AT100=18,MATCHED!$S100,IF(MATCHED!AT100=19,MATCHED!$T100,IF(MATCHED!AT100=20,MATCHED!$U100,IF(MATCHED!AT100=21,MATCHED!$V100,)))))))&amp;IF(MATCHED!AT100=22,MATCHED!$W100,IF(MATCHED!AT100=23,MATCHED!$X100,IF(MATCHED!AT100=24,MATCHED!$Y100,IF(MATCHED!AT100=25,MATCHED!$Z100,IF(MATCHED!AT100=26,MATCHED!$AA100,IF(MATCHED!AT100=27,MATCHED!$AB100,"."))))))</f>
        <v>#N/A</v>
      </c>
      <c r="S100" s="424" t="e">
        <f>IF(MATCHED!AU100=1,MATCHED!$B100,IF(MATCHED!AU100=2,MATCHED!$C100,IF(MATCHED!AU100=3,MATCHED!$D100,IF(MATCHED!AU100=4,MATCHED!$E100,IF(MATCHED!AU100=3,MATCHED!$F100,IF(MATCHED!AU100=6,MATCHED!$G100,IF(MATCHED!AU100=7,MATCHED!$H100,"")))))))&amp;IF(MATCHED!AU100=8,MATCHED!$I100,IF(MATCHED!AU100=9,MATCHED!$J100,IF(MATCHED!AU100=10,MATCHED!$K100,IF(MATCHED!AU100=11,MATCHED!$L100,IF(MATCHED!AU100=12,MATCHED!$M100,IF(MATCHED!AU100=13,MATCHED!$N100,IF(MATCHED!AU100=14,MATCHED!$O100,"")))))))&amp;IF(MATCHED!AU100=15,MATCHED!$P100,IF(MATCHED!AU100=16,MATCHED!$Q100,IF(MATCHED!AU100=17,MATCHED!$R100,IF(MATCHED!AU100=18,MATCHED!$S100,IF(MATCHED!AU100=19,MATCHED!$T100,IF(MATCHED!AU100=20,MATCHED!$U100,IF(MATCHED!AU100=21,MATCHED!$V100,)))))))&amp;IF(MATCHED!AU100=22,MATCHED!$W100,IF(MATCHED!AU100=23,MATCHED!$X100,IF(MATCHED!AU100=24,MATCHED!$Y100,IF(MATCHED!AU100=25,MATCHED!$Z100,IF(MATCHED!AU100=26,MATCHED!$AA100,IF(MATCHED!AU100=27,MATCHED!$AB100,"."))))))</f>
        <v>#N/A</v>
      </c>
      <c r="T100" s="424" t="e">
        <f>IF(MATCHED!AV100=1,MATCHED!$B100,IF(MATCHED!AV100=2,MATCHED!$C100,IF(MATCHED!AV100=3,MATCHED!$D100,IF(MATCHED!AV100=4,MATCHED!$E100,IF(MATCHED!AV100=3,MATCHED!$F100,IF(MATCHED!AV100=6,MATCHED!$G100,IF(MATCHED!AV100=7,MATCHED!$H100,"")))))))&amp;IF(MATCHED!AV100=8,MATCHED!$I100,IF(MATCHED!AV100=9,MATCHED!$J100,IF(MATCHED!AV100=10,MATCHED!$K100,IF(MATCHED!AV100=11,MATCHED!$L100,IF(MATCHED!AV100=12,MATCHED!$M100,IF(MATCHED!AV100=13,MATCHED!$N100,IF(MATCHED!AV100=14,MATCHED!$O100,"")))))))&amp;IF(MATCHED!AV100=15,MATCHED!$P100,IF(MATCHED!AV100=16,MATCHED!$Q100,IF(MATCHED!AV100=17,MATCHED!$R100,IF(MATCHED!AV100=18,MATCHED!$S100,IF(MATCHED!AV100=19,MATCHED!$T100,IF(MATCHED!AV100=20,MATCHED!$U100,IF(MATCHED!AV100=21,MATCHED!$V100,)))))))&amp;IF(MATCHED!AV100=22,MATCHED!$W100,IF(MATCHED!AV100=23,MATCHED!$X100,IF(MATCHED!AV100=24,MATCHED!$Y100,IF(MATCHED!AV100=25,MATCHED!$Z100,IF(MATCHED!AV100=26,MATCHED!$AA100,IF(MATCHED!AV100=27,MATCHED!$AB100,"."))))))</f>
        <v>#N/A</v>
      </c>
      <c r="U100" s="424" t="e">
        <f>IF(MATCHED!AW100=1,MATCHED!$B100,IF(MATCHED!AW100=2,MATCHED!$C100,IF(MATCHED!AW100=3,MATCHED!$D100,IF(MATCHED!AW100=4,MATCHED!$E100,IF(MATCHED!AW100=3,MATCHED!$F100,IF(MATCHED!AW100=6,MATCHED!$G100,IF(MATCHED!AW100=7,MATCHED!$H100,"")))))))&amp;IF(MATCHED!AW100=8,MATCHED!$I100,IF(MATCHED!AW100=9,MATCHED!$J100,IF(MATCHED!AW100=10,MATCHED!$K100,IF(MATCHED!AW100=11,MATCHED!$L100,IF(MATCHED!AW100=12,MATCHED!$M100,IF(MATCHED!AW100=13,MATCHED!$N100,IF(MATCHED!AW100=14,MATCHED!$O100,"")))))))&amp;IF(MATCHED!AW100=15,MATCHED!$P100,IF(MATCHED!AW100=16,MATCHED!$Q100,IF(MATCHED!AW100=17,MATCHED!$R100,IF(MATCHED!AW100=18,MATCHED!$S100,IF(MATCHED!AW100=19,MATCHED!$T100,IF(MATCHED!AW100=20,MATCHED!$U100,IF(MATCHED!AW100=21,MATCHED!$V100,)))))))&amp;IF(MATCHED!AW100=22,MATCHED!$W100,IF(MATCHED!AW100=23,MATCHED!$X100,IF(MATCHED!AW100=24,MATCHED!$Y100,IF(MATCHED!AW100=25,MATCHED!$Z100,IF(MATCHED!AW100=26,MATCHED!$AA100,IF(MATCHED!AW100=27,MATCHED!$AB100,"."))))))</f>
        <v>#N/A</v>
      </c>
      <c r="V100" s="424" t="e">
        <f>IF(MATCHED!AX100=1,MATCHED!$B100,IF(MATCHED!AX100=2,MATCHED!$C100,IF(MATCHED!AX100=3,MATCHED!$D100,IF(MATCHED!AX100=4,MATCHED!$E100,IF(MATCHED!AX100=3,MATCHED!$F100,IF(MATCHED!AX100=6,MATCHED!$G100,IF(MATCHED!AX100=7,MATCHED!$H100,"")))))))&amp;IF(MATCHED!AX100=8,MATCHED!$I100,IF(MATCHED!AX100=9,MATCHED!$J100,IF(MATCHED!AX100=10,MATCHED!$K100,IF(MATCHED!AX100=11,MATCHED!$L100,IF(MATCHED!AX100=12,MATCHED!$M100,IF(MATCHED!AX100=13,MATCHED!$N100,IF(MATCHED!AX100=14,MATCHED!$O100,"")))))))&amp;IF(MATCHED!AX100=15,MATCHED!$P100,IF(MATCHED!AX100=16,MATCHED!$Q100,IF(MATCHED!AX100=17,MATCHED!$R100,IF(MATCHED!AX100=18,MATCHED!$S100,IF(MATCHED!AX100=19,MATCHED!$T100,IF(MATCHED!AX100=20,MATCHED!$U100,IF(MATCHED!AX100=21,MATCHED!$V100,)))))))&amp;IF(MATCHED!AX100=22,MATCHED!$W100,IF(MATCHED!AX100=23,MATCHED!$X100,IF(MATCHED!AX100=24,MATCHED!$Y100,IF(MATCHED!AX100=25,MATCHED!$Z100,IF(MATCHED!AX100=26,MATCHED!$AA100,IF(MATCHED!AX100=27,MATCHED!$AB100,"."))))))</f>
        <v>#N/A</v>
      </c>
      <c r="W100" s="424" t="e">
        <f>IF(MATCHED!AY100=1,MATCHED!$B100,IF(MATCHED!AY100=2,MATCHED!$C100,IF(MATCHED!AY100=3,MATCHED!$D100,IF(MATCHED!AY100=4,MATCHED!$E100,IF(MATCHED!AY100=3,MATCHED!$F100,IF(MATCHED!AY100=6,MATCHED!$G100,IF(MATCHED!AY100=7,MATCHED!$H100,"")))))))&amp;IF(MATCHED!AY100=8,MATCHED!$I100,IF(MATCHED!AY100=9,MATCHED!$J100,IF(MATCHED!AY100=10,MATCHED!$K100,IF(MATCHED!AY100=11,MATCHED!$L100,IF(MATCHED!AY100=12,MATCHED!$M100,IF(MATCHED!AY100=13,MATCHED!$N100,IF(MATCHED!AY100=14,MATCHED!$O100,"")))))))&amp;IF(MATCHED!AY100=15,MATCHED!$P100,IF(MATCHED!AY100=16,MATCHED!$Q100,IF(MATCHED!AY100=17,MATCHED!$R100,IF(MATCHED!AY100=18,MATCHED!$S100,IF(MATCHED!AY100=19,MATCHED!$T100,IF(MATCHED!AY100=20,MATCHED!$U100,IF(MATCHED!AY100=21,MATCHED!$V100,)))))))&amp;IF(MATCHED!AY100=22,MATCHED!$W100,IF(MATCHED!AY100=23,MATCHED!$X100,IF(MATCHED!AY100=24,MATCHED!$Y100,IF(MATCHED!AY100=25,MATCHED!$Z100,IF(MATCHED!AY100=26,MATCHED!$AA100,IF(MATCHED!AY100=27,MATCHED!$AB100,"."))))))</f>
        <v>#N/A</v>
      </c>
      <c r="X100" s="424" t="e">
        <f>IF(MATCHED!AZ100=1,MATCHED!$B100,IF(MATCHED!AZ100=2,MATCHED!$C100,IF(MATCHED!AZ100=3,MATCHED!$D100,IF(MATCHED!AZ100=4,MATCHED!$E100,IF(MATCHED!AZ100=3,MATCHED!$F100,IF(MATCHED!AZ100=6,MATCHED!$G100,IF(MATCHED!AZ100=7,MATCHED!$H100,"")))))))&amp;IF(MATCHED!AZ100=8,MATCHED!$I100,IF(MATCHED!AZ100=9,MATCHED!$J100,IF(MATCHED!AZ100=10,MATCHED!$K100,IF(MATCHED!AZ100=11,MATCHED!$L100,IF(MATCHED!AZ100=12,MATCHED!$M100,IF(MATCHED!AZ100=13,MATCHED!$N100,IF(MATCHED!AZ100=14,MATCHED!$O100,"")))))))&amp;IF(MATCHED!AZ100=15,MATCHED!$P100,IF(MATCHED!AZ100=16,MATCHED!$Q100,IF(MATCHED!AZ100=17,MATCHED!$R100,IF(MATCHED!AZ100=18,MATCHED!$S100,IF(MATCHED!AZ100=19,MATCHED!$T100,IF(MATCHED!AZ100=20,MATCHED!$U100,IF(MATCHED!AZ100=21,MATCHED!$V100,)))))))&amp;IF(MATCHED!AZ100=22,MATCHED!$W100,IF(MATCHED!AZ100=23,MATCHED!$X100,IF(MATCHED!AZ100=24,MATCHED!$Y100,IF(MATCHED!AZ100=25,MATCHED!$Z100,IF(MATCHED!AZ100=26,MATCHED!$AA100,IF(MATCHED!AZ100=27,MATCHED!$AB100,"."))))))</f>
        <v>#N/A</v>
      </c>
      <c r="Y100" s="424" t="e">
        <f>IF(MATCHED!BA100=1,MATCHED!$B100,IF(MATCHED!BA100=2,MATCHED!$C100,IF(MATCHED!BA100=3,MATCHED!$D100,IF(MATCHED!BA100=4,MATCHED!$E100,IF(MATCHED!BA100=3,MATCHED!$F100,IF(MATCHED!BA100=6,MATCHED!$G100,IF(MATCHED!BA100=7,MATCHED!$H100,"")))))))&amp;IF(MATCHED!BA100=8,MATCHED!$I100,IF(MATCHED!BA100=9,MATCHED!$J100,IF(MATCHED!BA100=10,MATCHED!$K100,IF(MATCHED!BA100=11,MATCHED!$L100,IF(MATCHED!BA100=12,MATCHED!$M100,IF(MATCHED!BA100=13,MATCHED!$N100,IF(MATCHED!BA100=14,MATCHED!$O100,"")))))))&amp;IF(MATCHED!BA100=15,MATCHED!$P100,IF(MATCHED!BA100=16,MATCHED!$Q100,IF(MATCHED!BA100=17,MATCHED!$R100,IF(MATCHED!BA100=18,MATCHED!$S100,IF(MATCHED!BA100=19,MATCHED!$T100,IF(MATCHED!BA100=20,MATCHED!$U100,IF(MATCHED!BA100=21,MATCHED!$V100,)))))))&amp;IF(MATCHED!BA100=22,MATCHED!$W100,IF(MATCHED!BA100=23,MATCHED!$X100,IF(MATCHED!BA100=24,MATCHED!$Y100,IF(MATCHED!BA100=25,MATCHED!$Z100,IF(MATCHED!BA100=26,MATCHED!$AA100,IF(MATCHED!BA100=27,MATCHED!$AB100,"."))))))</f>
        <v>#N/A</v>
      </c>
      <c r="Z100" s="424" t="e">
        <f>IF(MATCHED!BB100=1,MATCHED!$B100,IF(MATCHED!BB100=2,MATCHED!$C100,IF(MATCHED!BB100=3,MATCHED!$D100,IF(MATCHED!BB100=4,MATCHED!$E100,IF(MATCHED!BB100=3,MATCHED!$F100,IF(MATCHED!BB100=6,MATCHED!$G100,IF(MATCHED!BB100=7,MATCHED!$H100,"")))))))&amp;IF(MATCHED!BB100=8,MATCHED!$I100,IF(MATCHED!BB100=9,MATCHED!$J100,IF(MATCHED!BB100=10,MATCHED!$K100,IF(MATCHED!BB100=11,MATCHED!$L100,IF(MATCHED!BB100=12,MATCHED!$M100,IF(MATCHED!BB100=13,MATCHED!$N100,IF(MATCHED!BB100=14,MATCHED!$O100,"")))))))&amp;IF(MATCHED!BB100=15,MATCHED!$P100,IF(MATCHED!BB100=16,MATCHED!$Q100,IF(MATCHED!BB100=17,MATCHED!$R100,IF(MATCHED!BB100=18,MATCHED!$S100,IF(MATCHED!BB100=19,MATCHED!$T100,IF(MATCHED!BB100=20,MATCHED!$U100,IF(MATCHED!BB100=21,MATCHED!$V100,)))))))&amp;IF(MATCHED!BB100=22,MATCHED!$W100,IF(MATCHED!BB100=23,MATCHED!$X100,IF(MATCHED!BB100=24,MATCHED!$Y100,IF(MATCHED!BB100=25,MATCHED!$Z100,IF(MATCHED!BB100=26,MATCHED!$AA100,IF(MATCHED!BB100=27,MATCHED!$AB100,"."))))))</f>
        <v>#N/A</v>
      </c>
      <c r="AA100" s="424" t="e">
        <f>IF(MATCHED!BC100=1,MATCHED!$B100,IF(MATCHED!BC100=2,MATCHED!$C100,IF(MATCHED!BC100=3,MATCHED!$D100,IF(MATCHED!BC100=4,MATCHED!$E100,IF(MATCHED!BC100=3,MATCHED!$F100,IF(MATCHED!BC100=6,MATCHED!$G100,IF(MATCHED!BC100=7,MATCHED!$H100,"")))))))&amp;IF(MATCHED!BC100=8,MATCHED!$I100,IF(MATCHED!BC100=9,MATCHED!$J100,IF(MATCHED!BC100=10,MATCHED!$K100,IF(MATCHED!BC100=11,MATCHED!$L100,IF(MATCHED!BC100=12,MATCHED!$M100,IF(MATCHED!BC100=13,MATCHED!$N100,IF(MATCHED!BC100=14,MATCHED!$O100,"")))))))&amp;IF(MATCHED!BC100=15,MATCHED!$P100,IF(MATCHED!BC100=16,MATCHED!$Q100,IF(MATCHED!BC100=17,MATCHED!$R100,IF(MATCHED!BC100=18,MATCHED!$S100,IF(MATCHED!BC100=19,MATCHED!$T100,IF(MATCHED!BC100=20,MATCHED!$U100,IF(MATCHED!BC100=21,MATCHED!$V100,)))))))&amp;IF(MATCHED!BC100=22,MATCHED!$W100,IF(MATCHED!BC100=23,MATCHED!$X100,IF(MATCHED!BC100=24,MATCHED!$Y100,IF(MATCHED!BC100=25,MATCHED!$Z100,IF(MATCHED!BC100=26,MATCHED!$AA100,IF(MATCHED!BC100=27,MATCHED!$AB100,"."))))))</f>
        <v>#N/A</v>
      </c>
      <c r="AB100" s="424" t="e">
        <f>IF(MATCHED!BD100=1,MATCHED!$B100,IF(MATCHED!BD100=2,MATCHED!$C100,IF(MATCHED!BD100=3,MATCHED!$D100,IF(MATCHED!BD100=4,MATCHED!$E100,IF(MATCHED!BD100=3,MATCHED!$F100,IF(MATCHED!BD100=6,MATCHED!$G100,IF(MATCHED!BD100=7,MATCHED!$H100,"")))))))&amp;IF(MATCHED!BD100=8,MATCHED!$I100,IF(MATCHED!BD100=9,MATCHED!$J100,IF(MATCHED!BD100=10,MATCHED!$K100,IF(MATCHED!BD100=11,MATCHED!$L100,IF(MATCHED!BD100=12,MATCHED!$M100,IF(MATCHED!BD100=13,MATCHED!$N100,IF(MATCHED!BD100=14,MATCHED!$O100,"")))))))&amp;IF(MATCHED!BD100=15,MATCHED!$P100,IF(MATCHED!BD100=16,MATCHED!$Q100,IF(MATCHED!BD100=17,MATCHED!$R100,IF(MATCHED!BD100=18,MATCHED!$S100,IF(MATCHED!BD100=19,MATCHED!$T100,IF(MATCHED!BD100=20,MATCHED!$U100,IF(MATCHED!BD100=21,MATCHED!$V100,)))))))&amp;IF(MATCHED!BD100=22,MATCHED!$W100,IF(MATCHED!BD100=23,MATCHED!$X100,IF(MATCHED!BD100=24,MATCHED!$Y100,IF(MATCHED!BD100=25,MATCHED!$Z100,IF(MATCHED!BD100=26,MATCHED!$AA100,IF(MATCHED!BD100=27,MATCHED!$AB100,"."))))))</f>
        <v>#N/A</v>
      </c>
      <c r="AC100" s="424" t="e">
        <f>IF(MATCHED!BE100=1,MATCHED!$B100,IF(MATCHED!BE100=2,MATCHED!$C100,IF(MATCHED!BE100=3,MATCHED!$D100,IF(MATCHED!BE100=4,MATCHED!$E100,IF(MATCHED!BE100=3,MATCHED!$F100,IF(MATCHED!BE100=6,MATCHED!$G100,IF(MATCHED!BE100=7,MATCHED!$H100,"")))))))&amp;IF(MATCHED!BE100=8,MATCHED!$I100,IF(MATCHED!BE100=9,MATCHED!$J100,IF(MATCHED!BE100=10,MATCHED!$K100,IF(MATCHED!BE100=11,MATCHED!$L100,IF(MATCHED!BE100=12,MATCHED!$M100,IF(MATCHED!BE100=13,MATCHED!$N100,IF(MATCHED!BE100=14,MATCHED!$O100,"")))))))&amp;IF(MATCHED!BE100=15,MATCHED!$P100,IF(MATCHED!BE100=16,MATCHED!$Q100,IF(MATCHED!BE100=17,MATCHED!$R100,IF(MATCHED!BE100=18,MATCHED!$S100,IF(MATCHED!BE100=19,MATCHED!$T100,IF(MATCHED!BE100=20,MATCHED!$U100,IF(MATCHED!BE100=21,MATCHED!$V100,)))))))&amp;IF(MATCHED!BE100=22,MATCHED!$W100,IF(MATCHED!BE100=23,MATCHED!$X100,IF(MATCHED!BE100=24,MATCHED!$Y100,IF(MATCHED!BE100=25,MATCHED!$Z100,IF(MATCHED!BE100=26,MATCHED!$AA100,IF(MATCHED!BE100=27,MATCHED!$AB100,"."))))))</f>
        <v>#N/A</v>
      </c>
      <c r="AD100" s="424" t="e">
        <f>IF(MATCHED!BF100=1,MATCHED!$B100,IF(MATCHED!BF100=2,MATCHED!$C100,IF(MATCHED!BF100=3,MATCHED!$D100,IF(MATCHED!BF100=4,MATCHED!$E100,IF(MATCHED!BF100=3,MATCHED!$F100,IF(MATCHED!BF100=6,MATCHED!$G100,IF(MATCHED!BF100=7,MATCHED!$H100,"")))))))&amp;IF(MATCHED!BF100=8,MATCHED!$I100,IF(MATCHED!BF100=9,MATCHED!$J100,IF(MATCHED!BF100=10,MATCHED!$K100,IF(MATCHED!BF100=11,MATCHED!$L100,IF(MATCHED!BF100=12,MATCHED!$M100,IF(MATCHED!BF100=13,MATCHED!$N100,IF(MATCHED!BF100=14,MATCHED!$O100,"")))))))&amp;IF(MATCHED!BF100=15,MATCHED!$P100,IF(MATCHED!BF100=16,MATCHED!$Q100,IF(MATCHED!BF100=17,MATCHED!$R100,IF(MATCHED!BF100=18,MATCHED!$S100,IF(MATCHED!BF100=19,MATCHED!$T100,IF(MATCHED!BF100=20,MATCHED!$U100,IF(MATCHED!BF100=21,MATCHED!$V100,)))))))&amp;IF(MATCHED!BF100=22,MATCHED!$W100,IF(MATCHED!BF100=23,MATCHED!$X100,IF(MATCHED!BF100=24,MATCHED!$Y100,IF(MATCHED!BF100=25,MATCHED!$Z100,IF(MATCHED!BF100=26,MATCHED!$AA100,IF(MATCHED!BF100=27,MATCHED!$AB100,"."))))))</f>
        <v>#N/A</v>
      </c>
      <c r="AE100" s="424" t="e">
        <f>IF(MATCHED!BG100=1,MATCHED!$B100,IF(MATCHED!BG100=2,MATCHED!$C100,IF(MATCHED!BG100=3,MATCHED!$D100,IF(MATCHED!BG100=4,MATCHED!$E100,IF(MATCHED!BG100=3,MATCHED!$F100,IF(MATCHED!BG100=6,MATCHED!$G100,IF(MATCHED!BG100=7,MATCHED!$H100,"")))))))&amp;IF(MATCHED!BG100=8,MATCHED!$I100,IF(MATCHED!BG100=9,MATCHED!$J100,IF(MATCHED!BG100=10,MATCHED!$K100,IF(MATCHED!BG100=11,MATCHED!$L100,IF(MATCHED!BG100=12,MATCHED!$M100,IF(MATCHED!BG100=13,MATCHED!$N100,IF(MATCHED!BG100=14,MATCHED!$O100,"")))))))&amp;IF(MATCHED!BG100=15,MATCHED!$P100,IF(MATCHED!BG100=16,MATCHED!$Q100,IF(MATCHED!BG100=17,MATCHED!$R100,IF(MATCHED!BG100=18,MATCHED!$S100,IF(MATCHED!BG100=19,MATCHED!$T100,IF(MATCHED!BG100=20,MATCHED!$U100,IF(MATCHED!BG100=21,MATCHED!$V100,)))))))&amp;IF(MATCHED!BG100=22,MATCHED!$W100,IF(MATCHED!BG100=23,MATCHED!$X100,IF(MATCHED!BG100=24,MATCHED!$Y100,IF(MATCHED!BG100=25,MATCHED!$Z100,IF(MATCHED!BG100=26,MATCHED!$AA100,IF(MATCHED!BG100=27,MATCHED!$AB100,"."))))))</f>
        <v>#N/A</v>
      </c>
      <c r="AF100" s="424" t="e">
        <f>IF(MATCHED!BH100=1,MATCHED!$B100,IF(MATCHED!BH100=2,MATCHED!$C100,IF(MATCHED!BH100=3,MATCHED!$D100,IF(MATCHED!BH100=4,MATCHED!$E100,IF(MATCHED!BH100=3,MATCHED!$F100,IF(MATCHED!BH100=6,MATCHED!$G100,IF(MATCHED!BH100=7,MATCHED!$H100,"")))))))&amp;IF(MATCHED!BH100=8,MATCHED!$I100,IF(MATCHED!BH100=9,MATCHED!$J100,IF(MATCHED!BH100=10,MATCHED!$K100,IF(MATCHED!BH100=11,MATCHED!$L100,IF(MATCHED!BH100=12,MATCHED!$M100,IF(MATCHED!BH100=13,MATCHED!$N100,IF(MATCHED!BH100=14,MATCHED!$O100,"")))))))&amp;IF(MATCHED!BH100=15,MATCHED!$P100,IF(MATCHED!BH100=16,MATCHED!$Q100,IF(MATCHED!BH100=17,MATCHED!$R100,IF(MATCHED!BH100=18,MATCHED!$S100,IF(MATCHED!BH100=19,MATCHED!$T100,IF(MATCHED!BH100=20,MATCHED!$U100,IF(MATCHED!BH100=21,MATCHED!$V100,)))))))&amp;IF(MATCHED!BH100=22,MATCHED!$W100,IF(MATCHED!BH100=23,MATCHED!$X100,IF(MATCHED!BH100=24,MATCHED!$Y100,IF(MATCHED!BH100=25,MATCHED!$Z100,IF(MATCHED!BH100=26,MATCHED!$AA100,IF(MATCHED!BH100=27,MATCHED!$AB100,"."))))))</f>
        <v>#N/A</v>
      </c>
      <c r="AG100" s="424" t="e">
        <f>IF(MATCHED!BI100=1,MATCHED!$B100,IF(MATCHED!BI100=2,MATCHED!$C100,IF(MATCHED!BI100=3,MATCHED!$D100,IF(MATCHED!BI100=4,MATCHED!$E100,IF(MATCHED!BI100=3,MATCHED!$F100,IF(MATCHED!BI100=6,MATCHED!$G100,IF(MATCHED!BI100=7,MATCHED!$H100,"")))))))&amp;IF(MATCHED!BI100=8,MATCHED!$I100,IF(MATCHED!BI100=9,MATCHED!$J100,IF(MATCHED!BI100=10,MATCHED!$K100,IF(MATCHED!BI100=11,MATCHED!$L100,IF(MATCHED!BI100=12,MATCHED!$M100,IF(MATCHED!BI100=13,MATCHED!$N100,IF(MATCHED!BI100=14,MATCHED!$O100,"")))))))&amp;IF(MATCHED!BI100=15,MATCHED!$P100,IF(MATCHED!BI100=16,MATCHED!$Q100,IF(MATCHED!BI100=17,MATCHED!$R100,IF(MATCHED!BI100=18,MATCHED!$S100,IF(MATCHED!BI100=19,MATCHED!$T100,IF(MATCHED!BI100=20,MATCHED!$U100,IF(MATCHED!BI100=21,MATCHED!$V100,)))))))&amp;IF(MATCHED!BI100=22,MATCHED!$W100,IF(MATCHED!BI100=23,MATCHED!$X100,IF(MATCHED!BI100=24,MATCHED!$Y100,IF(MATCHED!BI100=25,MATCHED!$Z100,IF(MATCHED!BI100=26,MATCHED!$AA100,IF(MATCHED!BI100=27,MATCHED!$AB100,"."))))))</f>
        <v>#N/A</v>
      </c>
      <c r="AH100" s="424" t="e">
        <f>IF(MATCHED!BJ100=1,MATCHED!$B100,IF(MATCHED!BJ100=2,MATCHED!$C100,IF(MATCHED!BJ100=3,MATCHED!$D100,IF(MATCHED!BJ100=4,MATCHED!$E100,IF(MATCHED!BJ100=3,MATCHED!$F100,IF(MATCHED!BJ100=6,MATCHED!$G100,IF(MATCHED!BJ100=7,MATCHED!$H100,"")))))))&amp;IF(MATCHED!BJ100=8,MATCHED!$I100,IF(MATCHED!BJ100=9,MATCHED!$J100,IF(MATCHED!BJ100=10,MATCHED!$K100,IF(MATCHED!BJ100=11,MATCHED!$L100,IF(MATCHED!BJ100=12,MATCHED!$M100,IF(MATCHED!BJ100=13,MATCHED!$N100,IF(MATCHED!BJ100=14,MATCHED!$O100,"")))))))&amp;IF(MATCHED!BJ100=15,MATCHED!$P100,IF(MATCHED!BJ100=16,MATCHED!$Q100,IF(MATCHED!BJ100=17,MATCHED!$R100,IF(MATCHED!BJ100=18,MATCHED!$S100,IF(MATCHED!BJ100=19,MATCHED!$T100,IF(MATCHED!BJ100=20,MATCHED!$U100,IF(MATCHED!BJ100=21,MATCHED!$V100,)))))))&amp;IF(MATCHED!BJ100=22,MATCHED!$W100,IF(MATCHED!BJ100=23,MATCHED!$X100,IF(MATCHED!BJ100=24,MATCHED!$Y100,IF(MATCHED!BJ100=25,MATCHED!$Z100,IF(MATCHED!BJ100=26,MATCHED!$AA100,IF(MATCHED!BJ100=27,MATCHED!$AB100,"."))))))</f>
        <v>#N/A</v>
      </c>
      <c r="AI100" s="424" t="e">
        <f>IF(MATCHED!BK100=1,MATCHED!$B100,IF(MATCHED!BK100=2,MATCHED!$C100,IF(MATCHED!BK100=3,MATCHED!$D100,IF(MATCHED!BK100=4,MATCHED!$E100,IF(MATCHED!BK100=3,MATCHED!$F100,IF(MATCHED!BK100=6,MATCHED!$G100,IF(MATCHED!BK100=7,MATCHED!$H100,"")))))))&amp;IF(MATCHED!BK100=8,MATCHED!$I100,IF(MATCHED!BK100=9,MATCHED!$J100,IF(MATCHED!BK100=10,MATCHED!$K100,IF(MATCHED!BK100=11,MATCHED!$L100,IF(MATCHED!BK100=12,MATCHED!$M100,IF(MATCHED!BK100=13,MATCHED!$N100,IF(MATCHED!BK100=14,MATCHED!$O100,"")))))))&amp;IF(MATCHED!BK100=15,MATCHED!$P100,IF(MATCHED!BK100=16,MATCHED!$Q100,IF(MATCHED!BK100=17,MATCHED!$R100,IF(MATCHED!BK100=18,MATCHED!$S100,IF(MATCHED!BK100=19,MATCHED!$T100,IF(MATCHED!BK100=20,MATCHED!$U100,IF(MATCHED!BK100=21,MATCHED!$V100,)))))))&amp;IF(MATCHED!BK100=22,MATCHED!$W100,IF(MATCHED!BK100=23,MATCHED!$X100,IF(MATCHED!BK100=24,MATCHED!$Y100,IF(MATCHED!BK100=25,MATCHED!$Z100,IF(MATCHED!BK100=26,MATCHED!$AA100,IF(MATCHED!BK100=27,MATCHED!$AB100,"."))))))</f>
        <v>#N/A</v>
      </c>
      <c r="AJ100" s="535"/>
    </row>
    <row r="101" spans="1:36" s="338" customFormat="1" ht="15.6" thickBot="1" x14ac:dyDescent="0.3">
      <c r="A101" s="536"/>
      <c r="B101" s="424" t="e">
        <f>IF(MATCHED!AD101=1,MATCHED!$B101,IF(MATCHED!AD101=2,MATCHED!$C101,IF(MATCHED!AD101=3,MATCHED!$D101,IF(MATCHED!AD101=4,MATCHED!$E101,IF(MATCHED!AD101=3,MATCHED!$F101,IF(MATCHED!AD101=6,MATCHED!$G101,IF(MATCHED!AD101=7,MATCHED!$H101,"")))))))&amp;IF(MATCHED!AD101=8,MATCHED!$I101,IF(MATCHED!AD101=9,MATCHED!$J101,IF(MATCHED!AD101=10,MATCHED!$K101,IF(MATCHED!AD101=11,MATCHED!$L101,IF(MATCHED!AD101=12,MATCHED!$M101,IF(MATCHED!AD101=13,MATCHED!$N101,IF(MATCHED!AD101=14,MATCHED!$O101,"")))))))&amp;IF(MATCHED!AD101=15,MATCHED!$P101,IF(MATCHED!AD101=16,MATCHED!$Q101,IF(MATCHED!AD101=17,MATCHED!$R101,IF(MATCHED!AD101=18,MATCHED!$S101,IF(MATCHED!AD101=19,MATCHED!$T101,IF(MATCHED!AD101=20,MATCHED!$U101,IF(MATCHED!AD101=21,MATCHED!$V101,)))))))&amp;IF(MATCHED!AD101=22,MATCHED!$W101,IF(MATCHED!AD101=23,MATCHED!$X101,IF(MATCHED!AD101=24,MATCHED!$Y101,IF(MATCHED!AD101=25,MATCHED!$Z101,IF(MATCHED!AD101=26,MATCHED!$AA101,IF(MATCHED!AD101=27,MATCHED!$AB101,"."))))))</f>
        <v>#N/A</v>
      </c>
      <c r="C101" s="424" t="e">
        <f>IF(MATCHED!AE101=1,MATCHED!$B101,IF(MATCHED!AE101=2,MATCHED!$C101,IF(MATCHED!AE101=3,MATCHED!$D101,IF(MATCHED!AE101=4,MATCHED!$E101,IF(MATCHED!AE101=3,MATCHED!$F101,IF(MATCHED!AE101=6,MATCHED!$G101,IF(MATCHED!AE101=7,MATCHED!$H101,"")))))))&amp;IF(MATCHED!AE101=8,MATCHED!$I101,IF(MATCHED!AE101=9,MATCHED!$J101,IF(MATCHED!AE101=10,MATCHED!$K101,IF(MATCHED!AE101=11,MATCHED!$L101,IF(MATCHED!AE101=12,MATCHED!$M101,IF(MATCHED!AE101=13,MATCHED!$N101,IF(MATCHED!AE101=14,MATCHED!$O101,"")))))))&amp;IF(MATCHED!AE101=15,MATCHED!$P101,IF(MATCHED!AE101=16,MATCHED!$Q101,IF(MATCHED!AE101=17,MATCHED!$R101,IF(MATCHED!AE101=18,MATCHED!$S101,IF(MATCHED!AE101=19,MATCHED!$T101,IF(MATCHED!AE101=20,MATCHED!$U101,IF(MATCHED!AE101=21,MATCHED!$V101,)))))))&amp;IF(MATCHED!AE101=22,MATCHED!$W101,IF(MATCHED!AE101=23,MATCHED!$X101,IF(MATCHED!AE101=24,MATCHED!$Y101,IF(MATCHED!AE101=25,MATCHED!$Z101,IF(MATCHED!AE101=26,MATCHED!$AA101,IF(MATCHED!AE101=27,MATCHED!$AB101,"."))))))</f>
        <v>#N/A</v>
      </c>
      <c r="D101" s="424" t="e">
        <f>IF(MATCHED!AF101=1,MATCHED!$B101,IF(MATCHED!AF101=2,MATCHED!$C101,IF(MATCHED!AF101=3,MATCHED!$D101,IF(MATCHED!AF101=4,MATCHED!$E101,IF(MATCHED!AF101=3,MATCHED!$F101,IF(MATCHED!AF101=6,MATCHED!$G101,IF(MATCHED!AF101=7,MATCHED!$H101,"")))))))&amp;IF(MATCHED!AF101=8,MATCHED!$I101,IF(MATCHED!AF101=9,MATCHED!$J101,IF(MATCHED!AF101=10,MATCHED!$K101,IF(MATCHED!AF101=11,MATCHED!$L101,IF(MATCHED!AF101=12,MATCHED!$M101,IF(MATCHED!AF101=13,MATCHED!$N101,IF(MATCHED!AF101=14,MATCHED!$O101,"")))))))&amp;IF(MATCHED!AF101=15,MATCHED!$P101,IF(MATCHED!AF101=16,MATCHED!$Q101,IF(MATCHED!AF101=17,MATCHED!$R101,IF(MATCHED!AF101=18,MATCHED!$S101,IF(MATCHED!AF101=19,MATCHED!$T101,IF(MATCHED!AF101=20,MATCHED!$U101,IF(MATCHED!AF101=21,MATCHED!$V101,)))))))&amp;IF(MATCHED!AF101=22,MATCHED!$W101,IF(MATCHED!AF101=23,MATCHED!$X101,IF(MATCHED!AF101=24,MATCHED!$Y101,IF(MATCHED!AF101=25,MATCHED!$Z101,IF(MATCHED!AF101=26,MATCHED!$AA101,IF(MATCHED!AF101=27,MATCHED!$AB101,"."))))))</f>
        <v>#N/A</v>
      </c>
      <c r="E101" s="424" t="e">
        <f>IF(MATCHED!AG101=1,MATCHED!$B101,IF(MATCHED!AG101=2,MATCHED!$C101,IF(MATCHED!AG101=3,MATCHED!$D101,IF(MATCHED!AG101=4,MATCHED!$E101,IF(MATCHED!AG101=3,MATCHED!$F101,IF(MATCHED!AG101=6,MATCHED!$G101,IF(MATCHED!AG101=7,MATCHED!$H101,"")))))))&amp;IF(MATCHED!AG101=8,MATCHED!$I101,IF(MATCHED!AG101=9,MATCHED!$J101,IF(MATCHED!AG101=10,MATCHED!$K101,IF(MATCHED!AG101=11,MATCHED!$L101,IF(MATCHED!AG101=12,MATCHED!$M101,IF(MATCHED!AG101=13,MATCHED!$N101,IF(MATCHED!AG101=14,MATCHED!$O101,"")))))))&amp;IF(MATCHED!AG101=15,MATCHED!$P101,IF(MATCHED!AG101=16,MATCHED!$Q101,IF(MATCHED!AG101=17,MATCHED!$R101,IF(MATCHED!AG101=18,MATCHED!$S101,IF(MATCHED!AG101=19,MATCHED!$T101,IF(MATCHED!AG101=20,MATCHED!$U101,IF(MATCHED!AG101=21,MATCHED!$V101,)))))))&amp;IF(MATCHED!AG101=22,MATCHED!$W101,IF(MATCHED!AG101=23,MATCHED!$X101,IF(MATCHED!AG101=24,MATCHED!$Y101,IF(MATCHED!AG101=25,MATCHED!$Z101,IF(MATCHED!AG101=26,MATCHED!$AA101,IF(MATCHED!AG101=27,MATCHED!$AB101,"."))))))</f>
        <v>#N/A</v>
      </c>
      <c r="F101" s="424" t="e">
        <f>IF(MATCHED!AH101=1,MATCHED!$B101,IF(MATCHED!AH101=2,MATCHED!$C101,IF(MATCHED!AH101=3,MATCHED!$D101,IF(MATCHED!AH101=4,MATCHED!$E101,IF(MATCHED!AH101=3,MATCHED!$F101,IF(MATCHED!AH101=6,MATCHED!$G101,IF(MATCHED!AH101=7,MATCHED!$H101,"")))))))&amp;IF(MATCHED!AH101=8,MATCHED!$I101,IF(MATCHED!AH101=9,MATCHED!$J101,IF(MATCHED!AH101=10,MATCHED!$K101,IF(MATCHED!AH101=11,MATCHED!$L101,IF(MATCHED!AH101=12,MATCHED!$M101,IF(MATCHED!AH101=13,MATCHED!$N101,IF(MATCHED!AH101=14,MATCHED!$O101,"")))))))&amp;IF(MATCHED!AH101=15,MATCHED!$P101,IF(MATCHED!AH101=16,MATCHED!$Q101,IF(MATCHED!AH101=17,MATCHED!$R101,IF(MATCHED!AH101=18,MATCHED!$S101,IF(MATCHED!AH101=19,MATCHED!$T101,IF(MATCHED!AH101=20,MATCHED!$U101,IF(MATCHED!AH101=21,MATCHED!$V101,)))))))&amp;IF(MATCHED!AH101=22,MATCHED!$W101,IF(MATCHED!AH101=23,MATCHED!$X101,IF(MATCHED!AH101=24,MATCHED!$Y101,IF(MATCHED!AH101=25,MATCHED!$Z101,IF(MATCHED!AH101=26,MATCHED!$AA101,IF(MATCHED!AH101=27,MATCHED!$AB101,"."))))))</f>
        <v>#N/A</v>
      </c>
      <c r="G101" s="424" t="e">
        <f>IF(MATCHED!AI101=1,MATCHED!$B101,IF(MATCHED!AI101=2,MATCHED!$C101,IF(MATCHED!AI101=3,MATCHED!$D101,IF(MATCHED!AI101=4,MATCHED!$E101,IF(MATCHED!AI101=3,MATCHED!$F101,IF(MATCHED!AI101=6,MATCHED!$G101,IF(MATCHED!AI101=7,MATCHED!$H101,"")))))))&amp;IF(MATCHED!AI101=8,MATCHED!$I101,IF(MATCHED!AI101=9,MATCHED!$J101,IF(MATCHED!AI101=10,MATCHED!$K101,IF(MATCHED!AI101=11,MATCHED!$L101,IF(MATCHED!AI101=12,MATCHED!$M101,IF(MATCHED!AI101=13,MATCHED!$N101,IF(MATCHED!AI101=14,MATCHED!$O101,"")))))))&amp;IF(MATCHED!AI101=15,MATCHED!$P101,IF(MATCHED!AI101=16,MATCHED!$Q101,IF(MATCHED!AI101=17,MATCHED!$R101,IF(MATCHED!AI101=18,MATCHED!$S101,IF(MATCHED!AI101=19,MATCHED!$T101,IF(MATCHED!AI101=20,MATCHED!$U101,IF(MATCHED!AI101=21,MATCHED!$V101,)))))))&amp;IF(MATCHED!AI101=22,MATCHED!$W101,IF(MATCHED!AI101=23,MATCHED!$X101,IF(MATCHED!AI101=24,MATCHED!$Y101,IF(MATCHED!AI101=25,MATCHED!$Z101,IF(MATCHED!AI101=26,MATCHED!$AA101,IF(MATCHED!AI101=27,MATCHED!$AB101,"."))))))</f>
        <v>#N/A</v>
      </c>
      <c r="H101" s="424" t="e">
        <f>IF(MATCHED!AJ101=1,MATCHED!$B101,IF(MATCHED!AJ101=2,MATCHED!$C101,IF(MATCHED!AJ101=3,MATCHED!$D101,IF(MATCHED!AJ101=4,MATCHED!$E101,IF(MATCHED!AJ101=3,MATCHED!$F101,IF(MATCHED!AJ101=6,MATCHED!$G101,IF(MATCHED!AJ101=7,MATCHED!$H101,"")))))))&amp;IF(MATCHED!AJ101=8,MATCHED!$I101,IF(MATCHED!AJ101=9,MATCHED!$J101,IF(MATCHED!AJ101=10,MATCHED!$K101,IF(MATCHED!AJ101=11,MATCHED!$L101,IF(MATCHED!AJ101=12,MATCHED!$M101,IF(MATCHED!AJ101=13,MATCHED!$N101,IF(MATCHED!AJ101=14,MATCHED!$O101,"")))))))&amp;IF(MATCHED!AJ101=15,MATCHED!$P101,IF(MATCHED!AJ101=16,MATCHED!$Q101,IF(MATCHED!AJ101=17,MATCHED!$R101,IF(MATCHED!AJ101=18,MATCHED!$S101,IF(MATCHED!AJ101=19,MATCHED!$T101,IF(MATCHED!AJ101=20,MATCHED!$U101,IF(MATCHED!AJ101=21,MATCHED!$V101,)))))))&amp;IF(MATCHED!AJ101=22,MATCHED!$W101,IF(MATCHED!AJ101=23,MATCHED!$X101,IF(MATCHED!AJ101=24,MATCHED!$Y101,IF(MATCHED!AJ101=25,MATCHED!$Z101,IF(MATCHED!AJ101=26,MATCHED!$AA101,IF(MATCHED!AJ101=27,MATCHED!$AB101,"."))))))</f>
        <v>#N/A</v>
      </c>
      <c r="I101" s="424" t="e">
        <f>IF(MATCHED!AK101=1,MATCHED!$B101,IF(MATCHED!AK101=2,MATCHED!$C101,IF(MATCHED!AK101=3,MATCHED!$D101,IF(MATCHED!AK101=4,MATCHED!$E101,IF(MATCHED!AK101=3,MATCHED!$F101,IF(MATCHED!AK101=6,MATCHED!$G101,IF(MATCHED!AK101=7,MATCHED!$H101,"")))))))&amp;IF(MATCHED!AK101=8,MATCHED!$I101,IF(MATCHED!AK101=9,MATCHED!$J101,IF(MATCHED!AK101=10,MATCHED!$K101,IF(MATCHED!AK101=11,MATCHED!$L101,IF(MATCHED!AK101=12,MATCHED!$M101,IF(MATCHED!AK101=13,MATCHED!$N101,IF(MATCHED!AK101=14,MATCHED!$O101,"")))))))&amp;IF(MATCHED!AK101=15,MATCHED!$P101,IF(MATCHED!AK101=16,MATCHED!$Q101,IF(MATCHED!AK101=17,MATCHED!$R101,IF(MATCHED!AK101=18,MATCHED!$S101,IF(MATCHED!AK101=19,MATCHED!$T101,IF(MATCHED!AK101=20,MATCHED!$U101,IF(MATCHED!AK101=21,MATCHED!$V101,)))))))&amp;IF(MATCHED!AK101=22,MATCHED!$W101,IF(MATCHED!AK101=23,MATCHED!$X101,IF(MATCHED!AK101=24,MATCHED!$Y101,IF(MATCHED!AK101=25,MATCHED!$Z101,IF(MATCHED!AK101=26,MATCHED!$AA101,IF(MATCHED!AK101=27,MATCHED!$AB101,"."))))))</f>
        <v>#N/A</v>
      </c>
      <c r="J101" s="424" t="e">
        <f>IF(MATCHED!AL101=1,MATCHED!$B101,IF(MATCHED!AL101=2,MATCHED!$C101,IF(MATCHED!AL101=3,MATCHED!$D101,IF(MATCHED!AL101=4,MATCHED!$E101,IF(MATCHED!AL101=3,MATCHED!$F101,IF(MATCHED!AL101=6,MATCHED!$G101,IF(MATCHED!AL101=7,MATCHED!$H101,"")))))))&amp;IF(MATCHED!AL101=8,MATCHED!$I101,IF(MATCHED!AL101=9,MATCHED!$J101,IF(MATCHED!AL101=10,MATCHED!$K101,IF(MATCHED!AL101=11,MATCHED!$L101,IF(MATCHED!AL101=12,MATCHED!$M101,IF(MATCHED!AL101=13,MATCHED!$N101,IF(MATCHED!AL101=14,MATCHED!$O101,"")))))))&amp;IF(MATCHED!AL101=15,MATCHED!$P101,IF(MATCHED!AL101=16,MATCHED!$Q101,IF(MATCHED!AL101=17,MATCHED!$R101,IF(MATCHED!AL101=18,MATCHED!$S101,IF(MATCHED!AL101=19,MATCHED!$T101,IF(MATCHED!AL101=20,MATCHED!$U101,IF(MATCHED!AL101=21,MATCHED!$V101,)))))))&amp;IF(MATCHED!AL101=22,MATCHED!$W101,IF(MATCHED!AL101=23,MATCHED!$X101,IF(MATCHED!AL101=24,MATCHED!$Y101,IF(MATCHED!AL101=25,MATCHED!$Z101,IF(MATCHED!AL101=26,MATCHED!$AA101,IF(MATCHED!AL101=27,MATCHED!$AB101,"."))))))</f>
        <v>#N/A</v>
      </c>
      <c r="K101" s="424" t="e">
        <f>IF(MATCHED!AM101=1,MATCHED!$B101,IF(MATCHED!AM101=2,MATCHED!$C101,IF(MATCHED!AM101=3,MATCHED!$D101,IF(MATCHED!AM101=4,MATCHED!$E101,IF(MATCHED!AM101=3,MATCHED!$F101,IF(MATCHED!AM101=6,MATCHED!$G101,IF(MATCHED!AM101=7,MATCHED!$H101,"")))))))&amp;IF(MATCHED!AM101=8,MATCHED!$I101,IF(MATCHED!AM101=9,MATCHED!$J101,IF(MATCHED!AM101=10,MATCHED!$K101,IF(MATCHED!AM101=11,MATCHED!$L101,IF(MATCHED!AM101=12,MATCHED!$M101,IF(MATCHED!AM101=13,MATCHED!$N101,IF(MATCHED!AM101=14,MATCHED!$O101,"")))))))&amp;IF(MATCHED!AM101=15,MATCHED!$P101,IF(MATCHED!AM101=16,MATCHED!$Q101,IF(MATCHED!AM101=17,MATCHED!$R101,IF(MATCHED!AM101=18,MATCHED!$S101,IF(MATCHED!AM101=19,MATCHED!$T101,IF(MATCHED!AM101=20,MATCHED!$U101,IF(MATCHED!AM101=21,MATCHED!$V101,)))))))&amp;IF(MATCHED!AM101=22,MATCHED!$W101,IF(MATCHED!AM101=23,MATCHED!$X101,IF(MATCHED!AM101=24,MATCHED!$Y101,IF(MATCHED!AM101=25,MATCHED!$Z101,IF(MATCHED!AM101=26,MATCHED!$AA101,IF(MATCHED!AM101=27,MATCHED!$AB101,"."))))))</f>
        <v>#N/A</v>
      </c>
      <c r="L101" s="424" t="e">
        <f>IF(MATCHED!AN101=1,MATCHED!$B101,IF(MATCHED!AN101=2,MATCHED!$C101,IF(MATCHED!AN101=3,MATCHED!$D101,IF(MATCHED!AN101=4,MATCHED!$E101,IF(MATCHED!AN101=3,MATCHED!$F101,IF(MATCHED!AN101=6,MATCHED!$G101,IF(MATCHED!AN101=7,MATCHED!$H101,"")))))))&amp;IF(MATCHED!AN101=8,MATCHED!$I101,IF(MATCHED!AN101=9,MATCHED!$J101,IF(MATCHED!AN101=10,MATCHED!$K101,IF(MATCHED!AN101=11,MATCHED!$L101,IF(MATCHED!AN101=12,MATCHED!$M101,IF(MATCHED!AN101=13,MATCHED!$N101,IF(MATCHED!AN101=14,MATCHED!$O101,"")))))))&amp;IF(MATCHED!AN101=15,MATCHED!$P101,IF(MATCHED!AN101=16,MATCHED!$Q101,IF(MATCHED!AN101=17,MATCHED!$R101,IF(MATCHED!AN101=18,MATCHED!$S101,IF(MATCHED!AN101=19,MATCHED!$T101,IF(MATCHED!AN101=20,MATCHED!$U101,IF(MATCHED!AN101=21,MATCHED!$V101,)))))))&amp;IF(MATCHED!AN101=22,MATCHED!$W101,IF(MATCHED!AN101=23,MATCHED!$X101,IF(MATCHED!AN101=24,MATCHED!$Y101,IF(MATCHED!AN101=25,MATCHED!$Z101,IF(MATCHED!AN101=26,MATCHED!$AA101,IF(MATCHED!AN101=27,MATCHED!$AB101,"."))))))</f>
        <v>#N/A</v>
      </c>
      <c r="M101" s="424" t="e">
        <f>IF(MATCHED!AO101=1,MATCHED!$B101,IF(MATCHED!AO101=2,MATCHED!$C101,IF(MATCHED!AO101=3,MATCHED!$D101,IF(MATCHED!AO101=4,MATCHED!$E101,IF(MATCHED!AO101=3,MATCHED!$F101,IF(MATCHED!AO101=6,MATCHED!$G101,IF(MATCHED!AO101=7,MATCHED!$H101,"")))))))&amp;IF(MATCHED!AO101=8,MATCHED!$I101,IF(MATCHED!AO101=9,MATCHED!$J101,IF(MATCHED!AO101=10,MATCHED!$K101,IF(MATCHED!AO101=11,MATCHED!$L101,IF(MATCHED!AO101=12,MATCHED!$M101,IF(MATCHED!AO101=13,MATCHED!$N101,IF(MATCHED!AO101=14,MATCHED!$O101,"")))))))&amp;IF(MATCHED!AO101=15,MATCHED!$P101,IF(MATCHED!AO101=16,MATCHED!$Q101,IF(MATCHED!AO101=17,MATCHED!$R101,IF(MATCHED!AO101=18,MATCHED!$S101,IF(MATCHED!AO101=19,MATCHED!$T101,IF(MATCHED!AO101=20,MATCHED!$U101,IF(MATCHED!AO101=21,MATCHED!$V101,)))))))&amp;IF(MATCHED!AO101=22,MATCHED!$W101,IF(MATCHED!AO101=23,MATCHED!$X101,IF(MATCHED!AO101=24,MATCHED!$Y101,IF(MATCHED!AO101=25,MATCHED!$Z101,IF(MATCHED!AO101=26,MATCHED!$AA101,IF(MATCHED!AO101=27,MATCHED!$AB101,"."))))))</f>
        <v>#N/A</v>
      </c>
      <c r="N101" s="424" t="e">
        <f>IF(MATCHED!AP101=1,MATCHED!$B101,IF(MATCHED!AP101=2,MATCHED!$C101,IF(MATCHED!AP101=3,MATCHED!$D101,IF(MATCHED!AP101=4,MATCHED!$E101,IF(MATCHED!AP101=3,MATCHED!$F101,IF(MATCHED!AP101=6,MATCHED!$G101,IF(MATCHED!AP101=7,MATCHED!$H101,"")))))))&amp;IF(MATCHED!AP101=8,MATCHED!$I101,IF(MATCHED!AP101=9,MATCHED!$J101,IF(MATCHED!AP101=10,MATCHED!$K101,IF(MATCHED!AP101=11,MATCHED!$L101,IF(MATCHED!AP101=12,MATCHED!$M101,IF(MATCHED!AP101=13,MATCHED!$N101,IF(MATCHED!AP101=14,MATCHED!$O101,"")))))))&amp;IF(MATCHED!AP101=15,MATCHED!$P101,IF(MATCHED!AP101=16,MATCHED!$Q101,IF(MATCHED!AP101=17,MATCHED!$R101,IF(MATCHED!AP101=18,MATCHED!$S101,IF(MATCHED!AP101=19,MATCHED!$T101,IF(MATCHED!AP101=20,MATCHED!$U101,IF(MATCHED!AP101=21,MATCHED!$V101,)))))))&amp;IF(MATCHED!AP101=22,MATCHED!$W101,IF(MATCHED!AP101=23,MATCHED!$X101,IF(MATCHED!AP101=24,MATCHED!$Y101,IF(MATCHED!AP101=25,MATCHED!$Z101,IF(MATCHED!AP101=26,MATCHED!$AA101,IF(MATCHED!AP101=27,MATCHED!$AB101,"."))))))</f>
        <v>#N/A</v>
      </c>
      <c r="O101" s="424" t="e">
        <f>IF(MATCHED!AQ101=1,MATCHED!$B101,IF(MATCHED!AQ101=2,MATCHED!$C101,IF(MATCHED!AQ101=3,MATCHED!$D101,IF(MATCHED!AQ101=4,MATCHED!$E101,IF(MATCHED!AQ101=3,MATCHED!$F101,IF(MATCHED!AQ101=6,MATCHED!$G101,IF(MATCHED!AQ101=7,MATCHED!$H101,"")))))))&amp;IF(MATCHED!AQ101=8,MATCHED!$I101,IF(MATCHED!AQ101=9,MATCHED!$J101,IF(MATCHED!AQ101=10,MATCHED!$K101,IF(MATCHED!AQ101=11,MATCHED!$L101,IF(MATCHED!AQ101=12,MATCHED!$M101,IF(MATCHED!AQ101=13,MATCHED!$N101,IF(MATCHED!AQ101=14,MATCHED!$O101,"")))))))&amp;IF(MATCHED!AQ101=15,MATCHED!$P101,IF(MATCHED!AQ101=16,MATCHED!$Q101,IF(MATCHED!AQ101=17,MATCHED!$R101,IF(MATCHED!AQ101=18,MATCHED!$S101,IF(MATCHED!AQ101=19,MATCHED!$T101,IF(MATCHED!AQ101=20,MATCHED!$U101,IF(MATCHED!AQ101=21,MATCHED!$V101,)))))))&amp;IF(MATCHED!AQ101=22,MATCHED!$W101,IF(MATCHED!AQ101=23,MATCHED!$X101,IF(MATCHED!AQ101=24,MATCHED!$Y101,IF(MATCHED!AQ101=25,MATCHED!$Z101,IF(MATCHED!AQ101=26,MATCHED!$AA101,IF(MATCHED!AQ101=27,MATCHED!$AB101,"."))))))</f>
        <v>#N/A</v>
      </c>
      <c r="P101" s="424" t="e">
        <f>IF(MATCHED!AR101=1,MATCHED!$B101,IF(MATCHED!AR101=2,MATCHED!$C101,IF(MATCHED!AR101=3,MATCHED!$D101,IF(MATCHED!AR101=4,MATCHED!$E101,IF(MATCHED!AR101=3,MATCHED!$F101,IF(MATCHED!AR101=6,MATCHED!$G101,IF(MATCHED!AR101=7,MATCHED!$H101,"")))))))&amp;IF(MATCHED!AR101=8,MATCHED!$I101,IF(MATCHED!AR101=9,MATCHED!$J101,IF(MATCHED!AR101=10,MATCHED!$K101,IF(MATCHED!AR101=11,MATCHED!$L101,IF(MATCHED!AR101=12,MATCHED!$M101,IF(MATCHED!AR101=13,MATCHED!$N101,IF(MATCHED!AR101=14,MATCHED!$O101,"")))))))&amp;IF(MATCHED!AR101=15,MATCHED!$P101,IF(MATCHED!AR101=16,MATCHED!$Q101,IF(MATCHED!AR101=17,MATCHED!$R101,IF(MATCHED!AR101=18,MATCHED!$S101,IF(MATCHED!AR101=19,MATCHED!$T101,IF(MATCHED!AR101=20,MATCHED!$U101,IF(MATCHED!AR101=21,MATCHED!$V101,)))))))&amp;IF(MATCHED!AR101=22,MATCHED!$W101,IF(MATCHED!AR101=23,MATCHED!$X101,IF(MATCHED!AR101=24,MATCHED!$Y101,IF(MATCHED!AR101=25,MATCHED!$Z101,IF(MATCHED!AR101=26,MATCHED!$AA101,IF(MATCHED!AR101=27,MATCHED!$AB101,"."))))))</f>
        <v>#N/A</v>
      </c>
      <c r="Q101" s="424" t="e">
        <f>IF(MATCHED!AS101=1,MATCHED!$B101,IF(MATCHED!AS101=2,MATCHED!$C101,IF(MATCHED!AS101=3,MATCHED!$D101,IF(MATCHED!AS101=4,MATCHED!$E101,IF(MATCHED!AS101=3,MATCHED!$F101,IF(MATCHED!AS101=6,MATCHED!$G101,IF(MATCHED!AS101=7,MATCHED!$H101,"")))))))&amp;IF(MATCHED!AS101=8,MATCHED!$I101,IF(MATCHED!AS101=9,MATCHED!$J101,IF(MATCHED!AS101=10,MATCHED!$K101,IF(MATCHED!AS101=11,MATCHED!$L101,IF(MATCHED!AS101=12,MATCHED!$M101,IF(MATCHED!AS101=13,MATCHED!$N101,IF(MATCHED!AS101=14,MATCHED!$O101,"")))))))&amp;IF(MATCHED!AS101=15,MATCHED!$P101,IF(MATCHED!AS101=16,MATCHED!$Q101,IF(MATCHED!AS101=17,MATCHED!$R101,IF(MATCHED!AS101=18,MATCHED!$S101,IF(MATCHED!AS101=19,MATCHED!$T101,IF(MATCHED!AS101=20,MATCHED!$U101,IF(MATCHED!AS101=21,MATCHED!$V101,)))))))&amp;IF(MATCHED!AS101=22,MATCHED!$W101,IF(MATCHED!AS101=23,MATCHED!$X101,IF(MATCHED!AS101=24,MATCHED!$Y101,IF(MATCHED!AS101=25,MATCHED!$Z101,IF(MATCHED!AS101=26,MATCHED!$AA101,IF(MATCHED!AS101=27,MATCHED!$AB101,"."))))))</f>
        <v>#N/A</v>
      </c>
      <c r="R101" s="424" t="e">
        <f>IF(MATCHED!AT101=1,MATCHED!$B101,IF(MATCHED!AT101=2,MATCHED!$C101,IF(MATCHED!AT101=3,MATCHED!$D101,IF(MATCHED!AT101=4,MATCHED!$E101,IF(MATCHED!AT101=3,MATCHED!$F101,IF(MATCHED!AT101=6,MATCHED!$G101,IF(MATCHED!AT101=7,MATCHED!$H101,"")))))))&amp;IF(MATCHED!AT101=8,MATCHED!$I101,IF(MATCHED!AT101=9,MATCHED!$J101,IF(MATCHED!AT101=10,MATCHED!$K101,IF(MATCHED!AT101=11,MATCHED!$L101,IF(MATCHED!AT101=12,MATCHED!$M101,IF(MATCHED!AT101=13,MATCHED!$N101,IF(MATCHED!AT101=14,MATCHED!$O101,"")))))))&amp;IF(MATCHED!AT101=15,MATCHED!$P101,IF(MATCHED!AT101=16,MATCHED!$Q101,IF(MATCHED!AT101=17,MATCHED!$R101,IF(MATCHED!AT101=18,MATCHED!$S101,IF(MATCHED!AT101=19,MATCHED!$T101,IF(MATCHED!AT101=20,MATCHED!$U101,IF(MATCHED!AT101=21,MATCHED!$V101,)))))))&amp;IF(MATCHED!AT101=22,MATCHED!$W101,IF(MATCHED!AT101=23,MATCHED!$X101,IF(MATCHED!AT101=24,MATCHED!$Y101,IF(MATCHED!AT101=25,MATCHED!$Z101,IF(MATCHED!AT101=26,MATCHED!$AA101,IF(MATCHED!AT101=27,MATCHED!$AB101,"."))))))</f>
        <v>#N/A</v>
      </c>
      <c r="S101" s="424" t="e">
        <f>IF(MATCHED!AU101=1,MATCHED!$B101,IF(MATCHED!AU101=2,MATCHED!$C101,IF(MATCHED!AU101=3,MATCHED!$D101,IF(MATCHED!AU101=4,MATCHED!$E101,IF(MATCHED!AU101=3,MATCHED!$F101,IF(MATCHED!AU101=6,MATCHED!$G101,IF(MATCHED!AU101=7,MATCHED!$H101,"")))))))&amp;IF(MATCHED!AU101=8,MATCHED!$I101,IF(MATCHED!AU101=9,MATCHED!$J101,IF(MATCHED!AU101=10,MATCHED!$K101,IF(MATCHED!AU101=11,MATCHED!$L101,IF(MATCHED!AU101=12,MATCHED!$M101,IF(MATCHED!AU101=13,MATCHED!$N101,IF(MATCHED!AU101=14,MATCHED!$O101,"")))))))&amp;IF(MATCHED!AU101=15,MATCHED!$P101,IF(MATCHED!AU101=16,MATCHED!$Q101,IF(MATCHED!AU101=17,MATCHED!$R101,IF(MATCHED!AU101=18,MATCHED!$S101,IF(MATCHED!AU101=19,MATCHED!$T101,IF(MATCHED!AU101=20,MATCHED!$U101,IF(MATCHED!AU101=21,MATCHED!$V101,)))))))&amp;IF(MATCHED!AU101=22,MATCHED!$W101,IF(MATCHED!AU101=23,MATCHED!$X101,IF(MATCHED!AU101=24,MATCHED!$Y101,IF(MATCHED!AU101=25,MATCHED!$Z101,IF(MATCHED!AU101=26,MATCHED!$AA101,IF(MATCHED!AU101=27,MATCHED!$AB101,"."))))))</f>
        <v>#N/A</v>
      </c>
      <c r="T101" s="424" t="e">
        <f>IF(MATCHED!AV101=1,MATCHED!$B101,IF(MATCHED!AV101=2,MATCHED!$C101,IF(MATCHED!AV101=3,MATCHED!$D101,IF(MATCHED!AV101=4,MATCHED!$E101,IF(MATCHED!AV101=3,MATCHED!$F101,IF(MATCHED!AV101=6,MATCHED!$G101,IF(MATCHED!AV101=7,MATCHED!$H101,"")))))))&amp;IF(MATCHED!AV101=8,MATCHED!$I101,IF(MATCHED!AV101=9,MATCHED!$J101,IF(MATCHED!AV101=10,MATCHED!$K101,IF(MATCHED!AV101=11,MATCHED!$L101,IF(MATCHED!AV101=12,MATCHED!$M101,IF(MATCHED!AV101=13,MATCHED!$N101,IF(MATCHED!AV101=14,MATCHED!$O101,"")))))))&amp;IF(MATCHED!AV101=15,MATCHED!$P101,IF(MATCHED!AV101=16,MATCHED!$Q101,IF(MATCHED!AV101=17,MATCHED!$R101,IF(MATCHED!AV101=18,MATCHED!$S101,IF(MATCHED!AV101=19,MATCHED!$T101,IF(MATCHED!AV101=20,MATCHED!$U101,IF(MATCHED!AV101=21,MATCHED!$V101,)))))))&amp;IF(MATCHED!AV101=22,MATCHED!$W101,IF(MATCHED!AV101=23,MATCHED!$X101,IF(MATCHED!AV101=24,MATCHED!$Y101,IF(MATCHED!AV101=25,MATCHED!$Z101,IF(MATCHED!AV101=26,MATCHED!$AA101,IF(MATCHED!AV101=27,MATCHED!$AB101,"."))))))</f>
        <v>#N/A</v>
      </c>
      <c r="U101" s="424" t="e">
        <f>IF(MATCHED!AW101=1,MATCHED!$B101,IF(MATCHED!AW101=2,MATCHED!$C101,IF(MATCHED!AW101=3,MATCHED!$D101,IF(MATCHED!AW101=4,MATCHED!$E101,IF(MATCHED!AW101=3,MATCHED!$F101,IF(MATCHED!AW101=6,MATCHED!$G101,IF(MATCHED!AW101=7,MATCHED!$H101,"")))))))&amp;IF(MATCHED!AW101=8,MATCHED!$I101,IF(MATCHED!AW101=9,MATCHED!$J101,IF(MATCHED!AW101=10,MATCHED!$K101,IF(MATCHED!AW101=11,MATCHED!$L101,IF(MATCHED!AW101=12,MATCHED!$M101,IF(MATCHED!AW101=13,MATCHED!$N101,IF(MATCHED!AW101=14,MATCHED!$O101,"")))))))&amp;IF(MATCHED!AW101=15,MATCHED!$P101,IF(MATCHED!AW101=16,MATCHED!$Q101,IF(MATCHED!AW101=17,MATCHED!$R101,IF(MATCHED!AW101=18,MATCHED!$S101,IF(MATCHED!AW101=19,MATCHED!$T101,IF(MATCHED!AW101=20,MATCHED!$U101,IF(MATCHED!AW101=21,MATCHED!$V101,)))))))&amp;IF(MATCHED!AW101=22,MATCHED!$W101,IF(MATCHED!AW101=23,MATCHED!$X101,IF(MATCHED!AW101=24,MATCHED!$Y101,IF(MATCHED!AW101=25,MATCHED!$Z101,IF(MATCHED!AW101=26,MATCHED!$AA101,IF(MATCHED!AW101=27,MATCHED!$AB101,"."))))))</f>
        <v>#N/A</v>
      </c>
      <c r="V101" s="424" t="e">
        <f>IF(MATCHED!AX101=1,MATCHED!$B101,IF(MATCHED!AX101=2,MATCHED!$C101,IF(MATCHED!AX101=3,MATCHED!$D101,IF(MATCHED!AX101=4,MATCHED!$E101,IF(MATCHED!AX101=3,MATCHED!$F101,IF(MATCHED!AX101=6,MATCHED!$G101,IF(MATCHED!AX101=7,MATCHED!$H101,"")))))))&amp;IF(MATCHED!AX101=8,MATCHED!$I101,IF(MATCHED!AX101=9,MATCHED!$J101,IF(MATCHED!AX101=10,MATCHED!$K101,IF(MATCHED!AX101=11,MATCHED!$L101,IF(MATCHED!AX101=12,MATCHED!$M101,IF(MATCHED!AX101=13,MATCHED!$N101,IF(MATCHED!AX101=14,MATCHED!$O101,"")))))))&amp;IF(MATCHED!AX101=15,MATCHED!$P101,IF(MATCHED!AX101=16,MATCHED!$Q101,IF(MATCHED!AX101=17,MATCHED!$R101,IF(MATCHED!AX101=18,MATCHED!$S101,IF(MATCHED!AX101=19,MATCHED!$T101,IF(MATCHED!AX101=20,MATCHED!$U101,IF(MATCHED!AX101=21,MATCHED!$V101,)))))))&amp;IF(MATCHED!AX101=22,MATCHED!$W101,IF(MATCHED!AX101=23,MATCHED!$X101,IF(MATCHED!AX101=24,MATCHED!$Y101,IF(MATCHED!AX101=25,MATCHED!$Z101,IF(MATCHED!AX101=26,MATCHED!$AA101,IF(MATCHED!AX101=27,MATCHED!$AB101,"."))))))</f>
        <v>#N/A</v>
      </c>
      <c r="W101" s="424" t="e">
        <f>IF(MATCHED!AY101=1,MATCHED!$B101,IF(MATCHED!AY101=2,MATCHED!$C101,IF(MATCHED!AY101=3,MATCHED!$D101,IF(MATCHED!AY101=4,MATCHED!$E101,IF(MATCHED!AY101=3,MATCHED!$F101,IF(MATCHED!AY101=6,MATCHED!$G101,IF(MATCHED!AY101=7,MATCHED!$H101,"")))))))&amp;IF(MATCHED!AY101=8,MATCHED!$I101,IF(MATCHED!AY101=9,MATCHED!$J101,IF(MATCHED!AY101=10,MATCHED!$K101,IF(MATCHED!AY101=11,MATCHED!$L101,IF(MATCHED!AY101=12,MATCHED!$M101,IF(MATCHED!AY101=13,MATCHED!$N101,IF(MATCHED!AY101=14,MATCHED!$O101,"")))))))&amp;IF(MATCHED!AY101=15,MATCHED!$P101,IF(MATCHED!AY101=16,MATCHED!$Q101,IF(MATCHED!AY101=17,MATCHED!$R101,IF(MATCHED!AY101=18,MATCHED!$S101,IF(MATCHED!AY101=19,MATCHED!$T101,IF(MATCHED!AY101=20,MATCHED!$U101,IF(MATCHED!AY101=21,MATCHED!$V101,)))))))&amp;IF(MATCHED!AY101=22,MATCHED!$W101,IF(MATCHED!AY101=23,MATCHED!$X101,IF(MATCHED!AY101=24,MATCHED!$Y101,IF(MATCHED!AY101=25,MATCHED!$Z101,IF(MATCHED!AY101=26,MATCHED!$AA101,IF(MATCHED!AY101=27,MATCHED!$AB101,"."))))))</f>
        <v>#N/A</v>
      </c>
      <c r="X101" s="424" t="e">
        <f>IF(MATCHED!AZ101=1,MATCHED!$B101,IF(MATCHED!AZ101=2,MATCHED!$C101,IF(MATCHED!AZ101=3,MATCHED!$D101,IF(MATCHED!AZ101=4,MATCHED!$E101,IF(MATCHED!AZ101=3,MATCHED!$F101,IF(MATCHED!AZ101=6,MATCHED!$G101,IF(MATCHED!AZ101=7,MATCHED!$H101,"")))))))&amp;IF(MATCHED!AZ101=8,MATCHED!$I101,IF(MATCHED!AZ101=9,MATCHED!$J101,IF(MATCHED!AZ101=10,MATCHED!$K101,IF(MATCHED!AZ101=11,MATCHED!$L101,IF(MATCHED!AZ101=12,MATCHED!$M101,IF(MATCHED!AZ101=13,MATCHED!$N101,IF(MATCHED!AZ101=14,MATCHED!$O101,"")))))))&amp;IF(MATCHED!AZ101=15,MATCHED!$P101,IF(MATCHED!AZ101=16,MATCHED!$Q101,IF(MATCHED!AZ101=17,MATCHED!$R101,IF(MATCHED!AZ101=18,MATCHED!$S101,IF(MATCHED!AZ101=19,MATCHED!$T101,IF(MATCHED!AZ101=20,MATCHED!$U101,IF(MATCHED!AZ101=21,MATCHED!$V101,)))))))&amp;IF(MATCHED!AZ101=22,MATCHED!$W101,IF(MATCHED!AZ101=23,MATCHED!$X101,IF(MATCHED!AZ101=24,MATCHED!$Y101,IF(MATCHED!AZ101=25,MATCHED!$Z101,IF(MATCHED!AZ101=26,MATCHED!$AA101,IF(MATCHED!AZ101=27,MATCHED!$AB101,"."))))))</f>
        <v>#N/A</v>
      </c>
      <c r="Y101" s="424" t="e">
        <f>IF(MATCHED!BA101=1,MATCHED!$B101,IF(MATCHED!BA101=2,MATCHED!$C101,IF(MATCHED!BA101=3,MATCHED!$D101,IF(MATCHED!BA101=4,MATCHED!$E101,IF(MATCHED!BA101=3,MATCHED!$F101,IF(MATCHED!BA101=6,MATCHED!$G101,IF(MATCHED!BA101=7,MATCHED!$H101,"")))))))&amp;IF(MATCHED!BA101=8,MATCHED!$I101,IF(MATCHED!BA101=9,MATCHED!$J101,IF(MATCHED!BA101=10,MATCHED!$K101,IF(MATCHED!BA101=11,MATCHED!$L101,IF(MATCHED!BA101=12,MATCHED!$M101,IF(MATCHED!BA101=13,MATCHED!$N101,IF(MATCHED!BA101=14,MATCHED!$O101,"")))))))&amp;IF(MATCHED!BA101=15,MATCHED!$P101,IF(MATCHED!BA101=16,MATCHED!$Q101,IF(MATCHED!BA101=17,MATCHED!$R101,IF(MATCHED!BA101=18,MATCHED!$S101,IF(MATCHED!BA101=19,MATCHED!$T101,IF(MATCHED!BA101=20,MATCHED!$U101,IF(MATCHED!BA101=21,MATCHED!$V101,)))))))&amp;IF(MATCHED!BA101=22,MATCHED!$W101,IF(MATCHED!BA101=23,MATCHED!$X101,IF(MATCHED!BA101=24,MATCHED!$Y101,IF(MATCHED!BA101=25,MATCHED!$Z101,IF(MATCHED!BA101=26,MATCHED!$AA101,IF(MATCHED!BA101=27,MATCHED!$AB101,"."))))))</f>
        <v>#N/A</v>
      </c>
      <c r="Z101" s="424" t="e">
        <f>IF(MATCHED!BB101=1,MATCHED!$B101,IF(MATCHED!BB101=2,MATCHED!$C101,IF(MATCHED!BB101=3,MATCHED!$D101,IF(MATCHED!BB101=4,MATCHED!$E101,IF(MATCHED!BB101=3,MATCHED!$F101,IF(MATCHED!BB101=6,MATCHED!$G101,IF(MATCHED!BB101=7,MATCHED!$H101,"")))))))&amp;IF(MATCHED!BB101=8,MATCHED!$I101,IF(MATCHED!BB101=9,MATCHED!$J101,IF(MATCHED!BB101=10,MATCHED!$K101,IF(MATCHED!BB101=11,MATCHED!$L101,IF(MATCHED!BB101=12,MATCHED!$M101,IF(MATCHED!BB101=13,MATCHED!$N101,IF(MATCHED!BB101=14,MATCHED!$O101,"")))))))&amp;IF(MATCHED!BB101=15,MATCHED!$P101,IF(MATCHED!BB101=16,MATCHED!$Q101,IF(MATCHED!BB101=17,MATCHED!$R101,IF(MATCHED!BB101=18,MATCHED!$S101,IF(MATCHED!BB101=19,MATCHED!$T101,IF(MATCHED!BB101=20,MATCHED!$U101,IF(MATCHED!BB101=21,MATCHED!$V101,)))))))&amp;IF(MATCHED!BB101=22,MATCHED!$W101,IF(MATCHED!BB101=23,MATCHED!$X101,IF(MATCHED!BB101=24,MATCHED!$Y101,IF(MATCHED!BB101=25,MATCHED!$Z101,IF(MATCHED!BB101=26,MATCHED!$AA101,IF(MATCHED!BB101=27,MATCHED!$AB101,"."))))))</f>
        <v>#N/A</v>
      </c>
      <c r="AA101" s="424" t="e">
        <f>IF(MATCHED!BC101=1,MATCHED!$B101,IF(MATCHED!BC101=2,MATCHED!$C101,IF(MATCHED!BC101=3,MATCHED!$D101,IF(MATCHED!BC101=4,MATCHED!$E101,IF(MATCHED!BC101=3,MATCHED!$F101,IF(MATCHED!BC101=6,MATCHED!$G101,IF(MATCHED!BC101=7,MATCHED!$H101,"")))))))&amp;IF(MATCHED!BC101=8,MATCHED!$I101,IF(MATCHED!BC101=9,MATCHED!$J101,IF(MATCHED!BC101=10,MATCHED!$K101,IF(MATCHED!BC101=11,MATCHED!$L101,IF(MATCHED!BC101=12,MATCHED!$M101,IF(MATCHED!BC101=13,MATCHED!$N101,IF(MATCHED!BC101=14,MATCHED!$O101,"")))))))&amp;IF(MATCHED!BC101=15,MATCHED!$P101,IF(MATCHED!BC101=16,MATCHED!$Q101,IF(MATCHED!BC101=17,MATCHED!$R101,IF(MATCHED!BC101=18,MATCHED!$S101,IF(MATCHED!BC101=19,MATCHED!$T101,IF(MATCHED!BC101=20,MATCHED!$U101,IF(MATCHED!BC101=21,MATCHED!$V101,)))))))&amp;IF(MATCHED!BC101=22,MATCHED!$W101,IF(MATCHED!BC101=23,MATCHED!$X101,IF(MATCHED!BC101=24,MATCHED!$Y101,IF(MATCHED!BC101=25,MATCHED!$Z101,IF(MATCHED!BC101=26,MATCHED!$AA101,IF(MATCHED!BC101=27,MATCHED!$AB101,"."))))))</f>
        <v>#N/A</v>
      </c>
      <c r="AB101" s="424" t="e">
        <f>IF(MATCHED!BD101=1,MATCHED!$B101,IF(MATCHED!BD101=2,MATCHED!$C101,IF(MATCHED!BD101=3,MATCHED!$D101,IF(MATCHED!BD101=4,MATCHED!$E101,IF(MATCHED!BD101=3,MATCHED!$F101,IF(MATCHED!BD101=6,MATCHED!$G101,IF(MATCHED!BD101=7,MATCHED!$H101,"")))))))&amp;IF(MATCHED!BD101=8,MATCHED!$I101,IF(MATCHED!BD101=9,MATCHED!$J101,IF(MATCHED!BD101=10,MATCHED!$K101,IF(MATCHED!BD101=11,MATCHED!$L101,IF(MATCHED!BD101=12,MATCHED!$M101,IF(MATCHED!BD101=13,MATCHED!$N101,IF(MATCHED!BD101=14,MATCHED!$O101,"")))))))&amp;IF(MATCHED!BD101=15,MATCHED!$P101,IF(MATCHED!BD101=16,MATCHED!$Q101,IF(MATCHED!BD101=17,MATCHED!$R101,IF(MATCHED!BD101=18,MATCHED!$S101,IF(MATCHED!BD101=19,MATCHED!$T101,IF(MATCHED!BD101=20,MATCHED!$U101,IF(MATCHED!BD101=21,MATCHED!$V101,)))))))&amp;IF(MATCHED!BD101=22,MATCHED!$W101,IF(MATCHED!BD101=23,MATCHED!$X101,IF(MATCHED!BD101=24,MATCHED!$Y101,IF(MATCHED!BD101=25,MATCHED!$Z101,IF(MATCHED!BD101=26,MATCHED!$AA101,IF(MATCHED!BD101=27,MATCHED!$AB101,"."))))))</f>
        <v>#N/A</v>
      </c>
      <c r="AC101" s="424" t="e">
        <f>IF(MATCHED!BE101=1,MATCHED!$B101,IF(MATCHED!BE101=2,MATCHED!$C101,IF(MATCHED!BE101=3,MATCHED!$D101,IF(MATCHED!BE101=4,MATCHED!$E101,IF(MATCHED!BE101=3,MATCHED!$F101,IF(MATCHED!BE101=6,MATCHED!$G101,IF(MATCHED!BE101=7,MATCHED!$H101,"")))))))&amp;IF(MATCHED!BE101=8,MATCHED!$I101,IF(MATCHED!BE101=9,MATCHED!$J101,IF(MATCHED!BE101=10,MATCHED!$K101,IF(MATCHED!BE101=11,MATCHED!$L101,IF(MATCHED!BE101=12,MATCHED!$M101,IF(MATCHED!BE101=13,MATCHED!$N101,IF(MATCHED!BE101=14,MATCHED!$O101,"")))))))&amp;IF(MATCHED!BE101=15,MATCHED!$P101,IF(MATCHED!BE101=16,MATCHED!$Q101,IF(MATCHED!BE101=17,MATCHED!$R101,IF(MATCHED!BE101=18,MATCHED!$S101,IF(MATCHED!BE101=19,MATCHED!$T101,IF(MATCHED!BE101=20,MATCHED!$U101,IF(MATCHED!BE101=21,MATCHED!$V101,)))))))&amp;IF(MATCHED!BE101=22,MATCHED!$W101,IF(MATCHED!BE101=23,MATCHED!$X101,IF(MATCHED!BE101=24,MATCHED!$Y101,IF(MATCHED!BE101=25,MATCHED!$Z101,IF(MATCHED!BE101=26,MATCHED!$AA101,IF(MATCHED!BE101=27,MATCHED!$AB101,"."))))))</f>
        <v>#N/A</v>
      </c>
      <c r="AD101" s="424" t="e">
        <f>IF(MATCHED!BF101=1,MATCHED!$B101,IF(MATCHED!BF101=2,MATCHED!$C101,IF(MATCHED!BF101=3,MATCHED!$D101,IF(MATCHED!BF101=4,MATCHED!$E101,IF(MATCHED!BF101=3,MATCHED!$F101,IF(MATCHED!BF101=6,MATCHED!$G101,IF(MATCHED!BF101=7,MATCHED!$H101,"")))))))&amp;IF(MATCHED!BF101=8,MATCHED!$I101,IF(MATCHED!BF101=9,MATCHED!$J101,IF(MATCHED!BF101=10,MATCHED!$K101,IF(MATCHED!BF101=11,MATCHED!$L101,IF(MATCHED!BF101=12,MATCHED!$M101,IF(MATCHED!BF101=13,MATCHED!$N101,IF(MATCHED!BF101=14,MATCHED!$O101,"")))))))&amp;IF(MATCHED!BF101=15,MATCHED!$P101,IF(MATCHED!BF101=16,MATCHED!$Q101,IF(MATCHED!BF101=17,MATCHED!$R101,IF(MATCHED!BF101=18,MATCHED!$S101,IF(MATCHED!BF101=19,MATCHED!$T101,IF(MATCHED!BF101=20,MATCHED!$U101,IF(MATCHED!BF101=21,MATCHED!$V101,)))))))&amp;IF(MATCHED!BF101=22,MATCHED!$W101,IF(MATCHED!BF101=23,MATCHED!$X101,IF(MATCHED!BF101=24,MATCHED!$Y101,IF(MATCHED!BF101=25,MATCHED!$Z101,IF(MATCHED!BF101=26,MATCHED!$AA101,IF(MATCHED!BF101=27,MATCHED!$AB101,"."))))))</f>
        <v>#N/A</v>
      </c>
      <c r="AE101" s="424" t="e">
        <f>IF(MATCHED!BG101=1,MATCHED!$B101,IF(MATCHED!BG101=2,MATCHED!$C101,IF(MATCHED!BG101=3,MATCHED!$D101,IF(MATCHED!BG101=4,MATCHED!$E101,IF(MATCHED!BG101=3,MATCHED!$F101,IF(MATCHED!BG101=6,MATCHED!$G101,IF(MATCHED!BG101=7,MATCHED!$H101,"")))))))&amp;IF(MATCHED!BG101=8,MATCHED!$I101,IF(MATCHED!BG101=9,MATCHED!$J101,IF(MATCHED!BG101=10,MATCHED!$K101,IF(MATCHED!BG101=11,MATCHED!$L101,IF(MATCHED!BG101=12,MATCHED!$M101,IF(MATCHED!BG101=13,MATCHED!$N101,IF(MATCHED!BG101=14,MATCHED!$O101,"")))))))&amp;IF(MATCHED!BG101=15,MATCHED!$P101,IF(MATCHED!BG101=16,MATCHED!$Q101,IF(MATCHED!BG101=17,MATCHED!$R101,IF(MATCHED!BG101=18,MATCHED!$S101,IF(MATCHED!BG101=19,MATCHED!$T101,IF(MATCHED!BG101=20,MATCHED!$U101,IF(MATCHED!BG101=21,MATCHED!$V101,)))))))&amp;IF(MATCHED!BG101=22,MATCHED!$W101,IF(MATCHED!BG101=23,MATCHED!$X101,IF(MATCHED!BG101=24,MATCHED!$Y101,IF(MATCHED!BG101=25,MATCHED!$Z101,IF(MATCHED!BG101=26,MATCHED!$AA101,IF(MATCHED!BG101=27,MATCHED!$AB101,"."))))))</f>
        <v>#N/A</v>
      </c>
      <c r="AF101" s="424" t="e">
        <f>IF(MATCHED!BH101=1,MATCHED!$B101,IF(MATCHED!BH101=2,MATCHED!$C101,IF(MATCHED!BH101=3,MATCHED!$D101,IF(MATCHED!BH101=4,MATCHED!$E101,IF(MATCHED!BH101=3,MATCHED!$F101,IF(MATCHED!BH101=6,MATCHED!$G101,IF(MATCHED!BH101=7,MATCHED!$H101,"")))))))&amp;IF(MATCHED!BH101=8,MATCHED!$I101,IF(MATCHED!BH101=9,MATCHED!$J101,IF(MATCHED!BH101=10,MATCHED!$K101,IF(MATCHED!BH101=11,MATCHED!$L101,IF(MATCHED!BH101=12,MATCHED!$M101,IF(MATCHED!BH101=13,MATCHED!$N101,IF(MATCHED!BH101=14,MATCHED!$O101,"")))))))&amp;IF(MATCHED!BH101=15,MATCHED!$P101,IF(MATCHED!BH101=16,MATCHED!$Q101,IF(MATCHED!BH101=17,MATCHED!$R101,IF(MATCHED!BH101=18,MATCHED!$S101,IF(MATCHED!BH101=19,MATCHED!$T101,IF(MATCHED!BH101=20,MATCHED!$U101,IF(MATCHED!BH101=21,MATCHED!$V101,)))))))&amp;IF(MATCHED!BH101=22,MATCHED!$W101,IF(MATCHED!BH101=23,MATCHED!$X101,IF(MATCHED!BH101=24,MATCHED!$Y101,IF(MATCHED!BH101=25,MATCHED!$Z101,IF(MATCHED!BH101=26,MATCHED!$AA101,IF(MATCHED!BH101=27,MATCHED!$AB101,"."))))))</f>
        <v>#N/A</v>
      </c>
      <c r="AG101" s="424" t="e">
        <f>IF(MATCHED!BI101=1,MATCHED!$B101,IF(MATCHED!BI101=2,MATCHED!$C101,IF(MATCHED!BI101=3,MATCHED!$D101,IF(MATCHED!BI101=4,MATCHED!$E101,IF(MATCHED!BI101=3,MATCHED!$F101,IF(MATCHED!BI101=6,MATCHED!$G101,IF(MATCHED!BI101=7,MATCHED!$H101,"")))))))&amp;IF(MATCHED!BI101=8,MATCHED!$I101,IF(MATCHED!BI101=9,MATCHED!$J101,IF(MATCHED!BI101=10,MATCHED!$K101,IF(MATCHED!BI101=11,MATCHED!$L101,IF(MATCHED!BI101=12,MATCHED!$M101,IF(MATCHED!BI101=13,MATCHED!$N101,IF(MATCHED!BI101=14,MATCHED!$O101,"")))))))&amp;IF(MATCHED!BI101=15,MATCHED!$P101,IF(MATCHED!BI101=16,MATCHED!$Q101,IF(MATCHED!BI101=17,MATCHED!$R101,IF(MATCHED!BI101=18,MATCHED!$S101,IF(MATCHED!BI101=19,MATCHED!$T101,IF(MATCHED!BI101=20,MATCHED!$U101,IF(MATCHED!BI101=21,MATCHED!$V101,)))))))&amp;IF(MATCHED!BI101=22,MATCHED!$W101,IF(MATCHED!BI101=23,MATCHED!$X101,IF(MATCHED!BI101=24,MATCHED!$Y101,IF(MATCHED!BI101=25,MATCHED!$Z101,IF(MATCHED!BI101=26,MATCHED!$AA101,IF(MATCHED!BI101=27,MATCHED!$AB101,"."))))))</f>
        <v>#N/A</v>
      </c>
      <c r="AH101" s="424" t="e">
        <f>IF(MATCHED!BJ101=1,MATCHED!$B101,IF(MATCHED!BJ101=2,MATCHED!$C101,IF(MATCHED!BJ101=3,MATCHED!$D101,IF(MATCHED!BJ101=4,MATCHED!$E101,IF(MATCHED!BJ101=3,MATCHED!$F101,IF(MATCHED!BJ101=6,MATCHED!$G101,IF(MATCHED!BJ101=7,MATCHED!$H101,"")))))))&amp;IF(MATCHED!BJ101=8,MATCHED!$I101,IF(MATCHED!BJ101=9,MATCHED!$J101,IF(MATCHED!BJ101=10,MATCHED!$K101,IF(MATCHED!BJ101=11,MATCHED!$L101,IF(MATCHED!BJ101=12,MATCHED!$M101,IF(MATCHED!BJ101=13,MATCHED!$N101,IF(MATCHED!BJ101=14,MATCHED!$O101,"")))))))&amp;IF(MATCHED!BJ101=15,MATCHED!$P101,IF(MATCHED!BJ101=16,MATCHED!$Q101,IF(MATCHED!BJ101=17,MATCHED!$R101,IF(MATCHED!BJ101=18,MATCHED!$S101,IF(MATCHED!BJ101=19,MATCHED!$T101,IF(MATCHED!BJ101=20,MATCHED!$U101,IF(MATCHED!BJ101=21,MATCHED!$V101,)))))))&amp;IF(MATCHED!BJ101=22,MATCHED!$W101,IF(MATCHED!BJ101=23,MATCHED!$X101,IF(MATCHED!BJ101=24,MATCHED!$Y101,IF(MATCHED!BJ101=25,MATCHED!$Z101,IF(MATCHED!BJ101=26,MATCHED!$AA101,IF(MATCHED!BJ101=27,MATCHED!$AB101,"."))))))</f>
        <v>#N/A</v>
      </c>
      <c r="AI101" s="424" t="e">
        <f>IF(MATCHED!BK101=1,MATCHED!$B101,IF(MATCHED!BK101=2,MATCHED!$C101,IF(MATCHED!BK101=3,MATCHED!$D101,IF(MATCHED!BK101=4,MATCHED!$E101,IF(MATCHED!BK101=3,MATCHED!$F101,IF(MATCHED!BK101=6,MATCHED!$G101,IF(MATCHED!BK101=7,MATCHED!$H101,"")))))))&amp;IF(MATCHED!BK101=8,MATCHED!$I101,IF(MATCHED!BK101=9,MATCHED!$J101,IF(MATCHED!BK101=10,MATCHED!$K101,IF(MATCHED!BK101=11,MATCHED!$L101,IF(MATCHED!BK101=12,MATCHED!$M101,IF(MATCHED!BK101=13,MATCHED!$N101,IF(MATCHED!BK101=14,MATCHED!$O101,"")))))))&amp;IF(MATCHED!BK101=15,MATCHED!$P101,IF(MATCHED!BK101=16,MATCHED!$Q101,IF(MATCHED!BK101=17,MATCHED!$R101,IF(MATCHED!BK101=18,MATCHED!$S101,IF(MATCHED!BK101=19,MATCHED!$T101,IF(MATCHED!BK101=20,MATCHED!$U101,IF(MATCHED!BK101=21,MATCHED!$V101,)))))))&amp;IF(MATCHED!BK101=22,MATCHED!$W101,IF(MATCHED!BK101=23,MATCHED!$X101,IF(MATCHED!BK101=24,MATCHED!$Y101,IF(MATCHED!BK101=25,MATCHED!$Z101,IF(MATCHED!BK101=26,MATCHED!$AA101,IF(MATCHED!BK101=27,MATCHED!$AB101,"."))))))</f>
        <v>#N/A</v>
      </c>
      <c r="AJ101" s="536"/>
    </row>
  </sheetData>
  <mergeCells count="14">
    <mergeCell ref="AJ89:AJ101"/>
    <mergeCell ref="AJ4:AJ16"/>
    <mergeCell ref="AJ18:AJ30"/>
    <mergeCell ref="AJ32:AJ44"/>
    <mergeCell ref="AJ46:AJ58"/>
    <mergeCell ref="AJ60:AJ72"/>
    <mergeCell ref="AJ74:AJ86"/>
    <mergeCell ref="A4:A16"/>
    <mergeCell ref="A46:A58"/>
    <mergeCell ref="A32:A44"/>
    <mergeCell ref="A18:A30"/>
    <mergeCell ref="A89:A101"/>
    <mergeCell ref="A74:A86"/>
    <mergeCell ref="A60:A7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0:I105"/>
  <sheetViews>
    <sheetView topLeftCell="N1" workbookViewId="0"/>
  </sheetViews>
  <sheetFormatPr defaultRowHeight="15" x14ac:dyDescent="0.25"/>
  <cols>
    <col min="1" max="1" width="7.90625" customWidth="1"/>
    <col min="2" max="2" width="23.81640625" bestFit="1" customWidth="1"/>
    <col min="3" max="4" width="22.08984375" bestFit="1" customWidth="1"/>
    <col min="5" max="5" width="21.36328125" customWidth="1"/>
    <col min="6" max="6" width="26.90625" bestFit="1" customWidth="1"/>
    <col min="7" max="7" width="22.81640625" bestFit="1" customWidth="1"/>
    <col min="8" max="8" width="26.90625" bestFit="1" customWidth="1"/>
  </cols>
  <sheetData>
    <row r="10" spans="1:9" x14ac:dyDescent="0.25">
      <c r="C10" s="544" t="s">
        <v>134</v>
      </c>
      <c r="D10" s="545"/>
      <c r="E10" s="545"/>
      <c r="F10" s="545"/>
    </row>
    <row r="11" spans="1:9" x14ac:dyDescent="0.25">
      <c r="C11" s="544"/>
      <c r="D11" s="545"/>
      <c r="E11" s="545"/>
      <c r="F11" s="545"/>
    </row>
    <row r="12" spans="1:9" ht="15.6" thickBot="1" x14ac:dyDescent="0.3">
      <c r="C12" s="546"/>
      <c r="D12" s="546"/>
      <c r="E12" s="546"/>
      <c r="F12" s="546"/>
    </row>
    <row r="13" spans="1:9" ht="24" thickBot="1" x14ac:dyDescent="0.5">
      <c r="A13" s="260"/>
      <c r="B13" s="262" t="s">
        <v>11</v>
      </c>
      <c r="C13" s="262" t="s">
        <v>129</v>
      </c>
      <c r="D13" s="262" t="s">
        <v>130</v>
      </c>
      <c r="E13" s="262" t="s">
        <v>131</v>
      </c>
      <c r="F13" s="262" t="s">
        <v>12</v>
      </c>
      <c r="G13" s="262" t="s">
        <v>132</v>
      </c>
      <c r="H13" s="262" t="s">
        <v>118</v>
      </c>
      <c r="I13" s="260"/>
    </row>
    <row r="14" spans="1:9" ht="23.4" x14ac:dyDescent="0.45">
      <c r="A14" s="248">
        <v>7</v>
      </c>
      <c r="B14" s="256" t="s">
        <v>77</v>
      </c>
      <c r="C14" s="257" t="s">
        <v>79</v>
      </c>
      <c r="D14" s="156" t="s">
        <v>105</v>
      </c>
      <c r="E14" s="257" t="s">
        <v>77</v>
      </c>
      <c r="F14" s="258" t="s">
        <v>71</v>
      </c>
      <c r="G14" s="257" t="s">
        <v>120</v>
      </c>
      <c r="H14" s="259" t="s">
        <v>77</v>
      </c>
      <c r="I14" s="248">
        <v>7</v>
      </c>
    </row>
    <row r="15" spans="1:9" ht="23.4" x14ac:dyDescent="0.45">
      <c r="A15" s="248"/>
      <c r="B15" s="113" t="s">
        <v>13</v>
      </c>
      <c r="C15" s="134" t="s">
        <v>25</v>
      </c>
      <c r="D15" s="151" t="s">
        <v>25</v>
      </c>
      <c r="E15" s="134" t="s">
        <v>25</v>
      </c>
      <c r="F15" s="169" t="s">
        <v>13</v>
      </c>
      <c r="G15" s="134" t="s">
        <v>24</v>
      </c>
      <c r="H15" s="244" t="s">
        <v>13</v>
      </c>
      <c r="I15" s="248"/>
    </row>
    <row r="16" spans="1:9" ht="24" thickBot="1" x14ac:dyDescent="0.5">
      <c r="A16" s="249">
        <v>8</v>
      </c>
      <c r="B16" s="119" t="s">
        <v>126</v>
      </c>
      <c r="C16" s="136" t="s">
        <v>66</v>
      </c>
      <c r="D16" s="153" t="s">
        <v>68</v>
      </c>
      <c r="E16" s="136" t="s">
        <v>66</v>
      </c>
      <c r="F16" s="171" t="s">
        <v>65</v>
      </c>
      <c r="G16" s="136" t="s">
        <v>81</v>
      </c>
      <c r="H16" s="245" t="s">
        <v>126</v>
      </c>
      <c r="I16" s="249">
        <v>8</v>
      </c>
    </row>
    <row r="17" spans="1:9" ht="23.4" x14ac:dyDescent="0.45">
      <c r="A17" s="248">
        <v>8</v>
      </c>
      <c r="B17" s="108" t="s">
        <v>77</v>
      </c>
      <c r="C17" s="130" t="s">
        <v>79</v>
      </c>
      <c r="D17" s="156" t="s">
        <v>105</v>
      </c>
      <c r="E17" s="130" t="s">
        <v>77</v>
      </c>
      <c r="F17" s="167" t="s">
        <v>71</v>
      </c>
      <c r="G17" s="130" t="s">
        <v>120</v>
      </c>
      <c r="H17" s="243" t="s">
        <v>77</v>
      </c>
      <c r="I17" s="248">
        <v>8</v>
      </c>
    </row>
    <row r="18" spans="1:9" ht="23.4" x14ac:dyDescent="0.45">
      <c r="A18" s="248"/>
      <c r="B18" s="113" t="s">
        <v>13</v>
      </c>
      <c r="C18" s="134" t="s">
        <v>25</v>
      </c>
      <c r="D18" s="151" t="s">
        <v>25</v>
      </c>
      <c r="E18" s="134" t="s">
        <v>25</v>
      </c>
      <c r="F18" s="169" t="s">
        <v>13</v>
      </c>
      <c r="G18" s="134" t="s">
        <v>24</v>
      </c>
      <c r="H18" s="244" t="s">
        <v>13</v>
      </c>
      <c r="I18" s="248"/>
    </row>
    <row r="19" spans="1:9" ht="24" thickBot="1" x14ac:dyDescent="0.5">
      <c r="A19" s="249">
        <v>9</v>
      </c>
      <c r="B19" s="119" t="s">
        <v>126</v>
      </c>
      <c r="C19" s="136" t="s">
        <v>66</v>
      </c>
      <c r="D19" s="153" t="s">
        <v>68</v>
      </c>
      <c r="E19" s="136" t="s">
        <v>66</v>
      </c>
      <c r="F19" s="171" t="s">
        <v>65</v>
      </c>
      <c r="G19" s="136" t="s">
        <v>81</v>
      </c>
      <c r="H19" s="245" t="s">
        <v>126</v>
      </c>
      <c r="I19" s="249">
        <v>9</v>
      </c>
    </row>
    <row r="20" spans="1:9" ht="23.4" x14ac:dyDescent="0.45">
      <c r="A20" s="248">
        <v>9</v>
      </c>
      <c r="B20" s="108" t="s">
        <v>77</v>
      </c>
      <c r="C20" s="130" t="s">
        <v>77</v>
      </c>
      <c r="D20" s="148"/>
      <c r="E20" s="130" t="s">
        <v>105</v>
      </c>
      <c r="F20" s="167" t="s">
        <v>71</v>
      </c>
      <c r="G20" s="130" t="s">
        <v>120</v>
      </c>
      <c r="H20" s="243" t="s">
        <v>77</v>
      </c>
      <c r="I20" s="248">
        <v>9</v>
      </c>
    </row>
    <row r="21" spans="1:9" ht="23.4" x14ac:dyDescent="0.45">
      <c r="A21" s="250"/>
      <c r="B21" s="113" t="s">
        <v>13</v>
      </c>
      <c r="C21" s="134" t="s">
        <v>25</v>
      </c>
      <c r="D21" s="151"/>
      <c r="E21" s="134" t="s">
        <v>25</v>
      </c>
      <c r="F21" s="169" t="s">
        <v>13</v>
      </c>
      <c r="G21" s="134" t="s">
        <v>24</v>
      </c>
      <c r="H21" s="244" t="s">
        <v>13</v>
      </c>
      <c r="I21" s="250"/>
    </row>
    <row r="22" spans="1:9" ht="24" thickBot="1" x14ac:dyDescent="0.5">
      <c r="A22" s="249">
        <v>10</v>
      </c>
      <c r="B22" s="120" t="s">
        <v>126</v>
      </c>
      <c r="C22" s="136" t="s">
        <v>66</v>
      </c>
      <c r="D22" s="153"/>
      <c r="E22" s="136" t="s">
        <v>68</v>
      </c>
      <c r="F22" s="171" t="s">
        <v>65</v>
      </c>
      <c r="G22" s="136" t="s">
        <v>81</v>
      </c>
      <c r="H22" s="245" t="s">
        <v>126</v>
      </c>
      <c r="I22" s="249">
        <v>10</v>
      </c>
    </row>
    <row r="23" spans="1:9" ht="23.4" x14ac:dyDescent="0.45">
      <c r="A23" s="248">
        <v>10</v>
      </c>
      <c r="B23" s="108" t="s">
        <v>78</v>
      </c>
      <c r="C23" s="130" t="s">
        <v>77</v>
      </c>
      <c r="D23" s="156" t="s">
        <v>103</v>
      </c>
      <c r="E23" s="130" t="s">
        <v>105</v>
      </c>
      <c r="F23" s="206" t="s">
        <v>106</v>
      </c>
      <c r="G23" s="130" t="s">
        <v>120</v>
      </c>
      <c r="H23" s="243"/>
      <c r="I23" s="248">
        <v>10</v>
      </c>
    </row>
    <row r="24" spans="1:9" ht="23.4" x14ac:dyDescent="0.45">
      <c r="A24" s="251"/>
      <c r="B24" s="113" t="s">
        <v>25</v>
      </c>
      <c r="C24" s="134" t="s">
        <v>25</v>
      </c>
      <c r="D24" s="151" t="s">
        <v>25</v>
      </c>
      <c r="E24" s="134" t="s">
        <v>25</v>
      </c>
      <c r="F24" s="207" t="s">
        <v>18</v>
      </c>
      <c r="G24" s="134" t="s">
        <v>24</v>
      </c>
      <c r="H24" s="244"/>
      <c r="I24" s="251"/>
    </row>
    <row r="25" spans="1:9" ht="24" thickBot="1" x14ac:dyDescent="0.5">
      <c r="A25" s="249">
        <v>11</v>
      </c>
      <c r="B25" s="120" t="s">
        <v>95</v>
      </c>
      <c r="C25" s="136" t="s">
        <v>66</v>
      </c>
      <c r="D25" s="153" t="s">
        <v>115</v>
      </c>
      <c r="E25" s="136" t="s">
        <v>68</v>
      </c>
      <c r="F25" s="208" t="s">
        <v>128</v>
      </c>
      <c r="G25" s="136" t="s">
        <v>81</v>
      </c>
      <c r="H25" s="245"/>
      <c r="I25" s="249">
        <v>11</v>
      </c>
    </row>
    <row r="26" spans="1:9" ht="23.4" x14ac:dyDescent="0.45">
      <c r="A26" s="248">
        <v>11</v>
      </c>
      <c r="B26" s="108" t="s">
        <v>78</v>
      </c>
      <c r="C26" s="130" t="s">
        <v>120</v>
      </c>
      <c r="D26" s="156" t="s">
        <v>103</v>
      </c>
      <c r="E26" s="130" t="s">
        <v>79</v>
      </c>
      <c r="F26" s="206" t="s">
        <v>106</v>
      </c>
      <c r="G26" s="130" t="s">
        <v>120</v>
      </c>
      <c r="H26" s="243"/>
      <c r="I26" s="248">
        <v>11</v>
      </c>
    </row>
    <row r="27" spans="1:9" ht="23.4" x14ac:dyDescent="0.45">
      <c r="A27" s="252"/>
      <c r="B27" s="113" t="s">
        <v>25</v>
      </c>
      <c r="C27" s="134" t="s">
        <v>25</v>
      </c>
      <c r="D27" s="151" t="s">
        <v>25</v>
      </c>
      <c r="E27" s="134" t="s">
        <v>25</v>
      </c>
      <c r="F27" s="207" t="s">
        <v>18</v>
      </c>
      <c r="G27" s="134" t="s">
        <v>24</v>
      </c>
      <c r="H27" s="244"/>
      <c r="I27" s="252"/>
    </row>
    <row r="28" spans="1:9" ht="24" thickBot="1" x14ac:dyDescent="0.5">
      <c r="A28" s="249">
        <v>12</v>
      </c>
      <c r="B28" s="120" t="s">
        <v>95</v>
      </c>
      <c r="C28" s="136" t="s">
        <v>123</v>
      </c>
      <c r="D28" s="153" t="s">
        <v>115</v>
      </c>
      <c r="E28" s="136" t="s">
        <v>66</v>
      </c>
      <c r="F28" s="208" t="s">
        <v>128</v>
      </c>
      <c r="G28" s="136" t="s">
        <v>81</v>
      </c>
      <c r="H28" s="245"/>
      <c r="I28" s="249">
        <v>12</v>
      </c>
    </row>
    <row r="29" spans="1:9" ht="23.4" x14ac:dyDescent="0.45">
      <c r="A29" s="248">
        <v>12</v>
      </c>
      <c r="B29" s="109" t="s">
        <v>78</v>
      </c>
      <c r="C29" s="130" t="s">
        <v>120</v>
      </c>
      <c r="D29" s="156" t="s">
        <v>103</v>
      </c>
      <c r="E29" s="130" t="s">
        <v>79</v>
      </c>
      <c r="F29" s="206" t="s">
        <v>106</v>
      </c>
      <c r="G29" s="130" t="s">
        <v>120</v>
      </c>
      <c r="H29" s="243"/>
      <c r="I29" s="248">
        <v>12</v>
      </c>
    </row>
    <row r="30" spans="1:9" ht="23.4" x14ac:dyDescent="0.45">
      <c r="A30" s="252"/>
      <c r="B30" s="115" t="s">
        <v>25</v>
      </c>
      <c r="C30" s="134" t="s">
        <v>25</v>
      </c>
      <c r="D30" s="151" t="s">
        <v>25</v>
      </c>
      <c r="E30" s="134" t="s">
        <v>25</v>
      </c>
      <c r="F30" s="207" t="s">
        <v>18</v>
      </c>
      <c r="G30" s="134" t="s">
        <v>24</v>
      </c>
      <c r="H30" s="244"/>
      <c r="I30" s="252"/>
    </row>
    <row r="31" spans="1:9" ht="24" thickBot="1" x14ac:dyDescent="0.5">
      <c r="A31" s="249">
        <v>1</v>
      </c>
      <c r="B31" s="119" t="s">
        <v>95</v>
      </c>
      <c r="C31" s="136" t="s">
        <v>123</v>
      </c>
      <c r="D31" s="153" t="s">
        <v>115</v>
      </c>
      <c r="E31" s="136" t="s">
        <v>66</v>
      </c>
      <c r="F31" s="208" t="s">
        <v>128</v>
      </c>
      <c r="G31" s="136" t="s">
        <v>81</v>
      </c>
      <c r="H31" s="245"/>
      <c r="I31" s="249">
        <v>1</v>
      </c>
    </row>
    <row r="32" spans="1:9" ht="23.4" x14ac:dyDescent="0.45">
      <c r="A32" s="234"/>
      <c r="B32" s="229"/>
      <c r="C32" s="229"/>
      <c r="D32" s="221"/>
      <c r="E32" s="234"/>
      <c r="F32" s="240"/>
      <c r="G32" s="189"/>
      <c r="H32" s="231"/>
      <c r="I32" s="234"/>
    </row>
    <row r="33" spans="1:9" ht="23.4" x14ac:dyDescent="0.45">
      <c r="A33" s="235"/>
      <c r="B33" s="188"/>
      <c r="C33" s="188"/>
      <c r="D33" s="223"/>
      <c r="E33" s="235"/>
      <c r="F33" s="241"/>
      <c r="G33" s="189"/>
      <c r="H33" s="232"/>
      <c r="I33" s="235"/>
    </row>
    <row r="34" spans="1:9" ht="24" thickBot="1" x14ac:dyDescent="0.5">
      <c r="A34" s="236"/>
      <c r="B34" s="230"/>
      <c r="C34" s="230"/>
      <c r="D34" s="225"/>
      <c r="E34" s="236"/>
      <c r="F34" s="242"/>
      <c r="G34" s="189"/>
      <c r="H34" s="233"/>
      <c r="I34" s="236"/>
    </row>
    <row r="35" spans="1:9" ht="23.4" x14ac:dyDescent="0.45">
      <c r="A35" s="253">
        <v>2</v>
      </c>
      <c r="B35" s="109" t="s">
        <v>73</v>
      </c>
      <c r="C35" s="130" t="s">
        <v>73</v>
      </c>
      <c r="D35" s="156" t="s">
        <v>71</v>
      </c>
      <c r="E35" s="130" t="s">
        <v>78</v>
      </c>
      <c r="F35" s="206" t="s">
        <v>120</v>
      </c>
      <c r="G35" s="130" t="s">
        <v>102</v>
      </c>
      <c r="H35" s="243"/>
      <c r="I35" s="248">
        <v>2</v>
      </c>
    </row>
    <row r="36" spans="1:9" ht="23.4" x14ac:dyDescent="0.45">
      <c r="A36" s="254"/>
      <c r="B36" s="115" t="s">
        <v>25</v>
      </c>
      <c r="C36" s="134" t="s">
        <v>25</v>
      </c>
      <c r="D36" s="151" t="s">
        <v>13</v>
      </c>
      <c r="E36" s="134" t="s">
        <v>25</v>
      </c>
      <c r="F36" s="207" t="s">
        <v>25</v>
      </c>
      <c r="G36" s="134" t="s">
        <v>18</v>
      </c>
      <c r="H36" s="244"/>
      <c r="I36" s="248"/>
    </row>
    <row r="37" spans="1:9" ht="24" thickBot="1" x14ac:dyDescent="0.5">
      <c r="A37" s="255">
        <v>3</v>
      </c>
      <c r="B37" s="119" t="s">
        <v>104</v>
      </c>
      <c r="C37" s="136" t="s">
        <v>104</v>
      </c>
      <c r="D37" s="153" t="s">
        <v>65</v>
      </c>
      <c r="E37" s="136" t="s">
        <v>95</v>
      </c>
      <c r="F37" s="208" t="s">
        <v>123</v>
      </c>
      <c r="G37" s="136" t="s">
        <v>109</v>
      </c>
      <c r="H37" s="245"/>
      <c r="I37" s="249">
        <v>3</v>
      </c>
    </row>
    <row r="38" spans="1:9" ht="23.4" x14ac:dyDescent="0.45">
      <c r="A38" s="253">
        <v>3</v>
      </c>
      <c r="B38" s="109" t="s">
        <v>73</v>
      </c>
      <c r="C38" s="130" t="s">
        <v>73</v>
      </c>
      <c r="D38" s="156" t="s">
        <v>71</v>
      </c>
      <c r="E38" s="130" t="s">
        <v>78</v>
      </c>
      <c r="F38" s="206" t="s">
        <v>120</v>
      </c>
      <c r="G38" s="130" t="s">
        <v>102</v>
      </c>
      <c r="H38" s="243"/>
      <c r="I38" s="248">
        <v>3</v>
      </c>
    </row>
    <row r="39" spans="1:9" ht="23.4" x14ac:dyDescent="0.45">
      <c r="A39" s="254"/>
      <c r="B39" s="115" t="s">
        <v>25</v>
      </c>
      <c r="C39" s="134" t="s">
        <v>25</v>
      </c>
      <c r="D39" s="151" t="s">
        <v>13</v>
      </c>
      <c r="E39" s="134" t="s">
        <v>25</v>
      </c>
      <c r="F39" s="207" t="s">
        <v>25</v>
      </c>
      <c r="G39" s="134" t="s">
        <v>18</v>
      </c>
      <c r="H39" s="244"/>
      <c r="I39" s="248"/>
    </row>
    <row r="40" spans="1:9" ht="24" thickBot="1" x14ac:dyDescent="0.5">
      <c r="A40" s="255">
        <v>4</v>
      </c>
      <c r="B40" s="119" t="s">
        <v>104</v>
      </c>
      <c r="C40" s="136" t="s">
        <v>104</v>
      </c>
      <c r="D40" s="153" t="s">
        <v>65</v>
      </c>
      <c r="E40" s="136" t="s">
        <v>95</v>
      </c>
      <c r="F40" s="208" t="s">
        <v>123</v>
      </c>
      <c r="G40" s="136" t="s">
        <v>109</v>
      </c>
      <c r="H40" s="245"/>
      <c r="I40" s="249">
        <v>4</v>
      </c>
    </row>
    <row r="41" spans="1:9" ht="23.4" x14ac:dyDescent="0.45">
      <c r="A41" s="253">
        <v>4</v>
      </c>
      <c r="B41" s="109" t="s">
        <v>120</v>
      </c>
      <c r="C41" s="130"/>
      <c r="D41" s="156" t="s">
        <v>71</v>
      </c>
      <c r="E41" s="130" t="s">
        <v>78</v>
      </c>
      <c r="F41" s="206"/>
      <c r="G41" s="130" t="s">
        <v>102</v>
      </c>
      <c r="H41" s="243"/>
      <c r="I41" s="248">
        <v>4</v>
      </c>
    </row>
    <row r="42" spans="1:9" ht="23.4" x14ac:dyDescent="0.45">
      <c r="A42" s="254"/>
      <c r="B42" s="115" t="s">
        <v>25</v>
      </c>
      <c r="C42" s="134"/>
      <c r="D42" s="151" t="s">
        <v>13</v>
      </c>
      <c r="E42" s="134" t="s">
        <v>25</v>
      </c>
      <c r="F42" s="207"/>
      <c r="G42" s="134" t="s">
        <v>18</v>
      </c>
      <c r="H42" s="244"/>
      <c r="I42" s="250"/>
    </row>
    <row r="43" spans="1:9" ht="24" thickBot="1" x14ac:dyDescent="0.5">
      <c r="A43" s="255">
        <v>5</v>
      </c>
      <c r="B43" s="119" t="s">
        <v>123</v>
      </c>
      <c r="C43" s="136"/>
      <c r="D43" s="153" t="s">
        <v>65</v>
      </c>
      <c r="E43" s="136" t="s">
        <v>95</v>
      </c>
      <c r="F43" s="208"/>
      <c r="G43" s="136" t="s">
        <v>109</v>
      </c>
      <c r="H43" s="245"/>
      <c r="I43" s="249">
        <v>5</v>
      </c>
    </row>
    <row r="44" spans="1:9" ht="23.4" x14ac:dyDescent="0.45">
      <c r="A44" s="253">
        <v>5</v>
      </c>
      <c r="B44" s="110" t="s">
        <v>25</v>
      </c>
      <c r="C44" s="138" t="s">
        <v>79</v>
      </c>
      <c r="D44" s="148" t="s">
        <v>79</v>
      </c>
      <c r="E44" s="130" t="s">
        <v>103</v>
      </c>
      <c r="F44" s="206" t="s">
        <v>102</v>
      </c>
      <c r="G44" s="130" t="s">
        <v>73</v>
      </c>
      <c r="H44" s="243"/>
      <c r="I44" s="248">
        <v>5</v>
      </c>
    </row>
    <row r="45" spans="1:9" ht="23.4" x14ac:dyDescent="0.45">
      <c r="A45" s="254"/>
      <c r="B45" s="115" t="s">
        <v>20</v>
      </c>
      <c r="C45" s="134" t="s">
        <v>18</v>
      </c>
      <c r="D45" s="151" t="s">
        <v>18</v>
      </c>
      <c r="E45" s="134" t="s">
        <v>25</v>
      </c>
      <c r="F45" s="207" t="s">
        <v>18</v>
      </c>
      <c r="G45" s="134" t="s">
        <v>20</v>
      </c>
      <c r="H45" s="244"/>
      <c r="I45" s="251"/>
    </row>
    <row r="46" spans="1:9" ht="24" thickBot="1" x14ac:dyDescent="0.5">
      <c r="A46" s="255">
        <v>6</v>
      </c>
      <c r="B46" s="119" t="s">
        <v>125</v>
      </c>
      <c r="C46" s="136" t="s">
        <v>124</v>
      </c>
      <c r="D46" s="153" t="s">
        <v>124</v>
      </c>
      <c r="E46" s="136" t="s">
        <v>115</v>
      </c>
      <c r="F46" s="208" t="s">
        <v>109</v>
      </c>
      <c r="G46" s="136" t="s">
        <v>125</v>
      </c>
      <c r="H46" s="245"/>
      <c r="I46" s="249">
        <v>6</v>
      </c>
    </row>
    <row r="47" spans="1:9" ht="23.4" x14ac:dyDescent="0.45">
      <c r="A47" s="253">
        <v>6</v>
      </c>
      <c r="B47" s="110" t="s">
        <v>73</v>
      </c>
      <c r="C47" s="138" t="s">
        <v>79</v>
      </c>
      <c r="D47" s="148" t="s">
        <v>79</v>
      </c>
      <c r="E47" s="130" t="s">
        <v>103</v>
      </c>
      <c r="F47" s="206" t="s">
        <v>102</v>
      </c>
      <c r="G47" s="130" t="s">
        <v>73</v>
      </c>
      <c r="H47" s="243"/>
      <c r="I47" s="248">
        <v>6</v>
      </c>
    </row>
    <row r="48" spans="1:9" ht="23.4" x14ac:dyDescent="0.45">
      <c r="A48" s="254"/>
      <c r="B48" s="115" t="s">
        <v>20</v>
      </c>
      <c r="C48" s="134" t="s">
        <v>18</v>
      </c>
      <c r="D48" s="151" t="s">
        <v>18</v>
      </c>
      <c r="E48" s="134" t="s">
        <v>25</v>
      </c>
      <c r="F48" s="207" t="s">
        <v>18</v>
      </c>
      <c r="G48" s="134" t="s">
        <v>20</v>
      </c>
      <c r="H48" s="244"/>
      <c r="I48" s="252"/>
    </row>
    <row r="49" spans="1:9" ht="24" thickBot="1" x14ac:dyDescent="0.5">
      <c r="A49" s="255">
        <v>7</v>
      </c>
      <c r="B49" s="119" t="s">
        <v>125</v>
      </c>
      <c r="C49" s="136" t="s">
        <v>124</v>
      </c>
      <c r="D49" s="153" t="s">
        <v>124</v>
      </c>
      <c r="E49" s="136" t="s">
        <v>115</v>
      </c>
      <c r="F49" s="208" t="s">
        <v>109</v>
      </c>
      <c r="G49" s="136" t="s">
        <v>125</v>
      </c>
      <c r="H49" s="245"/>
      <c r="I49" s="249">
        <v>7</v>
      </c>
    </row>
    <row r="50" spans="1:9" ht="23.4" x14ac:dyDescent="0.45">
      <c r="A50" s="253">
        <v>7</v>
      </c>
      <c r="B50" s="110" t="s">
        <v>73</v>
      </c>
      <c r="C50" s="138" t="s">
        <v>79</v>
      </c>
      <c r="D50" s="162" t="s">
        <v>79</v>
      </c>
      <c r="E50" s="130" t="s">
        <v>103</v>
      </c>
      <c r="F50" s="206" t="s">
        <v>102</v>
      </c>
      <c r="G50" s="130" t="s">
        <v>73</v>
      </c>
      <c r="H50" s="243"/>
      <c r="I50" s="248">
        <v>7</v>
      </c>
    </row>
    <row r="51" spans="1:9" ht="23.4" x14ac:dyDescent="0.45">
      <c r="A51" s="254"/>
      <c r="B51" s="115" t="s">
        <v>20</v>
      </c>
      <c r="C51" s="134" t="s">
        <v>18</v>
      </c>
      <c r="D51" s="151" t="s">
        <v>18</v>
      </c>
      <c r="E51" s="134" t="s">
        <v>25</v>
      </c>
      <c r="F51" s="207" t="s">
        <v>18</v>
      </c>
      <c r="G51" s="134" t="s">
        <v>20</v>
      </c>
      <c r="H51" s="244"/>
      <c r="I51" s="252"/>
    </row>
    <row r="52" spans="1:9" ht="24" thickBot="1" x14ac:dyDescent="0.5">
      <c r="A52" s="255">
        <v>8</v>
      </c>
      <c r="B52" s="119" t="s">
        <v>125</v>
      </c>
      <c r="C52" s="136" t="s">
        <v>124</v>
      </c>
      <c r="D52" s="153" t="s">
        <v>124</v>
      </c>
      <c r="E52" s="136" t="s">
        <v>115</v>
      </c>
      <c r="F52" s="208" t="s">
        <v>109</v>
      </c>
      <c r="G52" s="136" t="s">
        <v>125</v>
      </c>
      <c r="H52" s="245"/>
      <c r="I52" s="249">
        <v>8</v>
      </c>
    </row>
    <row r="63" spans="1:9" x14ac:dyDescent="0.25">
      <c r="C63" s="544" t="s">
        <v>133</v>
      </c>
      <c r="D63" s="545"/>
      <c r="E63" s="545"/>
      <c r="F63" s="545"/>
    </row>
    <row r="64" spans="1:9" x14ac:dyDescent="0.25">
      <c r="C64" s="544"/>
      <c r="D64" s="545"/>
      <c r="E64" s="545"/>
      <c r="F64" s="545"/>
    </row>
    <row r="65" spans="1:9" ht="15.6" thickBot="1" x14ac:dyDescent="0.3">
      <c r="C65" s="546"/>
      <c r="D65" s="546"/>
      <c r="E65" s="546"/>
      <c r="F65" s="546"/>
    </row>
    <row r="66" spans="1:9" ht="24" thickBot="1" x14ac:dyDescent="0.5">
      <c r="A66" s="260"/>
      <c r="B66" s="262" t="s">
        <v>11</v>
      </c>
      <c r="C66" s="262" t="s">
        <v>129</v>
      </c>
      <c r="D66" s="262" t="s">
        <v>130</v>
      </c>
      <c r="E66" s="262" t="s">
        <v>131</v>
      </c>
      <c r="F66" s="262" t="s">
        <v>12</v>
      </c>
      <c r="G66" s="262" t="s">
        <v>132</v>
      </c>
      <c r="H66" s="262" t="s">
        <v>118</v>
      </c>
      <c r="I66" s="260"/>
    </row>
    <row r="67" spans="1:9" ht="23.4" x14ac:dyDescent="0.45">
      <c r="A67" s="247">
        <v>7</v>
      </c>
      <c r="B67" s="256" t="s">
        <v>80</v>
      </c>
      <c r="C67" s="257" t="s">
        <v>72</v>
      </c>
      <c r="D67" s="156" t="s">
        <v>91</v>
      </c>
      <c r="E67" s="257" t="s">
        <v>116</v>
      </c>
      <c r="F67" s="258" t="s">
        <v>70</v>
      </c>
      <c r="G67" s="257" t="s">
        <v>69</v>
      </c>
      <c r="H67" s="259" t="s">
        <v>74</v>
      </c>
      <c r="I67" s="247">
        <v>7</v>
      </c>
    </row>
    <row r="68" spans="1:9" ht="23.4" x14ac:dyDescent="0.45">
      <c r="A68" s="248"/>
      <c r="B68" s="113" t="s">
        <v>19</v>
      </c>
      <c r="C68" s="134" t="s">
        <v>25</v>
      </c>
      <c r="D68" s="151" t="s">
        <v>25</v>
      </c>
      <c r="E68" s="134" t="s">
        <v>25</v>
      </c>
      <c r="F68" s="169" t="s">
        <v>13</v>
      </c>
      <c r="G68" s="134" t="s">
        <v>23</v>
      </c>
      <c r="H68" s="244" t="s">
        <v>108</v>
      </c>
      <c r="I68" s="248"/>
    </row>
    <row r="69" spans="1:9" ht="24" thickBot="1" x14ac:dyDescent="0.5">
      <c r="A69" s="249">
        <v>8</v>
      </c>
      <c r="B69" s="119" t="s">
        <v>114</v>
      </c>
      <c r="C69" s="136" t="s">
        <v>66</v>
      </c>
      <c r="D69" s="153" t="s">
        <v>115</v>
      </c>
      <c r="E69" s="136" t="s">
        <v>67</v>
      </c>
      <c r="F69" s="171" t="s">
        <v>121</v>
      </c>
      <c r="G69" s="136" t="s">
        <v>81</v>
      </c>
      <c r="H69" s="245" t="s">
        <v>127</v>
      </c>
      <c r="I69" s="249">
        <v>8</v>
      </c>
    </row>
    <row r="70" spans="1:9" ht="23.4" x14ac:dyDescent="0.45">
      <c r="A70" s="248">
        <v>8</v>
      </c>
      <c r="B70" s="108" t="s">
        <v>80</v>
      </c>
      <c r="C70" s="130" t="s">
        <v>72</v>
      </c>
      <c r="D70" s="156" t="s">
        <v>91</v>
      </c>
      <c r="E70" s="130" t="s">
        <v>116</v>
      </c>
      <c r="F70" s="167" t="s">
        <v>70</v>
      </c>
      <c r="G70" s="130" t="s">
        <v>69</v>
      </c>
      <c r="H70" s="243" t="s">
        <v>74</v>
      </c>
      <c r="I70" s="248">
        <v>8</v>
      </c>
    </row>
    <row r="71" spans="1:9" ht="23.4" x14ac:dyDescent="0.45">
      <c r="A71" s="248"/>
      <c r="B71" s="113" t="s">
        <v>19</v>
      </c>
      <c r="C71" s="134" t="s">
        <v>25</v>
      </c>
      <c r="D71" s="151" t="s">
        <v>25</v>
      </c>
      <c r="E71" s="134" t="s">
        <v>25</v>
      </c>
      <c r="F71" s="169" t="s">
        <v>13</v>
      </c>
      <c r="G71" s="134" t="s">
        <v>23</v>
      </c>
      <c r="H71" s="244" t="s">
        <v>108</v>
      </c>
      <c r="I71" s="248"/>
    </row>
    <row r="72" spans="1:9" ht="24" thickBot="1" x14ac:dyDescent="0.5">
      <c r="A72" s="249">
        <v>9</v>
      </c>
      <c r="B72" s="119" t="s">
        <v>114</v>
      </c>
      <c r="C72" s="136" t="s">
        <v>66</v>
      </c>
      <c r="D72" s="153" t="s">
        <v>115</v>
      </c>
      <c r="E72" s="136" t="s">
        <v>67</v>
      </c>
      <c r="F72" s="171" t="s">
        <v>121</v>
      </c>
      <c r="G72" s="136" t="s">
        <v>81</v>
      </c>
      <c r="H72" s="245" t="s">
        <v>127</v>
      </c>
      <c r="I72" s="249">
        <v>9</v>
      </c>
    </row>
    <row r="73" spans="1:9" ht="23.4" x14ac:dyDescent="0.45">
      <c r="A73" s="248">
        <v>9</v>
      </c>
      <c r="B73" s="108" t="s">
        <v>80</v>
      </c>
      <c r="C73" s="130" t="s">
        <v>74</v>
      </c>
      <c r="D73" s="148" t="s">
        <v>91</v>
      </c>
      <c r="E73" s="130" t="s">
        <v>70</v>
      </c>
      <c r="F73" s="167" t="s">
        <v>70</v>
      </c>
      <c r="G73" s="130" t="s">
        <v>69</v>
      </c>
      <c r="H73" s="243" t="s">
        <v>74</v>
      </c>
      <c r="I73" s="248">
        <v>9</v>
      </c>
    </row>
    <row r="74" spans="1:9" ht="23.4" x14ac:dyDescent="0.45">
      <c r="A74" s="250"/>
      <c r="B74" s="113" t="s">
        <v>19</v>
      </c>
      <c r="C74" s="134" t="s">
        <v>25</v>
      </c>
      <c r="D74" s="151" t="s">
        <v>25</v>
      </c>
      <c r="E74" s="134" t="s">
        <v>25</v>
      </c>
      <c r="F74" s="169" t="s">
        <v>13</v>
      </c>
      <c r="G74" s="134" t="s">
        <v>23</v>
      </c>
      <c r="H74" s="244" t="s">
        <v>108</v>
      </c>
      <c r="I74" s="250"/>
    </row>
    <row r="75" spans="1:9" ht="24" thickBot="1" x14ac:dyDescent="0.5">
      <c r="A75" s="249">
        <v>10</v>
      </c>
      <c r="B75" s="120" t="s">
        <v>114</v>
      </c>
      <c r="C75" s="136" t="s">
        <v>119</v>
      </c>
      <c r="D75" s="153" t="s">
        <v>115</v>
      </c>
      <c r="E75" s="136" t="s">
        <v>104</v>
      </c>
      <c r="F75" s="171" t="s">
        <v>121</v>
      </c>
      <c r="G75" s="136" t="s">
        <v>81</v>
      </c>
      <c r="H75" s="245" t="s">
        <v>127</v>
      </c>
      <c r="I75" s="249">
        <v>10</v>
      </c>
    </row>
    <row r="76" spans="1:9" ht="23.4" x14ac:dyDescent="0.45">
      <c r="A76" s="248">
        <v>10</v>
      </c>
      <c r="B76" s="108" t="s">
        <v>82</v>
      </c>
      <c r="C76" s="130" t="s">
        <v>74</v>
      </c>
      <c r="D76" s="156" t="s">
        <v>74</v>
      </c>
      <c r="E76" s="130" t="s">
        <v>70</v>
      </c>
      <c r="F76" s="206" t="s">
        <v>74</v>
      </c>
      <c r="G76" s="130" t="s">
        <v>69</v>
      </c>
      <c r="H76" s="243"/>
      <c r="I76" s="248">
        <v>10</v>
      </c>
    </row>
    <row r="77" spans="1:9" ht="23.4" x14ac:dyDescent="0.45">
      <c r="A77" s="251"/>
      <c r="B77" s="113" t="s">
        <v>25</v>
      </c>
      <c r="C77" s="134" t="s">
        <v>25</v>
      </c>
      <c r="D77" s="151" t="s">
        <v>25</v>
      </c>
      <c r="E77" s="134" t="s">
        <v>25</v>
      </c>
      <c r="F77" s="207" t="s">
        <v>108</v>
      </c>
      <c r="G77" s="134" t="s">
        <v>23</v>
      </c>
      <c r="H77" s="244"/>
      <c r="I77" s="251"/>
    </row>
    <row r="78" spans="1:9" ht="24" thickBot="1" x14ac:dyDescent="0.5">
      <c r="A78" s="249">
        <v>11</v>
      </c>
      <c r="B78" s="120" t="s">
        <v>107</v>
      </c>
      <c r="C78" s="136" t="s">
        <v>119</v>
      </c>
      <c r="D78" s="153" t="s">
        <v>119</v>
      </c>
      <c r="E78" s="136" t="s">
        <v>104</v>
      </c>
      <c r="F78" s="208" t="s">
        <v>127</v>
      </c>
      <c r="G78" s="136" t="s">
        <v>81</v>
      </c>
      <c r="H78" s="245"/>
      <c r="I78" s="249">
        <v>11</v>
      </c>
    </row>
    <row r="79" spans="1:9" ht="23.4" x14ac:dyDescent="0.45">
      <c r="A79" s="248">
        <v>11</v>
      </c>
      <c r="B79" s="108" t="s">
        <v>82</v>
      </c>
      <c r="C79" s="130"/>
      <c r="D79" s="156" t="s">
        <v>74</v>
      </c>
      <c r="E79" s="130" t="s">
        <v>72</v>
      </c>
      <c r="F79" s="206" t="s">
        <v>74</v>
      </c>
      <c r="G79" s="130" t="s">
        <v>69</v>
      </c>
      <c r="H79" s="243"/>
      <c r="I79" s="248">
        <v>11</v>
      </c>
    </row>
    <row r="80" spans="1:9" ht="23.4" x14ac:dyDescent="0.45">
      <c r="A80" s="252"/>
      <c r="B80" s="113" t="s">
        <v>25</v>
      </c>
      <c r="C80" s="134"/>
      <c r="D80" s="151" t="s">
        <v>25</v>
      </c>
      <c r="E80" s="134" t="s">
        <v>25</v>
      </c>
      <c r="F80" s="207" t="s">
        <v>108</v>
      </c>
      <c r="G80" s="134" t="s">
        <v>23</v>
      </c>
      <c r="H80" s="244"/>
      <c r="I80" s="252"/>
    </row>
    <row r="81" spans="1:9" ht="24" thickBot="1" x14ac:dyDescent="0.5">
      <c r="A81" s="249">
        <v>12</v>
      </c>
      <c r="B81" s="120" t="s">
        <v>107</v>
      </c>
      <c r="C81" s="136"/>
      <c r="D81" s="153" t="s">
        <v>119</v>
      </c>
      <c r="E81" s="136" t="s">
        <v>66</v>
      </c>
      <c r="F81" s="208" t="s">
        <v>127</v>
      </c>
      <c r="G81" s="136" t="s">
        <v>81</v>
      </c>
      <c r="H81" s="245"/>
      <c r="I81" s="249">
        <v>12</v>
      </c>
    </row>
    <row r="82" spans="1:9" ht="23.4" x14ac:dyDescent="0.45">
      <c r="A82" s="248">
        <v>12</v>
      </c>
      <c r="B82" s="109" t="s">
        <v>82</v>
      </c>
      <c r="C82" s="130"/>
      <c r="D82" s="156"/>
      <c r="E82" s="130" t="s">
        <v>72</v>
      </c>
      <c r="F82" s="206" t="s">
        <v>74</v>
      </c>
      <c r="G82" s="130" t="s">
        <v>69</v>
      </c>
      <c r="H82" s="243"/>
      <c r="I82" s="248">
        <v>12</v>
      </c>
    </row>
    <row r="83" spans="1:9" ht="23.4" x14ac:dyDescent="0.45">
      <c r="A83" s="252"/>
      <c r="B83" s="115" t="s">
        <v>25</v>
      </c>
      <c r="C83" s="134"/>
      <c r="D83" s="151"/>
      <c r="E83" s="134" t="s">
        <v>25</v>
      </c>
      <c r="F83" s="207" t="s">
        <v>108</v>
      </c>
      <c r="G83" s="134" t="s">
        <v>23</v>
      </c>
      <c r="H83" s="244"/>
      <c r="I83" s="252"/>
    </row>
    <row r="84" spans="1:9" ht="24" thickBot="1" x14ac:dyDescent="0.5">
      <c r="A84" s="249">
        <v>1</v>
      </c>
      <c r="B84" s="119" t="s">
        <v>107</v>
      </c>
      <c r="C84" s="136"/>
      <c r="D84" s="153"/>
      <c r="E84" s="136" t="s">
        <v>66</v>
      </c>
      <c r="F84" s="208" t="s">
        <v>127</v>
      </c>
      <c r="G84" s="136" t="s">
        <v>81</v>
      </c>
      <c r="H84" s="245"/>
      <c r="I84" s="249">
        <v>1</v>
      </c>
    </row>
    <row r="85" spans="1:9" ht="23.4" x14ac:dyDescent="0.45">
      <c r="A85" s="234"/>
      <c r="B85" s="229"/>
      <c r="C85" s="229"/>
      <c r="D85" s="221"/>
      <c r="E85" s="234"/>
      <c r="F85" s="240"/>
      <c r="G85" s="189"/>
      <c r="H85" s="231"/>
      <c r="I85" s="234"/>
    </row>
    <row r="86" spans="1:9" ht="23.4" x14ac:dyDescent="0.45">
      <c r="A86" s="235"/>
      <c r="B86" s="188"/>
      <c r="C86" s="188"/>
      <c r="D86" s="223"/>
      <c r="E86" s="235"/>
      <c r="F86" s="241"/>
      <c r="G86" s="189"/>
      <c r="H86" s="232"/>
      <c r="I86" s="235"/>
    </row>
    <row r="87" spans="1:9" ht="24" thickBot="1" x14ac:dyDescent="0.5">
      <c r="A87" s="236"/>
      <c r="B87" s="230"/>
      <c r="C87" s="230"/>
      <c r="D87" s="225"/>
      <c r="E87" s="236"/>
      <c r="F87" s="242"/>
      <c r="G87" s="189"/>
      <c r="H87" s="233"/>
      <c r="I87" s="236"/>
    </row>
    <row r="88" spans="1:9" ht="23.4" x14ac:dyDescent="0.45">
      <c r="A88" s="253">
        <v>2</v>
      </c>
      <c r="B88" s="109" t="s">
        <v>70</v>
      </c>
      <c r="C88" s="130" t="s">
        <v>116</v>
      </c>
      <c r="D88" s="156" t="s">
        <v>82</v>
      </c>
      <c r="E88" s="130" t="s">
        <v>116</v>
      </c>
      <c r="F88" s="206" t="s">
        <v>72</v>
      </c>
      <c r="G88" s="130" t="s">
        <v>70</v>
      </c>
      <c r="H88" s="243"/>
      <c r="I88" s="248">
        <v>2</v>
      </c>
    </row>
    <row r="89" spans="1:9" ht="23.4" x14ac:dyDescent="0.45">
      <c r="A89" s="254"/>
      <c r="B89" s="115" t="s">
        <v>25</v>
      </c>
      <c r="C89" s="134" t="s">
        <v>25</v>
      </c>
      <c r="D89" s="151" t="s">
        <v>25</v>
      </c>
      <c r="E89" s="134" t="s">
        <v>19</v>
      </c>
      <c r="F89" s="207" t="s">
        <v>19</v>
      </c>
      <c r="G89" s="134" t="s">
        <v>13</v>
      </c>
      <c r="H89" s="244"/>
      <c r="I89" s="248"/>
    </row>
    <row r="90" spans="1:9" ht="24" thickBot="1" x14ac:dyDescent="0.5">
      <c r="A90" s="255">
        <v>3</v>
      </c>
      <c r="B90" s="119" t="s">
        <v>104</v>
      </c>
      <c r="C90" s="136" t="s">
        <v>67</v>
      </c>
      <c r="D90" s="153" t="s">
        <v>107</v>
      </c>
      <c r="E90" s="136" t="s">
        <v>117</v>
      </c>
      <c r="F90" s="208" t="s">
        <v>122</v>
      </c>
      <c r="G90" s="136" t="s">
        <v>121</v>
      </c>
      <c r="H90" s="245"/>
      <c r="I90" s="249">
        <v>3</v>
      </c>
    </row>
    <row r="91" spans="1:9" ht="23.4" x14ac:dyDescent="0.45">
      <c r="A91" s="253">
        <v>3</v>
      </c>
      <c r="B91" s="109" t="s">
        <v>70</v>
      </c>
      <c r="C91" s="130" t="s">
        <v>116</v>
      </c>
      <c r="D91" s="156" t="s">
        <v>82</v>
      </c>
      <c r="E91" s="130" t="s">
        <v>116</v>
      </c>
      <c r="F91" s="206" t="s">
        <v>72</v>
      </c>
      <c r="G91" s="130" t="s">
        <v>70</v>
      </c>
      <c r="H91" s="243"/>
      <c r="I91" s="248">
        <v>3</v>
      </c>
    </row>
    <row r="92" spans="1:9" ht="23.4" x14ac:dyDescent="0.45">
      <c r="A92" s="254"/>
      <c r="B92" s="115" t="s">
        <v>25</v>
      </c>
      <c r="C92" s="134" t="s">
        <v>25</v>
      </c>
      <c r="D92" s="151" t="s">
        <v>25</v>
      </c>
      <c r="E92" s="134" t="s">
        <v>19</v>
      </c>
      <c r="F92" s="207" t="s">
        <v>19</v>
      </c>
      <c r="G92" s="134" t="s">
        <v>13</v>
      </c>
      <c r="H92" s="244"/>
      <c r="I92" s="248"/>
    </row>
    <row r="93" spans="1:9" ht="24" thickBot="1" x14ac:dyDescent="0.5">
      <c r="A93" s="255">
        <v>4</v>
      </c>
      <c r="B93" s="119" t="s">
        <v>104</v>
      </c>
      <c r="C93" s="136" t="s">
        <v>67</v>
      </c>
      <c r="D93" s="153" t="s">
        <v>107</v>
      </c>
      <c r="E93" s="136" t="s">
        <v>117</v>
      </c>
      <c r="F93" s="208" t="s">
        <v>122</v>
      </c>
      <c r="G93" s="136" t="s">
        <v>121</v>
      </c>
      <c r="H93" s="245"/>
      <c r="I93" s="249">
        <v>4</v>
      </c>
    </row>
    <row r="94" spans="1:9" ht="23.4" x14ac:dyDescent="0.45">
      <c r="A94" s="253">
        <v>4</v>
      </c>
      <c r="B94" s="109"/>
      <c r="C94" s="130"/>
      <c r="D94" s="156" t="s">
        <v>82</v>
      </c>
      <c r="E94" s="130" t="s">
        <v>116</v>
      </c>
      <c r="F94" s="206" t="s">
        <v>72</v>
      </c>
      <c r="G94" s="130" t="s">
        <v>70</v>
      </c>
      <c r="H94" s="243"/>
      <c r="I94" s="248">
        <v>4</v>
      </c>
    </row>
    <row r="95" spans="1:9" ht="23.4" x14ac:dyDescent="0.45">
      <c r="A95" s="254"/>
      <c r="B95" s="115"/>
      <c r="C95" s="134"/>
      <c r="D95" s="151" t="s">
        <v>25</v>
      </c>
      <c r="E95" s="134" t="s">
        <v>19</v>
      </c>
      <c r="F95" s="207" t="s">
        <v>19</v>
      </c>
      <c r="G95" s="134" t="s">
        <v>13</v>
      </c>
      <c r="H95" s="244"/>
      <c r="I95" s="250"/>
    </row>
    <row r="96" spans="1:9" ht="24" thickBot="1" x14ac:dyDescent="0.5">
      <c r="A96" s="255">
        <v>5</v>
      </c>
      <c r="B96" s="119"/>
      <c r="C96" s="136"/>
      <c r="D96" s="153" t="s">
        <v>107</v>
      </c>
      <c r="E96" s="136" t="s">
        <v>117</v>
      </c>
      <c r="F96" s="208" t="s">
        <v>122</v>
      </c>
      <c r="G96" s="136" t="s">
        <v>121</v>
      </c>
      <c r="H96" s="245"/>
      <c r="I96" s="249">
        <v>5</v>
      </c>
    </row>
    <row r="97" spans="1:9" ht="23.4" x14ac:dyDescent="0.45">
      <c r="A97" s="253">
        <v>5</v>
      </c>
      <c r="B97" s="110" t="s">
        <v>80</v>
      </c>
      <c r="C97" s="138" t="s">
        <v>120</v>
      </c>
      <c r="D97" s="148" t="s">
        <v>80</v>
      </c>
      <c r="E97" s="130" t="s">
        <v>91</v>
      </c>
      <c r="F97" s="206" t="s">
        <v>80</v>
      </c>
      <c r="G97" s="130" t="s">
        <v>72</v>
      </c>
      <c r="H97" s="243"/>
      <c r="I97" s="248">
        <v>5</v>
      </c>
    </row>
    <row r="98" spans="1:9" ht="23.4" x14ac:dyDescent="0.45">
      <c r="A98" s="254"/>
      <c r="B98" s="115" t="s">
        <v>25</v>
      </c>
      <c r="C98" s="134" t="s">
        <v>24</v>
      </c>
      <c r="D98" s="151" t="s">
        <v>25</v>
      </c>
      <c r="E98" s="134" t="s">
        <v>25</v>
      </c>
      <c r="F98" s="207" t="s">
        <v>19</v>
      </c>
      <c r="G98" s="134" t="s">
        <v>19</v>
      </c>
      <c r="H98" s="244"/>
      <c r="I98" s="251"/>
    </row>
    <row r="99" spans="1:9" ht="24" thickBot="1" x14ac:dyDescent="0.5">
      <c r="A99" s="255">
        <v>6</v>
      </c>
      <c r="B99" s="119" t="s">
        <v>90</v>
      </c>
      <c r="C99" s="136" t="s">
        <v>81</v>
      </c>
      <c r="D99" s="153" t="s">
        <v>90</v>
      </c>
      <c r="E99" s="136" t="s">
        <v>115</v>
      </c>
      <c r="F99" s="208" t="s">
        <v>114</v>
      </c>
      <c r="G99" s="136" t="s">
        <v>122</v>
      </c>
      <c r="H99" s="245"/>
      <c r="I99" s="249">
        <v>6</v>
      </c>
    </row>
    <row r="100" spans="1:9" ht="23.4" x14ac:dyDescent="0.45">
      <c r="A100" s="253">
        <v>6</v>
      </c>
      <c r="B100" s="110" t="s">
        <v>80</v>
      </c>
      <c r="C100" s="138" t="s">
        <v>120</v>
      </c>
      <c r="D100" s="148" t="s">
        <v>80</v>
      </c>
      <c r="E100" s="130" t="s">
        <v>91</v>
      </c>
      <c r="F100" s="206" t="s">
        <v>80</v>
      </c>
      <c r="G100" s="130" t="s">
        <v>72</v>
      </c>
      <c r="H100" s="243"/>
      <c r="I100" s="248">
        <v>6</v>
      </c>
    </row>
    <row r="101" spans="1:9" ht="23.4" x14ac:dyDescent="0.45">
      <c r="A101" s="254"/>
      <c r="B101" s="115" t="s">
        <v>25</v>
      </c>
      <c r="C101" s="134" t="s">
        <v>24</v>
      </c>
      <c r="D101" s="151" t="s">
        <v>25</v>
      </c>
      <c r="E101" s="134" t="s">
        <v>25</v>
      </c>
      <c r="F101" s="207" t="s">
        <v>19</v>
      </c>
      <c r="G101" s="134" t="s">
        <v>19</v>
      </c>
      <c r="H101" s="244"/>
      <c r="I101" s="252"/>
    </row>
    <row r="102" spans="1:9" ht="24" thickBot="1" x14ac:dyDescent="0.5">
      <c r="A102" s="255">
        <v>7</v>
      </c>
      <c r="B102" s="119" t="s">
        <v>90</v>
      </c>
      <c r="C102" s="136" t="s">
        <v>81</v>
      </c>
      <c r="D102" s="153" t="s">
        <v>90</v>
      </c>
      <c r="E102" s="136" t="s">
        <v>115</v>
      </c>
      <c r="F102" s="208" t="s">
        <v>114</v>
      </c>
      <c r="G102" s="136" t="s">
        <v>122</v>
      </c>
      <c r="H102" s="245"/>
      <c r="I102" s="249">
        <v>7</v>
      </c>
    </row>
    <row r="103" spans="1:9" ht="23.4" x14ac:dyDescent="0.45">
      <c r="A103" s="253">
        <v>7</v>
      </c>
      <c r="B103" s="110"/>
      <c r="C103" s="138" t="s">
        <v>120</v>
      </c>
      <c r="D103" s="162"/>
      <c r="E103" s="130" t="s">
        <v>91</v>
      </c>
      <c r="F103" s="206" t="s">
        <v>80</v>
      </c>
      <c r="G103" s="130" t="s">
        <v>72</v>
      </c>
      <c r="H103" s="243"/>
      <c r="I103" s="248">
        <v>7</v>
      </c>
    </row>
    <row r="104" spans="1:9" ht="23.4" x14ac:dyDescent="0.45">
      <c r="A104" s="254"/>
      <c r="B104" s="115"/>
      <c r="C104" s="134" t="s">
        <v>24</v>
      </c>
      <c r="D104" s="151"/>
      <c r="E104" s="134" t="s">
        <v>25</v>
      </c>
      <c r="F104" s="207" t="s">
        <v>19</v>
      </c>
      <c r="G104" s="134" t="s">
        <v>19</v>
      </c>
      <c r="H104" s="244"/>
      <c r="I104" s="252"/>
    </row>
    <row r="105" spans="1:9" ht="24" thickBot="1" x14ac:dyDescent="0.5">
      <c r="A105" s="261">
        <v>8</v>
      </c>
      <c r="B105" s="119"/>
      <c r="C105" s="136" t="s">
        <v>81</v>
      </c>
      <c r="D105" s="153"/>
      <c r="E105" s="136" t="s">
        <v>115</v>
      </c>
      <c r="F105" s="208" t="s">
        <v>114</v>
      </c>
      <c r="G105" s="136" t="s">
        <v>122</v>
      </c>
      <c r="H105" s="245"/>
      <c r="I105" s="249">
        <v>8</v>
      </c>
    </row>
  </sheetData>
  <mergeCells count="2">
    <mergeCell ref="C10:F12"/>
    <mergeCell ref="C63:F6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PSQuerySave1</vt:lpstr>
      <vt:lpstr>TIMETABLE</vt:lpstr>
      <vt:lpstr>Sheet1</vt:lpstr>
      <vt:lpstr>ROOM ALOCACATION</vt:lpstr>
      <vt:lpstr>CONCATENATED</vt:lpstr>
      <vt:lpstr>MATCHED</vt:lpstr>
      <vt:lpstr>MATERTT</vt:lpstr>
      <vt:lpstr>BaseTitanium</vt:lpstr>
      <vt:lpstr>TIMETABLE!Print_Area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cp:lastModifiedBy>
  <cp:lastPrinted>2018-09-13T15:50:40Z</cp:lastPrinted>
  <dcterms:created xsi:type="dcterms:W3CDTF">2005-05-13T09:16:44Z</dcterms:created>
  <dcterms:modified xsi:type="dcterms:W3CDTF">2022-01-19T18:31:37Z</dcterms:modified>
</cp:coreProperties>
</file>